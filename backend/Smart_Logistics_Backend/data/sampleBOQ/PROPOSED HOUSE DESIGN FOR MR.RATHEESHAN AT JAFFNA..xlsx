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4"/>
  <workbookPr/>
  <mc:AlternateContent xmlns:mc="http://schemas.openxmlformats.org/markup-compatibility/2006">
    <mc:Choice Requires="x15">
      <x15ac:absPath xmlns:x15ac="http://schemas.microsoft.com/office/spreadsheetml/2010/11/ac" url="C:\Hello Builders\Ganusha - QS\HB-000 Estimate\HBFP - 021 - 2023.12.01 - Mr.Ratheeshan @ Jaffna (C+)\"/>
    </mc:Choice>
  </mc:AlternateContent>
  <xr:revisionPtr revIDLastSave="0" documentId="8_{FD39DE69-1E20-4B5D-942A-7BF8050E18E3}" xr6:coauthVersionLast="36" xr6:coauthVersionMax="36" xr10:uidLastSave="{00000000-0000-0000-0000-000000000000}"/>
  <bookViews>
    <workbookView xWindow="0" yWindow="0" windowWidth="23040" windowHeight="9060" tabRatio="958" activeTab="14" xr2:uid="{00000000-000D-0000-FFFF-FFFF00000000}"/>
  </bookViews>
  <sheets>
    <sheet name="front" sheetId="44" r:id="rId1"/>
    <sheet name="summary" sheetId="29" r:id="rId2"/>
    <sheet name="prelims" sheetId="10" r:id="rId3"/>
    <sheet name="waterprof" sheetId="31" r:id="rId4"/>
    <sheet name="concrete" sheetId="30" r:id="rId5"/>
    <sheet name="RBD" sheetId="59" r:id="rId6"/>
    <sheet name="masnry" sheetId="16" r:id="rId7"/>
    <sheet name="plumbing" sheetId="22" r:id="rId8"/>
    <sheet name="metal" sheetId="26" r:id="rId9"/>
    <sheet name="tile" sheetId="21" r:id="rId10"/>
    <sheet name="RBD Material" sheetId="60" r:id="rId11"/>
    <sheet name="floring" sheetId="13" r:id="rId12"/>
    <sheet name="exca" sheetId="15" r:id="rId13"/>
    <sheet name="plastering" sheetId="19" r:id="rId14"/>
    <sheet name="paint" sheetId="20" r:id="rId15"/>
    <sheet name="electicle " sheetId="55" r:id="rId16"/>
    <sheet name="Rate Breakdowns" sheetId="61" r:id="rId17"/>
    <sheet name="grnd summry- tender" sheetId="32" r:id="rId18"/>
    <sheet name="m shet Mr Ratheshon" sheetId="12" state="hidden" r:id="rId19"/>
    <sheet name="Ps" sheetId="42" state="hidden" r:id="rId20"/>
    <sheet name="cctv" sheetId="58" state="hidden" r:id="rId21"/>
  </sheets>
  <externalReferences>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___REM1" localSheetId="16">#REF!</definedName>
    <definedName name="___REM1">#REF!</definedName>
    <definedName name="___REM2" localSheetId="16">#REF!</definedName>
    <definedName name="___REM2">#REF!</definedName>
    <definedName name="___Val101" localSheetId="16">#REF!</definedName>
    <definedName name="___Val101">#REF!</definedName>
    <definedName name="___Val102" localSheetId="16">#REF!</definedName>
    <definedName name="___Val102">#REF!</definedName>
    <definedName name="___Val201" localSheetId="16">#REF!</definedName>
    <definedName name="___Val201">#REF!</definedName>
    <definedName name="___Val202" localSheetId="16">#REF!</definedName>
    <definedName name="___Val202">#REF!</definedName>
    <definedName name="___Val301" localSheetId="16">#REF!</definedName>
    <definedName name="___Val301">#REF!</definedName>
    <definedName name="___Val302" localSheetId="16">#REF!</definedName>
    <definedName name="___Val302">#REF!</definedName>
    <definedName name="__123Graph_ACURRENT" hidden="1">[1]FitOutConfCentre!#REF!</definedName>
    <definedName name="__IntlFixup" hidden="1">TRUE</definedName>
    <definedName name="__REM1" localSheetId="16">#REF!</definedName>
    <definedName name="__REM1">#REF!</definedName>
    <definedName name="__REM2" localSheetId="16">#REF!</definedName>
    <definedName name="__REM2">#REF!</definedName>
    <definedName name="__Val101" localSheetId="16">#REF!</definedName>
    <definedName name="__Val101">#REF!</definedName>
    <definedName name="__Val102" localSheetId="16">#REF!</definedName>
    <definedName name="__Val102">#REF!</definedName>
    <definedName name="__Val201" localSheetId="16">#REF!</definedName>
    <definedName name="__Val201">#REF!</definedName>
    <definedName name="__Val202" localSheetId="16">#REF!</definedName>
    <definedName name="__Val202">#REF!</definedName>
    <definedName name="__Val301" localSheetId="16">#REF!</definedName>
    <definedName name="__Val301">#REF!</definedName>
    <definedName name="__Val302" localSheetId="16">#REF!</definedName>
    <definedName name="__Val302">#REF!</definedName>
    <definedName name="_REM1" localSheetId="16">#REF!</definedName>
    <definedName name="_REM1">#REF!</definedName>
    <definedName name="_REM2" localSheetId="16">#REF!</definedName>
    <definedName name="_REM2">#REF!</definedName>
    <definedName name="_Val101" localSheetId="16">#REF!</definedName>
    <definedName name="_Val101">#REF!</definedName>
    <definedName name="_Val102" localSheetId="16">#REF!</definedName>
    <definedName name="_Val102">#REF!</definedName>
    <definedName name="_Val201" localSheetId="16">#REF!</definedName>
    <definedName name="_Val201">#REF!</definedName>
    <definedName name="_Val202" localSheetId="16">#REF!</definedName>
    <definedName name="_Val202">#REF!</definedName>
    <definedName name="_Val301" localSheetId="16">#REF!</definedName>
    <definedName name="_Val301">#REF!</definedName>
    <definedName name="_Val302" localSheetId="16">#REF!</definedName>
    <definedName name="_Val302">#REF!</definedName>
    <definedName name="a">'[2]B-3.2 EB'!#REF!</definedName>
    <definedName name="aa" localSheetId="16">#REF!</definedName>
    <definedName name="aa">#REF!</definedName>
    <definedName name="aaa" localSheetId="16">#REF!</definedName>
    <definedName name="aaa">#REF!</definedName>
    <definedName name="ad">'[2]B-3.2 EB'!#REF!</definedName>
    <definedName name="Anton" localSheetId="16">#REF!</definedName>
    <definedName name="Anton">#REF!</definedName>
    <definedName name="as" localSheetId="16">#REF!</definedName>
    <definedName name="as">#REF!</definedName>
    <definedName name="asgsdfg" localSheetId="16">#REF!</definedName>
    <definedName name="asgsdfg">#REF!</definedName>
    <definedName name="b">'[2]B-3.2 EB'!#REF!</definedName>
    <definedName name="b.two">[3]Sheet1!$E$497</definedName>
    <definedName name="B_10_10" localSheetId="16">'[4]Bill 3 - Site Works'!#REF!</definedName>
    <definedName name="B_10_10">'[4]Bill 3 - Site Works'!#REF!</definedName>
    <definedName name="B_10_11A" localSheetId="16">'[4]Bill 3 - Site Works'!#REF!</definedName>
    <definedName name="B_10_11A">'[4]Bill 3 - Site Works'!#REF!</definedName>
    <definedName name="B_10_11B" localSheetId="16">'[4]Bill 3 - Site Works'!#REF!</definedName>
    <definedName name="B_10_11B">'[4]Bill 3 - Site Works'!#REF!</definedName>
    <definedName name="B_10_12" localSheetId="16">'[4]Bill 3 - Site Works'!#REF!</definedName>
    <definedName name="B_10_12">'[4]Bill 3 - Site Works'!#REF!</definedName>
    <definedName name="B_10_13">'[4]Bill 3 - Site Works'!#REF!</definedName>
    <definedName name="B_10_14">'[4]Bill 3 - Site Works'!#REF!</definedName>
    <definedName name="B_10_2">'[4]Bill 3 - Site Works'!#REF!</definedName>
    <definedName name="B_10_3">'[4]Bill 3 - Site Works'!#REF!</definedName>
    <definedName name="B_10_4">'[4]Bill 3 - Site Works'!#REF!</definedName>
    <definedName name="B_10_5">'[4]Bill 3 - Site Works'!#REF!</definedName>
    <definedName name="B_10_6">'[4]Bill 3 - Site Works'!#REF!</definedName>
    <definedName name="B_10_7A">'[4]Bill 3 - Site Works'!#REF!</definedName>
    <definedName name="B_10_8A">'[4]Bill 3 - Site Works'!#REF!</definedName>
    <definedName name="B_10_9">'[4]Bill 3 - Site Works'!#REF!</definedName>
    <definedName name="B107A">'[4]Bill 3 - Site Works'!#REF!</definedName>
    <definedName name="BB" localSheetId="16">#REF!</definedName>
    <definedName name="BB">#REF!</definedName>
    <definedName name="bbb" localSheetId="16">#REF!</definedName>
    <definedName name="bbb">#REF!</definedName>
    <definedName name="bhhbhj" localSheetId="16">#REF!</definedName>
    <definedName name="bhhbhj">#REF!</definedName>
    <definedName name="Bill" localSheetId="16">#REF!</definedName>
    <definedName name="Bill">#REF!</definedName>
    <definedName name="bill1" localSheetId="16">#REF!</definedName>
    <definedName name="bill1">#REF!</definedName>
    <definedName name="C_" localSheetId="16">#REF!</definedName>
    <definedName name="C_">#REF!</definedName>
    <definedName name="CApentry" localSheetId="16">#REF!</definedName>
    <definedName name="CApentry">#REF!</definedName>
    <definedName name="cc" localSheetId="16">#REF!</definedName>
    <definedName name="cc">#REF!</definedName>
    <definedName name="CoolingCapacity">'[5]Room Type'!$O$3</definedName>
    <definedName name="COP">'[5]Room Type'!$O$2</definedName>
    <definedName name="_xlnm.Criteria" localSheetId="16">#REF!</definedName>
    <definedName name="_xlnm.Criteria">#REF!</definedName>
    <definedName name="d" localSheetId="16">'[6]B-3'!#REF!</definedName>
    <definedName name="d">'[6]B-3'!#REF!</definedName>
    <definedName name="d.six">[3]Sheet1!$E$1355</definedName>
    <definedName name="d.two">[3]Sheet1!$E$1317</definedName>
    <definedName name="_xlnm.Database" localSheetId="16">#REF!</definedName>
    <definedName name="_xlnm.Database">#REF!</definedName>
    <definedName name="dddddd" localSheetId="16">#REF!</definedName>
    <definedName name="dddddd">#REF!</definedName>
    <definedName name="ddikkkk" localSheetId="16">#REF!</definedName>
    <definedName name="ddikkkk">#REF!</definedName>
    <definedName name="Desc01" localSheetId="16">#REF!</definedName>
    <definedName name="Desc01">#REF!</definedName>
    <definedName name="Desc02" localSheetId="16">#REF!</definedName>
    <definedName name="Desc02">#REF!</definedName>
    <definedName name="DFASDFDF" localSheetId="16">#REF!</definedName>
    <definedName name="DFASDFDF">#REF!</definedName>
    <definedName name="drrn" localSheetId="16">#REF!</definedName>
    <definedName name="drrn">#REF!</definedName>
    <definedName name="dsdf" localSheetId="16">#REF!</definedName>
    <definedName name="dsdf">#REF!</definedName>
    <definedName name="DVD">'[4]Bill 3 - Site Works'!#REF!</definedName>
    <definedName name="e" localSheetId="16">#REF!</definedName>
    <definedName name="e">#REF!</definedName>
    <definedName name="e.one">[3]Sheet1!$E$1459</definedName>
    <definedName name="edfewe" localSheetId="16">'[7]B-3.2 EB'!#REF!</definedName>
    <definedName name="edfewe">'[7]B-3.2 EB'!#REF!</definedName>
    <definedName name="Edited" localSheetId="16">#REF!</definedName>
    <definedName name="Edited">#REF!</definedName>
    <definedName name="eee" localSheetId="16" hidden="1">[1]FitOutConfCentre!#REF!</definedName>
    <definedName name="eee" hidden="1">[1]FitOutConfCentre!#REF!</definedName>
    <definedName name="eeye5y" localSheetId="16">#REF!</definedName>
    <definedName name="eeye5y">#REF!</definedName>
    <definedName name="EURO" localSheetId="16">#REF!</definedName>
    <definedName name="EURO">#REF!</definedName>
    <definedName name="EURO_USD" localSheetId="16">#REF!</definedName>
    <definedName name="EURO_USD">#REF!</definedName>
    <definedName name="ewf" localSheetId="16">#REF!</definedName>
    <definedName name="ewf">#REF!</definedName>
    <definedName name="_xlnm.Extract" localSheetId="16">#REF!</definedName>
    <definedName name="_xlnm.Extract">#REF!</definedName>
    <definedName name="f" localSheetId="16">#REF!</definedName>
    <definedName name="f">#REF!</definedName>
    <definedName name="FD" localSheetId="16">#REF!</definedName>
    <definedName name="FD">#REF!</definedName>
    <definedName name="FDF" localSheetId="16">#REF!</definedName>
    <definedName name="FDF">#REF!</definedName>
    <definedName name="FDFF" localSheetId="16">#REF!</definedName>
    <definedName name="FDFF">#REF!</definedName>
    <definedName name="fdfsd" localSheetId="16">#REF!</definedName>
    <definedName name="fdfsd">#REF!</definedName>
    <definedName name="fdghhh">'[4]Bill 3 - Site Works'!#REF!</definedName>
    <definedName name="fesf" localSheetId="16">#REF!</definedName>
    <definedName name="fesf">#REF!</definedName>
    <definedName name="fg" localSheetId="16">#REF!</definedName>
    <definedName name="fg">#REF!</definedName>
    <definedName name="fgrthrtg" localSheetId="16">#REF!</definedName>
    <definedName name="fgrthrtg">#REF!</definedName>
    <definedName name="FORM" localSheetId="16">#REF!</definedName>
    <definedName name="FORM">#REF!</definedName>
    <definedName name="formula_1">"#NAME!()"</definedName>
    <definedName name="fred" localSheetId="16">#REF!</definedName>
    <definedName name="fred">#REF!</definedName>
    <definedName name="FREIGHT" localSheetId="16">#REF!</definedName>
    <definedName name="FREIGHT">#REF!</definedName>
    <definedName name="frt" localSheetId="16">#REF!</definedName>
    <definedName name="frt">#REF!</definedName>
    <definedName name="g" localSheetId="16">#REF!</definedName>
    <definedName name="g">#REF!</definedName>
    <definedName name="g.seventeen">[3]Sheet1!$E$2173</definedName>
    <definedName name="gdsd" localSheetId="16">#REF!</definedName>
    <definedName name="gdsd">#REF!</definedName>
    <definedName name="gg" localSheetId="16">#REF!</definedName>
    <definedName name="gg">#REF!</definedName>
    <definedName name="globref">INDIRECT("rc",FALSE)</definedName>
    <definedName name="GTOT" localSheetId="16">#REF!</definedName>
    <definedName name="GTOT">#REF!</definedName>
    <definedName name="H" localSheetId="16">#REF!</definedName>
    <definedName name="H">#REF!</definedName>
    <definedName name="h.thirtyone">[3]Sheet1!$E$3136</definedName>
    <definedName name="hh">'[8]Material Prices'!$A$5:'[8]Material Prices'!$A$5:$F$65536</definedName>
    <definedName name="hhhhhhhhhhhhhhhhhhhh" localSheetId="16">#REF!</definedName>
    <definedName name="hhhhhhhhhhhhhhhhhhhh">#REF!</definedName>
    <definedName name="hi">'[8]Material Prices'!$A$5:'[8]Material Prices'!$A$5:$F$65536</definedName>
    <definedName name="I" localSheetId="16">#REF!</definedName>
    <definedName name="I">#REF!</definedName>
    <definedName name="InsD1" localSheetId="16">#REF!</definedName>
    <definedName name="InsD1">#REF!</definedName>
    <definedName name="InsD2" localSheetId="16">#REF!</definedName>
    <definedName name="InsD2">#REF!</definedName>
    <definedName name="io">'[8]Material Prices'!$A$5:'[8]Material Prices'!$A$5:$F$65536</definedName>
    <definedName name="Item" localSheetId="16">#REF!</definedName>
    <definedName name="Item">#REF!</definedName>
    <definedName name="j" localSheetId="16">#REF!</definedName>
    <definedName name="j">#REF!</definedName>
    <definedName name="ji">'[9]Material Prices'!$A$5:'[9]Material Prices'!$A$5:$F$65536</definedName>
    <definedName name="jjdd" localSheetId="16">#REF!</definedName>
    <definedName name="jjdd">#REF!</definedName>
    <definedName name="job.no" hidden="1">[10]Database!$C$6:$C$26</definedName>
    <definedName name="joinery" localSheetId="16">#REF!</definedName>
    <definedName name="joinery">#REF!</definedName>
    <definedName name="k" localSheetId="16">#REF!</definedName>
    <definedName name="k">#REF!</definedName>
    <definedName name="k.nineteen">[3]Sheet1!$E$1881</definedName>
    <definedName name="k.six">[3]Sheet1!$E$1814</definedName>
    <definedName name="l" localSheetId="16">#REF!</definedName>
    <definedName name="l">#REF!</definedName>
    <definedName name="list" localSheetId="16">#REF!</definedName>
    <definedName name="list">#REF!</definedName>
    <definedName name="M">'[11]B-2'!$J$1</definedName>
    <definedName name="MD" localSheetId="16">#REF!</definedName>
    <definedName name="MD">#REF!</definedName>
    <definedName name="MF" localSheetId="16">#REF!</definedName>
    <definedName name="MF">#REF!</definedName>
    <definedName name="MFeq" localSheetId="16">#REF!</definedName>
    <definedName name="MFeq">#REF!</definedName>
    <definedName name="mhgg" localSheetId="16">#REF!</definedName>
    <definedName name="mhgg">#REF!</definedName>
    <definedName name="mk" localSheetId="16">#REF!</definedName>
    <definedName name="mk">#REF!</definedName>
    <definedName name="MP">'[12]Material Prices'!$A$5:'[12]Material Prices'!$A$5:$F$65536</definedName>
    <definedName name="n" localSheetId="16">#REF!</definedName>
    <definedName name="n">#REF!</definedName>
    <definedName name="nn" localSheetId="16">#REF!</definedName>
    <definedName name="nn">#REF!</definedName>
    <definedName name="oh" localSheetId="16">#REF!</definedName>
    <definedName name="oh">#REF!</definedName>
    <definedName name="ooo">'[13]B-3'!#REF!</definedName>
    <definedName name="p">'[2]B-3.2 EB'!#REF!</definedName>
    <definedName name="PackageName">'[14]cover page'!$E$13</definedName>
    <definedName name="pf">'[5]Basement2 DB'!$M$2</definedName>
    <definedName name="PG" localSheetId="16">#REF!</definedName>
    <definedName name="PG">#REF!</definedName>
    <definedName name="pp">'[9]Material Prices'!$A$5:'[9]Material Prices'!$A$5:$F$65536</definedName>
    <definedName name="ppp">'[7]B-3.2 EB'!#REF!</definedName>
    <definedName name="PRELIM" localSheetId="16">#REF!</definedName>
    <definedName name="PRELIM">#REF!</definedName>
    <definedName name="prepared.by" hidden="1">[10]Database!$D$6:$D$26</definedName>
    <definedName name="_xlnm.Print_Area" localSheetId="4">concrete!$A$1:$H$187</definedName>
    <definedName name="_xlnm.Print_Area" localSheetId="15">'electicle '!$A$1:$H$236</definedName>
    <definedName name="_xlnm.Print_Area" localSheetId="12">exca!$A$1:$H$44</definedName>
    <definedName name="_xlnm.Print_Area" localSheetId="11">floring!$A$1:$H$11</definedName>
    <definedName name="_xlnm.Print_Area" localSheetId="0">front!$A$1:$G$39</definedName>
    <definedName name="_xlnm.Print_Area" localSheetId="17">'grnd summry- tender'!$A$1:$C$25</definedName>
    <definedName name="_xlnm.Print_Area" localSheetId="18">'m shet Mr Ratheshon'!$A$1:$O$876</definedName>
    <definedName name="_xlnm.Print_Area" localSheetId="6">masnry!$A$1:$H$30</definedName>
    <definedName name="_xlnm.Print_Area" localSheetId="8">metal!$A$1:$H$131</definedName>
    <definedName name="_xlnm.Print_Area" localSheetId="14">paint!$A$1:$H$26</definedName>
    <definedName name="_xlnm.Print_Area" localSheetId="13">plastering!$A$1:$H$39</definedName>
    <definedName name="_xlnm.Print_Area" localSheetId="7">plumbing!$A$1:$H$129</definedName>
    <definedName name="_xlnm.Print_Area" localSheetId="2">prelims!$A$1:$I$120</definedName>
    <definedName name="_xlnm.Print_Area" localSheetId="19">Ps!$A$1:$F$14</definedName>
    <definedName name="_xlnm.Print_Area" localSheetId="16">#REF!</definedName>
    <definedName name="_xlnm.Print_Area" localSheetId="5">RBD!$A$1:$G$1110</definedName>
    <definedName name="_xlnm.Print_Area" localSheetId="10">'RBD Material'!$B$1:$L$49</definedName>
    <definedName name="_xlnm.Print_Area" localSheetId="1">summary!$A$1:$C$20</definedName>
    <definedName name="_xlnm.Print_Area" localSheetId="9">tile!$A$1:$H$115</definedName>
    <definedName name="_xlnm.Print_Area" localSheetId="3">waterprof!$A$1:$H$38</definedName>
    <definedName name="_xlnm.Print_Area">#REF!</definedName>
    <definedName name="PRINT_AREA_MI">#N/A</definedName>
    <definedName name="_xlnm.Print_Titles" localSheetId="16">#REF!</definedName>
    <definedName name="_xlnm.Print_Titles">#REF!</definedName>
    <definedName name="PRINT_TITLES_MI" localSheetId="16">#REF!</definedName>
    <definedName name="PRINT_TITLES_MI">#REF!</definedName>
    <definedName name="qq">'[9]Material Prices'!$A$5:'[9]Material Prices'!$A$5:$F$65536</definedName>
    <definedName name="qqq" localSheetId="16">#REF!</definedName>
    <definedName name="qqq">#REF!</definedName>
    <definedName name="range" hidden="1">[10]SCHEDULE!$AJ$10:$AJ$32</definedName>
    <definedName name="RAW" localSheetId="16">#REF!</definedName>
    <definedName name="RAW">#REF!</definedName>
    <definedName name="rg" localSheetId="16">#REF!</definedName>
    <definedName name="rg">#REF!</definedName>
    <definedName name="s">[15]Ragama!#REF!</definedName>
    <definedName name="Sascon" localSheetId="16">#REF!</definedName>
    <definedName name="Sascon">#REF!</definedName>
    <definedName name="schedule.nos" hidden="1">'[10]schedule nos'!$A$1:$A$99</definedName>
    <definedName name="sd" localSheetId="16">'[16]B-3'!#REF!</definedName>
    <definedName name="sd">'[16]B-3'!#REF!</definedName>
    <definedName name="SEC" localSheetId="16">#REF!</definedName>
    <definedName name="SEC">#REF!</definedName>
    <definedName name="SHIPPING" localSheetId="16">#REF!</definedName>
    <definedName name="SHIPPING">#REF!</definedName>
    <definedName name="site.ref" hidden="1">[10]Database!$B$6:$B$26</definedName>
    <definedName name="SLRS_USD" localSheetId="16">#REF!</definedName>
    <definedName name="SLRS_USD">#REF!</definedName>
    <definedName name="Sum" localSheetId="16">#REF!</definedName>
    <definedName name="Sum">#REF!</definedName>
    <definedName name="SupD1" localSheetId="16">#REF!</definedName>
    <definedName name="SupD1">#REF!</definedName>
    <definedName name="SupD2" localSheetId="16">#REF!</definedName>
    <definedName name="SupD2">#REF!</definedName>
    <definedName name="t" localSheetId="16">'[2]B-3.2 EB'!#REF!</definedName>
    <definedName name="t">'[2]B-3.2 EB'!#REF!</definedName>
    <definedName name="tfggt" localSheetId="16" hidden="1">[1]FitOutConfCentre!#REF!</definedName>
    <definedName name="tfggt" hidden="1">[1]FitOutConfCentre!#REF!</definedName>
    <definedName name="TTT" localSheetId="16" hidden="1">{#N/A,#N/A,TRUE,"PC &amp; PROV"}</definedName>
    <definedName name="TTT" hidden="1">{#N/A,#N/A,TRUE,"PC &amp; PROV"}</definedName>
    <definedName name="tttttt" localSheetId="16">#REF!</definedName>
    <definedName name="tttttt">#REF!</definedName>
    <definedName name="usd" localSheetId="16">#REF!</definedName>
    <definedName name="usd">#REF!</definedName>
    <definedName name="VariationNo">'[14]cover page'!$E$24</definedName>
    <definedName name="VCV" localSheetId="16">'[4]Bill 3 - Site Works'!#REF!</definedName>
    <definedName name="VCV">'[4]Bill 3 - Site Works'!#REF!</definedName>
    <definedName name="vgg" localSheetId="16">'[2]B-3.2 EB'!#REF!</definedName>
    <definedName name="vgg">'[2]B-3.2 EB'!#REF!</definedName>
    <definedName name="w">'[2]B-3.2 EB'!#REF!</definedName>
    <definedName name="wefe" localSheetId="16">#REF!</definedName>
    <definedName name="wefe">#REF!</definedName>
    <definedName name="wrn.printing1." localSheetId="16" hidden="1">{#N/A,#N/A,TRUE,"PC &amp; PROV"}</definedName>
    <definedName name="wrn.printing1." hidden="1">{#N/A,#N/A,TRUE,"PC &amp; PROV"}</definedName>
    <definedName name="x" localSheetId="16">#REF!</definedName>
    <definedName name="x">#REF!</definedName>
    <definedName name="xx" localSheetId="16">#REF!</definedName>
    <definedName name="xx">#REF!</definedName>
    <definedName name="yjgyj" localSheetId="16">#REF!</definedName>
    <definedName name="yjgyj">#REF!</definedName>
    <definedName name="yjy">'[17]B-2'!$J$1</definedName>
    <definedName name="ytu" localSheetId="16">#REF!</definedName>
    <definedName name="ytu">#REF!</definedName>
    <definedName name="ytuyu">'[18]B-3.2 EB'!#REF!</definedName>
    <definedName name="z" localSheetId="16">#REF!</definedName>
    <definedName name="z">#REF!</definedName>
    <definedName name="ZZ" localSheetId="16">#REF!</definedName>
    <definedName name="ZZ">#REF!</definedName>
    <definedName name="ZZZ" localSheetId="16">#REF!</definedName>
    <definedName name="ZZZ">#REF!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20" i="29" l="1"/>
  <c r="C22" i="29"/>
  <c r="E20" i="20"/>
  <c r="E19" i="20"/>
  <c r="E18" i="20"/>
  <c r="E14" i="20"/>
  <c r="E13" i="20"/>
  <c r="E9" i="20"/>
  <c r="E8" i="20"/>
  <c r="E7" i="20"/>
  <c r="E465" i="59"/>
  <c r="C6" i="29"/>
  <c r="H30" i="16"/>
  <c r="E28" i="16"/>
  <c r="E25" i="16"/>
  <c r="E22" i="16"/>
  <c r="E20" i="16"/>
  <c r="G20" i="16" s="1"/>
  <c r="H20" i="16" s="1"/>
  <c r="E18" i="16"/>
  <c r="G18" i="16" s="1"/>
  <c r="H18" i="16" s="1"/>
  <c r="E15" i="16"/>
  <c r="G15" i="16" s="1"/>
  <c r="H15" i="16" s="1"/>
  <c r="E13" i="16"/>
  <c r="G13" i="16" s="1"/>
  <c r="H13" i="16" s="1"/>
  <c r="F28" i="16"/>
  <c r="G28" i="16"/>
  <c r="H28" i="16" s="1"/>
  <c r="F25" i="16"/>
  <c r="G25" i="16"/>
  <c r="H25" i="16" s="1"/>
  <c r="F22" i="16"/>
  <c r="G22" i="16"/>
  <c r="H22" i="16" s="1"/>
  <c r="F20" i="16"/>
  <c r="F18" i="16"/>
  <c r="F15" i="16"/>
  <c r="F13" i="16"/>
  <c r="E11" i="16"/>
  <c r="F1974" i="61"/>
  <c r="F1969" i="61"/>
  <c r="F1967" i="61"/>
  <c r="E1961" i="61"/>
  <c r="F1961" i="61" s="1"/>
  <c r="F1960" i="61"/>
  <c r="G1966" i="61" s="1"/>
  <c r="F1942" i="61"/>
  <c r="M1940" i="61"/>
  <c r="O1940" i="61" s="1"/>
  <c r="P1940" i="61" s="1"/>
  <c r="F1940" i="61"/>
  <c r="G1942" i="61" s="1"/>
  <c r="O1939" i="61"/>
  <c r="M1939" i="61"/>
  <c r="L1939" i="61"/>
  <c r="F1939" i="61"/>
  <c r="F1937" i="61"/>
  <c r="Q1936" i="61"/>
  <c r="O1936" i="61"/>
  <c r="N1936" i="61"/>
  <c r="Q1935" i="61"/>
  <c r="N1935" i="61"/>
  <c r="O1935" i="61" s="1"/>
  <c r="O1937" i="61" s="1"/>
  <c r="P1937" i="61" s="1"/>
  <c r="D1932" i="61" s="1"/>
  <c r="O1934" i="61"/>
  <c r="L1931" i="61"/>
  <c r="O1930" i="61"/>
  <c r="Q1930" i="61" s="1"/>
  <c r="M1930" i="61"/>
  <c r="L1930" i="61"/>
  <c r="P1929" i="61"/>
  <c r="D1930" i="61" s="1"/>
  <c r="O1929" i="61"/>
  <c r="P1928" i="61"/>
  <c r="O1928" i="61"/>
  <c r="H1926" i="61"/>
  <c r="K1925" i="61"/>
  <c r="H1925" i="61"/>
  <c r="K1924" i="61"/>
  <c r="O1922" i="61"/>
  <c r="P1921" i="61"/>
  <c r="D1909" i="61" s="1"/>
  <c r="F1909" i="61" s="1"/>
  <c r="O1921" i="61"/>
  <c r="M1921" i="61"/>
  <c r="M1919" i="61"/>
  <c r="O1919" i="61" s="1"/>
  <c r="M1918" i="61"/>
  <c r="M1917" i="61"/>
  <c r="L1917" i="61"/>
  <c r="F1917" i="61"/>
  <c r="G1917" i="61" s="1"/>
  <c r="F1915" i="61"/>
  <c r="N1914" i="61"/>
  <c r="O1914" i="61" s="1"/>
  <c r="F1914" i="61"/>
  <c r="R1913" i="61"/>
  <c r="O1913" i="61"/>
  <c r="R1912" i="61"/>
  <c r="Q1912" i="61"/>
  <c r="Q1913" i="61" s="1"/>
  <c r="O1912" i="61"/>
  <c r="N1912" i="61"/>
  <c r="F1912" i="61"/>
  <c r="O1911" i="61"/>
  <c r="O1908" i="61"/>
  <c r="L1908" i="61"/>
  <c r="O1907" i="61"/>
  <c r="M1907" i="61"/>
  <c r="L1907" i="61"/>
  <c r="L1918" i="61" s="1"/>
  <c r="O1918" i="61" s="1"/>
  <c r="M1906" i="61"/>
  <c r="L1906" i="61"/>
  <c r="O1905" i="61"/>
  <c r="O1904" i="61"/>
  <c r="P1903" i="61"/>
  <c r="D1905" i="61" s="1"/>
  <c r="O1903" i="61"/>
  <c r="P1902" i="61"/>
  <c r="O1902" i="61"/>
  <c r="O1892" i="61"/>
  <c r="P1892" i="61" s="1"/>
  <c r="D1884" i="61" s="1"/>
  <c r="F1884" i="61" s="1"/>
  <c r="F1892" i="61"/>
  <c r="M1890" i="61"/>
  <c r="O1890" i="61" s="1"/>
  <c r="P1890" i="61" s="1"/>
  <c r="F1890" i="61"/>
  <c r="G1892" i="61" s="1"/>
  <c r="M1889" i="61"/>
  <c r="O1889" i="61" s="1"/>
  <c r="L1889" i="61"/>
  <c r="F1889" i="61"/>
  <c r="F1887" i="61"/>
  <c r="Q1886" i="61"/>
  <c r="O1886" i="61"/>
  <c r="N1886" i="61"/>
  <c r="Q1885" i="61"/>
  <c r="N1885" i="61"/>
  <c r="O1885" i="61" s="1"/>
  <c r="O1887" i="61" s="1"/>
  <c r="P1887" i="61" s="1"/>
  <c r="D1882" i="61" s="1"/>
  <c r="H1885" i="61"/>
  <c r="O1884" i="61"/>
  <c r="F1883" i="61"/>
  <c r="D1883" i="61"/>
  <c r="L1881" i="61"/>
  <c r="M1892" i="61" s="1"/>
  <c r="M1880" i="61"/>
  <c r="L1880" i="61"/>
  <c r="O1880" i="61" s="1"/>
  <c r="D1880" i="61"/>
  <c r="O1879" i="61"/>
  <c r="P1878" i="61"/>
  <c r="P1879" i="61" s="1"/>
  <c r="O1878" i="61"/>
  <c r="G1867" i="61"/>
  <c r="F1867" i="61"/>
  <c r="F1865" i="61"/>
  <c r="F1864" i="61"/>
  <c r="F1862" i="61"/>
  <c r="F1860" i="61"/>
  <c r="F1857" i="61"/>
  <c r="F1855" i="61"/>
  <c r="F1851" i="61"/>
  <c r="F1850" i="61"/>
  <c r="E1849" i="61"/>
  <c r="F1849" i="61" s="1"/>
  <c r="F1835" i="61"/>
  <c r="F1830" i="61"/>
  <c r="F1828" i="61"/>
  <c r="F1825" i="61"/>
  <c r="F1823" i="61"/>
  <c r="F1821" i="61"/>
  <c r="E1820" i="61"/>
  <c r="F1820" i="61" s="1"/>
  <c r="F1819" i="61"/>
  <c r="E1818" i="61"/>
  <c r="F1818" i="61" s="1"/>
  <c r="E1817" i="61"/>
  <c r="F1817" i="61" s="1"/>
  <c r="G1827" i="61" s="1"/>
  <c r="F1802" i="61"/>
  <c r="F1800" i="61"/>
  <c r="F1797" i="61"/>
  <c r="F1801" i="61" s="1"/>
  <c r="G1802" i="61" s="1"/>
  <c r="F1796" i="61"/>
  <c r="F1794" i="61"/>
  <c r="F1792" i="61"/>
  <c r="F1791" i="61"/>
  <c r="F1790" i="61"/>
  <c r="F1786" i="61"/>
  <c r="F1785" i="61"/>
  <c r="D1784" i="61"/>
  <c r="F1784" i="61" s="1"/>
  <c r="F1783" i="61"/>
  <c r="E1782" i="61"/>
  <c r="F1782" i="61" s="1"/>
  <c r="F1781" i="61"/>
  <c r="F1780" i="61"/>
  <c r="F1779" i="61"/>
  <c r="F1778" i="61"/>
  <c r="F1777" i="61"/>
  <c r="F1776" i="61"/>
  <c r="F1775" i="61"/>
  <c r="F1763" i="61"/>
  <c r="F1758" i="61"/>
  <c r="F1756" i="61"/>
  <c r="L1753" i="61"/>
  <c r="K1753" i="61"/>
  <c r="J1753" i="61"/>
  <c r="F1753" i="61"/>
  <c r="F1751" i="61"/>
  <c r="D1749" i="61"/>
  <c r="F1749" i="61" s="1"/>
  <c r="H1747" i="61"/>
  <c r="F1747" i="61"/>
  <c r="E1746" i="61"/>
  <c r="F1746" i="61" s="1"/>
  <c r="F1745" i="61"/>
  <c r="E1744" i="61"/>
  <c r="F1744" i="61" s="1"/>
  <c r="F1743" i="61"/>
  <c r="E1743" i="61"/>
  <c r="G1735" i="61"/>
  <c r="F1732" i="61"/>
  <c r="F1729" i="61"/>
  <c r="F1728" i="61"/>
  <c r="F1727" i="61"/>
  <c r="F1726" i="61"/>
  <c r="E1725" i="61"/>
  <c r="F1725" i="61" s="1"/>
  <c r="F1731" i="61" s="1"/>
  <c r="K1720" i="61"/>
  <c r="J1720" i="61"/>
  <c r="I1717" i="61"/>
  <c r="J1717" i="61" s="1"/>
  <c r="J1712" i="61"/>
  <c r="F1658" i="61"/>
  <c r="F1656" i="61"/>
  <c r="F1655" i="61"/>
  <c r="G1658" i="61" s="1"/>
  <c r="F1654" i="61"/>
  <c r="F1649" i="61"/>
  <c r="F1648" i="61"/>
  <c r="E1646" i="61"/>
  <c r="F1646" i="61" s="1"/>
  <c r="F1630" i="61"/>
  <c r="F1627" i="61"/>
  <c r="F1629" i="61" s="1"/>
  <c r="G1630" i="61" s="1"/>
  <c r="F1626" i="61"/>
  <c r="F1624" i="61"/>
  <c r="F1621" i="61"/>
  <c r="E1621" i="61"/>
  <c r="E1620" i="61"/>
  <c r="F1620" i="61" s="1"/>
  <c r="E1619" i="61"/>
  <c r="F1619" i="61" s="1"/>
  <c r="F1618" i="61"/>
  <c r="E1618" i="61"/>
  <c r="F1605" i="61"/>
  <c r="F1602" i="61"/>
  <c r="F1601" i="61"/>
  <c r="F1599" i="61"/>
  <c r="E1598" i="61"/>
  <c r="F1596" i="61"/>
  <c r="F1595" i="61"/>
  <c r="F1594" i="61"/>
  <c r="F1593" i="61"/>
  <c r="F1577" i="61"/>
  <c r="F1574" i="61"/>
  <c r="F1573" i="61"/>
  <c r="F1567" i="61"/>
  <c r="E1566" i="61"/>
  <c r="F1566" i="61" s="1"/>
  <c r="F1569" i="61" s="1"/>
  <c r="F1565" i="61"/>
  <c r="F1545" i="61"/>
  <c r="E1542" i="61"/>
  <c r="F1542" i="61" s="1"/>
  <c r="F1541" i="61"/>
  <c r="G1540" i="61"/>
  <c r="F1539" i="61"/>
  <c r="F1538" i="61"/>
  <c r="E1538" i="61"/>
  <c r="F1535" i="61"/>
  <c r="F1534" i="61"/>
  <c r="F1533" i="61"/>
  <c r="F1521" i="61"/>
  <c r="E1518" i="61"/>
  <c r="F1518" i="61" s="1"/>
  <c r="F1517" i="61"/>
  <c r="G1516" i="61"/>
  <c r="F1515" i="61"/>
  <c r="E1514" i="61"/>
  <c r="F1512" i="61"/>
  <c r="K1509" i="61"/>
  <c r="K1508" i="61"/>
  <c r="F1508" i="61"/>
  <c r="F1514" i="61" s="1"/>
  <c r="F1496" i="61"/>
  <c r="F1493" i="61"/>
  <c r="F1492" i="61"/>
  <c r="G1491" i="61"/>
  <c r="F1490" i="61"/>
  <c r="F1489" i="61"/>
  <c r="E1489" i="61"/>
  <c r="F1486" i="61"/>
  <c r="F1485" i="61"/>
  <c r="F1484" i="61"/>
  <c r="G1472" i="61"/>
  <c r="F1472" i="61"/>
  <c r="F1468" i="61"/>
  <c r="F1467" i="61"/>
  <c r="F1465" i="61"/>
  <c r="F1460" i="61"/>
  <c r="E1460" i="61"/>
  <c r="E1455" i="61"/>
  <c r="F1455" i="61" s="1"/>
  <c r="G1443" i="61"/>
  <c r="F1443" i="61"/>
  <c r="F1439" i="61"/>
  <c r="F1438" i="61"/>
  <c r="F1436" i="61"/>
  <c r="F1431" i="61"/>
  <c r="E1431" i="61"/>
  <c r="I1427" i="61"/>
  <c r="F1426" i="61"/>
  <c r="F1427" i="61" s="1"/>
  <c r="I1424" i="61"/>
  <c r="F1413" i="61"/>
  <c r="F1409" i="61"/>
  <c r="G1413" i="61" s="1"/>
  <c r="F1408" i="61"/>
  <c r="F1406" i="61"/>
  <c r="E1401" i="61"/>
  <c r="F1401" i="61" s="1"/>
  <c r="E1400" i="61"/>
  <c r="F1400" i="61" s="1"/>
  <c r="E1399" i="61"/>
  <c r="F1399" i="61" s="1"/>
  <c r="F1396" i="61"/>
  <c r="F1397" i="61" s="1"/>
  <c r="I1394" i="61"/>
  <c r="F1379" i="61"/>
  <c r="G1383" i="61" s="1"/>
  <c r="F1371" i="61"/>
  <c r="E1371" i="61"/>
  <c r="E1370" i="61"/>
  <c r="F1370" i="61" s="1"/>
  <c r="E1369" i="61"/>
  <c r="F1369" i="61" s="1"/>
  <c r="F1367" i="61"/>
  <c r="F1366" i="61"/>
  <c r="I1364" i="61"/>
  <c r="G1353" i="61"/>
  <c r="F1353" i="61"/>
  <c r="F1349" i="61"/>
  <c r="F1348" i="61"/>
  <c r="F1346" i="61"/>
  <c r="E1341" i="61"/>
  <c r="F1341" i="61" s="1"/>
  <c r="F1340" i="61"/>
  <c r="E1340" i="61"/>
  <c r="I1337" i="61"/>
  <c r="F1336" i="61"/>
  <c r="F1337" i="61" s="1"/>
  <c r="I1334" i="61"/>
  <c r="Y1329" i="61"/>
  <c r="Y1327" i="61"/>
  <c r="U1326" i="61"/>
  <c r="T1326" i="61"/>
  <c r="T1322" i="61"/>
  <c r="G1322" i="61"/>
  <c r="F1322" i="61"/>
  <c r="T1321" i="61"/>
  <c r="T1319" i="61"/>
  <c r="F1318" i="61"/>
  <c r="F1317" i="61"/>
  <c r="F1315" i="61"/>
  <c r="T1314" i="61"/>
  <c r="S1314" i="61"/>
  <c r="T1313" i="61"/>
  <c r="S1313" i="61"/>
  <c r="S1312" i="61"/>
  <c r="T1312" i="61" s="1"/>
  <c r="S1311" i="61"/>
  <c r="T1311" i="61" s="1"/>
  <c r="T1310" i="61"/>
  <c r="E1310" i="61"/>
  <c r="F1310" i="61" s="1"/>
  <c r="T1309" i="61"/>
  <c r="E1309" i="61"/>
  <c r="F1309" i="61" s="1"/>
  <c r="E1308" i="61"/>
  <c r="F1308" i="61" s="1"/>
  <c r="F1306" i="61"/>
  <c r="F1305" i="61"/>
  <c r="F1293" i="61"/>
  <c r="G1293" i="61" s="1"/>
  <c r="F1289" i="61"/>
  <c r="F1288" i="61"/>
  <c r="F1286" i="61"/>
  <c r="E1281" i="61"/>
  <c r="F1281" i="61" s="1"/>
  <c r="E1280" i="61"/>
  <c r="F1280" i="61" s="1"/>
  <c r="E1279" i="61"/>
  <c r="F1279" i="61" s="1"/>
  <c r="F1276" i="61"/>
  <c r="G1263" i="61"/>
  <c r="F1263" i="61"/>
  <c r="F1259" i="61"/>
  <c r="F1258" i="61"/>
  <c r="F1256" i="61"/>
  <c r="F1251" i="61"/>
  <c r="E1251" i="61"/>
  <c r="F1250" i="61"/>
  <c r="E1250" i="61"/>
  <c r="F1249" i="61"/>
  <c r="E1249" i="61"/>
  <c r="F1247" i="61"/>
  <c r="F1246" i="61"/>
  <c r="I1244" i="61"/>
  <c r="F1170" i="61"/>
  <c r="F1166" i="61"/>
  <c r="F1161" i="61"/>
  <c r="F1160" i="61"/>
  <c r="E1160" i="61"/>
  <c r="G1145" i="61"/>
  <c r="F1145" i="61"/>
  <c r="F1141" i="61"/>
  <c r="F1136" i="61"/>
  <c r="E1135" i="61"/>
  <c r="F1135" i="61" s="1"/>
  <c r="F1117" i="61"/>
  <c r="F1113" i="61"/>
  <c r="J1112" i="61"/>
  <c r="K1112" i="61" s="1"/>
  <c r="I1109" i="61"/>
  <c r="J1109" i="61" s="1"/>
  <c r="F1108" i="61"/>
  <c r="F1107" i="61"/>
  <c r="E1107" i="61"/>
  <c r="I1105" i="61"/>
  <c r="J1105" i="61" s="1"/>
  <c r="I1107" i="61" s="1"/>
  <c r="I1110" i="61" s="1"/>
  <c r="J1110" i="61" s="1"/>
  <c r="F1088" i="61"/>
  <c r="F1084" i="61"/>
  <c r="G1088" i="61" s="1"/>
  <c r="J1083" i="61"/>
  <c r="K1083" i="61" s="1"/>
  <c r="E1078" i="61"/>
  <c r="F1078" i="61" s="1"/>
  <c r="J1076" i="61"/>
  <c r="I1078" i="61" s="1"/>
  <c r="I1076" i="61"/>
  <c r="G1055" i="61"/>
  <c r="F1055" i="61"/>
  <c r="F1051" i="61"/>
  <c r="K1050" i="61"/>
  <c r="J1050" i="61"/>
  <c r="F1047" i="61"/>
  <c r="F1046" i="61"/>
  <c r="E1045" i="61"/>
  <c r="F1045" i="61" s="1"/>
  <c r="J1043" i="61"/>
  <c r="I1045" i="61" s="1"/>
  <c r="I1048" i="61" s="1"/>
  <c r="J1048" i="61" s="1"/>
  <c r="I1043" i="61"/>
  <c r="F1020" i="61"/>
  <c r="F1018" i="61"/>
  <c r="F1017" i="61"/>
  <c r="G1020" i="61" s="1"/>
  <c r="F1015" i="61"/>
  <c r="F1013" i="61"/>
  <c r="E1009" i="61"/>
  <c r="F1009" i="61" s="1"/>
  <c r="E1008" i="61"/>
  <c r="F1008" i="61" s="1"/>
  <c r="F993" i="61"/>
  <c r="F989" i="61"/>
  <c r="F988" i="61"/>
  <c r="E983" i="61"/>
  <c r="F983" i="61" s="1"/>
  <c r="F964" i="61"/>
  <c r="F966" i="61" s="1"/>
  <c r="G968" i="61" s="1"/>
  <c r="E960" i="61"/>
  <c r="F960" i="61" s="1"/>
  <c r="F959" i="61"/>
  <c r="E958" i="61"/>
  <c r="F958" i="61" s="1"/>
  <c r="F942" i="61"/>
  <c r="F939" i="61"/>
  <c r="F937" i="61"/>
  <c r="F935" i="61"/>
  <c r="E932" i="61"/>
  <c r="F932" i="61" s="1"/>
  <c r="E931" i="61"/>
  <c r="F931" i="61" s="1"/>
  <c r="F930" i="61"/>
  <c r="E929" i="61"/>
  <c r="F929" i="61" s="1"/>
  <c r="F928" i="61"/>
  <c r="E928" i="61"/>
  <c r="F906" i="61"/>
  <c r="E901" i="61"/>
  <c r="F901" i="61" s="1"/>
  <c r="F899" i="61"/>
  <c r="F895" i="61"/>
  <c r="F894" i="61"/>
  <c r="E893" i="61"/>
  <c r="F893" i="61" s="1"/>
  <c r="F853" i="61"/>
  <c r="I849" i="61"/>
  <c r="I850" i="61" s="1"/>
  <c r="F849" i="61"/>
  <c r="F848" i="61"/>
  <c r="N847" i="61"/>
  <c r="L847" i="61"/>
  <c r="F846" i="61"/>
  <c r="N845" i="61"/>
  <c r="F845" i="61"/>
  <c r="L843" i="61"/>
  <c r="M843" i="61" s="1"/>
  <c r="N843" i="61" s="1"/>
  <c r="E843" i="61"/>
  <c r="F843" i="61" s="1"/>
  <c r="F842" i="61"/>
  <c r="E842" i="61"/>
  <c r="I841" i="61"/>
  <c r="I842" i="61" s="1"/>
  <c r="L841" i="61" s="1"/>
  <c r="L840" i="61"/>
  <c r="E840" i="61"/>
  <c r="F840" i="61" s="1"/>
  <c r="J839" i="61"/>
  <c r="I839" i="61"/>
  <c r="K838" i="61"/>
  <c r="H838" i="61"/>
  <c r="I838" i="61" s="1"/>
  <c r="F822" i="61"/>
  <c r="I817" i="61"/>
  <c r="I819" i="61" s="1"/>
  <c r="F817" i="61"/>
  <c r="F816" i="61"/>
  <c r="L815" i="61"/>
  <c r="N815" i="61" s="1"/>
  <c r="F814" i="61"/>
  <c r="N813" i="61"/>
  <c r="F813" i="61"/>
  <c r="N811" i="61"/>
  <c r="M811" i="61"/>
  <c r="L811" i="61"/>
  <c r="F811" i="61"/>
  <c r="E811" i="61"/>
  <c r="I809" i="61"/>
  <c r="I810" i="61" s="1"/>
  <c r="L808" i="61"/>
  <c r="L809" i="61" s="1"/>
  <c r="E808" i="61"/>
  <c r="F808" i="61" s="1"/>
  <c r="I807" i="61"/>
  <c r="J807" i="61" s="1"/>
  <c r="K806" i="61"/>
  <c r="H806" i="61"/>
  <c r="I806" i="61" s="1"/>
  <c r="L806" i="61" s="1"/>
  <c r="M806" i="61" s="1"/>
  <c r="F779" i="61"/>
  <c r="F777" i="61"/>
  <c r="F774" i="61"/>
  <c r="F776" i="61" s="1"/>
  <c r="G779" i="61" s="1"/>
  <c r="F773" i="61"/>
  <c r="F771" i="61"/>
  <c r="F770" i="61"/>
  <c r="E768" i="61"/>
  <c r="F768" i="61" s="1"/>
  <c r="I765" i="61"/>
  <c r="K765" i="61" s="1"/>
  <c r="E765" i="61"/>
  <c r="F765" i="61" s="1"/>
  <c r="K764" i="61"/>
  <c r="I767" i="61" s="1"/>
  <c r="I768" i="61" s="1"/>
  <c r="J768" i="61" s="1"/>
  <c r="I754" i="61"/>
  <c r="F749" i="61"/>
  <c r="F747" i="61"/>
  <c r="G749" i="61" s="1"/>
  <c r="I745" i="61"/>
  <c r="I744" i="61"/>
  <c r="F744" i="61"/>
  <c r="F746" i="61" s="1"/>
  <c r="F743" i="61"/>
  <c r="N742" i="61"/>
  <c r="L742" i="61"/>
  <c r="F741" i="61"/>
  <c r="N740" i="61"/>
  <c r="F740" i="61"/>
  <c r="L738" i="61"/>
  <c r="M738" i="61" s="1"/>
  <c r="N738" i="61" s="1"/>
  <c r="F738" i="61"/>
  <c r="E738" i="61"/>
  <c r="I736" i="61"/>
  <c r="I737" i="61" s="1"/>
  <c r="F736" i="61"/>
  <c r="L735" i="61"/>
  <c r="F735" i="61"/>
  <c r="E735" i="61"/>
  <c r="J734" i="61"/>
  <c r="I734" i="61"/>
  <c r="K733" i="61"/>
  <c r="J733" i="61"/>
  <c r="I733" i="61"/>
  <c r="L733" i="61" s="1"/>
  <c r="M733" i="61" s="1"/>
  <c r="H733" i="61"/>
  <c r="F718" i="61"/>
  <c r="F716" i="61"/>
  <c r="F714" i="61"/>
  <c r="F713" i="61"/>
  <c r="F711" i="61"/>
  <c r="F710" i="61"/>
  <c r="E708" i="61"/>
  <c r="F708" i="61" s="1"/>
  <c r="F705" i="61"/>
  <c r="F706" i="61" s="1"/>
  <c r="E705" i="61"/>
  <c r="G692" i="61"/>
  <c r="F692" i="61"/>
  <c r="F688" i="61"/>
  <c r="F690" i="61" s="1"/>
  <c r="F687" i="61"/>
  <c r="F685" i="61"/>
  <c r="F684" i="61"/>
  <c r="E682" i="61"/>
  <c r="F682" i="61" s="1"/>
  <c r="E679" i="61"/>
  <c r="F679" i="61" s="1"/>
  <c r="F665" i="61"/>
  <c r="F661" i="61"/>
  <c r="F660" i="61"/>
  <c r="F658" i="61"/>
  <c r="F657" i="61"/>
  <c r="E657" i="61"/>
  <c r="E654" i="61"/>
  <c r="F654" i="61" s="1"/>
  <c r="F655" i="61" s="1"/>
  <c r="F640" i="61"/>
  <c r="F637" i="61"/>
  <c r="F636" i="61"/>
  <c r="F634" i="61"/>
  <c r="E633" i="61"/>
  <c r="F632" i="61"/>
  <c r="E632" i="61"/>
  <c r="E630" i="61"/>
  <c r="F630" i="61" s="1"/>
  <c r="F613" i="61"/>
  <c r="F611" i="61"/>
  <c r="F610" i="61"/>
  <c r="F609" i="61"/>
  <c r="F604" i="61"/>
  <c r="F603" i="61"/>
  <c r="F601" i="61"/>
  <c r="E601" i="61"/>
  <c r="F579" i="61"/>
  <c r="F577" i="61"/>
  <c r="G579" i="61" s="1"/>
  <c r="F572" i="61"/>
  <c r="F556" i="61"/>
  <c r="F555" i="61"/>
  <c r="E554" i="61"/>
  <c r="F554" i="61" s="1"/>
  <c r="F560" i="61" s="1"/>
  <c r="F561" i="61" s="1"/>
  <c r="E570" i="61" s="1"/>
  <c r="F528" i="61"/>
  <c r="F526" i="61"/>
  <c r="F525" i="61"/>
  <c r="F521" i="61"/>
  <c r="F519" i="61"/>
  <c r="G521" i="61" s="1"/>
  <c r="F518" i="61"/>
  <c r="F517" i="61"/>
  <c r="E514" i="61"/>
  <c r="F514" i="61" s="1"/>
  <c r="E512" i="61"/>
  <c r="F512" i="61" s="1"/>
  <c r="E511" i="61"/>
  <c r="F511" i="61" s="1"/>
  <c r="G493" i="61"/>
  <c r="F493" i="61"/>
  <c r="F491" i="61"/>
  <c r="F490" i="61"/>
  <c r="G487" i="61"/>
  <c r="F487" i="61"/>
  <c r="F485" i="61"/>
  <c r="F484" i="61"/>
  <c r="F483" i="61"/>
  <c r="F482" i="61"/>
  <c r="I481" i="61"/>
  <c r="I482" i="61" s="1"/>
  <c r="H481" i="61"/>
  <c r="H480" i="61"/>
  <c r="F479" i="61"/>
  <c r="O478" i="61"/>
  <c r="H478" i="61"/>
  <c r="E478" i="61"/>
  <c r="F478" i="61" s="1"/>
  <c r="O477" i="61"/>
  <c r="O480" i="61" s="1"/>
  <c r="H477" i="61"/>
  <c r="E477" i="61"/>
  <c r="F477" i="61" s="1"/>
  <c r="H476" i="61"/>
  <c r="I475" i="61"/>
  <c r="I476" i="61" s="1"/>
  <c r="F475" i="61"/>
  <c r="O474" i="61"/>
  <c r="O473" i="61"/>
  <c r="F462" i="61"/>
  <c r="F460" i="61"/>
  <c r="F459" i="61"/>
  <c r="G462" i="61" s="1"/>
  <c r="F456" i="61"/>
  <c r="F454" i="61"/>
  <c r="G456" i="61" s="1"/>
  <c r="F453" i="61"/>
  <c r="F452" i="61"/>
  <c r="F451" i="61"/>
  <c r="I450" i="61"/>
  <c r="I451" i="61" s="1"/>
  <c r="H450" i="61"/>
  <c r="O449" i="61"/>
  <c r="H449" i="61"/>
  <c r="F448" i="61"/>
  <c r="O447" i="61"/>
  <c r="H447" i="61"/>
  <c r="E447" i="61"/>
  <c r="F447" i="61" s="1"/>
  <c r="O446" i="61"/>
  <c r="H446" i="61"/>
  <c r="E446" i="61"/>
  <c r="F446" i="61" s="1"/>
  <c r="H445" i="61"/>
  <c r="F444" i="61"/>
  <c r="D444" i="61"/>
  <c r="O442" i="61"/>
  <c r="O443" i="61" s="1"/>
  <c r="F430" i="61"/>
  <c r="F428" i="61"/>
  <c r="F427" i="61"/>
  <c r="F424" i="61"/>
  <c r="F422" i="61"/>
  <c r="G424" i="61" s="1"/>
  <c r="F421" i="61"/>
  <c r="F420" i="61"/>
  <c r="F419" i="61"/>
  <c r="I418" i="61"/>
  <c r="I417" i="61"/>
  <c r="F416" i="61"/>
  <c r="F415" i="61"/>
  <c r="E415" i="61"/>
  <c r="F414" i="61"/>
  <c r="E414" i="61"/>
  <c r="J412" i="61"/>
  <c r="I414" i="61" s="1"/>
  <c r="I412" i="61"/>
  <c r="F412" i="61"/>
  <c r="F399" i="61"/>
  <c r="F397" i="61"/>
  <c r="G399" i="61" s="1"/>
  <c r="F396" i="61"/>
  <c r="F393" i="61"/>
  <c r="F391" i="61"/>
  <c r="G393" i="61" s="1"/>
  <c r="F390" i="61"/>
  <c r="F389" i="61"/>
  <c r="F388" i="61"/>
  <c r="H387" i="61"/>
  <c r="H386" i="61"/>
  <c r="F385" i="61"/>
  <c r="H384" i="61"/>
  <c r="E384" i="61"/>
  <c r="F384" i="61" s="1"/>
  <c r="H383" i="61"/>
  <c r="E383" i="61"/>
  <c r="F383" i="61" s="1"/>
  <c r="H382" i="61"/>
  <c r="I381" i="61"/>
  <c r="J381" i="61" s="1"/>
  <c r="F381" i="61"/>
  <c r="F365" i="61"/>
  <c r="F363" i="61"/>
  <c r="F362" i="61"/>
  <c r="G365" i="61" s="1"/>
  <c r="G359" i="61"/>
  <c r="F359" i="61"/>
  <c r="F357" i="61"/>
  <c r="F355" i="61"/>
  <c r="F352" i="61"/>
  <c r="F335" i="61"/>
  <c r="F333" i="61"/>
  <c r="F332" i="61"/>
  <c r="G335" i="61" s="1"/>
  <c r="G329" i="61"/>
  <c r="F329" i="61"/>
  <c r="F327" i="61"/>
  <c r="F325" i="61"/>
  <c r="I320" i="61"/>
  <c r="J320" i="61" s="1"/>
  <c r="F307" i="61"/>
  <c r="F304" i="61"/>
  <c r="G307" i="61" s="1"/>
  <c r="G301" i="61"/>
  <c r="F301" i="61"/>
  <c r="F299" i="61"/>
  <c r="F297" i="61"/>
  <c r="F278" i="61"/>
  <c r="F276" i="61"/>
  <c r="F275" i="61"/>
  <c r="G278" i="61" s="1"/>
  <c r="F272" i="61"/>
  <c r="F270" i="61"/>
  <c r="G272" i="61" s="1"/>
  <c r="F269" i="61"/>
  <c r="F268" i="61"/>
  <c r="F267" i="61"/>
  <c r="F266" i="61"/>
  <c r="E266" i="61"/>
  <c r="F265" i="61"/>
  <c r="E265" i="61"/>
  <c r="G248" i="61"/>
  <c r="F246" i="61"/>
  <c r="F245" i="61"/>
  <c r="F240" i="61"/>
  <c r="G242" i="61" s="1"/>
  <c r="F236" i="61"/>
  <c r="E236" i="61"/>
  <c r="F235" i="61"/>
  <c r="E235" i="61"/>
  <c r="F220" i="61"/>
  <c r="F218" i="61"/>
  <c r="F217" i="61"/>
  <c r="G220" i="61" s="1"/>
  <c r="F214" i="61"/>
  <c r="F212" i="61"/>
  <c r="G214" i="61" s="1"/>
  <c r="F211" i="61"/>
  <c r="F210" i="61"/>
  <c r="F209" i="61"/>
  <c r="F208" i="61"/>
  <c r="E208" i="61"/>
  <c r="E207" i="61"/>
  <c r="F207" i="61" s="1"/>
  <c r="F192" i="61"/>
  <c r="F191" i="61"/>
  <c r="E190" i="61"/>
  <c r="F190" i="61" s="1"/>
  <c r="F196" i="61" s="1"/>
  <c r="F197" i="61" s="1"/>
  <c r="G155" i="61"/>
  <c r="F155" i="61"/>
  <c r="F153" i="61"/>
  <c r="F148" i="61"/>
  <c r="F146" i="61"/>
  <c r="E146" i="61"/>
  <c r="F133" i="61"/>
  <c r="G133" i="61" s="1"/>
  <c r="F131" i="61"/>
  <c r="F130" i="61"/>
  <c r="F129" i="61"/>
  <c r="F128" i="61"/>
  <c r="E125" i="61"/>
  <c r="F125" i="61" s="1"/>
  <c r="G129" i="61" s="1"/>
  <c r="G110" i="61"/>
  <c r="F110" i="61"/>
  <c r="F108" i="61"/>
  <c r="F107" i="61"/>
  <c r="F104" i="61"/>
  <c r="G104" i="61" s="1"/>
  <c r="F102" i="61"/>
  <c r="F101" i="61"/>
  <c r="F100" i="61"/>
  <c r="F99" i="61"/>
  <c r="F98" i="61"/>
  <c r="F96" i="61"/>
  <c r="F97" i="61" s="1"/>
  <c r="E96" i="61"/>
  <c r="F82" i="61"/>
  <c r="F80" i="61"/>
  <c r="G82" i="61" s="1"/>
  <c r="F77" i="61"/>
  <c r="F75" i="61"/>
  <c r="G77" i="61" s="1"/>
  <c r="F74" i="61"/>
  <c r="F73" i="61"/>
  <c r="F72" i="61"/>
  <c r="F71" i="61"/>
  <c r="E69" i="61"/>
  <c r="F69" i="61" s="1"/>
  <c r="F52" i="61"/>
  <c r="F50" i="61"/>
  <c r="G52" i="61" s="1"/>
  <c r="F47" i="61"/>
  <c r="F45" i="61"/>
  <c r="G47" i="61" s="1"/>
  <c r="F43" i="61"/>
  <c r="F42" i="61"/>
  <c r="F41" i="61"/>
  <c r="G43" i="61" s="1"/>
  <c r="G55" i="61" s="1"/>
  <c r="G56" i="61" s="1"/>
  <c r="G57" i="61" s="1"/>
  <c r="G27" i="61"/>
  <c r="G31" i="61" s="1"/>
  <c r="G32" i="61" s="1"/>
  <c r="F27" i="61"/>
  <c r="F25" i="61"/>
  <c r="F24" i="61"/>
  <c r="F13" i="61"/>
  <c r="G13" i="61" s="1"/>
  <c r="F11" i="61"/>
  <c r="G11" i="61" s="1"/>
  <c r="G15" i="61" s="1"/>
  <c r="G16" i="61" s="1"/>
  <c r="G17" i="61" s="1"/>
  <c r="F9" i="61"/>
  <c r="F8" i="61"/>
  <c r="E1368" i="61" l="1"/>
  <c r="F1368" i="61" s="1"/>
  <c r="E1307" i="61"/>
  <c r="F1307" i="61" s="1"/>
  <c r="E1077" i="61"/>
  <c r="F1077" i="61" s="1"/>
  <c r="G1082" i="61" s="1"/>
  <c r="G1091" i="61" s="1"/>
  <c r="G1092" i="61" s="1"/>
  <c r="G1093" i="61" s="1"/>
  <c r="E1007" i="61"/>
  <c r="F1007" i="61" s="1"/>
  <c r="G1012" i="61" s="1"/>
  <c r="G1023" i="61" s="1"/>
  <c r="G1024" i="61" s="1"/>
  <c r="G1025" i="61" s="1"/>
  <c r="E445" i="61"/>
  <c r="F445" i="61" s="1"/>
  <c r="E1134" i="61"/>
  <c r="F1134" i="61" s="1"/>
  <c r="G1139" i="61" s="1"/>
  <c r="G1148" i="61" s="1"/>
  <c r="G1149" i="61" s="1"/>
  <c r="G1150" i="61" s="1"/>
  <c r="E1459" i="61"/>
  <c r="F1459" i="61" s="1"/>
  <c r="E1430" i="61"/>
  <c r="F1430" i="61" s="1"/>
  <c r="E767" i="61"/>
  <c r="F767" i="61" s="1"/>
  <c r="E737" i="61"/>
  <c r="F737" i="61" s="1"/>
  <c r="G742" i="61" s="1"/>
  <c r="G752" i="61" s="1"/>
  <c r="G753" i="61" s="1"/>
  <c r="G754" i="61" s="1"/>
  <c r="E656" i="61"/>
  <c r="F656" i="61" s="1"/>
  <c r="E631" i="61"/>
  <c r="F631" i="61" s="1"/>
  <c r="E1278" i="61"/>
  <c r="F1278" i="61" s="1"/>
  <c r="E957" i="61"/>
  <c r="F957" i="61" s="1"/>
  <c r="G962" i="61" s="1"/>
  <c r="G971" i="61" s="1"/>
  <c r="G972" i="61" s="1"/>
  <c r="G973" i="61" s="1"/>
  <c r="E476" i="61"/>
  <c r="F476" i="61" s="1"/>
  <c r="E1106" i="61"/>
  <c r="F1106" i="61" s="1"/>
  <c r="G1111" i="61" s="1"/>
  <c r="E600" i="61"/>
  <c r="F600" i="61" s="1"/>
  <c r="F605" i="61" s="1"/>
  <c r="G608" i="61" s="1"/>
  <c r="E1159" i="61"/>
  <c r="F1159" i="61" s="1"/>
  <c r="G1164" i="61" s="1"/>
  <c r="E982" i="61"/>
  <c r="F982" i="61" s="1"/>
  <c r="G987" i="61" s="1"/>
  <c r="E927" i="61"/>
  <c r="F927" i="61" s="1"/>
  <c r="E1645" i="61"/>
  <c r="F1645" i="61" s="1"/>
  <c r="F1650" i="61" s="1"/>
  <c r="G1653" i="61" s="1"/>
  <c r="G1661" i="61" s="1"/>
  <c r="G1662" i="61" s="1"/>
  <c r="G1663" i="61" s="1"/>
  <c r="E892" i="61"/>
  <c r="F892" i="61" s="1"/>
  <c r="G898" i="61" s="1"/>
  <c r="G909" i="61" s="1"/>
  <c r="G910" i="61" s="1"/>
  <c r="G911" i="61" s="1"/>
  <c r="E264" i="61"/>
  <c r="F264" i="61" s="1"/>
  <c r="G268" i="61" s="1"/>
  <c r="G281" i="61" s="1"/>
  <c r="G282" i="61" s="1"/>
  <c r="E234" i="61"/>
  <c r="F234" i="61" s="1"/>
  <c r="G238" i="61" s="1"/>
  <c r="E1248" i="61"/>
  <c r="F1248" i="61" s="1"/>
  <c r="E707" i="61"/>
  <c r="F707" i="61" s="1"/>
  <c r="G712" i="61" s="1"/>
  <c r="E810" i="61"/>
  <c r="F810" i="61" s="1"/>
  <c r="E382" i="61"/>
  <c r="F382" i="61" s="1"/>
  <c r="E413" i="61"/>
  <c r="F413" i="61" s="1"/>
  <c r="E206" i="61"/>
  <c r="F206" i="61" s="1"/>
  <c r="G210" i="61" s="1"/>
  <c r="E1044" i="61"/>
  <c r="F1044" i="61" s="1"/>
  <c r="G1049" i="61" s="1"/>
  <c r="G1058" i="61" s="1"/>
  <c r="G1059" i="61" s="1"/>
  <c r="G1060" i="61" s="1"/>
  <c r="E1398" i="61"/>
  <c r="F1398" i="61" s="1"/>
  <c r="E681" i="61"/>
  <c r="F681" i="61" s="1"/>
  <c r="E513" i="61"/>
  <c r="F513" i="61" s="1"/>
  <c r="E145" i="61"/>
  <c r="F145" i="61" s="1"/>
  <c r="G151" i="61" s="1"/>
  <c r="G158" i="61" s="1"/>
  <c r="G159" i="61" s="1"/>
  <c r="G160" i="61" s="1"/>
  <c r="F766" i="61"/>
  <c r="G772" i="61"/>
  <c r="G782" i="61" s="1"/>
  <c r="G783" i="61" s="1"/>
  <c r="G784" i="61" s="1"/>
  <c r="G1407" i="61"/>
  <c r="G1416" i="61" s="1"/>
  <c r="G1417" i="61" s="1"/>
  <c r="G1418" i="61" s="1"/>
  <c r="G136" i="61"/>
  <c r="G137" i="61" s="1"/>
  <c r="G138" i="61" s="1"/>
  <c r="G73" i="61"/>
  <c r="G85" i="61" s="1"/>
  <c r="G86" i="61" s="1"/>
  <c r="G87" i="61" s="1"/>
  <c r="F70" i="61"/>
  <c r="H570" i="61"/>
  <c r="F570" i="61"/>
  <c r="I770" i="61"/>
  <c r="K770" i="61" s="1"/>
  <c r="I771" i="61"/>
  <c r="K771" i="61" s="1"/>
  <c r="G100" i="61"/>
  <c r="G113" i="61" s="1"/>
  <c r="G114" i="61" s="1"/>
  <c r="G115" i="61" s="1"/>
  <c r="F562" i="61"/>
  <c r="G635" i="61"/>
  <c r="G643" i="61" s="1"/>
  <c r="G644" i="61" s="1"/>
  <c r="G659" i="61"/>
  <c r="G1170" i="61"/>
  <c r="F1544" i="61"/>
  <c r="G1545" i="61" s="1"/>
  <c r="G1548" i="61" s="1"/>
  <c r="G1549" i="61" s="1"/>
  <c r="G1550" i="61" s="1"/>
  <c r="G1577" i="61"/>
  <c r="F1576" i="61"/>
  <c r="O1917" i="61"/>
  <c r="O1920" i="61" s="1"/>
  <c r="D1910" i="61" s="1"/>
  <c r="G847" i="61"/>
  <c r="G856" i="61" s="1"/>
  <c r="G857" i="61" s="1"/>
  <c r="G858" i="61" s="1"/>
  <c r="G613" i="61"/>
  <c r="J806" i="61"/>
  <c r="F1598" i="61"/>
  <c r="G1600" i="61" s="1"/>
  <c r="O1906" i="61"/>
  <c r="G718" i="61"/>
  <c r="F841" i="61"/>
  <c r="F904" i="61"/>
  <c r="F903" i="61"/>
  <c r="G1117" i="61"/>
  <c r="G1287" i="61"/>
  <c r="G1296" i="61" s="1"/>
  <c r="G1297" i="61" s="1"/>
  <c r="G1298" i="61" s="1"/>
  <c r="G1763" i="61"/>
  <c r="F1761" i="61"/>
  <c r="F1760" i="61"/>
  <c r="Q1880" i="61"/>
  <c r="D1886" i="61"/>
  <c r="F1886" i="61" s="1"/>
  <c r="I413" i="61"/>
  <c r="L838" i="61"/>
  <c r="M838" i="61" s="1"/>
  <c r="J838" i="61"/>
  <c r="G1257" i="61"/>
  <c r="G1266" i="61" s="1"/>
  <c r="G1267" i="61" s="1"/>
  <c r="G1268" i="61" s="1"/>
  <c r="U1320" i="61"/>
  <c r="U1329" i="61" s="1"/>
  <c r="F1520" i="61"/>
  <c r="G1521" i="61" s="1"/>
  <c r="G1524" i="61" s="1"/>
  <c r="G1525" i="61" s="1"/>
  <c r="G1526" i="61" s="1"/>
  <c r="G1572" i="61"/>
  <c r="G1580" i="61" s="1"/>
  <c r="G1581" i="61" s="1"/>
  <c r="G1582" i="61" s="1"/>
  <c r="E1853" i="61" s="1"/>
  <c r="F1853" i="61" s="1"/>
  <c r="G1859" i="61" s="1"/>
  <c r="G1870" i="61" s="1"/>
  <c r="G1871" i="61" s="1"/>
  <c r="G1872" i="61" s="1"/>
  <c r="F1623" i="61"/>
  <c r="G1625" i="61" s="1"/>
  <c r="G1633" i="61" s="1"/>
  <c r="G1634" i="61" s="1"/>
  <c r="F1604" i="61"/>
  <c r="G1605" i="61" s="1"/>
  <c r="G517" i="61"/>
  <c r="G906" i="61"/>
  <c r="F991" i="61"/>
  <c r="G993" i="61" s="1"/>
  <c r="I1047" i="61"/>
  <c r="J1047" i="61" s="1"/>
  <c r="I1081" i="61"/>
  <c r="J1081" i="61" s="1"/>
  <c r="I1080" i="61"/>
  <c r="J1080" i="61" s="1"/>
  <c r="G1377" i="61"/>
  <c r="G1386" i="61" s="1"/>
  <c r="G1387" i="61" s="1"/>
  <c r="G1388" i="61" s="1"/>
  <c r="G1755" i="61"/>
  <c r="G430" i="61"/>
  <c r="G528" i="61"/>
  <c r="F820" i="61"/>
  <c r="G822" i="61" s="1"/>
  <c r="F819" i="61"/>
  <c r="G1316" i="61"/>
  <c r="G1325" i="61" s="1"/>
  <c r="G1326" i="61" s="1"/>
  <c r="G1327" i="61" s="1"/>
  <c r="G1795" i="61"/>
  <c r="G1805" i="61" s="1"/>
  <c r="G1806" i="61" s="1"/>
  <c r="G1807" i="61" s="1"/>
  <c r="G1808" i="61" s="1"/>
  <c r="O1881" i="61"/>
  <c r="O1882" i="61" s="1"/>
  <c r="P1882" i="61" s="1"/>
  <c r="O1891" i="61"/>
  <c r="D1885" i="61" s="1"/>
  <c r="O1941" i="61"/>
  <c r="D1935" i="61" s="1"/>
  <c r="G853" i="61"/>
  <c r="F851" i="61"/>
  <c r="G640" i="61"/>
  <c r="F680" i="61"/>
  <c r="G686" i="61" s="1"/>
  <c r="G695" i="61" s="1"/>
  <c r="G696" i="61" s="1"/>
  <c r="G697" i="61" s="1"/>
  <c r="L736" i="61"/>
  <c r="F809" i="61"/>
  <c r="G815" i="61" s="1"/>
  <c r="G825" i="61" s="1"/>
  <c r="G826" i="61" s="1"/>
  <c r="G827" i="61" s="1"/>
  <c r="F940" i="61"/>
  <c r="H942" i="61" s="1"/>
  <c r="F1456" i="61"/>
  <c r="G1466" i="61" s="1"/>
  <c r="G1475" i="61" s="1"/>
  <c r="G1476" i="61" s="1"/>
  <c r="G1477" i="61" s="1"/>
  <c r="O1915" i="61"/>
  <c r="P1915" i="61" s="1"/>
  <c r="D1907" i="61" s="1"/>
  <c r="M1942" i="61"/>
  <c r="O1942" i="61" s="1"/>
  <c r="P1942" i="61" s="1"/>
  <c r="D1934" i="61" s="1"/>
  <c r="F1934" i="61" s="1"/>
  <c r="O1931" i="61"/>
  <c r="G1437" i="61"/>
  <c r="G1446" i="61" s="1"/>
  <c r="G1447" i="61" s="1"/>
  <c r="G1448" i="61" s="1"/>
  <c r="F1277" i="61"/>
  <c r="F1495" i="61"/>
  <c r="G1496" i="61" s="1"/>
  <c r="G1499" i="61" s="1"/>
  <c r="G1500" i="61" s="1"/>
  <c r="G1501" i="61" s="1"/>
  <c r="F1832" i="61"/>
  <c r="G1835" i="61" s="1"/>
  <c r="G1838" i="61" s="1"/>
  <c r="G1839" i="61" s="1"/>
  <c r="G1840" i="61" s="1"/>
  <c r="D1936" i="61"/>
  <c r="F1936" i="61" s="1"/>
  <c r="F1971" i="61"/>
  <c r="G1974" i="61" s="1"/>
  <c r="G1977" i="61" s="1"/>
  <c r="G1347" i="61"/>
  <c r="G1356" i="61" s="1"/>
  <c r="G1357" i="61" s="1"/>
  <c r="G1358" i="61" s="1"/>
  <c r="F1833" i="61"/>
  <c r="F1972" i="61"/>
  <c r="F663" i="61"/>
  <c r="G665" i="61" s="1"/>
  <c r="O1932" i="61"/>
  <c r="G1608" i="61" l="1"/>
  <c r="G1609" i="61" s="1"/>
  <c r="O1909" i="61"/>
  <c r="Q1905" i="61"/>
  <c r="D1911" i="61"/>
  <c r="F1911" i="61" s="1"/>
  <c r="G668" i="61"/>
  <c r="G669" i="61" s="1"/>
  <c r="G670" i="61" s="1"/>
  <c r="E449" i="61"/>
  <c r="F449" i="61" s="1"/>
  <c r="G452" i="61" s="1"/>
  <c r="G465" i="61" s="1"/>
  <c r="G466" i="61" s="1"/>
  <c r="G467" i="61" s="1"/>
  <c r="E386" i="61"/>
  <c r="F386" i="61" s="1"/>
  <c r="G389" i="61" s="1"/>
  <c r="G402" i="61" s="1"/>
  <c r="G403" i="61" s="1"/>
  <c r="G404" i="61" s="1"/>
  <c r="E480" i="61"/>
  <c r="F480" i="61" s="1"/>
  <c r="G483" i="61" s="1"/>
  <c r="G496" i="61" s="1"/>
  <c r="G497" i="61" s="1"/>
  <c r="G498" i="61" s="1"/>
  <c r="E417" i="61"/>
  <c r="F417" i="61" s="1"/>
  <c r="G420" i="61"/>
  <c r="G433" i="61" s="1"/>
  <c r="G434" i="61" s="1"/>
  <c r="G435" i="61" s="1"/>
  <c r="P1932" i="61"/>
  <c r="D1933" i="61"/>
  <c r="F1933" i="61" s="1"/>
  <c r="H934" i="61"/>
  <c r="H945" i="61" s="1"/>
  <c r="H946" i="61" s="1"/>
  <c r="H947" i="61" s="1"/>
  <c r="G934" i="61"/>
  <c r="G945" i="61" s="1"/>
  <c r="G946" i="61" s="1"/>
  <c r="G996" i="61"/>
  <c r="G997" i="61" s="1"/>
  <c r="G998" i="61" s="1"/>
  <c r="G531" i="61"/>
  <c r="G532" i="61" s="1"/>
  <c r="G533" i="61" s="1"/>
  <c r="P1919" i="61"/>
  <c r="G721" i="61"/>
  <c r="G722" i="61" s="1"/>
  <c r="G723" i="61" s="1"/>
  <c r="G1173" i="61"/>
  <c r="G1174" i="61" s="1"/>
  <c r="G1175" i="61" s="1"/>
  <c r="G223" i="61"/>
  <c r="G224" i="61" s="1"/>
  <c r="G225" i="61" s="1"/>
  <c r="E292" i="61"/>
  <c r="F292" i="61" s="1"/>
  <c r="G942" i="61"/>
  <c r="G1766" i="61"/>
  <c r="G1767" i="61" s="1"/>
  <c r="G1768" i="61" s="1"/>
  <c r="F571" i="61"/>
  <c r="F573" i="61" s="1"/>
  <c r="G575" i="61" s="1"/>
  <c r="F574" i="61"/>
  <c r="G616" i="61"/>
  <c r="G617" i="61" s="1"/>
  <c r="G618" i="61" s="1"/>
  <c r="E320" i="61"/>
  <c r="F320" i="61" s="1"/>
  <c r="E1880" i="61"/>
  <c r="G251" i="61"/>
  <c r="E348" i="61"/>
  <c r="F348" i="61" s="1"/>
  <c r="G1120" i="61"/>
  <c r="G1121" i="61" s="1"/>
  <c r="G1122" i="61" s="1"/>
  <c r="G584" i="61" l="1"/>
  <c r="G585" i="61" s="1"/>
  <c r="G586" i="61" s="1"/>
  <c r="H584" i="61"/>
  <c r="H585" i="61" s="1"/>
  <c r="H586" i="61" s="1"/>
  <c r="E1882" i="61" s="1"/>
  <c r="F350" i="61"/>
  <c r="G355" i="61" s="1"/>
  <c r="G368" i="61" s="1"/>
  <c r="G369" i="61" s="1"/>
  <c r="G370" i="61" s="1"/>
  <c r="D1908" i="61"/>
  <c r="F1908" i="61" s="1"/>
  <c r="P1909" i="61"/>
  <c r="G254" i="61"/>
  <c r="G253" i="61"/>
  <c r="G252" i="61"/>
  <c r="E1905" i="61"/>
  <c r="F1880" i="61"/>
  <c r="F322" i="61"/>
  <c r="G325" i="61" s="1"/>
  <c r="G338" i="61" s="1"/>
  <c r="G339" i="61" s="1"/>
  <c r="G340" i="61" s="1"/>
  <c r="E1885" i="61"/>
  <c r="G947" i="61"/>
  <c r="G297" i="61"/>
  <c r="G310" i="61" s="1"/>
  <c r="G311" i="61" s="1"/>
  <c r="G312" i="61" s="1"/>
  <c r="F294" i="61"/>
  <c r="E1910" i="61" l="1"/>
  <c r="F1885" i="61"/>
  <c r="E1930" i="61"/>
  <c r="F1930" i="61" s="1"/>
  <c r="F1905" i="61"/>
  <c r="E1907" i="61"/>
  <c r="F1882" i="61"/>
  <c r="G1888" i="61" s="1"/>
  <c r="G1895" i="61" s="1"/>
  <c r="G1896" i="61" s="1"/>
  <c r="G1897" i="61" s="1"/>
  <c r="F1881" i="61"/>
  <c r="F1931" i="61" l="1"/>
  <c r="G1938" i="61" s="1"/>
  <c r="G1945" i="61" s="1"/>
  <c r="G1946" i="61" s="1"/>
  <c r="G1947" i="61" s="1"/>
  <c r="E1932" i="61"/>
  <c r="F1932" i="61" s="1"/>
  <c r="F1907" i="61"/>
  <c r="F1906" i="61"/>
  <c r="G1913" i="61" s="1"/>
  <c r="G1920" i="61" s="1"/>
  <c r="G1921" i="61" s="1"/>
  <c r="G1922" i="61" s="1"/>
  <c r="E1935" i="61"/>
  <c r="F1935" i="61" s="1"/>
  <c r="F1910" i="61"/>
  <c r="E127" i="22" l="1"/>
  <c r="E124" i="22"/>
  <c r="E118" i="22"/>
  <c r="E42" i="26"/>
  <c r="E89" i="26"/>
  <c r="E91" i="26"/>
  <c r="E93" i="26"/>
  <c r="E95" i="26"/>
  <c r="E97" i="26"/>
  <c r="E99" i="26"/>
  <c r="E101" i="26"/>
  <c r="E103" i="26"/>
  <c r="E105" i="26"/>
  <c r="E107" i="26"/>
  <c r="K107" i="26"/>
  <c r="E125" i="26"/>
  <c r="K125" i="26"/>
  <c r="I125" i="26"/>
  <c r="I123" i="26"/>
  <c r="K123" i="26" s="1"/>
  <c r="E123" i="26" s="1"/>
  <c r="I121" i="26"/>
  <c r="K121" i="26" s="1"/>
  <c r="E121" i="26" s="1"/>
  <c r="I119" i="26"/>
  <c r="K119" i="26" s="1"/>
  <c r="E119" i="26" s="1"/>
  <c r="I117" i="26"/>
  <c r="K117" i="26" s="1"/>
  <c r="E117" i="26" s="1"/>
  <c r="I115" i="26"/>
  <c r="K115" i="26" s="1"/>
  <c r="E115" i="26" s="1"/>
  <c r="I113" i="26"/>
  <c r="I111" i="26"/>
  <c r="K111" i="26" s="1"/>
  <c r="E111" i="26" s="1"/>
  <c r="I109" i="26"/>
  <c r="I107" i="26"/>
  <c r="I105" i="26"/>
  <c r="I103" i="26"/>
  <c r="K103" i="26"/>
  <c r="I101" i="26"/>
  <c r="I99" i="26"/>
  <c r="I97" i="26"/>
  <c r="I95" i="26"/>
  <c r="I93" i="26"/>
  <c r="K93" i="26" s="1"/>
  <c r="I91" i="26"/>
  <c r="I89" i="26"/>
  <c r="I87" i="26"/>
  <c r="K87" i="26" s="1"/>
  <c r="E87" i="26" s="1"/>
  <c r="K113" i="26"/>
  <c r="E113" i="26" s="1"/>
  <c r="K109" i="26"/>
  <c r="E109" i="26" s="1"/>
  <c r="K105" i="26"/>
  <c r="K101" i="26"/>
  <c r="K99" i="26"/>
  <c r="K97" i="26"/>
  <c r="K95" i="26"/>
  <c r="K91" i="26"/>
  <c r="K89" i="26"/>
  <c r="E83" i="26"/>
  <c r="E81" i="26"/>
  <c r="E79" i="26"/>
  <c r="E77" i="26"/>
  <c r="I83" i="26"/>
  <c r="K83" i="26" s="1"/>
  <c r="I81" i="26"/>
  <c r="K81" i="26" s="1"/>
  <c r="I79" i="26"/>
  <c r="K79" i="26" s="1"/>
  <c r="I77" i="26"/>
  <c r="I75" i="26"/>
  <c r="I73" i="26"/>
  <c r="E73" i="26"/>
  <c r="K77" i="26"/>
  <c r="K75" i="26"/>
  <c r="E75" i="26" s="1"/>
  <c r="K73" i="26"/>
  <c r="E71" i="26"/>
  <c r="E69" i="26"/>
  <c r="I71" i="26"/>
  <c r="F107" i="26"/>
  <c r="G107" i="26" s="1"/>
  <c r="H107" i="26" s="1"/>
  <c r="F91" i="26"/>
  <c r="F73" i="26"/>
  <c r="E67" i="26"/>
  <c r="K71" i="26"/>
  <c r="I69" i="26"/>
  <c r="K69" i="26"/>
  <c r="I67" i="26"/>
  <c r="K67" i="26"/>
  <c r="E65" i="26"/>
  <c r="E63" i="26"/>
  <c r="I65" i="26"/>
  <c r="K65" i="26"/>
  <c r="K63" i="26"/>
  <c r="E103" i="22"/>
  <c r="E92" i="22"/>
  <c r="E93" i="22"/>
  <c r="E88" i="22"/>
  <c r="E87" i="22"/>
  <c r="E89" i="22"/>
  <c r="E82" i="22"/>
  <c r="E84" i="22"/>
  <c r="E77" i="22"/>
  <c r="E78" i="22"/>
  <c r="E72" i="22"/>
  <c r="E73" i="22" s="1"/>
  <c r="E74" i="22"/>
  <c r="E66" i="22"/>
  <c r="E67" i="22" s="1"/>
  <c r="E68" i="22"/>
  <c r="E61" i="22"/>
  <c r="E63" i="22" s="1"/>
  <c r="E62" i="22"/>
  <c r="G62" i="22" s="1"/>
  <c r="H62" i="22" s="1"/>
  <c r="E50" i="22"/>
  <c r="E51" i="22"/>
  <c r="E45" i="22"/>
  <c r="E46" i="22" s="1"/>
  <c r="E40" i="22"/>
  <c r="E41" i="22"/>
  <c r="E35" i="22"/>
  <c r="E36" i="22"/>
  <c r="E30" i="22"/>
  <c r="E32" i="22" s="1"/>
  <c r="G30" i="22"/>
  <c r="H30" i="22" s="1"/>
  <c r="E27" i="22"/>
  <c r="E26" i="22"/>
  <c r="E25" i="22"/>
  <c r="I63" i="26"/>
  <c r="I1" i="26"/>
  <c r="F63" i="26"/>
  <c r="I1" i="22"/>
  <c r="F127" i="22"/>
  <c r="F124" i="22"/>
  <c r="F121" i="22"/>
  <c r="G121" i="22" s="1"/>
  <c r="H121" i="22" s="1"/>
  <c r="F118" i="22"/>
  <c r="F114" i="22"/>
  <c r="G114" i="22" s="1"/>
  <c r="H114" i="22" s="1"/>
  <c r="F111" i="22"/>
  <c r="G111" i="22" s="1"/>
  <c r="H111" i="22" s="1"/>
  <c r="F108" i="22"/>
  <c r="G108" i="22" s="1"/>
  <c r="H108" i="22" s="1"/>
  <c r="F106" i="22"/>
  <c r="G106" i="22" s="1"/>
  <c r="H106" i="22" s="1"/>
  <c r="F103" i="22"/>
  <c r="F94" i="22"/>
  <c r="F93" i="22"/>
  <c r="F92" i="22"/>
  <c r="F89" i="22"/>
  <c r="F88" i="22"/>
  <c r="F87" i="22"/>
  <c r="F84" i="22"/>
  <c r="F83" i="22"/>
  <c r="F82" i="22"/>
  <c r="F79" i="22"/>
  <c r="F78" i="22"/>
  <c r="F77" i="22"/>
  <c r="F74" i="22"/>
  <c r="F73" i="22"/>
  <c r="F72" i="22"/>
  <c r="F67" i="22"/>
  <c r="F68" i="22"/>
  <c r="F66" i="22"/>
  <c r="F63" i="22"/>
  <c r="F62" i="22"/>
  <c r="F61" i="22"/>
  <c r="F51" i="22"/>
  <c r="F52" i="22"/>
  <c r="F50" i="22"/>
  <c r="F47" i="22"/>
  <c r="F46" i="22"/>
  <c r="F45" i="22"/>
  <c r="F42" i="22"/>
  <c r="F41" i="22"/>
  <c r="F40" i="22"/>
  <c r="F37" i="22"/>
  <c r="F36" i="22"/>
  <c r="F35" i="22"/>
  <c r="G35" i="22" s="1"/>
  <c r="H35" i="22" s="1"/>
  <c r="F32" i="22"/>
  <c r="F31" i="22"/>
  <c r="F30" i="22"/>
  <c r="F27" i="22"/>
  <c r="F26" i="22"/>
  <c r="G26" i="22" s="1"/>
  <c r="H26" i="22" s="1"/>
  <c r="F25" i="22"/>
  <c r="E106" i="21"/>
  <c r="E105" i="21"/>
  <c r="E111" i="21"/>
  <c r="E110" i="21"/>
  <c r="E109" i="21"/>
  <c r="E102" i="21"/>
  <c r="E86" i="21"/>
  <c r="E99" i="21"/>
  <c r="E96" i="21"/>
  <c r="E95" i="21"/>
  <c r="E94" i="21"/>
  <c r="E91" i="21"/>
  <c r="E90" i="21"/>
  <c r="E89" i="21"/>
  <c r="E83" i="21"/>
  <c r="E80" i="21"/>
  <c r="E75" i="21"/>
  <c r="E74" i="21"/>
  <c r="E73" i="21"/>
  <c r="E70" i="21"/>
  <c r="E67" i="21"/>
  <c r="E64" i="21"/>
  <c r="E63" i="21"/>
  <c r="E60" i="21"/>
  <c r="E59" i="21"/>
  <c r="E53" i="21"/>
  <c r="E50" i="21"/>
  <c r="E56" i="21" s="1"/>
  <c r="E47" i="21"/>
  <c r="E42" i="21"/>
  <c r="E43" i="21" s="1"/>
  <c r="E35" i="21"/>
  <c r="E33" i="21"/>
  <c r="E34" i="21" s="1"/>
  <c r="E29" i="21"/>
  <c r="E17" i="21"/>
  <c r="E19" i="21" s="1"/>
  <c r="F59" i="21"/>
  <c r="I1" i="21"/>
  <c r="F109" i="21" s="1"/>
  <c r="F234" i="55"/>
  <c r="G234" i="55"/>
  <c r="H234" i="55" s="1"/>
  <c r="F231" i="55"/>
  <c r="G231" i="55" s="1"/>
  <c r="H231" i="55" s="1"/>
  <c r="F229" i="55"/>
  <c r="F227" i="55"/>
  <c r="G227" i="55" s="1"/>
  <c r="H227" i="55" s="1"/>
  <c r="F225" i="55"/>
  <c r="G225" i="55" s="1"/>
  <c r="H225" i="55" s="1"/>
  <c r="F223" i="55"/>
  <c r="F208" i="55"/>
  <c r="F206" i="55"/>
  <c r="F204" i="55"/>
  <c r="G204" i="55" s="1"/>
  <c r="H204" i="55" s="1"/>
  <c r="F202" i="55"/>
  <c r="F200" i="55"/>
  <c r="F198" i="55"/>
  <c r="F186" i="55"/>
  <c r="G186" i="55" s="1"/>
  <c r="H186" i="55" s="1"/>
  <c r="F184" i="55"/>
  <c r="G184" i="55" s="1"/>
  <c r="H184" i="55" s="1"/>
  <c r="F182" i="55"/>
  <c r="G182" i="55" s="1"/>
  <c r="H182" i="55" s="1"/>
  <c r="F180" i="55"/>
  <c r="F178" i="55"/>
  <c r="G178" i="55" s="1"/>
  <c r="H178" i="55" s="1"/>
  <c r="F176" i="55"/>
  <c r="F174" i="55"/>
  <c r="F172" i="55"/>
  <c r="G172" i="55" s="1"/>
  <c r="H172" i="55" s="1"/>
  <c r="E231" i="55"/>
  <c r="E229" i="55"/>
  <c r="E227" i="55"/>
  <c r="E225" i="55"/>
  <c r="E223" i="55"/>
  <c r="E216" i="55"/>
  <c r="E214" i="55"/>
  <c r="E212" i="55"/>
  <c r="E208" i="55"/>
  <c r="E206" i="55"/>
  <c r="E204" i="55"/>
  <c r="E202" i="55"/>
  <c r="E200" i="55"/>
  <c r="E198" i="55"/>
  <c r="E194" i="55"/>
  <c r="E192" i="55"/>
  <c r="E190" i="55"/>
  <c r="E186" i="55"/>
  <c r="E184" i="55"/>
  <c r="E182" i="55"/>
  <c r="E180" i="55"/>
  <c r="E178" i="55"/>
  <c r="E176" i="55"/>
  <c r="E174" i="55"/>
  <c r="F216" i="55"/>
  <c r="F214" i="55"/>
  <c r="F212" i="55"/>
  <c r="G212" i="55" s="1"/>
  <c r="H212" i="55" s="1"/>
  <c r="F194" i="55"/>
  <c r="G194" i="55" s="1"/>
  <c r="H194" i="55" s="1"/>
  <c r="F192" i="55"/>
  <c r="F190" i="55"/>
  <c r="G190" i="55" s="1"/>
  <c r="H190" i="55" s="1"/>
  <c r="G180" i="55"/>
  <c r="H180" i="55" s="1"/>
  <c r="F168" i="55"/>
  <c r="G168" i="55" s="1"/>
  <c r="H168" i="55" s="1"/>
  <c r="F166" i="55"/>
  <c r="G166" i="55" s="1"/>
  <c r="H166" i="55" s="1"/>
  <c r="F164" i="55"/>
  <c r="G164" i="55" s="1"/>
  <c r="H164" i="55" s="1"/>
  <c r="F125" i="55"/>
  <c r="G125" i="55" s="1"/>
  <c r="H125" i="55" s="1"/>
  <c r="H79" i="55"/>
  <c r="H77" i="55"/>
  <c r="H59" i="55"/>
  <c r="H57" i="55"/>
  <c r="I1" i="55"/>
  <c r="E23" i="20"/>
  <c r="I1" i="20"/>
  <c r="F20" i="20" s="1"/>
  <c r="G20" i="20" s="1"/>
  <c r="H20" i="20" s="1"/>
  <c r="H39" i="19"/>
  <c r="E36" i="19"/>
  <c r="E35" i="19"/>
  <c r="E28" i="19"/>
  <c r="E25" i="30"/>
  <c r="F232" i="59"/>
  <c r="E230" i="59"/>
  <c r="D230" i="59"/>
  <c r="F230" i="59"/>
  <c r="I1" i="19"/>
  <c r="F36" i="19"/>
  <c r="F35" i="19"/>
  <c r="F32" i="19"/>
  <c r="F30" i="19"/>
  <c r="F28" i="19"/>
  <c r="F25" i="19"/>
  <c r="F24" i="19"/>
  <c r="F23" i="19"/>
  <c r="F19" i="19"/>
  <c r="F17" i="19"/>
  <c r="F15" i="19"/>
  <c r="F12" i="19"/>
  <c r="F11" i="19"/>
  <c r="F10" i="19"/>
  <c r="I1" i="16"/>
  <c r="F11" i="16"/>
  <c r="G11" i="16" s="1"/>
  <c r="H11" i="16" s="1"/>
  <c r="E22" i="15"/>
  <c r="E1001" i="59"/>
  <c r="F1001" i="59" s="1"/>
  <c r="E1000" i="59"/>
  <c r="F1000" i="59" s="1"/>
  <c r="E1028" i="59"/>
  <c r="E1026" i="59"/>
  <c r="F1010" i="59"/>
  <c r="E1015" i="59" s="1"/>
  <c r="F1015" i="59" s="1"/>
  <c r="F994" i="59"/>
  <c r="F996" i="59" s="1"/>
  <c r="E1014" i="59" s="1"/>
  <c r="F1014" i="59" s="1"/>
  <c r="E31" i="31"/>
  <c r="E23" i="31"/>
  <c r="E958" i="59"/>
  <c r="F958" i="59" s="1"/>
  <c r="F960" i="59" s="1"/>
  <c r="E985" i="59"/>
  <c r="E983" i="59"/>
  <c r="F967" i="59"/>
  <c r="E972" i="59" s="1"/>
  <c r="F972" i="59" s="1"/>
  <c r="F951" i="59"/>
  <c r="E973" i="59" s="1"/>
  <c r="F973" i="59" s="1"/>
  <c r="F56" i="21" l="1"/>
  <c r="F74" i="21"/>
  <c r="G74" i="21" s="1"/>
  <c r="H74" i="21" s="1"/>
  <c r="F75" i="21"/>
  <c r="G75" i="21" s="1"/>
  <c r="H75" i="21" s="1"/>
  <c r="F17" i="21"/>
  <c r="G17" i="21" s="1"/>
  <c r="F95" i="21"/>
  <c r="F94" i="21"/>
  <c r="G94" i="21" s="1"/>
  <c r="F35" i="21"/>
  <c r="G35" i="21" s="1"/>
  <c r="F110" i="21"/>
  <c r="F42" i="21"/>
  <c r="G42" i="21" s="1"/>
  <c r="F111" i="21"/>
  <c r="G111" i="21" s="1"/>
  <c r="G127" i="22"/>
  <c r="H127" i="22" s="1"/>
  <c r="H129" i="22" s="1"/>
  <c r="G124" i="22"/>
  <c r="H124" i="22" s="1"/>
  <c r="G118" i="22"/>
  <c r="H118" i="22" s="1"/>
  <c r="G91" i="26"/>
  <c r="H91" i="26" s="1"/>
  <c r="F75" i="26"/>
  <c r="F93" i="26"/>
  <c r="G93" i="26" s="1"/>
  <c r="H93" i="26" s="1"/>
  <c r="F109" i="26"/>
  <c r="G109" i="26" s="1"/>
  <c r="H109" i="26" s="1"/>
  <c r="F123" i="26"/>
  <c r="G123" i="26" s="1"/>
  <c r="H123" i="26" s="1"/>
  <c r="F42" i="26"/>
  <c r="G42" i="26" s="1"/>
  <c r="H42" i="26" s="1"/>
  <c r="F77" i="26"/>
  <c r="G77" i="26" s="1"/>
  <c r="H77" i="26" s="1"/>
  <c r="F95" i="26"/>
  <c r="G95" i="26" s="1"/>
  <c r="H95" i="26" s="1"/>
  <c r="F111" i="26"/>
  <c r="G111" i="26" s="1"/>
  <c r="H111" i="26" s="1"/>
  <c r="F125" i="26"/>
  <c r="G125" i="26" s="1"/>
  <c r="H125" i="26" s="1"/>
  <c r="F79" i="26"/>
  <c r="F97" i="26"/>
  <c r="G97" i="26" s="1"/>
  <c r="H97" i="26" s="1"/>
  <c r="F113" i="26"/>
  <c r="G113" i="26" s="1"/>
  <c r="H113" i="26" s="1"/>
  <c r="F65" i="26"/>
  <c r="G65" i="26" s="1"/>
  <c r="H65" i="26" s="1"/>
  <c r="F81" i="26"/>
  <c r="G81" i="26" s="1"/>
  <c r="H81" i="26" s="1"/>
  <c r="F115" i="26"/>
  <c r="G115" i="26" s="1"/>
  <c r="H115" i="26" s="1"/>
  <c r="F67" i="26"/>
  <c r="G67" i="26" s="1"/>
  <c r="H67" i="26" s="1"/>
  <c r="F83" i="26"/>
  <c r="F101" i="26"/>
  <c r="G101" i="26" s="1"/>
  <c r="H101" i="26" s="1"/>
  <c r="F117" i="26"/>
  <c r="G117" i="26" s="1"/>
  <c r="H117" i="26" s="1"/>
  <c r="F69" i="26"/>
  <c r="F87" i="26"/>
  <c r="G87" i="26" s="1"/>
  <c r="H87" i="26" s="1"/>
  <c r="F103" i="26"/>
  <c r="G103" i="26" s="1"/>
  <c r="H103" i="26" s="1"/>
  <c r="F119" i="26"/>
  <c r="G119" i="26" s="1"/>
  <c r="H119" i="26" s="1"/>
  <c r="F99" i="26"/>
  <c r="G99" i="26" s="1"/>
  <c r="H99" i="26" s="1"/>
  <c r="F71" i="26"/>
  <c r="F89" i="26"/>
  <c r="G89" i="26" s="1"/>
  <c r="H89" i="26" s="1"/>
  <c r="F105" i="26"/>
  <c r="G105" i="26" s="1"/>
  <c r="H105" i="26" s="1"/>
  <c r="F121" i="26"/>
  <c r="G121" i="26" s="1"/>
  <c r="H121" i="26" s="1"/>
  <c r="G79" i="26"/>
  <c r="H79" i="26" s="1"/>
  <c r="G83" i="26"/>
  <c r="H83" i="26" s="1"/>
  <c r="G75" i="26"/>
  <c r="H75" i="26" s="1"/>
  <c r="G73" i="26"/>
  <c r="H73" i="26" s="1"/>
  <c r="G71" i="26"/>
  <c r="H71" i="26" s="1"/>
  <c r="G69" i="26"/>
  <c r="H69" i="26" s="1"/>
  <c r="G63" i="26"/>
  <c r="H63" i="26" s="1"/>
  <c r="G103" i="22"/>
  <c r="H103" i="22" s="1"/>
  <c r="E94" i="22"/>
  <c r="G94" i="22" s="1"/>
  <c r="H94" i="22" s="1"/>
  <c r="G92" i="22"/>
  <c r="H92" i="22" s="1"/>
  <c r="G93" i="22"/>
  <c r="H93" i="22" s="1"/>
  <c r="G87" i="22"/>
  <c r="H87" i="22" s="1"/>
  <c r="G89" i="22"/>
  <c r="H89" i="22" s="1"/>
  <c r="G88" i="22"/>
  <c r="H88" i="22" s="1"/>
  <c r="E83" i="22"/>
  <c r="G83" i="22" s="1"/>
  <c r="H83" i="22" s="1"/>
  <c r="G82" i="22"/>
  <c r="H82" i="22" s="1"/>
  <c r="G84" i="22"/>
  <c r="H84" i="22" s="1"/>
  <c r="G78" i="22"/>
  <c r="H78" i="22" s="1"/>
  <c r="E79" i="22"/>
  <c r="G79" i="22"/>
  <c r="H79" i="22" s="1"/>
  <c r="G77" i="22"/>
  <c r="H77" i="22" s="1"/>
  <c r="G72" i="22"/>
  <c r="H72" i="22" s="1"/>
  <c r="G73" i="22"/>
  <c r="H73" i="22" s="1"/>
  <c r="G74" i="22"/>
  <c r="H74" i="22" s="1"/>
  <c r="G66" i="22"/>
  <c r="H66" i="22" s="1"/>
  <c r="G68" i="22"/>
  <c r="H68" i="22" s="1"/>
  <c r="G67" i="22"/>
  <c r="H67" i="22" s="1"/>
  <c r="G61" i="22"/>
  <c r="H61" i="22" s="1"/>
  <c r="G63" i="22"/>
  <c r="H63" i="22" s="1"/>
  <c r="E52" i="22"/>
  <c r="G52" i="22" s="1"/>
  <c r="H52" i="22" s="1"/>
  <c r="G50" i="22"/>
  <c r="H50" i="22" s="1"/>
  <c r="G51" i="22"/>
  <c r="H51" i="22" s="1"/>
  <c r="G45" i="22"/>
  <c r="H45" i="22" s="1"/>
  <c r="E47" i="22"/>
  <c r="G47" i="22" s="1"/>
  <c r="H47" i="22" s="1"/>
  <c r="G46" i="22"/>
  <c r="H46" i="22" s="1"/>
  <c r="E42" i="22"/>
  <c r="G42" i="22" s="1"/>
  <c r="H42" i="22" s="1"/>
  <c r="G41" i="22"/>
  <c r="H41" i="22" s="1"/>
  <c r="G40" i="22"/>
  <c r="H40" i="22" s="1"/>
  <c r="G36" i="22"/>
  <c r="H36" i="22" s="1"/>
  <c r="E37" i="22"/>
  <c r="G37" i="22" s="1"/>
  <c r="H37" i="22" s="1"/>
  <c r="G32" i="22"/>
  <c r="H32" i="22" s="1"/>
  <c r="E31" i="22"/>
  <c r="G31" i="22" s="1"/>
  <c r="H31" i="22" s="1"/>
  <c r="G27" i="22"/>
  <c r="H27" i="22" s="1"/>
  <c r="G25" i="22"/>
  <c r="H25" i="22" s="1"/>
  <c r="G110" i="21"/>
  <c r="G109" i="21"/>
  <c r="G95" i="21"/>
  <c r="G59" i="21"/>
  <c r="F96" i="21"/>
  <c r="G96" i="21" s="1"/>
  <c r="F18" i="21"/>
  <c r="F44" i="21"/>
  <c r="F63" i="21"/>
  <c r="G63" i="21" s="1"/>
  <c r="H63" i="21" s="1"/>
  <c r="F83" i="21"/>
  <c r="G83" i="21" s="1"/>
  <c r="H83" i="21" s="1"/>
  <c r="F99" i="21"/>
  <c r="G99" i="21" s="1"/>
  <c r="E18" i="21"/>
  <c r="E44" i="21"/>
  <c r="F60" i="21"/>
  <c r="G60" i="21" s="1"/>
  <c r="F19" i="21"/>
  <c r="F64" i="21"/>
  <c r="G64" i="21" s="1"/>
  <c r="H64" i="21" s="1"/>
  <c r="F86" i="21"/>
  <c r="G86" i="21" s="1"/>
  <c r="F102" i="21"/>
  <c r="F80" i="21"/>
  <c r="G80" i="21" s="1"/>
  <c r="F29" i="21"/>
  <c r="G29" i="21" s="1"/>
  <c r="H29" i="21" s="1"/>
  <c r="F47" i="21"/>
  <c r="G47" i="21" s="1"/>
  <c r="F67" i="21"/>
  <c r="G67" i="21" s="1"/>
  <c r="F89" i="21"/>
  <c r="G89" i="21" s="1"/>
  <c r="F105" i="21"/>
  <c r="G105" i="21" s="1"/>
  <c r="F43" i="21"/>
  <c r="F33" i="21"/>
  <c r="G33" i="21" s="1"/>
  <c r="F50" i="21"/>
  <c r="G50" i="21" s="1"/>
  <c r="F70" i="21"/>
  <c r="G70" i="21" s="1"/>
  <c r="H70" i="21" s="1"/>
  <c r="F90" i="21"/>
  <c r="G90" i="21" s="1"/>
  <c r="F106" i="21"/>
  <c r="G106" i="21" s="1"/>
  <c r="F34" i="21"/>
  <c r="F53" i="21"/>
  <c r="G53" i="21" s="1"/>
  <c r="F73" i="21"/>
  <c r="G73" i="21" s="1"/>
  <c r="H73" i="21" s="1"/>
  <c r="F91" i="21"/>
  <c r="G91" i="21" s="1"/>
  <c r="G56" i="21"/>
  <c r="G43" i="21"/>
  <c r="G34" i="21"/>
  <c r="G19" i="21"/>
  <c r="G229" i="55"/>
  <c r="H229" i="55" s="1"/>
  <c r="G223" i="55"/>
  <c r="H223" i="55" s="1"/>
  <c r="G216" i="55"/>
  <c r="H216" i="55" s="1"/>
  <c r="G214" i="55"/>
  <c r="H214" i="55" s="1"/>
  <c r="G208" i="55"/>
  <c r="H208" i="55" s="1"/>
  <c r="G206" i="55"/>
  <c r="H206" i="55" s="1"/>
  <c r="G202" i="55"/>
  <c r="H202" i="55" s="1"/>
  <c r="G200" i="55"/>
  <c r="H200" i="55" s="1"/>
  <c r="G198" i="55"/>
  <c r="H198" i="55" s="1"/>
  <c r="G192" i="55"/>
  <c r="H192" i="55" s="1"/>
  <c r="G176" i="55"/>
  <c r="H176" i="55" s="1"/>
  <c r="G174" i="55"/>
  <c r="H174" i="55" s="1"/>
  <c r="F13" i="20"/>
  <c r="G13" i="20" s="1"/>
  <c r="H13" i="20" s="1"/>
  <c r="F19" i="20"/>
  <c r="G19" i="20" s="1"/>
  <c r="H19" i="20" s="1"/>
  <c r="F7" i="20"/>
  <c r="G7" i="20" s="1"/>
  <c r="H7" i="20" s="1"/>
  <c r="F8" i="20"/>
  <c r="G8" i="20" s="1"/>
  <c r="H8" i="20" s="1"/>
  <c r="F23" i="20"/>
  <c r="F9" i="20"/>
  <c r="G9" i="20" s="1"/>
  <c r="H9" i="20" s="1"/>
  <c r="F14" i="20"/>
  <c r="G14" i="20" s="1"/>
  <c r="H14" i="20" s="1"/>
  <c r="F18" i="20"/>
  <c r="G18" i="20" s="1"/>
  <c r="H18" i="20" s="1"/>
  <c r="G23" i="20"/>
  <c r="H23" i="20" s="1"/>
  <c r="G36" i="19"/>
  <c r="H36" i="19" s="1"/>
  <c r="G35" i="19"/>
  <c r="H35" i="19" s="1"/>
  <c r="F1003" i="59"/>
  <c r="E1016" i="59"/>
  <c r="F1016" i="59" s="1"/>
  <c r="F1018" i="59" s="1"/>
  <c r="F1020" i="59" s="1"/>
  <c r="F1024" i="59" s="1"/>
  <c r="F1026" i="59" s="1"/>
  <c r="F1028" i="59" s="1"/>
  <c r="E12" i="15" s="1"/>
  <c r="F954" i="59"/>
  <c r="E971" i="59" s="1"/>
  <c r="F971" i="59" s="1"/>
  <c r="F975" i="59" s="1"/>
  <c r="F977" i="59" s="1"/>
  <c r="F981" i="59" s="1"/>
  <c r="F983" i="59" s="1"/>
  <c r="F985" i="59" s="1"/>
  <c r="E10" i="15" s="1"/>
  <c r="E36" i="15"/>
  <c r="I1" i="15"/>
  <c r="F12" i="15" s="1"/>
  <c r="I120" i="10"/>
  <c r="H85" i="10"/>
  <c r="I85" i="10" s="1"/>
  <c r="G85" i="10"/>
  <c r="G111" i="10"/>
  <c r="H111" i="10"/>
  <c r="I111" i="10" s="1"/>
  <c r="G100" i="10"/>
  <c r="H100" i="10" s="1"/>
  <c r="I100" i="10" s="1"/>
  <c r="H11" i="13"/>
  <c r="F9" i="13"/>
  <c r="G9" i="13" s="1"/>
  <c r="H9" i="13" s="1"/>
  <c r="I1" i="13"/>
  <c r="F4" i="13"/>
  <c r="F6" i="13"/>
  <c r="G6" i="13" s="1"/>
  <c r="H6" i="13" s="1"/>
  <c r="G4" i="13"/>
  <c r="H4" i="13" s="1"/>
  <c r="F30" i="31"/>
  <c r="F31" i="31"/>
  <c r="F29" i="31"/>
  <c r="F22" i="31"/>
  <c r="F23" i="31"/>
  <c r="E924" i="59"/>
  <c r="F924" i="59" s="1"/>
  <c r="E911" i="59"/>
  <c r="F911" i="59" s="1"/>
  <c r="E910" i="59"/>
  <c r="E943" i="59"/>
  <c r="E941" i="59"/>
  <c r="F919" i="59"/>
  <c r="D910" i="59"/>
  <c r="F25" i="30"/>
  <c r="E159" i="30"/>
  <c r="E158" i="30"/>
  <c r="E154" i="30"/>
  <c r="E153" i="30"/>
  <c r="E147" i="30"/>
  <c r="E149" i="30"/>
  <c r="I1" i="30"/>
  <c r="F180" i="30" s="1"/>
  <c r="I1" i="31"/>
  <c r="F21" i="31" s="1"/>
  <c r="H33" i="60"/>
  <c r="H32" i="60"/>
  <c r="H31" i="60"/>
  <c r="H30" i="60"/>
  <c r="H29" i="60"/>
  <c r="H28" i="60"/>
  <c r="H27" i="60"/>
  <c r="H25" i="60"/>
  <c r="H24" i="60"/>
  <c r="H23" i="60"/>
  <c r="H21" i="60"/>
  <c r="H20" i="60"/>
  <c r="H19" i="60"/>
  <c r="H18" i="60"/>
  <c r="H17" i="60"/>
  <c r="D9" i="60"/>
  <c r="L4" i="60"/>
  <c r="L3" i="60"/>
  <c r="E1110" i="59"/>
  <c r="E1108" i="59"/>
  <c r="E1090" i="59"/>
  <c r="D1090" i="59"/>
  <c r="E1084" i="59"/>
  <c r="F1084" i="59" s="1"/>
  <c r="F1086" i="59" s="1"/>
  <c r="F1078" i="59"/>
  <c r="F1080" i="59" s="1"/>
  <c r="E1096" i="59" s="1"/>
  <c r="F1096" i="59" s="1"/>
  <c r="E1069" i="59"/>
  <c r="E1067" i="59"/>
  <c r="F1051" i="59"/>
  <c r="E1056" i="59" s="1"/>
  <c r="F1056" i="59" s="1"/>
  <c r="F1044" i="59"/>
  <c r="F1036" i="59"/>
  <c r="F1038" i="59" s="1"/>
  <c r="E1055" i="59" s="1"/>
  <c r="F1055" i="59" s="1"/>
  <c r="E900" i="59"/>
  <c r="E898" i="59"/>
  <c r="E881" i="59"/>
  <c r="F881" i="59" s="1"/>
  <c r="F876" i="59"/>
  <c r="E868" i="59"/>
  <c r="F868" i="59" s="1"/>
  <c r="D868" i="59"/>
  <c r="E867" i="59"/>
  <c r="D867" i="59"/>
  <c r="E857" i="59"/>
  <c r="E855" i="59"/>
  <c r="E838" i="59"/>
  <c r="F838" i="59" s="1"/>
  <c r="D836" i="59"/>
  <c r="F836" i="59" s="1"/>
  <c r="F832" i="59"/>
  <c r="E824" i="59"/>
  <c r="D824" i="59"/>
  <c r="E815" i="59"/>
  <c r="E813" i="59"/>
  <c r="E795" i="59"/>
  <c r="F795" i="59" s="1"/>
  <c r="E794" i="59"/>
  <c r="D794" i="59"/>
  <c r="E793" i="59"/>
  <c r="F793" i="59" s="1"/>
  <c r="E791" i="59"/>
  <c r="D791" i="59"/>
  <c r="F787" i="59"/>
  <c r="E779" i="59"/>
  <c r="F779" i="59" s="1"/>
  <c r="F781" i="59" s="1"/>
  <c r="E802" i="59" s="1"/>
  <c r="F802" i="59" s="1"/>
  <c r="D779" i="59"/>
  <c r="E769" i="59"/>
  <c r="E767" i="59"/>
  <c r="E749" i="59"/>
  <c r="F749" i="59" s="1"/>
  <c r="H748" i="59"/>
  <c r="D748" i="59" s="1"/>
  <c r="E748" i="59"/>
  <c r="E747" i="59"/>
  <c r="F747" i="59" s="1"/>
  <c r="E745" i="59"/>
  <c r="D745" i="59"/>
  <c r="F741" i="59"/>
  <c r="E733" i="59"/>
  <c r="D733" i="59"/>
  <c r="E723" i="59"/>
  <c r="E721" i="59"/>
  <c r="E703" i="59"/>
  <c r="F703" i="59" s="1"/>
  <c r="H702" i="59"/>
  <c r="I702" i="59" s="1"/>
  <c r="D702" i="59" s="1"/>
  <c r="E702" i="59"/>
  <c r="E701" i="59"/>
  <c r="D701" i="59"/>
  <c r="F697" i="59"/>
  <c r="E689" i="59"/>
  <c r="F689" i="59" s="1"/>
  <c r="F691" i="59" s="1"/>
  <c r="E710" i="59" s="1"/>
  <c r="F710" i="59" s="1"/>
  <c r="D689" i="59"/>
  <c r="E679" i="59"/>
  <c r="E677" i="59"/>
  <c r="E659" i="59"/>
  <c r="F659" i="59" s="1"/>
  <c r="E658" i="59"/>
  <c r="F658" i="59" s="1"/>
  <c r="E657" i="59"/>
  <c r="F657" i="59" s="1"/>
  <c r="E656" i="59"/>
  <c r="F656" i="59" s="1"/>
  <c r="E655" i="59"/>
  <c r="F655" i="59" s="1"/>
  <c r="D655" i="59"/>
  <c r="F651" i="59"/>
  <c r="E643" i="59"/>
  <c r="F643" i="59" s="1"/>
  <c r="F645" i="59" s="1"/>
  <c r="E666" i="59" s="1"/>
  <c r="F666" i="59" s="1"/>
  <c r="D643" i="59"/>
  <c r="E633" i="59"/>
  <c r="E631" i="59"/>
  <c r="E613" i="59"/>
  <c r="F613" i="59" s="1"/>
  <c r="H612" i="59"/>
  <c r="D612" i="59" s="1"/>
  <c r="E612" i="59"/>
  <c r="E611" i="59"/>
  <c r="F611" i="59" s="1"/>
  <c r="D611" i="59"/>
  <c r="F607" i="59"/>
  <c r="E599" i="59"/>
  <c r="F599" i="59" s="1"/>
  <c r="F601" i="59" s="1"/>
  <c r="E620" i="59" s="1"/>
  <c r="F620" i="59" s="1"/>
  <c r="D599" i="59"/>
  <c r="E589" i="59"/>
  <c r="E587" i="59"/>
  <c r="E569" i="59"/>
  <c r="F569" i="59" s="1"/>
  <c r="H568" i="59"/>
  <c r="D568" i="59" s="1"/>
  <c r="E568" i="59"/>
  <c r="E567" i="59"/>
  <c r="F567" i="59" s="1"/>
  <c r="E565" i="59"/>
  <c r="D565" i="59"/>
  <c r="F561" i="59"/>
  <c r="E553" i="59"/>
  <c r="D553" i="59"/>
  <c r="E543" i="59"/>
  <c r="E541" i="59"/>
  <c r="E523" i="59"/>
  <c r="D523" i="59"/>
  <c r="E522" i="59"/>
  <c r="F522" i="59" s="1"/>
  <c r="D522" i="59"/>
  <c r="F518" i="59"/>
  <c r="E510" i="59"/>
  <c r="D510" i="59"/>
  <c r="E500" i="59"/>
  <c r="E498" i="59"/>
  <c r="E480" i="59"/>
  <c r="D480" i="59"/>
  <c r="E479" i="59"/>
  <c r="D479" i="59"/>
  <c r="E477" i="59"/>
  <c r="D477" i="59"/>
  <c r="F473" i="59"/>
  <c r="D465" i="59"/>
  <c r="E455" i="59"/>
  <c r="E453" i="59"/>
  <c r="E435" i="59"/>
  <c r="D435" i="59"/>
  <c r="E434" i="59"/>
  <c r="D434" i="59"/>
  <c r="E432" i="59"/>
  <c r="D432" i="59"/>
  <c r="F428" i="59"/>
  <c r="E420" i="59"/>
  <c r="D420" i="59"/>
  <c r="E410" i="59"/>
  <c r="E408" i="59"/>
  <c r="F393" i="59"/>
  <c r="E398" i="59" s="1"/>
  <c r="F398" i="59" s="1"/>
  <c r="F388" i="59"/>
  <c r="E380" i="59"/>
  <c r="F380" i="59" s="1"/>
  <c r="F382" i="59" s="1"/>
  <c r="E397" i="59" s="1"/>
  <c r="F397" i="59" s="1"/>
  <c r="D380" i="59"/>
  <c r="E371" i="59"/>
  <c r="E369" i="59"/>
  <c r="F354" i="59"/>
  <c r="E359" i="59" s="1"/>
  <c r="F359" i="59" s="1"/>
  <c r="F349" i="59"/>
  <c r="E341" i="59"/>
  <c r="D341" i="59"/>
  <c r="E332" i="59"/>
  <c r="E330" i="59"/>
  <c r="E313" i="59"/>
  <c r="D313" i="59"/>
  <c r="E312" i="59"/>
  <c r="D312" i="59"/>
  <c r="E311" i="59"/>
  <c r="F311" i="59" s="1"/>
  <c r="F306" i="59"/>
  <c r="E298" i="59"/>
  <c r="F298" i="59" s="1"/>
  <c r="E297" i="59"/>
  <c r="D297" i="59"/>
  <c r="E288" i="59"/>
  <c r="E286" i="59"/>
  <c r="F271" i="59"/>
  <c r="E276" i="59" s="1"/>
  <c r="F276" i="59" s="1"/>
  <c r="F266" i="59"/>
  <c r="E258" i="59"/>
  <c r="D258" i="59"/>
  <c r="E249" i="59"/>
  <c r="E247" i="59"/>
  <c r="E229" i="59"/>
  <c r="D229" i="59"/>
  <c r="E228" i="59"/>
  <c r="D228" i="59"/>
  <c r="E227" i="59"/>
  <c r="D227" i="59"/>
  <c r="F222" i="59"/>
  <c r="E214" i="59"/>
  <c r="F214" i="59" s="1"/>
  <c r="E213" i="59"/>
  <c r="D213" i="59"/>
  <c r="E204" i="59"/>
  <c r="E202" i="59"/>
  <c r="E185" i="59"/>
  <c r="D185" i="59"/>
  <c r="E184" i="59"/>
  <c r="D184" i="59"/>
  <c r="D183" i="59"/>
  <c r="E177" i="59"/>
  <c r="F177" i="59" s="1"/>
  <c r="E176" i="59"/>
  <c r="F176" i="59" s="1"/>
  <c r="E170" i="59"/>
  <c r="D170" i="59"/>
  <c r="E169" i="59"/>
  <c r="F169" i="59" s="1"/>
  <c r="D169" i="59"/>
  <c r="E160" i="59"/>
  <c r="E158" i="59"/>
  <c r="E141" i="59"/>
  <c r="D141" i="59"/>
  <c r="E140" i="59"/>
  <c r="D140" i="59"/>
  <c r="D139" i="59"/>
  <c r="E133" i="59"/>
  <c r="F133" i="59" s="1"/>
  <c r="E132" i="59"/>
  <c r="F132" i="59" s="1"/>
  <c r="E126" i="59"/>
  <c r="D126" i="59"/>
  <c r="E125" i="59"/>
  <c r="D125" i="59"/>
  <c r="E116" i="59"/>
  <c r="E114" i="59"/>
  <c r="E97" i="59"/>
  <c r="D97" i="59"/>
  <c r="E96" i="59"/>
  <c r="D96" i="59"/>
  <c r="D95" i="59"/>
  <c r="E89" i="59"/>
  <c r="F89" i="59" s="1"/>
  <c r="E88" i="59"/>
  <c r="F88" i="59" s="1"/>
  <c r="E82" i="59"/>
  <c r="F82" i="59" s="1"/>
  <c r="D82" i="59"/>
  <c r="E81" i="59"/>
  <c r="D81" i="59"/>
  <c r="F67" i="59"/>
  <c r="D66" i="59"/>
  <c r="F66" i="59" s="1"/>
  <c r="E65" i="59"/>
  <c r="F65" i="59" s="1"/>
  <c r="E55" i="59"/>
  <c r="E38" i="59"/>
  <c r="D36" i="59"/>
  <c r="D38" i="59" s="1"/>
  <c r="E23" i="59"/>
  <c r="D23" i="59"/>
  <c r="F9" i="59"/>
  <c r="F8" i="59"/>
  <c r="E7" i="59"/>
  <c r="F7" i="59" s="1"/>
  <c r="H26" i="20" l="1"/>
  <c r="H131" i="26"/>
  <c r="G18" i="21"/>
  <c r="G44" i="21"/>
  <c r="H236" i="55"/>
  <c r="G12" i="15"/>
  <c r="H12" i="15" s="1"/>
  <c r="F523" i="59"/>
  <c r="F312" i="59"/>
  <c r="F228" i="59"/>
  <c r="F81" i="59"/>
  <c r="F313" i="59"/>
  <c r="F435" i="59"/>
  <c r="F510" i="59"/>
  <c r="F512" i="59" s="1"/>
  <c r="E530" i="59" s="1"/>
  <c r="F530" i="59" s="1"/>
  <c r="F420" i="59"/>
  <c r="F422" i="59" s="1"/>
  <c r="E442" i="59" s="1"/>
  <c r="F442" i="59" s="1"/>
  <c r="F1090" i="59"/>
  <c r="F1092" i="59" s="1"/>
  <c r="F13" i="59"/>
  <c r="F14" i="59" s="1"/>
  <c r="E36" i="59" s="1"/>
  <c r="F36" i="59" s="1"/>
  <c r="F125" i="59"/>
  <c r="F141" i="59"/>
  <c r="F794" i="59"/>
  <c r="F96" i="59"/>
  <c r="F126" i="59"/>
  <c r="F128" i="59" s="1"/>
  <c r="E147" i="59" s="1"/>
  <c r="F147" i="59" s="1"/>
  <c r="F213" i="59"/>
  <c r="F216" i="59" s="1"/>
  <c r="E236" i="59" s="1"/>
  <c r="F236" i="59" s="1"/>
  <c r="F229" i="59"/>
  <c r="F479" i="59"/>
  <c r="F612" i="59"/>
  <c r="F616" i="59" s="1"/>
  <c r="E621" i="59" s="1"/>
  <c r="F621" i="59" s="1"/>
  <c r="F623" i="59" s="1"/>
  <c r="F625" i="59" s="1"/>
  <c r="F629" i="59" s="1"/>
  <c r="F631" i="59" s="1"/>
  <c r="F633" i="59" s="1"/>
  <c r="F745" i="59"/>
  <c r="F23" i="59"/>
  <c r="F25" i="59" s="1"/>
  <c r="E44" i="59" s="1"/>
  <c r="F44" i="59" s="1"/>
  <c r="F341" i="59"/>
  <c r="F343" i="59" s="1"/>
  <c r="E358" i="59" s="1"/>
  <c r="F358" i="59" s="1"/>
  <c r="F361" i="59" s="1"/>
  <c r="F363" i="59" s="1"/>
  <c r="F367" i="59" s="1"/>
  <c r="F369" i="59" s="1"/>
  <c r="F371" i="59" s="1"/>
  <c r="E15" i="19" s="1"/>
  <c r="F38" i="59"/>
  <c r="F97" i="59"/>
  <c r="F184" i="59"/>
  <c r="F465" i="59"/>
  <c r="F467" i="59" s="1"/>
  <c r="E487" i="59" s="1"/>
  <c r="F487" i="59" s="1"/>
  <c r="F480" i="59"/>
  <c r="F565" i="59"/>
  <c r="E1057" i="59"/>
  <c r="F1057" i="59" s="1"/>
  <c r="F400" i="59"/>
  <c r="F402" i="59" s="1"/>
  <c r="F406" i="59" s="1"/>
  <c r="F408" i="59" s="1"/>
  <c r="F410" i="59" s="1"/>
  <c r="F702" i="59"/>
  <c r="F706" i="59" s="1"/>
  <c r="E711" i="59" s="1"/>
  <c r="F711" i="59" s="1"/>
  <c r="F713" i="59" s="1"/>
  <c r="F715" i="59" s="1"/>
  <c r="F719" i="59" s="1"/>
  <c r="F721" i="59" s="1"/>
  <c r="F723" i="59" s="1"/>
  <c r="F227" i="59"/>
  <c r="F258" i="59"/>
  <c r="F260" i="59" s="1"/>
  <c r="E275" i="59" s="1"/>
  <c r="F275" i="59" s="1"/>
  <c r="F278" i="59" s="1"/>
  <c r="F280" i="59" s="1"/>
  <c r="F284" i="59" s="1"/>
  <c r="F286" i="59" s="1"/>
  <c r="F288" i="59" s="1"/>
  <c r="F297" i="59"/>
  <c r="F300" i="59" s="1"/>
  <c r="E319" i="59" s="1"/>
  <c r="F319" i="59" s="1"/>
  <c r="F434" i="59"/>
  <c r="F701" i="59"/>
  <c r="F791" i="59"/>
  <c r="F824" i="59"/>
  <c r="F826" i="59" s="1"/>
  <c r="E844" i="59" s="1"/>
  <c r="F844" i="59" s="1"/>
  <c r="F867" i="59"/>
  <c r="F870" i="59" s="1"/>
  <c r="E887" i="59" s="1"/>
  <c r="F887" i="59" s="1"/>
  <c r="F910" i="59"/>
  <c r="F913" i="59" s="1"/>
  <c r="E930" i="59" s="1"/>
  <c r="F930" i="59" s="1"/>
  <c r="F553" i="59"/>
  <c r="F555" i="59" s="1"/>
  <c r="E576" i="59" s="1"/>
  <c r="F576" i="59" s="1"/>
  <c r="F748" i="59"/>
  <c r="F71" i="59"/>
  <c r="F72" i="59" s="1"/>
  <c r="D6" i="60" s="1"/>
  <c r="E923" i="59" s="1"/>
  <c r="F923" i="59" s="1"/>
  <c r="F926" i="59" s="1"/>
  <c r="E931" i="59" s="1"/>
  <c r="F931" i="59" s="1"/>
  <c r="F185" i="59"/>
  <c r="F140" i="59"/>
  <c r="F170" i="59"/>
  <c r="F172" i="59" s="1"/>
  <c r="E191" i="59" s="1"/>
  <c r="F191" i="59" s="1"/>
  <c r="F568" i="59"/>
  <c r="F733" i="59"/>
  <c r="F735" i="59" s="1"/>
  <c r="E756" i="59" s="1"/>
  <c r="F756" i="59" s="1"/>
  <c r="F662" i="59"/>
  <c r="E667" i="59" s="1"/>
  <c r="F667" i="59" s="1"/>
  <c r="F669" i="59" s="1"/>
  <c r="F671" i="59" s="1"/>
  <c r="F675" i="59" s="1"/>
  <c r="F677" i="59" s="1"/>
  <c r="F679" i="59" s="1"/>
  <c r="F36" i="15"/>
  <c r="G36" i="15" s="1"/>
  <c r="H36" i="15" s="1"/>
  <c r="F33" i="15"/>
  <c r="F22" i="15"/>
  <c r="F10" i="15"/>
  <c r="G10" i="15" s="1"/>
  <c r="H10" i="15" s="1"/>
  <c r="F179" i="59"/>
  <c r="F91" i="59"/>
  <c r="F84" i="59"/>
  <c r="E103" i="59" s="1"/>
  <c r="F103" i="59" s="1"/>
  <c r="F135" i="59"/>
  <c r="F526" i="59"/>
  <c r="E531" i="59" s="1"/>
  <c r="F531" i="59" s="1"/>
  <c r="F158" i="30"/>
  <c r="G158" i="30" s="1"/>
  <c r="H158" i="30" s="1"/>
  <c r="F170" i="30"/>
  <c r="F183" i="30"/>
  <c r="F74" i="30"/>
  <c r="F80" i="30"/>
  <c r="F89" i="30"/>
  <c r="F114" i="30"/>
  <c r="F149" i="30"/>
  <c r="G149" i="30" s="1"/>
  <c r="H149" i="30" s="1"/>
  <c r="F159" i="30"/>
  <c r="G159" i="30" s="1"/>
  <c r="H159" i="30" s="1"/>
  <c r="F173" i="30"/>
  <c r="F108" i="30"/>
  <c r="F136" i="30"/>
  <c r="G136" i="30" s="1"/>
  <c r="H136" i="30" s="1"/>
  <c r="F152" i="30"/>
  <c r="G152" i="30" s="1"/>
  <c r="H152" i="30" s="1"/>
  <c r="F166" i="30"/>
  <c r="F184" i="30"/>
  <c r="F113" i="30"/>
  <c r="F147" i="30"/>
  <c r="G147" i="30" s="1"/>
  <c r="H147" i="30" s="1"/>
  <c r="F85" i="30"/>
  <c r="F139" i="30"/>
  <c r="G139" i="30" s="1"/>
  <c r="H139" i="30" s="1"/>
  <c r="F167" i="30"/>
  <c r="F174" i="30"/>
  <c r="F185" i="30"/>
  <c r="F75" i="30"/>
  <c r="F109" i="30"/>
  <c r="F153" i="30"/>
  <c r="G153" i="30" s="1"/>
  <c r="H153" i="30" s="1"/>
  <c r="F175" i="30"/>
  <c r="F110" i="30"/>
  <c r="F140" i="30"/>
  <c r="G140" i="30" s="1"/>
  <c r="H140" i="30" s="1"/>
  <c r="F154" i="30"/>
  <c r="G154" i="30" s="1"/>
  <c r="H154" i="30" s="1"/>
  <c r="F168" i="30"/>
  <c r="F178" i="30"/>
  <c r="F76" i="30"/>
  <c r="F87" i="30"/>
  <c r="F112" i="30"/>
  <c r="F141" i="30"/>
  <c r="G141" i="30" s="1"/>
  <c r="H141" i="30" s="1"/>
  <c r="F157" i="30"/>
  <c r="G157" i="30" s="1"/>
  <c r="H157" i="30" s="1"/>
  <c r="F179" i="30"/>
  <c r="F77" i="30"/>
  <c r="F145" i="30"/>
  <c r="G145" i="30" s="1"/>
  <c r="H145" i="30" s="1"/>
  <c r="F169" i="30"/>
  <c r="E1097" i="59"/>
  <c r="F1097" i="59" s="1"/>
  <c r="E1098" i="59"/>
  <c r="F1098" i="59" s="1"/>
  <c r="F37" i="59"/>
  <c r="F40" i="59" s="1"/>
  <c r="E45" i="59" s="1"/>
  <c r="F45" i="59" s="1"/>
  <c r="F47" i="59" s="1"/>
  <c r="F49" i="59" s="1"/>
  <c r="F53" i="59" s="1"/>
  <c r="F55" i="59" s="1"/>
  <c r="F57" i="59" s="1"/>
  <c r="E166" i="30" s="1"/>
  <c r="E174" i="30" s="1"/>
  <c r="F1059" i="59"/>
  <c r="F1061" i="59" s="1"/>
  <c r="F1065" i="59" s="1"/>
  <c r="F1067" i="59" s="1"/>
  <c r="F1069" i="59" s="1"/>
  <c r="E19" i="19" l="1"/>
  <c r="G19" i="19" s="1"/>
  <c r="H19" i="19" s="1"/>
  <c r="E17" i="19"/>
  <c r="G17" i="19" s="1"/>
  <c r="H17" i="19" s="1"/>
  <c r="G15" i="19"/>
  <c r="H15" i="19" s="1"/>
  <c r="F533" i="59"/>
  <c r="F535" i="59" s="1"/>
  <c r="F539" i="59" s="1"/>
  <c r="F541" i="59" s="1"/>
  <c r="F543" i="59" s="1"/>
  <c r="E32" i="19"/>
  <c r="G32" i="19" s="1"/>
  <c r="H32" i="19" s="1"/>
  <c r="E30" i="19"/>
  <c r="G30" i="19" s="1"/>
  <c r="H30" i="19" s="1"/>
  <c r="G28" i="19"/>
  <c r="H28" i="19" s="1"/>
  <c r="F438" i="59"/>
  <c r="E443" i="59" s="1"/>
  <c r="F443" i="59" s="1"/>
  <c r="F445" i="59" s="1"/>
  <c r="F447" i="59" s="1"/>
  <c r="F451" i="59" s="1"/>
  <c r="F453" i="59" s="1"/>
  <c r="F455" i="59" s="1"/>
  <c r="E95" i="59"/>
  <c r="F95" i="59" s="1"/>
  <c r="F99" i="59" s="1"/>
  <c r="E104" i="59" s="1"/>
  <c r="F104" i="59" s="1"/>
  <c r="E310" i="59"/>
  <c r="F310" i="59" s="1"/>
  <c r="F315" i="59" s="1"/>
  <c r="E320" i="59" s="1"/>
  <c r="F320" i="59" s="1"/>
  <c r="F483" i="59"/>
  <c r="E488" i="59" s="1"/>
  <c r="F488" i="59" s="1"/>
  <c r="F490" i="59" s="1"/>
  <c r="F492" i="59" s="1"/>
  <c r="F496" i="59" s="1"/>
  <c r="F498" i="59" s="1"/>
  <c r="F500" i="59" s="1"/>
  <c r="E139" i="59"/>
  <c r="F139" i="59" s="1"/>
  <c r="F143" i="59" s="1"/>
  <c r="E148" i="59" s="1"/>
  <c r="F148" i="59" s="1"/>
  <c r="F150" i="59" s="1"/>
  <c r="F152" i="59" s="1"/>
  <c r="F156" i="59" s="1"/>
  <c r="F158" i="59" s="1"/>
  <c r="F160" i="59" s="1"/>
  <c r="E108" i="30" s="1"/>
  <c r="G108" i="30" s="1"/>
  <c r="H108" i="30" s="1"/>
  <c r="E566" i="59"/>
  <c r="F566" i="59" s="1"/>
  <c r="F572" i="59" s="1"/>
  <c r="E577" i="59" s="1"/>
  <c r="F577" i="59" s="1"/>
  <c r="F579" i="59" s="1"/>
  <c r="F581" i="59" s="1"/>
  <c r="F585" i="59" s="1"/>
  <c r="F587" i="59" s="1"/>
  <c r="F589" i="59" s="1"/>
  <c r="E226" i="59"/>
  <c r="F226" i="59" s="1"/>
  <c r="E237" i="59" s="1"/>
  <c r="F237" i="59" s="1"/>
  <c r="F239" i="59" s="1"/>
  <c r="F241" i="59" s="1"/>
  <c r="F245" i="59" s="1"/>
  <c r="F247" i="59" s="1"/>
  <c r="F249" i="59" s="1"/>
  <c r="E23" i="19" s="1"/>
  <c r="G22" i="15"/>
  <c r="H22" i="15" s="1"/>
  <c r="H44" i="15" s="1"/>
  <c r="E746" i="59"/>
  <c r="F746" i="59" s="1"/>
  <c r="F752" i="59" s="1"/>
  <c r="E757" i="59" s="1"/>
  <c r="F757" i="59" s="1"/>
  <c r="F759" i="59" s="1"/>
  <c r="F761" i="59" s="1"/>
  <c r="F765" i="59" s="1"/>
  <c r="F767" i="59" s="1"/>
  <c r="F769" i="59" s="1"/>
  <c r="E880" i="59"/>
  <c r="F880" i="59" s="1"/>
  <c r="F883" i="59" s="1"/>
  <c r="E888" i="59" s="1"/>
  <c r="F888" i="59" s="1"/>
  <c r="F890" i="59" s="1"/>
  <c r="F892" i="59" s="1"/>
  <c r="F896" i="59" s="1"/>
  <c r="F898" i="59" s="1"/>
  <c r="F900" i="59" s="1"/>
  <c r="E183" i="59"/>
  <c r="F183" i="59" s="1"/>
  <c r="F187" i="59" s="1"/>
  <c r="E192" i="59" s="1"/>
  <c r="F192" i="59" s="1"/>
  <c r="F194" i="59" s="1"/>
  <c r="F196" i="59" s="1"/>
  <c r="F200" i="59" s="1"/>
  <c r="F202" i="59" s="1"/>
  <c r="F204" i="59" s="1"/>
  <c r="E74" i="30" s="1"/>
  <c r="E792" i="59"/>
  <c r="F792" i="59" s="1"/>
  <c r="F798" i="59" s="1"/>
  <c r="E803" i="59" s="1"/>
  <c r="F803" i="59" s="1"/>
  <c r="F805" i="59" s="1"/>
  <c r="F807" i="59" s="1"/>
  <c r="F811" i="59" s="1"/>
  <c r="F813" i="59" s="1"/>
  <c r="F815" i="59" s="1"/>
  <c r="G102" i="21" s="1"/>
  <c r="E837" i="59"/>
  <c r="F837" i="59" s="1"/>
  <c r="F840" i="59" s="1"/>
  <c r="E845" i="59" s="1"/>
  <c r="F845" i="59" s="1"/>
  <c r="F847" i="59" s="1"/>
  <c r="F849" i="59" s="1"/>
  <c r="F853" i="59" s="1"/>
  <c r="F855" i="59" s="1"/>
  <c r="F857" i="59" s="1"/>
  <c r="H857" i="59" s="1"/>
  <c r="F322" i="59"/>
  <c r="F324" i="59" s="1"/>
  <c r="F328" i="59" s="1"/>
  <c r="F330" i="59" s="1"/>
  <c r="F332" i="59" s="1"/>
  <c r="E10" i="19" s="1"/>
  <c r="F933" i="59"/>
  <c r="F935" i="59" s="1"/>
  <c r="F939" i="59" s="1"/>
  <c r="F941" i="59" s="1"/>
  <c r="F943" i="59" s="1"/>
  <c r="E21" i="31" s="1"/>
  <c r="F106" i="59"/>
  <c r="F108" i="59" s="1"/>
  <c r="F112" i="59" s="1"/>
  <c r="F114" i="59" s="1"/>
  <c r="F116" i="59" s="1"/>
  <c r="H116" i="59" s="1"/>
  <c r="G25" i="30" s="1"/>
  <c r="H25" i="30" s="1"/>
  <c r="F1100" i="59"/>
  <c r="F1102" i="59" s="1"/>
  <c r="F1106" i="59" s="1"/>
  <c r="F1108" i="59" s="1"/>
  <c r="F1110" i="59" s="1"/>
  <c r="E33" i="15" s="1"/>
  <c r="G33" i="15" s="1"/>
  <c r="H33" i="15" s="1"/>
  <c r="G166" i="30"/>
  <c r="H166" i="30" s="1"/>
  <c r="E170" i="30"/>
  <c r="G170" i="30" s="1"/>
  <c r="H170" i="30" s="1"/>
  <c r="E169" i="30"/>
  <c r="G169" i="30" s="1"/>
  <c r="H169" i="30" s="1"/>
  <c r="E168" i="30"/>
  <c r="G168" i="30" s="1"/>
  <c r="H168" i="30" s="1"/>
  <c r="E175" i="30"/>
  <c r="G175" i="30" s="1"/>
  <c r="H175" i="30" s="1"/>
  <c r="E173" i="30"/>
  <c r="G173" i="30" s="1"/>
  <c r="H173" i="30" s="1"/>
  <c r="E167" i="30"/>
  <c r="G167" i="30" s="1"/>
  <c r="H167" i="30" s="1"/>
  <c r="G174" i="30"/>
  <c r="H174" i="30" s="1"/>
  <c r="E25" i="19" l="1"/>
  <c r="G25" i="19" s="1"/>
  <c r="H25" i="19" s="1"/>
  <c r="E24" i="19"/>
  <c r="G24" i="19" s="1"/>
  <c r="H24" i="19" s="1"/>
  <c r="G23" i="19"/>
  <c r="H23" i="19" s="1"/>
  <c r="E12" i="19"/>
  <c r="G12" i="19" s="1"/>
  <c r="H12" i="19" s="1"/>
  <c r="E11" i="19"/>
  <c r="G11" i="19" s="1"/>
  <c r="H11" i="19" s="1"/>
  <c r="G10" i="19"/>
  <c r="H10" i="19" s="1"/>
  <c r="E76" i="30"/>
  <c r="G76" i="30" s="1"/>
  <c r="H76" i="30" s="1"/>
  <c r="E75" i="30"/>
  <c r="E85" i="30" s="1"/>
  <c r="G85" i="30" s="1"/>
  <c r="H85" i="30" s="1"/>
  <c r="E77" i="30"/>
  <c r="G77" i="30" s="1"/>
  <c r="H77" i="30" s="1"/>
  <c r="E29" i="31"/>
  <c r="G23" i="31"/>
  <c r="H23" i="31" s="1"/>
  <c r="G74" i="30"/>
  <c r="H74" i="30" s="1"/>
  <c r="G21" i="31"/>
  <c r="E80" i="30"/>
  <c r="G80" i="30" s="1"/>
  <c r="H80" i="30" s="1"/>
  <c r="E22" i="31"/>
  <c r="G22" i="31" s="1"/>
  <c r="H22" i="31" s="1"/>
  <c r="G29" i="31"/>
  <c r="H29" i="31" s="1"/>
  <c r="G31" i="31"/>
  <c r="H31" i="31" s="1"/>
  <c r="E30" i="31"/>
  <c r="G30" i="31" s="1"/>
  <c r="H30" i="31" s="1"/>
  <c r="E183" i="30"/>
  <c r="G183" i="30" s="1"/>
  <c r="H183" i="30" s="1"/>
  <c r="E184" i="30"/>
  <c r="G184" i="30" s="1"/>
  <c r="H184" i="30" s="1"/>
  <c r="E179" i="30"/>
  <c r="G179" i="30" s="1"/>
  <c r="H179" i="30" s="1"/>
  <c r="E178" i="30"/>
  <c r="G178" i="30" s="1"/>
  <c r="H178" i="30" s="1"/>
  <c r="E185" i="30"/>
  <c r="G185" i="30" s="1"/>
  <c r="H185" i="30" s="1"/>
  <c r="E180" i="30"/>
  <c r="G180" i="30" s="1"/>
  <c r="H180" i="30" s="1"/>
  <c r="E112" i="30"/>
  <c r="G112" i="30" s="1"/>
  <c r="H112" i="30" s="1"/>
  <c r="E110" i="30"/>
  <c r="E109" i="30"/>
  <c r="G75" i="30" l="1"/>
  <c r="H75" i="30" s="1"/>
  <c r="E87" i="30"/>
  <c r="G87" i="30" s="1"/>
  <c r="H87" i="30" s="1"/>
  <c r="E89" i="30"/>
  <c r="G89" i="30" s="1"/>
  <c r="H89" i="30" s="1"/>
  <c r="E113" i="30"/>
  <c r="G113" i="30" s="1"/>
  <c r="H113" i="30" s="1"/>
  <c r="G109" i="30"/>
  <c r="H109" i="30" s="1"/>
  <c r="E114" i="30"/>
  <c r="G114" i="30" s="1"/>
  <c r="H114" i="30" s="1"/>
  <c r="G110" i="30"/>
  <c r="H110" i="30" s="1"/>
  <c r="H187" i="30" l="1"/>
  <c r="Q10" i="30" l="1"/>
  <c r="Q107" i="30"/>
  <c r="Q108" i="30"/>
  <c r="Q109" i="30"/>
  <c r="R109" i="30"/>
  <c r="Q158" i="30"/>
  <c r="R158" i="30"/>
  <c r="C5" i="32"/>
  <c r="C17" i="29"/>
  <c r="C16" i="29"/>
  <c r="C15" i="29"/>
  <c r="C14" i="29"/>
  <c r="C21" i="29" s="1"/>
  <c r="C12" i="29"/>
  <c r="C10" i="29"/>
  <c r="C9" i="29"/>
  <c r="C8" i="29"/>
  <c r="C7" i="29"/>
  <c r="B7" i="29"/>
  <c r="D103" i="26"/>
  <c r="D107" i="26" s="1"/>
  <c r="A87" i="26"/>
  <c r="A89" i="26" s="1"/>
  <c r="A91" i="26" s="1"/>
  <c r="A93" i="26" s="1"/>
  <c r="A95" i="26" s="1"/>
  <c r="A97" i="26" s="1"/>
  <c r="A99" i="26" s="1"/>
  <c r="A101" i="26" s="1"/>
  <c r="A103" i="26" s="1"/>
  <c r="A105" i="26" s="1"/>
  <c r="A107" i="26" s="1"/>
  <c r="A109" i="26" s="1"/>
  <c r="C166" i="55"/>
  <c r="B94" i="22"/>
  <c r="C109" i="21"/>
  <c r="K833" i="12"/>
  <c r="I833" i="12"/>
  <c r="J833" i="12" s="1"/>
  <c r="K831" i="12"/>
  <c r="I831" i="12"/>
  <c r="J831" i="12" s="1"/>
  <c r="K829" i="12"/>
  <c r="I829" i="12"/>
  <c r="J829" i="12" s="1"/>
  <c r="B831" i="12"/>
  <c r="B829" i="12"/>
  <c r="B828" i="12"/>
  <c r="K823" i="12"/>
  <c r="K826" i="12"/>
  <c r="I826" i="12"/>
  <c r="I825" i="12"/>
  <c r="J826" i="12" s="1"/>
  <c r="I823" i="12"/>
  <c r="J823" i="12" s="1"/>
  <c r="B823" i="12"/>
  <c r="B822" i="12"/>
  <c r="K820" i="12"/>
  <c r="I820" i="12"/>
  <c r="I819" i="12"/>
  <c r="B819" i="12"/>
  <c r="B825" i="12" s="1"/>
  <c r="B818" i="12"/>
  <c r="K816" i="12"/>
  <c r="I816" i="12"/>
  <c r="J816" i="12" s="1"/>
  <c r="B816" i="12"/>
  <c r="B833" i="12" s="1"/>
  <c r="B815" i="12"/>
  <c r="B99" i="21"/>
  <c r="J813" i="12"/>
  <c r="K813" i="12"/>
  <c r="K811" i="12"/>
  <c r="K807" i="12"/>
  <c r="I813" i="12"/>
  <c r="I811" i="12"/>
  <c r="I810" i="12"/>
  <c r="I809" i="12"/>
  <c r="I807" i="12"/>
  <c r="I806" i="12"/>
  <c r="I805" i="12"/>
  <c r="B804" i="12"/>
  <c r="K802" i="12"/>
  <c r="I802" i="12"/>
  <c r="I801" i="12"/>
  <c r="I800" i="12"/>
  <c r="I799" i="12"/>
  <c r="I794" i="12"/>
  <c r="K797" i="12"/>
  <c r="I797" i="12"/>
  <c r="I796" i="12"/>
  <c r="I795" i="12"/>
  <c r="K792" i="12"/>
  <c r="I792" i="12"/>
  <c r="I791" i="12"/>
  <c r="J792" i="12" s="1"/>
  <c r="B790" i="12"/>
  <c r="K788" i="12"/>
  <c r="I788" i="12"/>
  <c r="J788" i="12" s="1"/>
  <c r="B787" i="12"/>
  <c r="K785" i="12"/>
  <c r="I785" i="12"/>
  <c r="I784" i="12"/>
  <c r="I783" i="12"/>
  <c r="B782" i="12"/>
  <c r="B783" i="12"/>
  <c r="F763" i="12"/>
  <c r="I763" i="12" s="1"/>
  <c r="J763" i="12" s="1"/>
  <c r="F760" i="12"/>
  <c r="I760" i="12" s="1"/>
  <c r="J760" i="12" s="1"/>
  <c r="B74" i="21"/>
  <c r="K779" i="12"/>
  <c r="I779" i="12"/>
  <c r="J779" i="12" s="1"/>
  <c r="B778" i="12"/>
  <c r="K776" i="12"/>
  <c r="I776" i="12"/>
  <c r="I775" i="12"/>
  <c r="K773" i="12"/>
  <c r="I773" i="12"/>
  <c r="I772" i="12"/>
  <c r="B772" i="12"/>
  <c r="B771" i="12"/>
  <c r="K769" i="12"/>
  <c r="I769" i="12"/>
  <c r="J769" i="12" s="1"/>
  <c r="B768" i="12"/>
  <c r="K766" i="12"/>
  <c r="I766" i="12"/>
  <c r="J766" i="12" s="1"/>
  <c r="B765" i="12"/>
  <c r="K763" i="12"/>
  <c r="B762" i="12"/>
  <c r="K760" i="12"/>
  <c r="B759" i="12"/>
  <c r="F746" i="12"/>
  <c r="I746" i="12" s="1"/>
  <c r="K748" i="12"/>
  <c r="I748" i="12"/>
  <c r="I747" i="12"/>
  <c r="K751" i="12"/>
  <c r="I751" i="12"/>
  <c r="I750" i="12"/>
  <c r="K757" i="12"/>
  <c r="I757" i="12"/>
  <c r="I756" i="12"/>
  <c r="I755" i="12"/>
  <c r="I754" i="12"/>
  <c r="I753" i="12"/>
  <c r="B745" i="12"/>
  <c r="B44" i="21"/>
  <c r="B53" i="21" s="1"/>
  <c r="B56" i="21" s="1"/>
  <c r="B67" i="21" s="1"/>
  <c r="B779" i="12" s="1"/>
  <c r="B788" i="12" s="1"/>
  <c r="B43" i="21"/>
  <c r="K743" i="12"/>
  <c r="I743" i="12"/>
  <c r="J743" i="12" s="1"/>
  <c r="B743" i="12"/>
  <c r="B753" i="12" s="1"/>
  <c r="B766" i="12" s="1"/>
  <c r="B769" i="12" s="1"/>
  <c r="K741" i="12"/>
  <c r="I741" i="12"/>
  <c r="J741" i="12" s="1"/>
  <c r="B741" i="12"/>
  <c r="B750" i="12" s="1"/>
  <c r="B775" i="12" s="1"/>
  <c r="B736" i="12"/>
  <c r="K739" i="12"/>
  <c r="I739" i="12"/>
  <c r="I738" i="12"/>
  <c r="I737" i="12"/>
  <c r="I731" i="12"/>
  <c r="J731" i="12" s="1"/>
  <c r="K731" i="12"/>
  <c r="B731" i="12"/>
  <c r="B737" i="12" s="1"/>
  <c r="B746" i="12" s="1"/>
  <c r="B760" i="12" s="1"/>
  <c r="B763" i="12" s="1"/>
  <c r="B730" i="12"/>
  <c r="K728" i="12"/>
  <c r="I728" i="12"/>
  <c r="J728" i="12" s="1"/>
  <c r="K726" i="12"/>
  <c r="I726" i="12"/>
  <c r="I724" i="12"/>
  <c r="F725" i="12"/>
  <c r="I725" i="12" s="1"/>
  <c r="B728" i="12"/>
  <c r="B724" i="12"/>
  <c r="K722" i="12"/>
  <c r="I722" i="12"/>
  <c r="I720" i="12"/>
  <c r="F721" i="12"/>
  <c r="I721" i="12" s="1"/>
  <c r="B721" i="12"/>
  <c r="B720" i="12"/>
  <c r="B719" i="12"/>
  <c r="I717" i="12"/>
  <c r="I716" i="12"/>
  <c r="I715" i="12"/>
  <c r="I714" i="12"/>
  <c r="I713" i="12"/>
  <c r="I712" i="12"/>
  <c r="I711" i="12"/>
  <c r="I710" i="12"/>
  <c r="I709" i="12"/>
  <c r="I708" i="12"/>
  <c r="I707" i="12"/>
  <c r="I706" i="12"/>
  <c r="I705" i="12"/>
  <c r="I704" i="12"/>
  <c r="I703" i="12"/>
  <c r="I702" i="12"/>
  <c r="I701" i="12"/>
  <c r="I700" i="12"/>
  <c r="I699" i="12"/>
  <c r="I698" i="12"/>
  <c r="I697" i="12"/>
  <c r="I696" i="12"/>
  <c r="I695" i="12"/>
  <c r="I693" i="12"/>
  <c r="I692" i="12"/>
  <c r="I689" i="12"/>
  <c r="I688" i="12"/>
  <c r="I687" i="12"/>
  <c r="I686" i="12"/>
  <c r="I685" i="12"/>
  <c r="I684" i="12"/>
  <c r="I683" i="12"/>
  <c r="I682" i="12"/>
  <c r="I681" i="12"/>
  <c r="I680" i="12"/>
  <c r="I679" i="12"/>
  <c r="I678" i="12"/>
  <c r="I677" i="12"/>
  <c r="I676" i="12"/>
  <c r="I675" i="12"/>
  <c r="K717" i="12"/>
  <c r="B675" i="12"/>
  <c r="K673" i="12"/>
  <c r="I673" i="12"/>
  <c r="J673" i="12" s="1"/>
  <c r="B673" i="12"/>
  <c r="I670" i="12"/>
  <c r="J670" i="12" s="1"/>
  <c r="I667" i="12"/>
  <c r="J667" i="12" s="1"/>
  <c r="I664" i="12"/>
  <c r="J664" i="12" s="1"/>
  <c r="B670" i="12"/>
  <c r="B667" i="12"/>
  <c r="K670" i="12"/>
  <c r="K667" i="12"/>
  <c r="K664" i="12"/>
  <c r="B664" i="12"/>
  <c r="B647" i="12"/>
  <c r="B616" i="12"/>
  <c r="B580" i="12"/>
  <c r="K662" i="12"/>
  <c r="I662" i="12"/>
  <c r="I661" i="12"/>
  <c r="I660" i="12"/>
  <c r="I659" i="12"/>
  <c r="I658" i="12"/>
  <c r="I657" i="12"/>
  <c r="I656" i="12"/>
  <c r="I655" i="12"/>
  <c r="I654" i="12"/>
  <c r="I653" i="12"/>
  <c r="I652" i="12"/>
  <c r="I651" i="12"/>
  <c r="I650" i="12"/>
  <c r="I649" i="12"/>
  <c r="I648" i="12"/>
  <c r="I647" i="12"/>
  <c r="K645" i="12"/>
  <c r="I645" i="12"/>
  <c r="I644" i="12"/>
  <c r="I643" i="12"/>
  <c r="I642" i="12"/>
  <c r="I641" i="12"/>
  <c r="I640" i="12"/>
  <c r="I639" i="12"/>
  <c r="I638" i="12"/>
  <c r="I637" i="12"/>
  <c r="I636" i="12"/>
  <c r="I635" i="12"/>
  <c r="I634" i="12"/>
  <c r="I633" i="12"/>
  <c r="I632" i="12"/>
  <c r="I631" i="12"/>
  <c r="I630" i="12"/>
  <c r="I629" i="12"/>
  <c r="I628" i="12"/>
  <c r="I627" i="12"/>
  <c r="I626" i="12"/>
  <c r="I625" i="12"/>
  <c r="I624" i="12"/>
  <c r="I623" i="12"/>
  <c r="I622" i="12"/>
  <c r="I621" i="12"/>
  <c r="I620" i="12"/>
  <c r="I619" i="12"/>
  <c r="I618" i="12"/>
  <c r="I617" i="12"/>
  <c r="I616" i="12"/>
  <c r="K614" i="12"/>
  <c r="I614" i="12"/>
  <c r="I613" i="12"/>
  <c r="I612" i="12"/>
  <c r="I611" i="12"/>
  <c r="I610" i="12"/>
  <c r="I609" i="12"/>
  <c r="I608" i="12"/>
  <c r="I607" i="12"/>
  <c r="I606" i="12"/>
  <c r="I605" i="12"/>
  <c r="I604" i="12"/>
  <c r="I603" i="12"/>
  <c r="I602" i="12"/>
  <c r="I601" i="12"/>
  <c r="I600" i="12"/>
  <c r="I599" i="12"/>
  <c r="I598" i="12"/>
  <c r="I597" i="12"/>
  <c r="I596" i="12"/>
  <c r="I595" i="12"/>
  <c r="I594" i="12"/>
  <c r="I593" i="12"/>
  <c r="I592" i="12"/>
  <c r="I591" i="12"/>
  <c r="I590" i="12"/>
  <c r="I589" i="12"/>
  <c r="I588" i="12"/>
  <c r="I587" i="12"/>
  <c r="I586" i="12"/>
  <c r="I585" i="12"/>
  <c r="I584" i="12"/>
  <c r="I583" i="12"/>
  <c r="I582" i="12"/>
  <c r="I581" i="12"/>
  <c r="I580" i="12"/>
  <c r="B578" i="12"/>
  <c r="B576" i="12"/>
  <c r="K578" i="12"/>
  <c r="I578" i="12"/>
  <c r="J578" i="12" s="1"/>
  <c r="K576" i="12"/>
  <c r="I576" i="12"/>
  <c r="J576" i="12" s="1"/>
  <c r="K574" i="12"/>
  <c r="I574" i="12"/>
  <c r="I573" i="12"/>
  <c r="I572" i="12"/>
  <c r="I571" i="12"/>
  <c r="I570" i="12"/>
  <c r="I569" i="12"/>
  <c r="I568" i="12"/>
  <c r="I567" i="12"/>
  <c r="I566" i="12"/>
  <c r="I565" i="12"/>
  <c r="I564" i="12"/>
  <c r="I563" i="12"/>
  <c r="I562" i="12"/>
  <c r="I561" i="12"/>
  <c r="I560" i="12"/>
  <c r="I559" i="12"/>
  <c r="I558" i="12"/>
  <c r="I557" i="12"/>
  <c r="I556" i="12"/>
  <c r="I555" i="12"/>
  <c r="I554" i="12"/>
  <c r="I553" i="12"/>
  <c r="I552" i="12"/>
  <c r="B552" i="12"/>
  <c r="K550" i="12"/>
  <c r="H550" i="12"/>
  <c r="I550" i="12" s="1"/>
  <c r="H549" i="12"/>
  <c r="I549" i="12" s="1"/>
  <c r="H548" i="12"/>
  <c r="I548" i="12" s="1"/>
  <c r="H547" i="12"/>
  <c r="I547" i="12" s="1"/>
  <c r="H546" i="12"/>
  <c r="I546" i="12" s="1"/>
  <c r="H545" i="12"/>
  <c r="I545" i="12" s="1"/>
  <c r="H544" i="12"/>
  <c r="I544" i="12" s="1"/>
  <c r="H543" i="12"/>
  <c r="I543" i="12" s="1"/>
  <c r="H542" i="12"/>
  <c r="I542" i="12" s="1"/>
  <c r="H541" i="12"/>
  <c r="I541" i="12" s="1"/>
  <c r="H540" i="12"/>
  <c r="I540" i="12" s="1"/>
  <c r="H539" i="12"/>
  <c r="I539" i="12" s="1"/>
  <c r="H538" i="12"/>
  <c r="I538" i="12" s="1"/>
  <c r="H537" i="12"/>
  <c r="I537" i="12" s="1"/>
  <c r="H536" i="12"/>
  <c r="I536" i="12" s="1"/>
  <c r="H535" i="12"/>
  <c r="I535" i="12" s="1"/>
  <c r="H534" i="12"/>
  <c r="I534" i="12" s="1"/>
  <c r="H533" i="12"/>
  <c r="I533" i="12" s="1"/>
  <c r="H532" i="12"/>
  <c r="I532" i="12" s="1"/>
  <c r="H531" i="12"/>
  <c r="I531" i="12" s="1"/>
  <c r="H530" i="12"/>
  <c r="I530" i="12" s="1"/>
  <c r="H529" i="12"/>
  <c r="I529" i="12" s="1"/>
  <c r="H528" i="12"/>
  <c r="I528" i="12" s="1"/>
  <c r="B528" i="12"/>
  <c r="B504" i="12"/>
  <c r="K526" i="12"/>
  <c r="I526" i="12"/>
  <c r="I525" i="12"/>
  <c r="I524" i="12"/>
  <c r="I523" i="12"/>
  <c r="I522" i="12"/>
  <c r="I521" i="12"/>
  <c r="I520" i="12"/>
  <c r="I519" i="12"/>
  <c r="I518" i="12"/>
  <c r="I517" i="12"/>
  <c r="I516" i="12"/>
  <c r="I515" i="12"/>
  <c r="I514" i="12"/>
  <c r="I513" i="12"/>
  <c r="I512" i="12"/>
  <c r="I511" i="12"/>
  <c r="I510" i="12"/>
  <c r="I509" i="12"/>
  <c r="I508" i="12"/>
  <c r="I507" i="12"/>
  <c r="I506" i="12"/>
  <c r="I505" i="12"/>
  <c r="I504" i="12"/>
  <c r="K502" i="12"/>
  <c r="I502" i="12"/>
  <c r="I501" i="12"/>
  <c r="I498" i="12"/>
  <c r="I497" i="12"/>
  <c r="I496" i="12"/>
  <c r="I495" i="12"/>
  <c r="I494" i="12"/>
  <c r="I493" i="12"/>
  <c r="I492" i="12"/>
  <c r="I491" i="12"/>
  <c r="I490" i="12"/>
  <c r="I489" i="12"/>
  <c r="I488" i="12"/>
  <c r="I487" i="12"/>
  <c r="I486" i="12"/>
  <c r="I485" i="12"/>
  <c r="I484" i="12"/>
  <c r="B484" i="12"/>
  <c r="B482" i="12"/>
  <c r="B480" i="12"/>
  <c r="K477" i="12"/>
  <c r="I477" i="12"/>
  <c r="J477" i="12" s="1"/>
  <c r="B477" i="12"/>
  <c r="K474" i="12"/>
  <c r="I474" i="12"/>
  <c r="J474" i="12" s="1"/>
  <c r="B474" i="12"/>
  <c r="K471" i="12"/>
  <c r="I471" i="12"/>
  <c r="J471" i="12" s="1"/>
  <c r="B471" i="12"/>
  <c r="K469" i="12"/>
  <c r="I469" i="12"/>
  <c r="I468" i="12"/>
  <c r="I467" i="12"/>
  <c r="I466" i="12"/>
  <c r="I465" i="12"/>
  <c r="I464" i="12"/>
  <c r="I463" i="12"/>
  <c r="I462" i="12"/>
  <c r="I461" i="12"/>
  <c r="I460" i="12"/>
  <c r="I459" i="12"/>
  <c r="I458" i="12"/>
  <c r="I457" i="12"/>
  <c r="I456" i="12"/>
  <c r="I455" i="12"/>
  <c r="I454" i="12"/>
  <c r="B454" i="12"/>
  <c r="K452" i="12"/>
  <c r="I452" i="12"/>
  <c r="I451" i="12"/>
  <c r="I450" i="12"/>
  <c r="I449" i="12"/>
  <c r="I448" i="12"/>
  <c r="I447" i="12"/>
  <c r="I446" i="12"/>
  <c r="I445" i="12"/>
  <c r="I444" i="12"/>
  <c r="I443" i="12"/>
  <c r="I442" i="12"/>
  <c r="I441" i="12"/>
  <c r="I440" i="12"/>
  <c r="I439" i="12"/>
  <c r="I438" i="12"/>
  <c r="I437" i="12"/>
  <c r="I436" i="12"/>
  <c r="I435" i="12"/>
  <c r="I434" i="12"/>
  <c r="I433" i="12"/>
  <c r="I432" i="12"/>
  <c r="I431" i="12"/>
  <c r="I430" i="12"/>
  <c r="I429" i="12"/>
  <c r="I428" i="12"/>
  <c r="I427" i="12"/>
  <c r="I426" i="12"/>
  <c r="I425" i="12"/>
  <c r="I424" i="12"/>
  <c r="I423" i="12"/>
  <c r="B423" i="12"/>
  <c r="K421" i="12"/>
  <c r="I421" i="12"/>
  <c r="I420" i="12"/>
  <c r="I419" i="12"/>
  <c r="I418" i="12"/>
  <c r="I417" i="12"/>
  <c r="I416" i="12"/>
  <c r="I415" i="12"/>
  <c r="I414" i="12"/>
  <c r="I413" i="12"/>
  <c r="I412" i="12"/>
  <c r="I411" i="12"/>
  <c r="I410" i="12"/>
  <c r="I409" i="12"/>
  <c r="I408" i="12"/>
  <c r="I407" i="12"/>
  <c r="I406" i="12"/>
  <c r="I405" i="12"/>
  <c r="I404" i="12"/>
  <c r="I403" i="12"/>
  <c r="I402" i="12"/>
  <c r="I401" i="12"/>
  <c r="I400" i="12"/>
  <c r="I399" i="12"/>
  <c r="I398" i="12"/>
  <c r="I397" i="12"/>
  <c r="I396" i="12"/>
  <c r="I395" i="12"/>
  <c r="I394" i="12"/>
  <c r="I393" i="12"/>
  <c r="I392" i="12"/>
  <c r="I391" i="12"/>
  <c r="I390" i="12"/>
  <c r="I389" i="12"/>
  <c r="I388" i="12"/>
  <c r="I387" i="12"/>
  <c r="B387" i="12"/>
  <c r="A385" i="12"/>
  <c r="K385" i="12"/>
  <c r="I385" i="12"/>
  <c r="J385" i="12" s="1"/>
  <c r="B385" i="12"/>
  <c r="K383" i="12"/>
  <c r="I383" i="12"/>
  <c r="J383" i="12" s="1"/>
  <c r="A383" i="12"/>
  <c r="B383" i="12"/>
  <c r="K381" i="12"/>
  <c r="I381" i="12"/>
  <c r="I380" i="12"/>
  <c r="I379" i="12"/>
  <c r="I378" i="12"/>
  <c r="I377" i="12"/>
  <c r="I376" i="12"/>
  <c r="I375" i="12"/>
  <c r="I374" i="12"/>
  <c r="I373" i="12"/>
  <c r="I372" i="12"/>
  <c r="I371" i="12"/>
  <c r="I370" i="12"/>
  <c r="I369" i="12"/>
  <c r="I368" i="12"/>
  <c r="I367" i="12"/>
  <c r="I366" i="12"/>
  <c r="I365" i="12"/>
  <c r="I364" i="12"/>
  <c r="I363" i="12"/>
  <c r="I362" i="12"/>
  <c r="I361" i="12"/>
  <c r="I360" i="12"/>
  <c r="I359" i="12"/>
  <c r="A359" i="12"/>
  <c r="B359" i="12"/>
  <c r="I356" i="12"/>
  <c r="J356" i="12" s="1"/>
  <c r="K356" i="12"/>
  <c r="B356" i="12"/>
  <c r="K354" i="12"/>
  <c r="I354" i="12"/>
  <c r="I353" i="12"/>
  <c r="I350" i="12"/>
  <c r="I349" i="12"/>
  <c r="I348" i="12"/>
  <c r="I347" i="12"/>
  <c r="I346" i="12"/>
  <c r="I345" i="12"/>
  <c r="I344" i="12"/>
  <c r="I343" i="12"/>
  <c r="I342" i="12"/>
  <c r="I341" i="12"/>
  <c r="I340" i="12"/>
  <c r="I339" i="12"/>
  <c r="I338" i="12"/>
  <c r="I337" i="12"/>
  <c r="I336" i="12"/>
  <c r="B336" i="12"/>
  <c r="K334" i="12"/>
  <c r="H334" i="12"/>
  <c r="I334" i="12" s="1"/>
  <c r="H333" i="12"/>
  <c r="I333" i="12" s="1"/>
  <c r="H332" i="12"/>
  <c r="I332" i="12" s="1"/>
  <c r="H331" i="12"/>
  <c r="I331" i="12" s="1"/>
  <c r="H330" i="12"/>
  <c r="I330" i="12" s="1"/>
  <c r="H329" i="12"/>
  <c r="I329" i="12" s="1"/>
  <c r="H328" i="12"/>
  <c r="I328" i="12" s="1"/>
  <c r="H327" i="12"/>
  <c r="I327" i="12" s="1"/>
  <c r="H326" i="12"/>
  <c r="I326" i="12" s="1"/>
  <c r="H325" i="12"/>
  <c r="I325" i="12" s="1"/>
  <c r="H324" i="12"/>
  <c r="I324" i="12" s="1"/>
  <c r="H323" i="12"/>
  <c r="I323" i="12" s="1"/>
  <c r="H322" i="12"/>
  <c r="I322" i="12" s="1"/>
  <c r="H321" i="12"/>
  <c r="I321" i="12" s="1"/>
  <c r="H320" i="12"/>
  <c r="I320" i="12" s="1"/>
  <c r="H319" i="12"/>
  <c r="I319" i="12" s="1"/>
  <c r="H318" i="12"/>
  <c r="I318" i="12" s="1"/>
  <c r="H317" i="12"/>
  <c r="I317" i="12" s="1"/>
  <c r="H316" i="12"/>
  <c r="I316" i="12" s="1"/>
  <c r="H315" i="12"/>
  <c r="I315" i="12" s="1"/>
  <c r="H314" i="12"/>
  <c r="I314" i="12" s="1"/>
  <c r="H313" i="12"/>
  <c r="I313" i="12" s="1"/>
  <c r="H312" i="12"/>
  <c r="I312" i="12" s="1"/>
  <c r="B312" i="12"/>
  <c r="B289" i="12"/>
  <c r="K310" i="12"/>
  <c r="I310" i="12"/>
  <c r="I309" i="12"/>
  <c r="I308" i="12"/>
  <c r="I307" i="12"/>
  <c r="I306" i="12"/>
  <c r="I305" i="12"/>
  <c r="I304" i="12"/>
  <c r="I303" i="12"/>
  <c r="I302" i="12"/>
  <c r="I301" i="12"/>
  <c r="I300" i="12"/>
  <c r="I299" i="12"/>
  <c r="I298" i="12"/>
  <c r="I297" i="12"/>
  <c r="I296" i="12"/>
  <c r="I295" i="12"/>
  <c r="I294" i="12"/>
  <c r="I293" i="12"/>
  <c r="I292" i="12"/>
  <c r="I291" i="12"/>
  <c r="I290" i="12"/>
  <c r="I289" i="12"/>
  <c r="I288" i="12"/>
  <c r="A288" i="12"/>
  <c r="B288" i="12"/>
  <c r="K286" i="12"/>
  <c r="I286" i="12"/>
  <c r="I285" i="12"/>
  <c r="I282" i="12"/>
  <c r="I281" i="12"/>
  <c r="I280" i="12"/>
  <c r="I279" i="12"/>
  <c r="I278" i="12"/>
  <c r="I277" i="12"/>
  <c r="I276" i="12"/>
  <c r="I275" i="12"/>
  <c r="I274" i="12"/>
  <c r="I273" i="12"/>
  <c r="I272" i="12"/>
  <c r="I271" i="12"/>
  <c r="I270" i="12"/>
  <c r="I269" i="12"/>
  <c r="I268" i="12"/>
  <c r="I245" i="12"/>
  <c r="I246" i="12"/>
  <c r="I247" i="12"/>
  <c r="I248" i="12"/>
  <c r="I249" i="12"/>
  <c r="I250" i="12"/>
  <c r="I251" i="12"/>
  <c r="I252" i="12"/>
  <c r="I253" i="12"/>
  <c r="I254" i="12"/>
  <c r="I255" i="12"/>
  <c r="I256" i="12"/>
  <c r="I257" i="12"/>
  <c r="I258" i="12"/>
  <c r="I259" i="12"/>
  <c r="I260" i="12"/>
  <c r="I261" i="12"/>
  <c r="I262" i="12"/>
  <c r="I263" i="12"/>
  <c r="I264" i="12"/>
  <c r="I265" i="12"/>
  <c r="I266" i="12"/>
  <c r="I244" i="12"/>
  <c r="A244" i="12"/>
  <c r="B244" i="12"/>
  <c r="K242" i="12"/>
  <c r="K238" i="12"/>
  <c r="I242" i="12"/>
  <c r="I241" i="12"/>
  <c r="I238" i="12"/>
  <c r="I237" i="12"/>
  <c r="I236" i="12"/>
  <c r="I235" i="12"/>
  <c r="I234" i="12"/>
  <c r="I233" i="12"/>
  <c r="I232" i="12"/>
  <c r="I231" i="12"/>
  <c r="I230" i="12"/>
  <c r="I229" i="12"/>
  <c r="I228" i="12"/>
  <c r="I227" i="12"/>
  <c r="I226" i="12"/>
  <c r="I225" i="12"/>
  <c r="I224" i="12"/>
  <c r="K221" i="12"/>
  <c r="I221" i="12"/>
  <c r="I220" i="12"/>
  <c r="I219" i="12"/>
  <c r="I218" i="12"/>
  <c r="I217" i="12"/>
  <c r="I216" i="12"/>
  <c r="I215" i="12"/>
  <c r="I214" i="12"/>
  <c r="I213" i="12"/>
  <c r="I212" i="12"/>
  <c r="I211" i="12"/>
  <c r="I210" i="12"/>
  <c r="I209" i="12"/>
  <c r="I208" i="12"/>
  <c r="I207" i="12"/>
  <c r="I206" i="12"/>
  <c r="I205" i="12"/>
  <c r="I204" i="12"/>
  <c r="I203" i="12"/>
  <c r="I202" i="12"/>
  <c r="I201" i="12"/>
  <c r="I200" i="12"/>
  <c r="I199" i="12"/>
  <c r="A199" i="12"/>
  <c r="B199" i="12"/>
  <c r="K196" i="12"/>
  <c r="I196" i="12"/>
  <c r="J196" i="12" s="1"/>
  <c r="A196" i="12"/>
  <c r="B196" i="12"/>
  <c r="C110" i="21" l="1"/>
  <c r="H109" i="21"/>
  <c r="L831" i="12"/>
  <c r="M831" i="12" s="1"/>
  <c r="N831" i="12" s="1"/>
  <c r="L833" i="12"/>
  <c r="M833" i="12" s="1"/>
  <c r="N833" i="12" s="1"/>
  <c r="L829" i="12"/>
  <c r="M829" i="12" s="1"/>
  <c r="N829" i="12" s="1"/>
  <c r="J807" i="12"/>
  <c r="J811" i="12"/>
  <c r="L811" i="12" s="1"/>
  <c r="M811" i="12" s="1"/>
  <c r="N811" i="12" s="1"/>
  <c r="C95" i="21" s="1"/>
  <c r="H95" i="21" s="1"/>
  <c r="L823" i="12"/>
  <c r="M823" i="12" s="1"/>
  <c r="N823" i="12" s="1"/>
  <c r="C105" i="21" s="1"/>
  <c r="H105" i="21" s="1"/>
  <c r="J820" i="12"/>
  <c r="L820" i="12" s="1"/>
  <c r="M820" i="12" s="1"/>
  <c r="N820" i="12" s="1"/>
  <c r="C102" i="21" s="1"/>
  <c r="H102" i="21" s="1"/>
  <c r="L826" i="12"/>
  <c r="M826" i="12" s="1"/>
  <c r="N826" i="12" s="1"/>
  <c r="C106" i="21" s="1"/>
  <c r="H106" i="21" s="1"/>
  <c r="L813" i="12"/>
  <c r="M813" i="12" s="1"/>
  <c r="N813" i="12" s="1"/>
  <c r="C96" i="21" s="1"/>
  <c r="H96" i="21" s="1"/>
  <c r="L816" i="12"/>
  <c r="M816" i="12" s="1"/>
  <c r="N816" i="12" s="1"/>
  <c r="C99" i="21" s="1"/>
  <c r="H99" i="21" s="1"/>
  <c r="L807" i="12"/>
  <c r="M807" i="12" s="1"/>
  <c r="N807" i="12" s="1"/>
  <c r="C94" i="21" s="1"/>
  <c r="H94" i="21" s="1"/>
  <c r="J785" i="12"/>
  <c r="L785" i="12" s="1"/>
  <c r="M785" i="12" s="1"/>
  <c r="N785" i="12" s="1"/>
  <c r="C80" i="21" s="1"/>
  <c r="H80" i="21" s="1"/>
  <c r="J751" i="12"/>
  <c r="L751" i="12" s="1"/>
  <c r="M751" i="12" s="1"/>
  <c r="N751" i="12" s="1"/>
  <c r="C43" i="21" s="1"/>
  <c r="H43" i="21" s="1"/>
  <c r="J748" i="12"/>
  <c r="L748" i="12" s="1"/>
  <c r="M748" i="12" s="1"/>
  <c r="N748" i="12" s="1"/>
  <c r="C42" i="21" s="1"/>
  <c r="H42" i="21" s="1"/>
  <c r="J797" i="12"/>
  <c r="L797" i="12" s="1"/>
  <c r="M797" i="12" s="1"/>
  <c r="N797" i="12" s="1"/>
  <c r="C90" i="21" s="1"/>
  <c r="H90" i="21" s="1"/>
  <c r="J802" i="12"/>
  <c r="L802" i="12" s="1"/>
  <c r="M802" i="12" s="1"/>
  <c r="N802" i="12" s="1"/>
  <c r="C91" i="21" s="1"/>
  <c r="H91" i="21" s="1"/>
  <c r="J773" i="12"/>
  <c r="L773" i="12" s="1"/>
  <c r="M773" i="12" s="1"/>
  <c r="N773" i="12" s="1"/>
  <c r="C59" i="21" s="1"/>
  <c r="H59" i="21" s="1"/>
  <c r="L792" i="12"/>
  <c r="M792" i="12" s="1"/>
  <c r="N792" i="12" s="1"/>
  <c r="C89" i="21" s="1"/>
  <c r="H89" i="21" s="1"/>
  <c r="J776" i="12"/>
  <c r="L776" i="12" s="1"/>
  <c r="M776" i="12" s="1"/>
  <c r="N776" i="12" s="1"/>
  <c r="C60" i="21" s="1"/>
  <c r="H60" i="21" s="1"/>
  <c r="L788" i="12"/>
  <c r="M788" i="12" s="1"/>
  <c r="N788" i="12" s="1"/>
  <c r="C86" i="21" s="1"/>
  <c r="H86" i="21" s="1"/>
  <c r="B70" i="21"/>
  <c r="B75" i="21" s="1"/>
  <c r="B86" i="21" s="1"/>
  <c r="L779" i="12"/>
  <c r="M779" i="12" s="1"/>
  <c r="N779" i="12" s="1"/>
  <c r="C67" i="21" s="1"/>
  <c r="H67" i="21" s="1"/>
  <c r="L769" i="12"/>
  <c r="M769" i="12" s="1"/>
  <c r="N769" i="12" s="1"/>
  <c r="C56" i="21" s="1"/>
  <c r="H56" i="21" s="1"/>
  <c r="L766" i="12"/>
  <c r="M766" i="12" s="1"/>
  <c r="N766" i="12" s="1"/>
  <c r="C53" i="21" s="1"/>
  <c r="H53" i="21" s="1"/>
  <c r="L763" i="12"/>
  <c r="M763" i="12" s="1"/>
  <c r="N763" i="12" s="1"/>
  <c r="C50" i="21" s="1"/>
  <c r="H50" i="21" s="1"/>
  <c r="L760" i="12"/>
  <c r="M760" i="12" s="1"/>
  <c r="N760" i="12" s="1"/>
  <c r="C47" i="21" s="1"/>
  <c r="H47" i="21" s="1"/>
  <c r="J739" i="12"/>
  <c r="L739" i="12" s="1"/>
  <c r="M739" i="12" s="1"/>
  <c r="N739" i="12" s="1"/>
  <c r="C33" i="21" s="1"/>
  <c r="H33" i="21" s="1"/>
  <c r="J757" i="12"/>
  <c r="L757" i="12" s="1"/>
  <c r="M757" i="12" s="1"/>
  <c r="N757" i="12" s="1"/>
  <c r="C44" i="21" s="1"/>
  <c r="H44" i="21" s="1"/>
  <c r="J726" i="12"/>
  <c r="L726" i="12" s="1"/>
  <c r="M726" i="12" s="1"/>
  <c r="N726" i="12" s="1"/>
  <c r="C18" i="21" s="1"/>
  <c r="H18" i="21" s="1"/>
  <c r="L743" i="12"/>
  <c r="M743" i="12" s="1"/>
  <c r="N743" i="12" s="1"/>
  <c r="C35" i="21" s="1"/>
  <c r="H35" i="21" s="1"/>
  <c r="L741" i="12"/>
  <c r="M741" i="12" s="1"/>
  <c r="N741" i="12" s="1"/>
  <c r="C34" i="21" s="1"/>
  <c r="H34" i="21" s="1"/>
  <c r="L728" i="12"/>
  <c r="M728" i="12" s="1"/>
  <c r="N728" i="12" s="1"/>
  <c r="C19" i="21" s="1"/>
  <c r="H19" i="21" s="1"/>
  <c r="L731" i="12"/>
  <c r="M731" i="12" s="1"/>
  <c r="N731" i="12" s="1"/>
  <c r="C29" i="21" s="1"/>
  <c r="J722" i="12"/>
  <c r="L722" i="12" s="1"/>
  <c r="M722" i="12" s="1"/>
  <c r="N722" i="12" s="1"/>
  <c r="C17" i="21" s="1"/>
  <c r="H17" i="21" s="1"/>
  <c r="J717" i="12"/>
  <c r="L717" i="12" s="1"/>
  <c r="M717" i="12" s="1"/>
  <c r="N717" i="12" s="1"/>
  <c r="C4" i="13" s="1"/>
  <c r="L673" i="12"/>
  <c r="M673" i="12" s="1"/>
  <c r="N673" i="12" s="1"/>
  <c r="C9" i="13" s="1"/>
  <c r="L667" i="12"/>
  <c r="M667" i="12" s="1"/>
  <c r="N667" i="12" s="1"/>
  <c r="L670" i="12"/>
  <c r="M670" i="12" s="1"/>
  <c r="N670" i="12" s="1"/>
  <c r="L664" i="12"/>
  <c r="M664" i="12" s="1"/>
  <c r="N664" i="12" s="1"/>
  <c r="L471" i="12"/>
  <c r="M471" i="12" s="1"/>
  <c r="N471" i="12" s="1"/>
  <c r="L474" i="12"/>
  <c r="M474" i="12" s="1"/>
  <c r="N474" i="12" s="1"/>
  <c r="J469" i="12"/>
  <c r="L469" i="12" s="1"/>
  <c r="M469" i="12" s="1"/>
  <c r="N469" i="12" s="1"/>
  <c r="J645" i="12"/>
  <c r="L645" i="12" s="1"/>
  <c r="M645" i="12" s="1"/>
  <c r="N645" i="12" s="1"/>
  <c r="J662" i="12"/>
  <c r="L662" i="12" s="1"/>
  <c r="M662" i="12" s="1"/>
  <c r="N662" i="12" s="1"/>
  <c r="J614" i="12"/>
  <c r="L614" i="12" s="1"/>
  <c r="M614" i="12" s="1"/>
  <c r="N614" i="12" s="1"/>
  <c r="J574" i="12"/>
  <c r="L574" i="12" s="1"/>
  <c r="M574" i="12" s="1"/>
  <c r="N574" i="12" s="1"/>
  <c r="L578" i="12"/>
  <c r="M578" i="12" s="1"/>
  <c r="N578" i="12" s="1"/>
  <c r="L576" i="12"/>
  <c r="M576" i="12" s="1"/>
  <c r="N576" i="12" s="1"/>
  <c r="J550" i="12"/>
  <c r="L550" i="12" s="1"/>
  <c r="M550" i="12" s="1"/>
  <c r="N550" i="12" s="1"/>
  <c r="J526" i="12"/>
  <c r="L526" i="12" s="1"/>
  <c r="M526" i="12" s="1"/>
  <c r="N526" i="12" s="1"/>
  <c r="J502" i="12"/>
  <c r="L502" i="12" s="1"/>
  <c r="M502" i="12" s="1"/>
  <c r="N502" i="12" s="1"/>
  <c r="L477" i="12"/>
  <c r="M477" i="12" s="1"/>
  <c r="N477" i="12" s="1"/>
  <c r="J452" i="12"/>
  <c r="L452" i="12" s="1"/>
  <c r="M452" i="12" s="1"/>
  <c r="N452" i="12" s="1"/>
  <c r="J242" i="12"/>
  <c r="L242" i="12" s="1"/>
  <c r="M242" i="12" s="1"/>
  <c r="N242" i="12" s="1"/>
  <c r="J421" i="12"/>
  <c r="L421" i="12" s="1"/>
  <c r="M421" i="12" s="1"/>
  <c r="N421" i="12" s="1"/>
  <c r="J238" i="12"/>
  <c r="L238" i="12" s="1"/>
  <c r="M238" i="12" s="1"/>
  <c r="N238" i="12" s="1"/>
  <c r="J354" i="12"/>
  <c r="L354" i="12" s="1"/>
  <c r="M354" i="12" s="1"/>
  <c r="N354" i="12" s="1"/>
  <c r="J221" i="12"/>
  <c r="L221" i="12" s="1"/>
  <c r="M221" i="12" s="1"/>
  <c r="N221" i="12" s="1"/>
  <c r="J334" i="12"/>
  <c r="L334" i="12" s="1"/>
  <c r="M334" i="12" s="1"/>
  <c r="N334" i="12" s="1"/>
  <c r="L385" i="12"/>
  <c r="M385" i="12" s="1"/>
  <c r="N385" i="12" s="1"/>
  <c r="J310" i="12"/>
  <c r="L310" i="12" s="1"/>
  <c r="M310" i="12" s="1"/>
  <c r="N310" i="12" s="1"/>
  <c r="J286" i="12"/>
  <c r="L286" i="12" s="1"/>
  <c r="M286" i="12" s="1"/>
  <c r="N286" i="12" s="1"/>
  <c r="L383" i="12"/>
  <c r="M383" i="12" s="1"/>
  <c r="N383" i="12" s="1"/>
  <c r="J381" i="12"/>
  <c r="L381" i="12" s="1"/>
  <c r="M381" i="12" s="1"/>
  <c r="N381" i="12" s="1"/>
  <c r="L356" i="12"/>
  <c r="M356" i="12" s="1"/>
  <c r="N356" i="12" s="1"/>
  <c r="L196" i="12"/>
  <c r="M196" i="12" s="1"/>
  <c r="N196" i="12" s="1"/>
  <c r="C10" i="15" s="1"/>
  <c r="D65" i="26"/>
  <c r="C14" i="20"/>
  <c r="C13" i="20"/>
  <c r="A186" i="12"/>
  <c r="B186" i="12"/>
  <c r="H181" i="12"/>
  <c r="F181" i="12"/>
  <c r="H167" i="12"/>
  <c r="F167" i="12"/>
  <c r="K180" i="12"/>
  <c r="I180" i="12"/>
  <c r="I179" i="12"/>
  <c r="I178" i="12"/>
  <c r="I177" i="12"/>
  <c r="I176" i="12"/>
  <c r="I175" i="12"/>
  <c r="I174" i="12"/>
  <c r="I173" i="12"/>
  <c r="B173" i="12"/>
  <c r="K166" i="12"/>
  <c r="I164" i="12"/>
  <c r="I165" i="12"/>
  <c r="I162" i="12"/>
  <c r="I160" i="12"/>
  <c r="I159" i="12"/>
  <c r="I163" i="12"/>
  <c r="I161" i="12"/>
  <c r="I166" i="12"/>
  <c r="I158" i="12"/>
  <c r="I157" i="12"/>
  <c r="I156" i="12"/>
  <c r="B156" i="12"/>
  <c r="K151" i="12"/>
  <c r="I151" i="12"/>
  <c r="I150" i="12"/>
  <c r="I149" i="12"/>
  <c r="I147" i="12"/>
  <c r="I146" i="12"/>
  <c r="I145" i="12"/>
  <c r="I144" i="12"/>
  <c r="I143" i="12"/>
  <c r="I142" i="12"/>
  <c r="I141" i="12"/>
  <c r="I140" i="12"/>
  <c r="I139" i="12"/>
  <c r="I138" i="12"/>
  <c r="I137" i="12"/>
  <c r="I136" i="12"/>
  <c r="I135" i="12"/>
  <c r="I134" i="12"/>
  <c r="I133" i="12"/>
  <c r="I132" i="12"/>
  <c r="I131" i="12"/>
  <c r="I130" i="12"/>
  <c r="H148" i="12"/>
  <c r="F148" i="12"/>
  <c r="F152" i="12" s="1"/>
  <c r="B130" i="12"/>
  <c r="B187" i="12" s="1"/>
  <c r="A130" i="12"/>
  <c r="B129" i="12"/>
  <c r="K127" i="12"/>
  <c r="I127" i="12"/>
  <c r="I126" i="12"/>
  <c r="I125" i="12"/>
  <c r="K123" i="12"/>
  <c r="I123" i="12"/>
  <c r="I122" i="12"/>
  <c r="I121" i="12"/>
  <c r="I120" i="12"/>
  <c r="I119" i="12"/>
  <c r="I118" i="12"/>
  <c r="K116" i="12"/>
  <c r="I116" i="12"/>
  <c r="I115" i="12"/>
  <c r="A113" i="12"/>
  <c r="I112" i="12"/>
  <c r="I111" i="12"/>
  <c r="I110" i="12"/>
  <c r="I109" i="12"/>
  <c r="I108" i="12"/>
  <c r="K112" i="12"/>
  <c r="B108" i="12"/>
  <c r="B125" i="12" s="1"/>
  <c r="K106" i="12"/>
  <c r="I106" i="12"/>
  <c r="I105" i="12"/>
  <c r="B105" i="12"/>
  <c r="B118" i="12" s="1"/>
  <c r="B103" i="12"/>
  <c r="B115" i="12" s="1"/>
  <c r="K103" i="12"/>
  <c r="I103" i="12"/>
  <c r="I102" i="12"/>
  <c r="A102" i="12"/>
  <c r="B100" i="12"/>
  <c r="K98" i="12"/>
  <c r="I98" i="12"/>
  <c r="J98" i="12" s="1"/>
  <c r="B98" i="12"/>
  <c r="A98" i="12"/>
  <c r="K85" i="12"/>
  <c r="I85" i="12"/>
  <c r="I84" i="12"/>
  <c r="I83" i="12"/>
  <c r="I82" i="12"/>
  <c r="I81" i="12"/>
  <c r="I80" i="12"/>
  <c r="I79" i="12"/>
  <c r="I78" i="12"/>
  <c r="K53" i="12"/>
  <c r="I53" i="12"/>
  <c r="I52" i="12"/>
  <c r="I51" i="12"/>
  <c r="I49" i="12"/>
  <c r="I48" i="12"/>
  <c r="I50" i="12"/>
  <c r="B78" i="12"/>
  <c r="B48" i="12"/>
  <c r="K76" i="12"/>
  <c r="I76" i="12"/>
  <c r="I75" i="12"/>
  <c r="I74" i="12"/>
  <c r="I73" i="12"/>
  <c r="I72" i="12"/>
  <c r="I71" i="12"/>
  <c r="I70" i="12"/>
  <c r="I69" i="12"/>
  <c r="I68" i="12"/>
  <c r="I67" i="12"/>
  <c r="K46" i="12"/>
  <c r="I46" i="12"/>
  <c r="I45" i="12"/>
  <c r="I44" i="12"/>
  <c r="I43" i="12"/>
  <c r="I42" i="12"/>
  <c r="I41" i="12"/>
  <c r="I40" i="12"/>
  <c r="I39" i="12"/>
  <c r="I38" i="12"/>
  <c r="I37" i="12"/>
  <c r="I36" i="12"/>
  <c r="I35" i="12"/>
  <c r="I34" i="12"/>
  <c r="I33" i="12"/>
  <c r="I32" i="12"/>
  <c r="B67" i="12"/>
  <c r="B32" i="12"/>
  <c r="K95" i="12"/>
  <c r="K65" i="12"/>
  <c r="K30" i="12"/>
  <c r="I95" i="12"/>
  <c r="I94" i="12"/>
  <c r="I93" i="12"/>
  <c r="I92" i="12"/>
  <c r="I91" i="12"/>
  <c r="I90" i="12"/>
  <c r="I89" i="12"/>
  <c r="I88" i="12"/>
  <c r="I87" i="12"/>
  <c r="I65" i="12"/>
  <c r="I64" i="12"/>
  <c r="I63" i="12"/>
  <c r="I62" i="12"/>
  <c r="I61" i="12"/>
  <c r="I60" i="12"/>
  <c r="I59" i="12"/>
  <c r="I58" i="12"/>
  <c r="I57" i="12"/>
  <c r="I56" i="12"/>
  <c r="I55" i="12"/>
  <c r="I30" i="12"/>
  <c r="I29" i="12"/>
  <c r="I28" i="12"/>
  <c r="I27" i="12"/>
  <c r="I26" i="12"/>
  <c r="I25" i="12"/>
  <c r="I24" i="12"/>
  <c r="I23" i="12"/>
  <c r="I22" i="12"/>
  <c r="I21" i="12"/>
  <c r="I20" i="12"/>
  <c r="I19" i="12"/>
  <c r="I18" i="12"/>
  <c r="I17" i="12"/>
  <c r="I16" i="12"/>
  <c r="I15" i="12"/>
  <c r="I14" i="12"/>
  <c r="I13" i="12"/>
  <c r="I12" i="12"/>
  <c r="I11" i="12"/>
  <c r="I10" i="12"/>
  <c r="I9" i="12"/>
  <c r="I8" i="12"/>
  <c r="B55" i="12"/>
  <c r="B87" i="12"/>
  <c r="B8" i="12"/>
  <c r="A6" i="12"/>
  <c r="B6" i="12"/>
  <c r="J3" i="12"/>
  <c r="H115" i="21" l="1"/>
  <c r="C13" i="29" s="1"/>
  <c r="C111" i="21"/>
  <c r="H111" i="21" s="1"/>
  <c r="H110" i="21"/>
  <c r="N243" i="12"/>
  <c r="C22" i="15" s="1"/>
  <c r="H168" i="12"/>
  <c r="H169" i="12" s="1"/>
  <c r="J127" i="12"/>
  <c r="L127" i="12" s="1"/>
  <c r="M127" i="12" s="1"/>
  <c r="N127" i="12" s="1"/>
  <c r="C31" i="31" s="1"/>
  <c r="H182" i="12"/>
  <c r="H183" i="12" s="1"/>
  <c r="J106" i="12"/>
  <c r="L106" i="12" s="1"/>
  <c r="M106" i="12" s="1"/>
  <c r="N106" i="12" s="1"/>
  <c r="C22" i="31" s="1"/>
  <c r="I148" i="12"/>
  <c r="J151" i="12" s="1"/>
  <c r="L151" i="12" s="1"/>
  <c r="M151" i="12" s="1"/>
  <c r="N151" i="12" s="1"/>
  <c r="C18" i="20" s="1"/>
  <c r="J166" i="12"/>
  <c r="L166" i="12" s="1"/>
  <c r="M166" i="12" s="1"/>
  <c r="N166" i="12" s="1"/>
  <c r="C19" i="20" s="1"/>
  <c r="H152" i="12"/>
  <c r="H153" i="12" s="1"/>
  <c r="H154" i="12" s="1"/>
  <c r="J180" i="12"/>
  <c r="L180" i="12" s="1"/>
  <c r="M180" i="12" s="1"/>
  <c r="N180" i="12" s="1"/>
  <c r="C20" i="20" s="1"/>
  <c r="J116" i="12"/>
  <c r="L116" i="12" s="1"/>
  <c r="M116" i="12" s="1"/>
  <c r="N116" i="12" s="1"/>
  <c r="C29" i="31" s="1"/>
  <c r="J123" i="12"/>
  <c r="L123" i="12" s="1"/>
  <c r="M123" i="12" s="1"/>
  <c r="N123" i="12" s="1"/>
  <c r="C30" i="31" s="1"/>
  <c r="J103" i="12"/>
  <c r="L103" i="12" s="1"/>
  <c r="M103" i="12" s="1"/>
  <c r="N103" i="12" s="1"/>
  <c r="C21" i="31" s="1"/>
  <c r="H21" i="31" s="1"/>
  <c r="L98" i="12"/>
  <c r="M98" i="12" s="1"/>
  <c r="N98" i="12" s="1"/>
  <c r="C6" i="13" s="1"/>
  <c r="J112" i="12"/>
  <c r="L112" i="12" s="1"/>
  <c r="M112" i="12" s="1"/>
  <c r="N112" i="12" s="1"/>
  <c r="C23" i="31" s="1"/>
  <c r="J85" i="12"/>
  <c r="L85" i="12" s="1"/>
  <c r="M85" i="12" s="1"/>
  <c r="N85" i="12" s="1"/>
  <c r="C22" i="16" s="1"/>
  <c r="J46" i="12"/>
  <c r="L46" i="12" s="1"/>
  <c r="M46" i="12" s="1"/>
  <c r="N46" i="12" s="1"/>
  <c r="C13" i="16" s="1"/>
  <c r="J30" i="12"/>
  <c r="L30" i="12" s="1"/>
  <c r="M30" i="12" s="1"/>
  <c r="N30" i="12" s="1"/>
  <c r="C11" i="16" s="1"/>
  <c r="J53" i="12"/>
  <c r="L53" i="12" s="1"/>
  <c r="M53" i="12" s="1"/>
  <c r="N53" i="12" s="1"/>
  <c r="C15" i="16" s="1"/>
  <c r="J65" i="12"/>
  <c r="L65" i="12" s="1"/>
  <c r="M65" i="12" s="1"/>
  <c r="N65" i="12" s="1"/>
  <c r="C18" i="16" s="1"/>
  <c r="J95" i="12"/>
  <c r="L95" i="12" s="1"/>
  <c r="M95" i="12" s="1"/>
  <c r="N95" i="12" s="1"/>
  <c r="C25" i="16" s="1"/>
  <c r="J76" i="12"/>
  <c r="L76" i="12" s="1"/>
  <c r="M76" i="12" s="1"/>
  <c r="N76" i="12" s="1"/>
  <c r="C20" i="16" s="1"/>
  <c r="H38" i="31" l="1"/>
  <c r="C11" i="29" s="1"/>
  <c r="C8" i="20"/>
  <c r="C7" i="20"/>
  <c r="C9" i="20"/>
  <c r="A111" i="10" l="1"/>
  <c r="B16" i="29" l="1"/>
  <c r="D185" i="30" l="1"/>
  <c r="D154" i="30"/>
  <c r="D159" i="30"/>
  <c r="B25" i="19" l="1"/>
  <c r="D67" i="26" l="1"/>
  <c r="D69" i="26" s="1"/>
  <c r="D71" i="26" s="1"/>
  <c r="D73" i="26" s="1"/>
  <c r="D75" i="26" s="1"/>
  <c r="D77" i="26" s="1"/>
  <c r="D79" i="26" s="1"/>
  <c r="D81" i="26" s="1"/>
  <c r="D83" i="26" s="1"/>
  <c r="D101" i="26" l="1"/>
  <c r="D109" i="26" l="1"/>
  <c r="D111" i="26" s="1"/>
  <c r="D113" i="26" s="1"/>
  <c r="D115" i="26" s="1"/>
  <c r="D117" i="26" s="1"/>
  <c r="D119" i="26" s="1"/>
  <c r="D121" i="26" s="1"/>
  <c r="D123" i="26" s="1"/>
  <c r="D125" i="26" s="1"/>
  <c r="D105" i="26"/>
  <c r="A3" i="12" l="1"/>
  <c r="B3" i="12"/>
  <c r="M55" i="55" l="1"/>
  <c r="A111" i="26" l="1"/>
  <c r="A113" i="26" s="1"/>
  <c r="A115" i="26" s="1"/>
  <c r="A117" i="26" l="1"/>
  <c r="A119" i="26" s="1"/>
  <c r="A121" i="26" s="1"/>
  <c r="A123" i="26" s="1"/>
  <c r="A125" i="26" s="1"/>
  <c r="C32" i="31" l="1"/>
  <c r="A11" i="16" l="1"/>
  <c r="A8" i="12" s="1"/>
  <c r="A13" i="16" l="1"/>
  <c r="A32" i="12" s="1"/>
  <c r="A15" i="16" l="1"/>
  <c r="A48" i="12" l="1"/>
  <c r="A18" i="16"/>
  <c r="A63" i="26"/>
  <c r="A65" i="26" s="1"/>
  <c r="A20" i="16" l="1"/>
  <c r="A55" i="12"/>
  <c r="A67" i="26"/>
  <c r="A69" i="26" s="1"/>
  <c r="A67" i="12" l="1"/>
  <c r="A22" i="16"/>
  <c r="A71" i="26"/>
  <c r="A73" i="26" s="1"/>
  <c r="A75" i="26" s="1"/>
  <c r="A77" i="26" s="1"/>
  <c r="A79" i="26" s="1"/>
  <c r="A81" i="26" s="1"/>
  <c r="A83" i="26" s="1"/>
  <c r="A78" i="12" l="1"/>
  <c r="A25" i="16"/>
  <c r="A87" i="12" s="1"/>
  <c r="A104" i="10" l="1"/>
  <c r="A100" i="10"/>
  <c r="A730" i="12"/>
  <c r="S109" i="30" l="1"/>
  <c r="S158" i="30" l="1"/>
  <c r="A133" i="58" l="1"/>
  <c r="A132" i="58"/>
  <c r="A131" i="58"/>
  <c r="A130" i="58"/>
  <c r="A129" i="58"/>
  <c r="A128" i="58"/>
  <c r="A127" i="58"/>
  <c r="A126" i="58"/>
  <c r="A125" i="58"/>
  <c r="A124" i="58"/>
  <c r="A123" i="58"/>
  <c r="A122" i="58"/>
  <c r="A121" i="58"/>
  <c r="A119" i="58"/>
  <c r="A118" i="58"/>
  <c r="A117" i="58"/>
  <c r="A116" i="58"/>
  <c r="A115" i="58"/>
  <c r="A114" i="58"/>
  <c r="A93" i="58"/>
  <c r="A89" i="58"/>
  <c r="F87" i="58"/>
  <c r="A87" i="58"/>
  <c r="A86" i="58"/>
  <c r="A85" i="58"/>
  <c r="F84" i="58"/>
  <c r="A84" i="58"/>
  <c r="A83" i="58"/>
  <c r="A82" i="58"/>
  <c r="F81" i="58"/>
  <c r="A81" i="58"/>
  <c r="A80" i="58"/>
  <c r="A78" i="58"/>
  <c r="A76" i="58"/>
  <c r="A75" i="58"/>
  <c r="A74" i="58"/>
  <c r="A73" i="58"/>
  <c r="F72" i="58"/>
  <c r="A72" i="58"/>
  <c r="F70" i="58"/>
  <c r="A70" i="58"/>
  <c r="F68" i="58"/>
  <c r="A68" i="58"/>
  <c r="A67" i="58"/>
  <c r="F66" i="58"/>
  <c r="F64" i="58"/>
  <c r="F62" i="58"/>
  <c r="A62" i="58"/>
  <c r="A61" i="58"/>
  <c r="F60" i="58"/>
  <c r="A60" i="58"/>
  <c r="A59" i="58"/>
  <c r="F58" i="58"/>
  <c r="A58" i="58"/>
  <c r="A57" i="58"/>
  <c r="F56" i="58"/>
  <c r="A56" i="58"/>
  <c r="F54" i="58"/>
  <c r="A54" i="58"/>
  <c r="A53" i="58"/>
  <c r="F52" i="58"/>
  <c r="A52" i="58"/>
  <c r="F89" i="58" l="1"/>
  <c r="A5" i="42" l="1"/>
  <c r="A7" i="42" s="1"/>
  <c r="F14" i="42" l="1"/>
  <c r="C15" i="32" s="1"/>
  <c r="K3" i="12" l="1"/>
  <c r="D28" i="19" l="1"/>
  <c r="D30" i="19" s="1"/>
  <c r="D32" i="19" l="1"/>
  <c r="L3" i="12"/>
  <c r="M3" i="12" s="1"/>
  <c r="N3" i="12" s="1"/>
  <c r="C36" i="31"/>
  <c r="C12" i="15" l="1"/>
  <c r="C36" i="15" l="1"/>
  <c r="C7" i="32" l="1"/>
  <c r="C9" i="32" s="1"/>
  <c r="C13" i="32" s="1"/>
  <c r="C17" i="32" s="1"/>
  <c r="C21" i="32" s="1"/>
  <c r="C25" i="32" s="1"/>
  <c r="A37" i="26" l="1"/>
  <c r="A49" i="26" l="1"/>
  <c r="A52" i="26" s="1"/>
  <c r="A56" i="26" s="1"/>
  <c r="C117" i="32" l="1"/>
  <c r="L121" i="22" l="1"/>
  <c r="M121" i="22" l="1"/>
  <c r="A42" i="26" l="1"/>
  <c r="A44" i="26" s="1"/>
  <c r="A33" i="26"/>
  <c r="A114" i="10" l="1"/>
  <c r="A116" i="10" s="1"/>
  <c r="A118" i="10" s="1"/>
  <c r="A91" i="10"/>
  <c r="A85" i="10"/>
  <c r="A88" i="10" s="1"/>
  <c r="A72" i="10"/>
  <c r="A40" i="10"/>
  <c r="A42" i="10" s="1"/>
  <c r="A44" i="10" s="1"/>
  <c r="A64" i="10" s="1"/>
  <c r="B17" i="29" l="1"/>
  <c r="B15" i="29"/>
  <c r="B14" i="29"/>
  <c r="B13" i="29"/>
  <c r="B12" i="29"/>
  <c r="B11" i="29"/>
  <c r="B10" i="29"/>
  <c r="B9" i="29"/>
  <c r="B8"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Chathuranga</author>
  </authors>
  <commentList>
    <comment ref="A80" authorId="0" shapeId="0" xr:uid="{00000000-0006-0000-0E00-000001000000}">
      <text>
        <r>
          <rPr>
            <b/>
            <sz val="9"/>
            <color indexed="81"/>
            <rFont val="Tahoma"/>
            <family val="2"/>
          </rPr>
          <t>Chathuranga:</t>
        </r>
        <r>
          <rPr>
            <sz val="9"/>
            <color indexed="81"/>
            <rFont val="Tahoma"/>
            <family val="2"/>
          </rPr>
          <t xml:space="preserve">
</t>
        </r>
      </text>
    </comment>
  </commentList>
</comments>
</file>

<file path=xl/sharedStrings.xml><?xml version="1.0" encoding="utf-8"?>
<sst xmlns="http://schemas.openxmlformats.org/spreadsheetml/2006/main" count="5591" uniqueCount="1502">
  <si>
    <t>Nos</t>
  </si>
  <si>
    <t>Description</t>
  </si>
  <si>
    <t>Qty</t>
  </si>
  <si>
    <t>Unit</t>
  </si>
  <si>
    <t>Rate</t>
  </si>
  <si>
    <t>Amount</t>
  </si>
  <si>
    <t>BILL NO. 01</t>
  </si>
  <si>
    <t>1/PR</t>
  </si>
  <si>
    <t>PRELIMINARIES</t>
  </si>
  <si>
    <t>This Bill Provides for the typical general items complimentary to the works wich are required to be provided by the Contractor in compliance with the Conditions of Contract and Contract Data in the execution of the works according to the Contract.</t>
  </si>
  <si>
    <t>Item</t>
  </si>
  <si>
    <t>TOTAL CARRIED TO GRAND SUMMARY</t>
  </si>
  <si>
    <t>SUPER STRUCTURE</t>
  </si>
  <si>
    <t>In column shaft from ground floor level to First floor level</t>
  </si>
  <si>
    <t>In column shaft from  First floor level to Second floor level</t>
  </si>
  <si>
    <t>In Reinforced beam at First floor level</t>
  </si>
  <si>
    <t>In Reinforced beam at second floor level</t>
  </si>
  <si>
    <t>In Reinforced slab at First floor level</t>
  </si>
  <si>
    <t>In Reinforced Slab at second floor level</t>
  </si>
  <si>
    <t>m</t>
  </si>
  <si>
    <t>In Ground floor</t>
  </si>
  <si>
    <t>In First floor</t>
  </si>
  <si>
    <t>Type of Cables - Kelani or ACL</t>
  </si>
  <si>
    <t>Socket outlets - Orange / Kalani or equlant</t>
  </si>
  <si>
    <t xml:space="preserve">Breaker's - European Brand </t>
  </si>
  <si>
    <t xml:space="preserve">Light Point Wiring </t>
  </si>
  <si>
    <t>Nr</t>
  </si>
  <si>
    <t>COLLECTION BILL NO.02 - MAIN BUILDING</t>
  </si>
  <si>
    <t>Rs.</t>
  </si>
  <si>
    <t>MAIN BUILDING</t>
  </si>
  <si>
    <t>Less : Discount (If any)</t>
  </si>
  <si>
    <t>PROVISIONAL SUM</t>
  </si>
  <si>
    <t>In column shaft</t>
  </si>
  <si>
    <t>In Tie  Beams</t>
  </si>
  <si>
    <t xml:space="preserve">Earthing System </t>
  </si>
  <si>
    <t>B</t>
  </si>
  <si>
    <t>Sqr.</t>
  </si>
  <si>
    <t>Kg</t>
  </si>
  <si>
    <t>B - EXCAVATION &amp; EARTH WORK</t>
  </si>
  <si>
    <t>B 01</t>
  </si>
  <si>
    <t>B 04</t>
  </si>
  <si>
    <t>Filling &amp; Compaction</t>
  </si>
  <si>
    <t>Note:-</t>
  </si>
  <si>
    <t>Approved earth shall mean filling materials that comply to the following :</t>
  </si>
  <si>
    <t>( a )</t>
  </si>
  <si>
    <t>The earth shall be free of vegetation, roots, boulders, easily decomposable materials, chemicals, industrial waste, plastic etc.</t>
  </si>
  <si>
    <t>( b )</t>
  </si>
  <si>
    <t>The maximum size of particle shall not exceed 75mm.</t>
  </si>
  <si>
    <t>( c )</t>
  </si>
  <si>
    <t>The earth shall be well graded and the silt and clay (fines) content shall not be more than 25%</t>
  </si>
  <si>
    <t>( d )</t>
  </si>
  <si>
    <r>
      <t>The Standerd proctor density shall be grater than 1.70g/cm</t>
    </r>
    <r>
      <rPr>
        <b/>
        <vertAlign val="superscript"/>
        <sz val="11"/>
        <rFont val="Times New Roman"/>
        <family val="1"/>
      </rPr>
      <t>3</t>
    </r>
  </si>
  <si>
    <t>Test</t>
  </si>
  <si>
    <t>Antitermite -Tretement</t>
  </si>
  <si>
    <t xml:space="preserve">Antitermite-treatement for the new construction with applying Biflexthrine 10Tc (Biflex ) or approved equivelant , Dialuted chemicals 1:200 ratio with water after supplying the sealed bottle with lables to the site and should be followed the manufacture standards of application including horizontal &amp; vertical barriers. It should be 10 years warranty on application.  </t>
  </si>
  <si>
    <t xml:space="preserve">Note: </t>
  </si>
  <si>
    <t xml:space="preserve">The Quality of the concrete should  confirm to the relevant B.S., S.L.S. and ICTAD  specification for Building works. </t>
  </si>
  <si>
    <t>C 02</t>
  </si>
  <si>
    <t>C 04</t>
  </si>
  <si>
    <t>IN - SITU REINFORCED CONCRETE</t>
  </si>
  <si>
    <t>Nr.</t>
  </si>
  <si>
    <t xml:space="preserve"> READY MIX CONCRETE</t>
  </si>
  <si>
    <t>Cu.m</t>
  </si>
  <si>
    <t>D  -  FORM WORK</t>
  </si>
  <si>
    <t>Note:</t>
  </si>
  <si>
    <t>(a)</t>
  </si>
  <si>
    <t>(b)</t>
  </si>
  <si>
    <t>Any deviation from the specified materials, specified thickness and the arrangement of formwork given in this document should require the written approval of the Divisional Engineer. Rate for  such deviation from   the item description will be decided by the D(B/SW)</t>
  </si>
  <si>
    <t>(c)</t>
  </si>
  <si>
    <t>For ordinary plywood of 15 mm thick boarding as shuttering, (Even for WBP sheets the same rate shall be applicable).</t>
  </si>
  <si>
    <t>D 01</t>
  </si>
  <si>
    <t>D 02</t>
  </si>
  <si>
    <t>Shuttering for sides and bottom of plinth beams, ground beams including dismantling in 15mm thick plywood board.</t>
  </si>
  <si>
    <t>D 03</t>
  </si>
  <si>
    <t>D 05</t>
  </si>
  <si>
    <t>E  -  REINFORCEMENT</t>
  </si>
  <si>
    <t>E 01</t>
  </si>
  <si>
    <t>E 02</t>
  </si>
  <si>
    <t>E 03</t>
  </si>
  <si>
    <t>H 01</t>
  </si>
  <si>
    <t>J 01</t>
  </si>
  <si>
    <t>J 02</t>
  </si>
  <si>
    <t>J 03</t>
  </si>
  <si>
    <t>K 01</t>
  </si>
  <si>
    <t>K 02</t>
  </si>
  <si>
    <t>K 03</t>
  </si>
  <si>
    <t>K 05</t>
  </si>
  <si>
    <t>K 06</t>
  </si>
  <si>
    <t>Tiles should comply with European standard specification CEN 177.</t>
  </si>
  <si>
    <t>Floor Tiling</t>
  </si>
  <si>
    <t>Note :</t>
  </si>
  <si>
    <t>M  -  COLOUR WASHING, PAINTING &amp; POLISHING</t>
  </si>
  <si>
    <t>M 03</t>
  </si>
  <si>
    <t>S 01</t>
  </si>
  <si>
    <t>S 02</t>
  </si>
  <si>
    <t>S 07</t>
  </si>
  <si>
    <t>S 08</t>
  </si>
  <si>
    <t>S 09</t>
  </si>
  <si>
    <t>S 10</t>
  </si>
  <si>
    <t>S 11</t>
  </si>
  <si>
    <t>S 12</t>
  </si>
  <si>
    <t>S 13</t>
  </si>
  <si>
    <t>Water Tanks</t>
  </si>
  <si>
    <t>Water Pressure testing for PVC pipes.</t>
  </si>
  <si>
    <t>Septic tanks</t>
  </si>
  <si>
    <t>V - ELECTRICAL INSTALLATION.</t>
  </si>
  <si>
    <t>W - METAL WORK</t>
  </si>
  <si>
    <t>UP TO DPC LEVEL</t>
  </si>
  <si>
    <t>Up to DPC level</t>
  </si>
  <si>
    <t>In Beams</t>
  </si>
  <si>
    <t>B 02</t>
  </si>
  <si>
    <t>B 03</t>
  </si>
  <si>
    <t>B 05</t>
  </si>
  <si>
    <t>C 01</t>
  </si>
  <si>
    <t>C2.1</t>
  </si>
  <si>
    <t>C2.2</t>
  </si>
  <si>
    <t>C2.3</t>
  </si>
  <si>
    <t>C2.4</t>
  </si>
  <si>
    <t>C 03</t>
  </si>
  <si>
    <t>C3.1</t>
  </si>
  <si>
    <t>C4.1</t>
  </si>
  <si>
    <t>C4.3</t>
  </si>
  <si>
    <t>C4.2</t>
  </si>
  <si>
    <t>C 05</t>
  </si>
  <si>
    <t>C5.1</t>
  </si>
  <si>
    <t>C5.2</t>
  </si>
  <si>
    <t>C5.3</t>
  </si>
  <si>
    <t>C5.4</t>
  </si>
  <si>
    <t>C5.5</t>
  </si>
  <si>
    <t>D 1.1</t>
  </si>
  <si>
    <t>D 04</t>
  </si>
  <si>
    <t>D 3.1</t>
  </si>
  <si>
    <t>D 3.2</t>
  </si>
  <si>
    <t>D 3.3</t>
  </si>
  <si>
    <t>D 4.1</t>
  </si>
  <si>
    <t>D 4.2</t>
  </si>
  <si>
    <t>D 4.3</t>
  </si>
  <si>
    <t>D 5.1</t>
  </si>
  <si>
    <t>D 5.2</t>
  </si>
  <si>
    <t>D 5.3</t>
  </si>
  <si>
    <t>E1.2</t>
  </si>
  <si>
    <t>E2.1</t>
  </si>
  <si>
    <t>E2.2</t>
  </si>
  <si>
    <t>E3.1</t>
  </si>
  <si>
    <t>E3.2</t>
  </si>
  <si>
    <t>K6.1</t>
  </si>
  <si>
    <t>K6.2</t>
  </si>
  <si>
    <t>M 01</t>
  </si>
  <si>
    <t>M1.1</t>
  </si>
  <si>
    <t>M1.2</t>
  </si>
  <si>
    <t>M1.3</t>
  </si>
  <si>
    <t>M1.4</t>
  </si>
  <si>
    <t>M 04</t>
  </si>
  <si>
    <t>M3.1</t>
  </si>
  <si>
    <t>M4.1</t>
  </si>
  <si>
    <t>M4.2</t>
  </si>
  <si>
    <t>M3.2</t>
  </si>
  <si>
    <t>M4.3</t>
  </si>
  <si>
    <t>C</t>
  </si>
  <si>
    <t>E</t>
  </si>
  <si>
    <t>F</t>
  </si>
  <si>
    <t>G</t>
  </si>
  <si>
    <t>H</t>
  </si>
  <si>
    <t>J</t>
  </si>
  <si>
    <t>K</t>
  </si>
  <si>
    <t>L</t>
  </si>
  <si>
    <t>Q</t>
  </si>
  <si>
    <t>T</t>
  </si>
  <si>
    <t>V</t>
  </si>
  <si>
    <t>BRICK MASONRY</t>
  </si>
  <si>
    <t>DRAINAGE</t>
  </si>
  <si>
    <t>V02</t>
  </si>
  <si>
    <t>V03</t>
  </si>
  <si>
    <t>V04</t>
  </si>
  <si>
    <t>NO</t>
  </si>
  <si>
    <t>DESCRIPTION</t>
  </si>
  <si>
    <t>NOS</t>
  </si>
  <si>
    <t>LENGTH</t>
  </si>
  <si>
    <t>WIDTH</t>
  </si>
  <si>
    <t>HEIGHT</t>
  </si>
  <si>
    <t>QTY</t>
  </si>
  <si>
    <t>T.QTY</t>
  </si>
  <si>
    <t>UNIT</t>
  </si>
  <si>
    <t>m2</t>
  </si>
  <si>
    <t>D3</t>
  </si>
  <si>
    <t xml:space="preserve">       For the full description of materials</t>
  </si>
  <si>
    <t xml:space="preserve">       and workmanship refer "Specification</t>
  </si>
  <si>
    <t xml:space="preserve">       of works", "Pricing Preambles" and </t>
  </si>
  <si>
    <t xml:space="preserve">       "Drawings".</t>
  </si>
  <si>
    <t>SITE PREPERATION</t>
  </si>
  <si>
    <t>EXCAVATION</t>
  </si>
  <si>
    <t>Excavations as follows in any materials met with except in rock requiring blasting.</t>
  </si>
  <si>
    <t>All excavations are measured net. No allowance made for working space.</t>
  </si>
  <si>
    <t>Excavation for foundation commencing from formed ground level.</t>
  </si>
  <si>
    <t>F - MASONRY WORKS</t>
  </si>
  <si>
    <t>Vertical solid walls, 225mm thick.</t>
  </si>
  <si>
    <t>Second Floor</t>
  </si>
  <si>
    <t>Vertical solid walls, 100mm thick.</t>
  </si>
  <si>
    <t>Recommended Distributors/Agents who are marketing water
proofing material/product are
1. M/s Finco Ltd.
2. M/s HE Engineering
3. M/s Ranki International
4. M/s Solico Engineering
5. M/s Sika Lanka</t>
  </si>
  <si>
    <t>The contractor shall submmit;</t>
  </si>
  <si>
    <t>Internal Wet Areas without Exposure to Sunlight Sq.ft. 
(Cementitious water proofing using Barralastic or approved
equivalnt)</t>
  </si>
  <si>
    <t>Ground Floor</t>
  </si>
  <si>
    <t>First Floor</t>
  </si>
  <si>
    <t>1. The rate for plastering items includes the cost of "Febmix"as a
workability enhancer.</t>
  </si>
  <si>
    <t>2. For coarse textured plaster ( identified as "semi-rough") all the
sand should pass through 4.0mm sieve.</t>
  </si>
  <si>
    <t>External Plaster</t>
  </si>
  <si>
    <t>Internal Plaster</t>
  </si>
  <si>
    <t>External revels</t>
  </si>
  <si>
    <t>Internal Revels</t>
  </si>
  <si>
    <t>K 05.1</t>
  </si>
  <si>
    <t>K 05.2</t>
  </si>
  <si>
    <t>Ceramic Tiles should comply to SLS 1181:2019 "specification and
shall comply to relevant abrasion resistant class.</t>
  </si>
  <si>
    <t>Copy of the first grade tile purchase bill should be produced at the
time of payment.</t>
  </si>
  <si>
    <t xml:space="preserve">For tile item Should be tile range manufractured by Lanka Floor,  Wall Tile or approved equivalant.  </t>
  </si>
  <si>
    <t>Method of application is accordiong to the manufacturer's method
specifications</t>
  </si>
  <si>
    <t>Internal Emultion Paint</t>
  </si>
  <si>
    <t>Exterior Emultion Paint</t>
  </si>
  <si>
    <t>EXCAVATION &amp; EARTH WORK  CARRIED TO COLLECTION</t>
  </si>
  <si>
    <t xml:space="preserve"> CONCRETE WORK CARRIED TO COLLECTION</t>
  </si>
  <si>
    <t>MASONRY WORKS CARRIED TO COLLECTION</t>
  </si>
  <si>
    <t>J - FLOORING WORK</t>
  </si>
  <si>
    <t>FLOORING WORK CARRIED TO COLLECTION</t>
  </si>
  <si>
    <t>WATER PROOFING WORK CARRIED TO COLLECTION</t>
  </si>
  <si>
    <t>K  -  PLASTERING WORK</t>
  </si>
  <si>
    <t>PLASTERING WORK CARRIED TO COLLECTION</t>
  </si>
  <si>
    <t>TILING WORK CARRIED TO COLLECTION</t>
  </si>
  <si>
    <t>COLOUR WASHING, PAINTING &amp; POLISHING WORK CARRIED TO COLLECTION</t>
  </si>
  <si>
    <t>S  -  PLUMBING AND DRAINAGE WORK</t>
  </si>
  <si>
    <t>PLUMBING AND DRAINAGE WORK  CARRIED TO COLLECTION</t>
  </si>
  <si>
    <t>ELECTRICAL INSTALLATION WORK CARRIED TO COLLECTION</t>
  </si>
  <si>
    <t>METAL WORK  CARRIED TO COLLECTION</t>
  </si>
  <si>
    <t>A - PRELIMINARIES</t>
  </si>
  <si>
    <t>C - CONCRETE</t>
  </si>
  <si>
    <t>A - PRELIMINARIES CARRIED TO GRAND SUMMARY</t>
  </si>
  <si>
    <t>AMOUNT (Rs.)</t>
  </si>
  <si>
    <t xml:space="preserve">BILL NO </t>
  </si>
  <si>
    <t>E - WATER PROOFING WORK</t>
  </si>
  <si>
    <t>E. 01</t>
  </si>
  <si>
    <t>E. 01.1</t>
  </si>
  <si>
    <t>E. 01.2</t>
  </si>
  <si>
    <t>E. 02</t>
  </si>
  <si>
    <t>E. 02.1</t>
  </si>
  <si>
    <t>E. 02.2</t>
  </si>
  <si>
    <t>Rates for concrete are grouped under following categories</t>
  </si>
  <si>
    <t>These items are meant for Footings, Columns, Plinth beams, Floor
beams, Tie-beams &amp; Stair case. i.e. load bearing members.</t>
  </si>
  <si>
    <t>3. Ready mixed concrete of Grade 20 ,Grade 25 .               Grade 30</t>
  </si>
  <si>
    <t>Constituent material shall comply to following;</t>
  </si>
  <si>
    <t>(v) Clean portable water</t>
  </si>
  <si>
    <t>Cement shall be added in bag form.</t>
  </si>
  <si>
    <t>Contractor shall made available following equipment at site before
starting to concrete.</t>
  </si>
  <si>
    <t>(i) Cube moulds -6Nos</t>
  </si>
  <si>
    <t>(ii) Mixer and Vibrator (in working condition)</t>
  </si>
  <si>
    <t>(iii) Gauge Boxes (size as per ICTAD Specification for Building
Works)</t>
  </si>
  <si>
    <t>(vi) Slump cone apparatus</t>
  </si>
  <si>
    <t>(vii) Weighing scale</t>
  </si>
  <si>
    <t>(viii) Covering material for curing</t>
  </si>
  <si>
    <t>(ix) A Supervisor / Forman not below the rank of a NVQ Level 3 in
“Construction” category</t>
  </si>
  <si>
    <t>(x) Quality assurance sheet</t>
  </si>
  <si>
    <t>Payment for concreting shall be made upon submission of following.</t>
  </si>
  <si>
    <t>Requirement for Ready mixed concrete</t>
  </si>
  <si>
    <t>(i) Ready mix concrete is confirming to SLS 1144-1997.</t>
  </si>
  <si>
    <t>(iii) Nominal maximum size of aggregate shall be 20mm.</t>
  </si>
  <si>
    <t>(iv) Slump shall be as per the mix design.</t>
  </si>
  <si>
    <t>(vi) Maximum free water / cement ratio to be 0.5</t>
  </si>
  <si>
    <t xml:space="preserve">(v) Maximum temperature 30 Celsius
</t>
  </si>
  <si>
    <t>(viii) Concrete grade shall be as specified.</t>
  </si>
  <si>
    <t>(ix) Concrete mix design shall be approved by the Engineer</t>
  </si>
  <si>
    <t>(xii) Testing</t>
  </si>
  <si>
    <t>Shuttering boxes for columns of over 5'-0" height are not
permitted under any circumstances for the pouring of manually
produced (site mix) concrete.</t>
  </si>
  <si>
    <t>(b) The method statement of pouring concrete in to the column
shaft signed by a competent technical person from the
contractor's side should be submitted.</t>
  </si>
  <si>
    <t>(c)In case of tremie pipe, it shall have a diameter of not less than 4" with a funnel.</t>
  </si>
  <si>
    <t>(a) The concrete mix designed based on material available at the site for a W/C ratio of 0.45 and to be able to Pour without segregation.</t>
  </si>
  <si>
    <t>If a contractor made an appeal to use shuttering boxes
(Customary steel boxes or plywood boxes) of over 5'-0" height, then ,Engineer may personally approve for casting a column shaft up to a maximum height of 4'-0" at a time subject to the fulfillment of following conditions.</t>
  </si>
  <si>
    <t>(d)How the funnel and pipe is lowered and kept in position without disturbing the formwork shall be indicated in the
method statement.</t>
  </si>
  <si>
    <t>(e) A Method statement for compaction shall be submitted.</t>
  </si>
  <si>
    <t>(f)Engineer, upon satisfaction himself/herself to the
arrangement of placing concrete and having paying special attention to the method of compaction by a person standing at a height and lowering his head and doing compaction in a restricted cross-section with a tremie pipe inside; may be
allowed to proceed with a log note.</t>
  </si>
  <si>
    <t>(i) Cement of strength class 42.5N and shall comply with SLS 107 (Ordinary Portland Cement) &amp; SLS 1253 (Portland Limestone Cement) , that has been stored under proper conditions and has
manufactured within 90 days at the time of concreting.</t>
  </si>
  <si>
    <t>(iii) Clean river sand without impurities and clay particles of grain distribution falling within the prescribed grading limit in BS 882:1992.</t>
  </si>
  <si>
    <t>iv) Well graded coarse aggregate free of impurities with maximum aggregate size being 20mm. grain distribution falling within the prescribed grading limit in BS 882:1992.</t>
  </si>
  <si>
    <t>Volume batching of constituent material
(a) The equivalent nominal mix suggest for volume batching the Grade 25 &amp; 30 concrete is given in table 4.4 of ICTAD specification for Building Work SCA/4/I of July 2004 for a 50kg cement bag and measuring boxes is reproduced below.</t>
  </si>
  <si>
    <t>Coarse aggregate to be proportioned for the volume batching using the measurement boxes as indicated in the Clause 4.3.1 ICTAD/SCA/4/I. The internal dimensions of the boxes are 400 x 350 x 250mm (which is 0.035m3
and corresponds to the volume of 1 bag of cement weighing 50 kg). The proportioning of sand shall be on the basis of its dry volume and in the case of damp sand allowance for bulkage shall be made as given in Appendix 4C of ICTAD
specification.</t>
  </si>
  <si>
    <t>Water:Cement ratio shall not exceed 0.45. Based on this
Water:Cement ratio, volume of water required (either weight or converted volume of water) shall be decided for a given cement content. Required water content shall then be added by measuring the volume from a calibrated measuring Jar.</t>
  </si>
  <si>
    <t>Slump of site mixed concrete before pouring shall be within 150mm±25mm range.</t>
  </si>
  <si>
    <t>In order to achieve this slump without exceeding the 0.45
water:cement ratio, the use of a water reducing admixture (super plasticer) complying to BS EN 934-2 is permitted to be added to the concrete mix. Contractor shall ensure that the selected plasticer brand is compatible with the cement brand used for concreting.</t>
  </si>
  <si>
    <t>(xi) A written request from the contractor for concreting with date and time, (Request shall forward to the Engineer at least 3 working days in advance)</t>
  </si>
  <si>
    <t>Immediately after (removal of formwork) (initial setting is starts),columns shall be continuously cured for 7 consecutive days.</t>
  </si>
  <si>
    <t>Note: Divisional Engineer or Senior technical officer shall authorize the concreting only after receiving a method statement (in either language) from the contractor.</t>
  </si>
  <si>
    <t>(a).Concrete cube crushing strength test results; 28 day results shall be available to make full payment.</t>
  </si>
  <si>
    <t>(b).Quality assurance report signed by the contractor’s technical officer or agent, Divisional Engineer’s technical officer who has witnessed the concreting along with senior technical officer in charge
of the site.</t>
  </si>
  <si>
    <t>(vii) Coarse and Fine aggregate used shall confirm to BS 882 latest version. Seive analysis reports within 6 months should be submitted for approval .</t>
  </si>
  <si>
    <t>(x) The Ready mix supplier's plant should have been calibrated in the recent past.</t>
  </si>
  <si>
    <t>(xi) Admixures should be compatible with the cement and it should be confirmed by Admixure supplier and Cement supplier.</t>
  </si>
  <si>
    <r>
      <t>(xiii) Collection of samples for testing shall be at the point of placing. One sample per 5m</t>
    </r>
    <r>
      <rPr>
        <vertAlign val="superscript"/>
        <sz val="11"/>
        <rFont val="Times New Roman"/>
        <family val="1"/>
      </rPr>
      <t>3</t>
    </r>
  </si>
  <si>
    <t>Shuttering for sides of foundation with 15mm thick Plywood board including dismantling</t>
  </si>
  <si>
    <t>Insurance and Securities</t>
  </si>
  <si>
    <t>Allow sum for providing performance security</t>
  </si>
  <si>
    <t>Allow sum for providing advance payment security</t>
  </si>
  <si>
    <t xml:space="preserve">The minimim insurance.cover shall be: </t>
  </si>
  <si>
    <t xml:space="preserve">The minimum cover for insurance of the Works and Plant and Materials is 110% of the Initial Controct Price. </t>
  </si>
  <si>
    <t xml:space="preserve">The maximum deductible for insurance uf the Works and of Plant and Materials is 5% of the Initial Contract Price. </t>
  </si>
  <si>
    <t>The minimunm cover for loss or damage to Equipment is the replacement cost</t>
  </si>
  <si>
    <t xml:space="preserve"> The maximum deductible for insurance of Equipment is 5% of minimun cover for equipment.</t>
  </si>
  <si>
    <t>The minimum cover for insurance of (orher propert other than the site) is Ra. 2Million per event and totul limit of indemnity shall be Rs 10 Million</t>
  </si>
  <si>
    <t>The mininum cover for insurance of personal injury or death.</t>
  </si>
  <si>
    <t xml:space="preserve">For third party and employees of the Employer and other persons engaged by the Employer in the Works is Rs.5,000,000/- per event </t>
  </si>
  <si>
    <t>Injury or damage to persons including employer and consultant and their employees and other consultants employed by the employer shall be covered by the personnel accident insurance cover for Rs 2 million per event effective from the date of commencement of contract until end of the defects liability period (total number of persons insured are not exceeding 10 nrs)</t>
  </si>
  <si>
    <t>The iminimum cover for personal injury or death</t>
  </si>
  <si>
    <t>For the Contractor's workmen is Rs. 500,000/= per event</t>
  </si>
  <si>
    <t>Engineer's Facilities</t>
  </si>
  <si>
    <t>The follwing facilities shall be provided</t>
  </si>
  <si>
    <t xml:space="preserve">Contractor's Facilities </t>
  </si>
  <si>
    <t>Construction Managment  and Supervision</t>
  </si>
  <si>
    <t>Allow sum for employing suitable qualified and axperienced technical personnal on full time for construction maragement services at the site.</t>
  </si>
  <si>
    <t xml:space="preserve">Setting Out </t>
  </si>
  <si>
    <t xml:space="preserve">Quality, Standards and Progress </t>
  </si>
  <si>
    <t xml:space="preserve">Health Safety and Environment </t>
  </si>
  <si>
    <t xml:space="preserve">Allow lump sum for maintaining the site in a clean and orderly manner at all times and during the entire contract period.
</t>
  </si>
  <si>
    <t>Services and Facilities</t>
  </si>
  <si>
    <t>Allow lump sum for supply of water for the Works and paying all charges and other expenses in connection with the supply from water mains or any other alternative method of water supply, storage and reticulation</t>
  </si>
  <si>
    <t>Allow lump sum for supplying temporary electricity for the works including connection, distribution system for the Works, internal arrangements and all payments to be authorities for consumption</t>
  </si>
  <si>
    <t>If the Engineer is of the opinion that any item in this section has not been provided fully by the Contractor the Engineer may adjust the amounts quoted by the Contractor for the items concerned</t>
  </si>
  <si>
    <t>Reimbursement of actual cost on submission of the relevant document acceptable to the Engineer plus 5% of the actual cost of obtaining the insurance policies and securities</t>
  </si>
  <si>
    <t>Hand Rail</t>
  </si>
  <si>
    <t>Aluminium Panel Ceiling</t>
  </si>
  <si>
    <t>Bill No. 01</t>
  </si>
  <si>
    <t>Bill No. 02</t>
  </si>
  <si>
    <t>Bill No. 03</t>
  </si>
  <si>
    <t>BILL NO. 03</t>
  </si>
  <si>
    <r>
      <t>(ii) Minimum cement content shall be 300 kg/m</t>
    </r>
    <r>
      <rPr>
        <vertAlign val="superscript"/>
        <sz val="11"/>
        <rFont val="Times New Roman"/>
        <family val="1"/>
      </rPr>
      <t>3</t>
    </r>
  </si>
  <si>
    <t>Allow Sum for insurance of Works, Machinery &amp; Equipment, Plant, Materials, Third party persons &amp; property and Eimployer's personal &amp; property at site per the Contract</t>
  </si>
  <si>
    <t>Allow Sum for insurance against accidents and injury to Contractor's personnel as per the Contract.</t>
  </si>
  <si>
    <t>1. In-situ plain concrete (mixed at site either manually or with machine)</t>
  </si>
  <si>
    <t>4. Site produced concrete of Grade 20 - (machine mix or in case of small quantities manually mixed)</t>
  </si>
  <si>
    <t>These items are meant for pre-cast lintols, stiffeners, copings,concrete drains, etc.</t>
  </si>
  <si>
    <t>5. Curing for In situ plain concrete, In situ reinforced concrete, Site produced concrete of Grade 20 &amp; Ready mix concrete</t>
  </si>
  <si>
    <t>In - Situ Plain Concrete (mixed at site either manually or with machine)</t>
  </si>
  <si>
    <t>Random rubble (6"-9") masonry in  cement mortar 1:5 in wall foundation.</t>
  </si>
  <si>
    <t>iv) In case volume of water and admixture to be measured by measuring Jar, accuracy of 0.5ml to measure the volume be available in the Jar.</t>
  </si>
  <si>
    <t>v) An admixture (super-plasticer) compatible with the cement brand (Technical literature and dosage shall be submitted to the Divisional Engineer well in advance for approval)</t>
  </si>
  <si>
    <t>In - Situ Reinforced Concrete Of Grade 25 &amp;30 (mixed at site with a concrete mixer )</t>
  </si>
  <si>
    <t>GROUND FLOOR</t>
  </si>
  <si>
    <t>W1</t>
  </si>
  <si>
    <t xml:space="preserve">In staircases </t>
  </si>
  <si>
    <t>3/4" thick D.P.C. in cement sand 1:3 finished with 2 coats of D.P.C. tar and blinded with sand.</t>
  </si>
  <si>
    <t>Gauge 750 polythene damp proof membrane with 6" laps laid under floors.</t>
  </si>
  <si>
    <t xml:space="preserve">Rendering 1/2" thick in cement sand 1:3 finished smooth with cement slurry without colour pigment and expansion joints filled with construction expansion joint sealent including the cost for cleaning the joints prior application of construction expansion joint sealent by M/s Bitumix or approved equivalent.
</t>
  </si>
  <si>
    <t>The water proofing material shall conform to relevant British, Euro or ASTM specifications</t>
  </si>
  <si>
    <t>Areas exposed to sunlight (Balconies, Sun-Shades Concrete Gutters etc) (Elastomeric water proofing using thoroseal or approved equivalent.)</t>
  </si>
  <si>
    <t>All materials, equipments, wiring and workmanship shall confirm to local codes of specifications, B.S Standards, latest I.E.E regulations (18th Edition) and Ceylon Electricity Board specifications. Contractor shall investigate the site conditions before submitting their quote.</t>
  </si>
  <si>
    <t>Cu/PVC/PVC cables shall confirm to BS 6346</t>
  </si>
  <si>
    <t>Cu/XLPE/PVC cables shall confirm to BS 5467</t>
  </si>
  <si>
    <t>Contractor shall obtain sample approvals for all the items used before fixing,  from the Consultant.</t>
  </si>
  <si>
    <t>Contractor shall propose shop drawings/conduit lay out drawings and obtained approval from the Consultant, before commencing Installation.</t>
  </si>
  <si>
    <t>All electrical fittings ,cables ,circuit breakers and accessories etc from manufacturer / agent , not from Sunday market.</t>
  </si>
  <si>
    <t>Original printed catalogues shall be submitted.</t>
  </si>
  <si>
    <t>Warranties for electrical and electronics items shall be submitted.</t>
  </si>
  <si>
    <t>The Rate shall include  for supply, installation, commissioning &amp; comprehensive maintenance during the defect liability period of one year.</t>
  </si>
  <si>
    <t>The rate shall include insuarance during handling , transporting , storing &amp; installation until handover.</t>
  </si>
  <si>
    <t xml:space="preserve">The rate shall include for all temerory works such as scaffolding and temporary electricity supply etc. </t>
  </si>
  <si>
    <t>Payments shall be on measure and pay basis</t>
  </si>
  <si>
    <t>V01.01</t>
  </si>
  <si>
    <t>Inspection and testing</t>
  </si>
  <si>
    <t>V01.02</t>
  </si>
  <si>
    <t>Main Cabling System</t>
  </si>
  <si>
    <t xml:space="preserve">All the Cables quoted below shall be on measure and pay basis. </t>
  </si>
  <si>
    <t>Rates should include for all necessary cable accessories such as cable ties, Cable Lugs, Glands, identification tags, and all accessories for complete installation</t>
  </si>
  <si>
    <t>Rate shall include for supply and installation of following cables including cable trays, ladders and trunking, conduits,Underground Installments incuding sand beddings ,concrete tiles warning tapes etc. including termination.</t>
  </si>
  <si>
    <t xml:space="preserve"> All horizontal and vertical Cable trays , trunking , conduits &amp; ladders should be adequately sized to provide 25% spare space. Installation method shall be according to BS 7671</t>
  </si>
  <si>
    <t>Contractor shall investigate the site conditions and include all the cost involved in point rates given below.</t>
  </si>
  <si>
    <t>All wiring shall be in securely fixed conduits /trunkig above the ceiling</t>
  </si>
  <si>
    <t xml:space="preserve">Main cables for sub distribution boards of each floor shall be tapped from the bus bar riser </t>
  </si>
  <si>
    <t>V02.01</t>
  </si>
  <si>
    <t>All the Distribution Boards shall be surface/flush mounted type Distribution Boards complete with powder coated steel enclosure with lockable doors.</t>
  </si>
  <si>
    <t xml:space="preserve">The panel board should have wire numbering and a laminated circuit diagram  pasted on the inside surface of the door. </t>
  </si>
  <si>
    <t>Make of MCCBs and MCBs, etc shall be Schnider / ABB / Terasaki or equivalent make, approved by the Consultant.</t>
  </si>
  <si>
    <t>Manufactures shop drawings should be submitted and approved by the Consultant before fabrication</t>
  </si>
  <si>
    <t>Main Distribution Board and SUB Distribution Boards and Isolators</t>
  </si>
  <si>
    <t>V03.01</t>
  </si>
  <si>
    <t>Wiring for light points, ceiling fans, socket outlets</t>
  </si>
  <si>
    <t>Rate for point wiring shall include for all the cables trays/ladders,conduits, conduit fittings, casings,surface cable trunks, fixing material, switches, wiring and terminations, holders for light fittings and socket outlets for power points. Contractor shall obtain approvals from the Consultant/CEE for above items</t>
  </si>
  <si>
    <t>As a standard of quality for switches and socket outlets, the contractor may use 'ML/Legrand /ACL or approved equal'.</t>
  </si>
  <si>
    <t>V04.01</t>
  </si>
  <si>
    <t>Testing of the electrical installation and submission of certificate from a chartered Electrical Engineer registered at CEB.</t>
  </si>
  <si>
    <t>V04.02</t>
  </si>
  <si>
    <t>V04.03</t>
  </si>
  <si>
    <t>V04.04</t>
  </si>
  <si>
    <t>V04.05</t>
  </si>
  <si>
    <t>V04.06</t>
  </si>
  <si>
    <t>V04.07</t>
  </si>
  <si>
    <t>V04.08</t>
  </si>
  <si>
    <t>V04.09</t>
  </si>
  <si>
    <t>V04.10</t>
  </si>
  <si>
    <t>V04.11</t>
  </si>
  <si>
    <t>V04.12</t>
  </si>
  <si>
    <t>V04.13</t>
  </si>
  <si>
    <t>V04.14</t>
  </si>
  <si>
    <t>V04.15</t>
  </si>
  <si>
    <t>Light fittings / Fans</t>
  </si>
  <si>
    <t>The light fittings supplied and installed under this contract shall be in every respect suitable for the intended purpose.</t>
  </si>
  <si>
    <t>Each fitting shall include bulbs, internal wiring, hanging and fixing material and be complete without any additional item/material being required to make it so.</t>
  </si>
  <si>
    <t>The contractor shall obtain consultants and clients approval for the fittings before fixing the fittings in the site</t>
  </si>
  <si>
    <t>As a standard of quality for Light fittings, the contractor may use 'Philips/Osram or approved equal'.</t>
  </si>
  <si>
    <t>Lamp fitting shall include the cost of fitting and bulb &amp; shall be given a two year Warranty and one year warranty for bulb</t>
  </si>
  <si>
    <t>Lamp fitting with given a two year Warranty for fitting</t>
  </si>
  <si>
    <t>Work shall be done in accordance with specifications for electrical and mechanical works - ICTAD Publication No.SCA/8 of Aug.2000(2nd Edition -Revised)</t>
  </si>
  <si>
    <t>All switches and socket outlets shall be plated type make"Clipsal", " Orange X5", "Krypton" or any other approved equivalent complying to SLS1000:1993 for switches &amp; SLS 1998 : 1991 for soket outlets .</t>
  </si>
  <si>
    <t>Rate to include switch boxes, Rowl plugs, square pin plug base, Chromium plated M.S. chains, brass hooks, ceiling roses, holders and any other item necessary.</t>
  </si>
  <si>
    <t>All distribution boards should be incorporated with multi 9, Orange Industrial, Merlin Gerin, , Hager, LS, Moeller/EATON, clipsal,SIEMENS make MCB's (Miniature circuit Breaker ) and cabtree, Clipsal ,Orange Industrial 10 kA, LS , Merlin Gerin,Schinieider make R.C.C.B.'s (Residual Current circuit Breaker) and Schinieider, Merlin Gerin, LS, Dormans Smith ,Orange Industrial (10K), Biticano , Clockner moeller make M.C.C.B.'s (Moulded Case Circuit Breakers)</t>
  </si>
  <si>
    <t>The whole installation shall be carried out according to CEB/IEE wiring regulations.</t>
  </si>
  <si>
    <t>All the M.C.C.B.'s, MCB's and RCCB's for the distribution boards should be purchased from the following authorized agents or from heir dealers and a certificate or invoice along with their Company seal and Part No., numbers and warranty should be produced at the time of payment.</t>
  </si>
  <si>
    <t>a).  All MCB, RCCB, shall have 20 Years warranty and hence products which comes with 20 years warranty are permitted.</t>
  </si>
  <si>
    <t>b).  All MCCB shall have 2 Years warranty and hence products which comes with 2 years warranty are permitted.</t>
  </si>
  <si>
    <t>e).  All socket and switches shall have 20 Years warranty and hence products which comes with 20 years warranty are permitted.</t>
  </si>
  <si>
    <t>Point wiring only with and including switches (Rate includes wiring from MCB through switch to lamp point and includes the switch, switch box, lamp holder wire and conduit)</t>
  </si>
  <si>
    <t>Point wiring only with and including Socket (Rate includes wiring from MCB to the Socket, socket box, and conduit)</t>
  </si>
  <si>
    <t>Light Fittings</t>
  </si>
  <si>
    <t>S - SANITARY FITTINGS</t>
  </si>
  <si>
    <t>(a). Has an authorized local agent in Sri Lanka</t>
  </si>
  <si>
    <t>(b). The local agent has been in the trade of the offered make for not
less than 5 years.</t>
  </si>
  <si>
    <t>(c).The cistern mechanism shall have an assurance for the availability of spares for the next 3 years.</t>
  </si>
  <si>
    <t>(d). The fittings are manufactured in conformity to BS, JIS,
A.S.T.M., A.S. or S.L.S. standards.</t>
  </si>
  <si>
    <t>(e).The dimensions and performance characteristics are in par with
the stated model.</t>
  </si>
  <si>
    <t>(f).Contractor should submit the purchasing bill and the required
warranty for all "Rocell , American Standard, Lanka Tiles - coloma " products</t>
  </si>
  <si>
    <t>Warranty</t>
  </si>
  <si>
    <t>(a). Manufacturer's Warranty for American Standard Brand.</t>
  </si>
  <si>
    <t>(b). Manufacturer's Warranty for Rocell Brand.</t>
  </si>
  <si>
    <t>(c).Manufacturer's Warranty for Lanka Tiles - coloma Brand.</t>
  </si>
  <si>
    <t>S 14</t>
  </si>
  <si>
    <t>Bathroom Accessories</t>
  </si>
  <si>
    <t>S 15</t>
  </si>
  <si>
    <t>S 17</t>
  </si>
  <si>
    <t>S 18</t>
  </si>
  <si>
    <t>S 19</t>
  </si>
  <si>
    <t>S 20</t>
  </si>
  <si>
    <t>S 21</t>
  </si>
  <si>
    <t>S 22</t>
  </si>
  <si>
    <t>S 23</t>
  </si>
  <si>
    <t>S 24</t>
  </si>
  <si>
    <t>S 25</t>
  </si>
  <si>
    <t>Waste Water Manhole - Concrete</t>
  </si>
  <si>
    <t xml:space="preserve">Soakage Pits </t>
  </si>
  <si>
    <t>In view of the variety of sanitary ware and fittings available in the market, it has become necessary to prescribe the exact quality requirements in terms of performance and durability aspects. The "Rocell , American Standard, Lanka Tiles - coloma " brands and respective model numbers have been chosen as a bench mark to establish the said requirements.</t>
  </si>
  <si>
    <t>Any other make/brand that has equivalent performance
characteristics are considered as equivalent provided such fittings meet with the following criteria.</t>
  </si>
  <si>
    <t>Water tank should combined with three layers of high density polyethylene except 5000 Ltr. Water tank.</t>
  </si>
  <si>
    <t>The inner and outer layers made of 100% FDA approved virgin raw materials , ensuring non-contamination.</t>
  </si>
  <si>
    <t>Contractor should submit the purchasing bill and the required warranty for water tanks (10 year warranty) manufactured by "Anton , Arpico" to the Divisional Engineer.</t>
  </si>
  <si>
    <t>The brand name and model number appearing in the respective BSR items are purely meant to describe the performance standard of the said fitting/item and does not imply in any way that only the "Rocell ,American Standard, Lanka Tiles - coloma " brands are recommended or considered to be restricted to the "Rocell &amp; American Standard" brands.</t>
  </si>
  <si>
    <t>25 years warranty for Vitreous china ware (VC), 1 year warranty for VC component parts such as Tank fitting, Seat cover, etc., 1 year warranty for Flush valve, 5 years warranty for Faucets (Body) &amp; 1 year warranty for other products.</t>
  </si>
  <si>
    <t>25 years warranty for Bath ware, 5 years warranty for Faucets (Body) &amp; Bath room Accessories &amp; 1 year warranty for Plumbing Accessories.</t>
  </si>
  <si>
    <t>nr</t>
  </si>
  <si>
    <t>2. Anodized coating thickness should be 25 ± 5 microns</t>
  </si>
  <si>
    <t>3.Aluminium extrusions available in the Local Market are being either manufactured in Sri Lanka or imported material. Due to the continuous change of the extrusion profiles and thicknesses from time to time, it has become very difficult to specify standard section sizes that are to be used for door /window frames and sash members. Hence the rates given herein are based on the recommended minimum sizes and thicknesses of profiles published by leading Aluminium profile manufacturers (Alumex Plc, Swisstek Aluminium Limited) as at present for the doors, windows, fanlights and partitions.</t>
  </si>
  <si>
    <t>before the fabrication contractor must submitt the following information.</t>
  </si>
  <si>
    <t>1. The specifications and thickness of Aluminium extrusions 
proposes to use on the works.</t>
  </si>
  <si>
    <t>2. Full size cross sections of profiles.</t>
  </si>
  <si>
    <t>(a) Minimum tensile strength 150 Mpa</t>
  </si>
  <si>
    <t>(b) Elongation 7%</t>
  </si>
  <si>
    <t>5. Physical properties :-</t>
  </si>
  <si>
    <t>6. All screws should be stainless steel</t>
  </si>
  <si>
    <t>(a) A written certificate stating that all material and workmanship are in conformity with the specifications and the manufactures requirements.</t>
  </si>
  <si>
    <t>payments for items shall be made on receipt of above certificate</t>
  </si>
  <si>
    <t>All distribution boards should be incorporated with multi 9, Orange Industrial, Merlin Gerin, , Hager, LS, Moeller/EATON, clipsal, SIEMENS make MCB's (Miniature circuit Breaker ) and cabtree, Clipsal ,Orange Industrial 10 kA, LS , Merlin Gerin,Schinieider make R.C.C.B.'s (Residual Current circuit Breaker) and Schinieider, Merlin Gerin, LS, Dormans Smith ,Orange Industrial (10K), Biticano , Clockner moeller make M.C.C.B.'s (Moulded Case Circuit Breakers)</t>
  </si>
  <si>
    <t>All the M.C.C.B.'s, MCB's and RCCB's for the distribution boards should be purchased from the following authorized agents or from their dealers and a certificate or invoice along with their Company seal and Part No., numbers and warranty should be produced at the time of payment.</t>
  </si>
  <si>
    <t>a). All MCB, RCCB, shall have 20 Years warranty and hence products which comes with 20 years warranty are permitted.</t>
  </si>
  <si>
    <t>b). All MCCB shall have 2 Years warranty and hence products which comes with 2 years warranty are permitted.</t>
  </si>
  <si>
    <t>e). All socket and switches shall have 20 Years warranty and hence products which comes with 20 years warranty are permitted.</t>
  </si>
  <si>
    <t>All Lighting Fittings shall have 2 Years warranty including bulb and hence products which comes with 2 Years warranty are permitted.</t>
  </si>
  <si>
    <t>The height of the light bracket from floor level is 2.5m.</t>
  </si>
  <si>
    <t>Height of the switches from floor level is 1.5m.</t>
  </si>
  <si>
    <t>No ceiling fan should be installed at a height of less than 2.7m from floor level.</t>
  </si>
  <si>
    <t>The distance of a light source from the wall should be equal to one half the distance between two adjacent light sources and also the distance between light fittings should not exceed 1.5 times the Mounting height.</t>
  </si>
  <si>
    <t>Point Wiring With Earthwire.</t>
  </si>
  <si>
    <t>FIRST FLOOR</t>
  </si>
  <si>
    <t>Lamp fitting with given a two year Warranty for fitting .</t>
  </si>
  <si>
    <t>V04.16</t>
  </si>
  <si>
    <t>V04.17</t>
  </si>
  <si>
    <t>V04.18</t>
  </si>
  <si>
    <t>G.I Tube Hand Rail</t>
  </si>
  <si>
    <t>Partitions</t>
  </si>
  <si>
    <t>Tile Shall be Homogenous, porcelain floor tiles of
industrial grade floor tile range manufactured by Rocell , Lanka Wall Tile or approved equivalent.</t>
  </si>
  <si>
    <t>Copy of the first grade tile purchase bill should be produced at the time of payment.</t>
  </si>
  <si>
    <t>Rates include the cost of 1:3 cement:sand motar leveling bed and adhesives</t>
  </si>
  <si>
    <t>Doors &amp; Windows</t>
  </si>
  <si>
    <t xml:space="preserve">Doors  </t>
  </si>
  <si>
    <t>Windows</t>
  </si>
  <si>
    <t>Shuttering for Columns including dismantling using pre-fabricated steel shutter halves including dismantling.</t>
  </si>
  <si>
    <t>MAIN SUMMARY</t>
  </si>
  <si>
    <t>SUB TOTAL-I</t>
  </si>
  <si>
    <t>P.S</t>
  </si>
  <si>
    <t>Waste Water pit</t>
  </si>
  <si>
    <t xml:space="preserve">Testing of Water tanks &amp; Sumps as per clause </t>
  </si>
  <si>
    <t>O - PROVISIONAL SUM</t>
  </si>
  <si>
    <t>V - PROVISIONAL SUM CARRIED TO GRAND SUMMARY</t>
  </si>
  <si>
    <t>Pro. Sum</t>
  </si>
  <si>
    <t>Contractor s employees other than workmen is Rs.5.000.000/= per event</t>
  </si>
  <si>
    <t>Plinth beam</t>
  </si>
  <si>
    <t xml:space="preserve">Ready mix concrete of grade 25(25 N/mm2) confirming to SLS 1144- 1997, rate include to transport from batching plant. Rate shall inclue for placing, levelling, vibrating &amp; curing the concrete &amp; pump car cost
</t>
  </si>
  <si>
    <t>Rate to include the transport from batching plant.</t>
  </si>
  <si>
    <t>Sump Construction</t>
  </si>
  <si>
    <t>Transport</t>
  </si>
  <si>
    <t>B 09</t>
  </si>
  <si>
    <t>Back Filling</t>
  </si>
  <si>
    <t>The rates given for  items herein are applicable for plywood sheets of 15 mm thick. Hence  the  rate is valid only if the shuttering / formwork for footing , column ,  beams , lintel, walls, slabs are of 15 mm thick ply boards.</t>
  </si>
  <si>
    <t>the relavent document acceptable to the</t>
  </si>
  <si>
    <t>engineering plus 5% of the actaul cost of obtaining</t>
  </si>
  <si>
    <t>the insurance policies and securities</t>
  </si>
  <si>
    <t>agreement</t>
  </si>
  <si>
    <t>structures. 30% in equl installments over the</t>
  </si>
  <si>
    <t>contract period and the balance 10% on</t>
  </si>
  <si>
    <t>dismaintling and removal on completion</t>
  </si>
  <si>
    <t>contractor and the employer at the</t>
  </si>
  <si>
    <t>commencement of contract in relation to the</t>
  </si>
  <si>
    <t>work program</t>
  </si>
  <si>
    <r>
      <t xml:space="preserve">In equal installments over the contract period                     </t>
    </r>
    <r>
      <rPr>
        <b/>
        <sz val="10"/>
        <rFont val="Times New Roman"/>
        <family val="1"/>
      </rPr>
      <t>E</t>
    </r>
  </si>
  <si>
    <r>
      <t xml:space="preserve">Mode of payment to be mutually agreed between              </t>
    </r>
    <r>
      <rPr>
        <b/>
        <sz val="10"/>
        <rFont val="Times New Roman"/>
        <family val="1"/>
      </rPr>
      <t xml:space="preserve"> F</t>
    </r>
  </si>
  <si>
    <r>
      <t xml:space="preserve">on the completion of works                                                 </t>
    </r>
    <r>
      <rPr>
        <b/>
        <sz val="10"/>
        <rFont val="Times New Roman"/>
        <family val="1"/>
      </rPr>
      <t xml:space="preserve"> G</t>
    </r>
  </si>
  <si>
    <t>The Bidder is fully responsible for identiflying the limitataions, restrictions and difficulties imposed due to the locally of the site and its environs and should include in his prices for all contingencies that may arise as a result</t>
  </si>
  <si>
    <t>Mode of payment catogary</t>
  </si>
  <si>
    <t>A</t>
  </si>
  <si>
    <t xml:space="preserve">              Mode of Payment                                       Category</t>
  </si>
  <si>
    <r>
      <t xml:space="preserve">Reimbursement of actual cost on submission of                </t>
    </r>
    <r>
      <rPr>
        <b/>
        <sz val="10"/>
        <rFont val="Times New Roman"/>
        <family val="1"/>
      </rPr>
      <t>A</t>
    </r>
  </si>
  <si>
    <r>
      <t xml:space="preserve">To be paid on signal of the format contract                        </t>
    </r>
    <r>
      <rPr>
        <b/>
        <sz val="10"/>
        <rFont val="Times New Roman"/>
        <family val="1"/>
      </rPr>
      <t xml:space="preserve"> B</t>
    </r>
  </si>
  <si>
    <r>
      <t xml:space="preserve">60% on completion of temporary building or                     </t>
    </r>
    <r>
      <rPr>
        <b/>
        <sz val="10"/>
        <rFont val="Times New Roman"/>
        <family val="1"/>
      </rPr>
      <t>C</t>
    </r>
  </si>
  <si>
    <t xml:space="preserve">In Ground Floor </t>
  </si>
  <si>
    <t>Bill No. 05</t>
  </si>
  <si>
    <t>ADD- CONTINGENCIES- 10%</t>
  </si>
  <si>
    <t xml:space="preserve">Volume Batched Grade 25 concrete prepared at site using mixer and vibrator in ground  floor.Rate shall include  the cost of curing continously for 7 days. Upto DPC
</t>
  </si>
  <si>
    <t>the rate shall include the bulb lamp complete with the fitting. Bulbs make shall be - Philips, osram, nvc,greenee &amp; Orange or eq</t>
  </si>
  <si>
    <t>3. Documentary evidence from the Profile Manufacture to the effect that the proposed profile will serve for the intended purpose.</t>
  </si>
  <si>
    <t>4. A Manufacturer's test certificate be produced as evidence that the powder coating is of required thickness.</t>
  </si>
  <si>
    <t>7. But hinges and bar type hinges should be Aluminium or Stainless Steel.</t>
  </si>
  <si>
    <t>8. The rates shall include Neoprene gasket, pop rivets, Rawl plugs, Screws, Aluminium cleats etc.</t>
  </si>
  <si>
    <t>Aluminium doors, windows and partitions shall confirm to the following requirements:</t>
  </si>
  <si>
    <t>Water Disposal</t>
  </si>
  <si>
    <t>B 10</t>
  </si>
  <si>
    <t>Disposal of Ground Water and Surface Water</t>
  </si>
  <si>
    <t>.</t>
  </si>
  <si>
    <t>H - RUBBLE MASONRY</t>
  </si>
  <si>
    <t xml:space="preserve">Plastering 5/8" thick to walls in cement and sand 1:5 finished semi-rough.  Rate includes cost of "Febmix"as a workability enhancer.
</t>
  </si>
  <si>
    <t>Plastering 5/8" thick to reveals in first floor in cement and sand 1:5 finished semi-rough in first floor. Rate includes cost of "Febmix"as a workability enhancer.</t>
  </si>
  <si>
    <t>Plastering 5/8" thick to reveals in ground floor  in cement andsand 1:5 finished smooth with two coats of skim coat in ground floor.Rate includes cost of "Febmix"as a workability enhancer.</t>
  </si>
  <si>
    <t>Plastering 5/8" thick to reveals in first floor in cement and  sand 1:5 finished smooth with two coats of skim coat in first floor. Rate includes cost of "Febmix"as a workability enhancer.</t>
  </si>
  <si>
    <t>Transport of any Material / Debris by any means in bulk including loading</t>
  </si>
  <si>
    <t>For powder coated aluminium profiles (minimum powder coating thickness of 60 ± 5 microns)</t>
  </si>
  <si>
    <t>The rates shall include Neoprene gasket, pop rivets, Rawl plugs,Screws,Aluminium cleats etc.</t>
  </si>
  <si>
    <t>1. Aluminium alloy should confirm to- ISO - 9001:2008, SLS 1410:2011 / SLS 1411:2011</t>
  </si>
  <si>
    <t>A Manufacturer's test certificate be produced as evidence that the powder coating is of required thickness.</t>
  </si>
  <si>
    <t>Ground Floor- banak area</t>
  </si>
  <si>
    <t xml:space="preserve">Ground Floor- </t>
  </si>
  <si>
    <t>SUB TOTAL IV</t>
  </si>
  <si>
    <t>TOTAL PROJECT COST WITH VAT</t>
  </si>
  <si>
    <t>Charges for verifying the wiring done with meggar test &amp; continuity test before commensing installation of Distribution Board &amp; Electrical Fittings</t>
  </si>
  <si>
    <t xml:space="preserve">Supply, installation &amp; termination of main cable  from CEB supply to MDB  </t>
  </si>
  <si>
    <t>V02.03</t>
  </si>
  <si>
    <t xml:space="preserve">(4) Pedestal fan </t>
  </si>
  <si>
    <t xml:space="preserve">(CV to be submitted with the bid)  </t>
  </si>
  <si>
    <t>Allow lump sum for providing  Accommodation, including all sanitory facility  for Contractor's staff and workmen</t>
  </si>
  <si>
    <t xml:space="preserve">Supply and mounted (LED Phase indicator lamps ) Wall/Surface mounted Powder Coated Steel Enclosure with lockable doors ,cover plate &amp; internal wiring c/w bus bars and Accessories.(Rate to include necessary MCCB,MCB,RCCB,and other necessary fixturesand  Other required supportive materials should include )  The contractor shoud take advise an electricle engineer before undataking the work and </t>
  </si>
  <si>
    <t>Metal Ceiling</t>
  </si>
  <si>
    <t>Supplying &amp; Installing of 600mmx 600mm non perforated white metal sheet ceiling, supported by concealed type furring suspended system installed in a flat horizontal manner using furing bars clipped on to inter locking hot dipped GI main tees with clips, ciling to be susppended using GI 04mm thick hanger rods (Prime cost of 2'-0" x 2'-0" 
sheet is Rs.2,640.00)</t>
  </si>
  <si>
    <t>Powder coated perforated mesh Hand Rail</t>
  </si>
  <si>
    <t>Tempored Glass Partition</t>
  </si>
  <si>
    <r>
      <rPr>
        <b/>
        <sz val="11"/>
        <rFont val="Times New Roman"/>
        <family val="1"/>
      </rPr>
      <t>P1</t>
    </r>
    <r>
      <rPr>
        <sz val="11"/>
        <rFont val="Times New Roman"/>
        <family val="1"/>
      </rPr>
      <t xml:space="preserve">  in 37.5mm x 25mm x 1.4mm thick hairline finished stainless steel 'U' channel framed work and 12mm thick tempered glass with printed PVC stickering  fixed with silicon joints  as per the detailed drawing and finishes as specified as per the drawings</t>
    </r>
  </si>
  <si>
    <r>
      <t xml:space="preserve">Paid on satisfactury completion of the item                        </t>
    </r>
    <r>
      <rPr>
        <b/>
        <sz val="10"/>
        <rFont val="Times New Roman"/>
        <family val="1"/>
      </rPr>
      <t>D</t>
    </r>
  </si>
  <si>
    <t>In plinth Beams</t>
  </si>
  <si>
    <t xml:space="preserve">Volume Batched Grade 25 concrete prepared at site using mixer or Grade 25 ready mix( rate include to transport from batching plant. Rate shall inclue for placing, levelling, vibrating &amp; curing the concrete &amp; pump car cost)  and vibrator  in ground  floor.  Rate  shall  include  the  cost  of curing continously for 7 days. 
</t>
  </si>
  <si>
    <t>In column shaft from First floor level to Second floor level</t>
  </si>
  <si>
    <t xml:space="preserve">Shuttering for floor slab including dismantling in 15mm thick Plywood board or steel boarding support by steel jack </t>
  </si>
  <si>
    <t>Shuttering for floor Beams including dismantling in 15mm thick plywood board or steel formwork</t>
  </si>
  <si>
    <t>In slab at First floor level</t>
  </si>
  <si>
    <t>In  Slab at second floor level</t>
  </si>
  <si>
    <t>In beam at First floor level</t>
  </si>
  <si>
    <t>In beam at second floor level</t>
  </si>
  <si>
    <t>Roof Slab</t>
  </si>
  <si>
    <t>In Second Floor</t>
  </si>
  <si>
    <t xml:space="preserve"> laying of Topseal 3mm thick,Torch-on membrane or any othere quivalent product marketed /installed by a specialist contractor registered at ICTAD under waterproofing category including 1:3 cement,sand protective screed laid to slope.Rate shall include the formation of edges,torch welding and fixing metal stripon vertical walls at termination edges.</t>
  </si>
  <si>
    <t>(b) The contractor shall jointly with manufacture/supplier of the
waterproofing materials shall furnish a warranty to the Employer
valid for a period of 10 years  after handing over of the work against dampness and/or moisture penetration through treated surfaces due to defective materials and/or workmanship</t>
  </si>
  <si>
    <t>Sqm</t>
  </si>
  <si>
    <t>L.m</t>
  </si>
  <si>
    <t>Removing top soil including mud,  machinery to a  nessasary depth  and removing all debris away from site, location decided by client withing 3 km</t>
  </si>
  <si>
    <t xml:space="preserve"> (1) 2-0"x4-0" Table with drawers for Engineer's representative with medium back chair</t>
  </si>
  <si>
    <t>(2) Chair for Engineer's Representative( two nr of low back chair)</t>
  </si>
  <si>
    <t>(5) 30 Gb monthly data package( WIFI Router),contractor should paid data package  monthly</t>
  </si>
  <si>
    <t>Allow lump sum for erecting and maintaining scaffolding and/ self climbing platforms around the construction building wall area. Such scaffolding etc. shall be removed on completion and all Works disturbed shall be made good.rate to include to safety dust coverd green net for total building perimeter building height area</t>
  </si>
  <si>
    <t xml:space="preserve">Rate for items  shall include the cost of adapter, connecting 2core 1mm 2 cable o ,galvanized hanging chain. </t>
  </si>
  <si>
    <t xml:space="preserve">Allow sum for emplyoing a licensed land surveyor to define the building site work etc., check levels and carry out such other surveys as may be necessary to establish accrately the placing of forms and pouring of concrete and all other setting out in both vertical and horizontal plane. </t>
  </si>
  <si>
    <t>1.Architectural</t>
  </si>
  <si>
    <t>2.Electricle</t>
  </si>
  <si>
    <t>Tempored fixed Glass</t>
  </si>
  <si>
    <t>37.5mm x 25mm x 1.4mm thick hairline finished stainless steel 'U' channel framed work and 12mm thick tempered glass with printed PVC stickering  fixed with silicon joints  as per the detailed drawing and finishes as specified as per the drawings</t>
  </si>
  <si>
    <t>Rates include the cost of 1:3 cement:sand motar leveling bed and adhesives and matching grout</t>
  </si>
  <si>
    <t>Supplying, fabricating &amp; fixing of perforated mesh  hand rail upto 1.2m height  50mm dia 2.3mm thick G.I round  bar upright @ 3000mm c/c as vertical members fixed bottom end to steps with the 150mm dia 8mm thick M.S. plate connecting with 4 nos of 8mm dia.anchor bolts  and work complete in order. Rate Shall include for applying one coat of etch primer (50% of etch primer base and 50% etch primer activator),one coat of anti-corrosive primer with two coats of enamel paint. (Prime cost is Rs, 1,250.00 per sqft)</t>
  </si>
  <si>
    <t>Distribution Boards shall be completed  with necessary  protection</t>
  </si>
  <si>
    <t>Contractor shall be responsible for earthing the system in order to have an earth resistance below 10 Ohms.</t>
  </si>
  <si>
    <t xml:space="preserve">Project Manager ( C.Eng with 10 year experience- part time) </t>
  </si>
  <si>
    <t xml:space="preserve">MEP Engineer( Building Service Eng with 10 year experience- part time) </t>
  </si>
  <si>
    <t>( Site Engineer BSc.Eng with 5 years or NDT-Civil with 10 years experience- Full Time )</t>
  </si>
  <si>
    <t xml:space="preserve">(6) 1200mm X 1200mm white board </t>
  </si>
  <si>
    <t>(7) I5 computer with printer</t>
  </si>
  <si>
    <t>(3) lockable Cupboard for storage of drawings, documents and stationery</t>
  </si>
  <si>
    <t>In column shaft from Base/ ground floor level to First floor level</t>
  </si>
  <si>
    <t>Allow lump sum for constructing, maintaining, dismantling and removal on completion of the Works, a temporary air conditioned TFU for Engineer's office with toilet,elecricity facility in conformity with the plans provided for Engineer's requirements, including furniture and fittings, furnishing, sanitary facilities necessary and other facilities.</t>
  </si>
  <si>
    <t xml:space="preserve">Supplying and compaction of  Approved earth,compaction of earth including watering and compaction in 225mm thick layers with proctor density, using  machine rammer or roller vibrator, rate to include to compaction maching charges and other nessasary related work   </t>
  </si>
  <si>
    <t>Mild steel and Tor steel bars confirming to BS specifications, tensile strength 250 N/mm2 and 460 N/mm2 respectively, in reinforcements. Rate shall included for lapping, cutting, bending, fabricating, concrete distance blocks, stools, and fixing with binding wires in: spacer bars, placing in position as per the structural drawings</t>
  </si>
  <si>
    <t>Supply and fix 5mm thick mirror of size 18" x 24" double coated with pencil edge back strecher. (Prime cost of the 5mm thick mirror of size 18" x 24" is Rs. 4,000.00)</t>
  </si>
  <si>
    <t>(8) Adequate Size Meeting table and 6 nr of chair</t>
  </si>
  <si>
    <t xml:space="preserve">Wall Tiling </t>
  </si>
  <si>
    <r>
      <t>m</t>
    </r>
    <r>
      <rPr>
        <vertAlign val="superscript"/>
        <sz val="11"/>
        <rFont val="Times New Roman"/>
        <family val="1"/>
      </rPr>
      <t>3</t>
    </r>
  </si>
  <si>
    <r>
      <t xml:space="preserve">Mild/Tor steel reinforcement to slabs, beams, lintols, columns, footings &amp; etc.. bent to shape, laid in position and tied with         </t>
    </r>
    <r>
      <rPr>
        <sz val="11"/>
        <color indexed="10"/>
        <rFont val="Times New Roman"/>
        <family val="1"/>
      </rPr>
      <t>16 B.W.G.</t>
    </r>
    <r>
      <rPr>
        <sz val="11"/>
        <rFont val="Times New Roman"/>
        <family val="1"/>
      </rPr>
      <t xml:space="preserve"> Aneal binding wire up to Dpc .</t>
    </r>
  </si>
  <si>
    <r>
      <t xml:space="preserve">Mild/Tor steel reinforcement to slabs, beams, lintols, columns, footings &amp; etc.. bent to shape, laid in position and tied with         </t>
    </r>
    <r>
      <rPr>
        <sz val="11"/>
        <color indexed="10"/>
        <rFont val="Times New Roman"/>
        <family val="1"/>
      </rPr>
      <t xml:space="preserve">16 B.W.G. </t>
    </r>
    <r>
      <rPr>
        <sz val="11"/>
        <rFont val="Times New Roman"/>
        <family val="1"/>
      </rPr>
      <t>Aneal binding wire in first floor .</t>
    </r>
  </si>
  <si>
    <t>E1.3</t>
  </si>
  <si>
    <t>in Column Base</t>
  </si>
  <si>
    <t>E2.3</t>
  </si>
  <si>
    <t>E1.4</t>
  </si>
  <si>
    <t>In Floor Slab</t>
  </si>
  <si>
    <t>E3.3</t>
  </si>
  <si>
    <t xml:space="preserve">Painting  walls, columns, Revels with  one  coat  of   wall  primer and two coats of emulsion paint including preparing surface.   
</t>
  </si>
  <si>
    <t xml:space="preserve">Painting soffit  &amp; Beams with  one  coat  of   wall  primer and two coats of emulsion paint including preparing surface.   
</t>
  </si>
  <si>
    <t>Supplying &amp; installing of suspended Aluminium Panel Ceiling in 
600mm x 600 grid size reveal / bevel type using hot dipped GI pre –engineered inter - locking main tees (38mm x 14mm) and cross tees (25mm x 14mm) and wall angles expose areas finished with white baked enamel finish and suspended on 4 mm dia. adjustable hanger rods with spring clips. Ceiling panels will be Compton aluminium tiles 600mm x 600mm x 0.7mm (thickness) and complete to working order as per manufacture's specifications..</t>
  </si>
  <si>
    <t>Site Engineer( Full Time)</t>
  </si>
  <si>
    <t>The rates for items  include the cost of surface
preparation, ande the cost of protective masonry
screed. Appropriate B.S.R. item rate shall be used for protective
layer. The approving authority for products shall be the Engineer.</t>
  </si>
  <si>
    <t>Note</t>
  </si>
  <si>
    <t>Painting walls,slab and revels  with one coat of Exterior wall primer and  two  coats  of  weathershield weatherproof acrylic exterior emultion  paint  including preparing surface. including preparing surface for exterior application before applicatin of emulsion paint.</t>
  </si>
  <si>
    <t>Clearing site vegetation manually including removal of bushes, shurb removing rubbish.</t>
  </si>
  <si>
    <t>2. Reinforced concrete of Grade 20 &amp;25 (mixed at site with a concrete mixer )</t>
  </si>
  <si>
    <t xml:space="preserve">Volume Batched Grade 20/ready mix  reinforced concrete floors laid on ground.   Rate shall include the cost of curing continously  for 10 days. ( rate include to transport from batching plant. Rate shall inclue for placing, levelling, vibrating &amp; curing the concrete &amp; pump car cost) 
</t>
  </si>
  <si>
    <t>Internal light wiring shall comply with the drawings and shall be in 230/440 volt  PVC insulated copper cables</t>
  </si>
  <si>
    <t>3.Water Supply,Sewarage and Waste Water lines</t>
  </si>
  <si>
    <t>HPL Partition</t>
  </si>
  <si>
    <t xml:space="preserve">Allow lunp sum for preparing As built drawings of following services. All drawings shall be produced in triplicate to a scale (3 set of binded hard copy) and one electronic copy in Auto CAD format </t>
  </si>
  <si>
    <t>Supplying and fixing 1800mm internal dia.x 4'-0" depth Pre-cast waste water ( 2 nr of rings) pit with concrete cover and gaps filler with mortar works, and  perporated holes manufactured by "SEC" or approved equivalent. Rate shall include to excavtion,back filling, taransporting and  hire charges of boomtruck for placing and complete with all the necessary connection to  working order and subject to specific approval by the  Engineer and detail drawings</t>
  </si>
  <si>
    <t>E. 01.3</t>
  </si>
  <si>
    <t>E. 01.4</t>
  </si>
  <si>
    <t>Third Floor</t>
  </si>
  <si>
    <t>Fourth Floor</t>
  </si>
  <si>
    <t>S.qm</t>
  </si>
  <si>
    <t>E. 02.3</t>
  </si>
  <si>
    <t>E. 02.4</t>
  </si>
  <si>
    <t>E. 02.5</t>
  </si>
  <si>
    <t>Water Tank/Lift Room Slab</t>
  </si>
  <si>
    <t>In Third Floor</t>
  </si>
  <si>
    <t xml:space="preserve">Plastering 5/8" thick to walls,columns in cement and sand 1:5 finished smooth with two coats of skim coat.
</t>
  </si>
  <si>
    <t>K 05.3</t>
  </si>
  <si>
    <t>Applying two coats of skim coat ( Not exceeding 3 mm thick) to soffit of slab,beams sunshade &amp; stair cases Inc. preparation surface.</t>
  </si>
  <si>
    <t>Supply and fix Chromium plated 1/2" dia. angle valve of "Rocell" brand . model or approved equivalent. (Prime cost of the Chromium plated 1/2" dia. angle valve is Rs. 2,500.00)</t>
  </si>
  <si>
    <t>Supply and fix Chromium plated 1 1/4" chromium plated push type waste outlet of  "Rocell" brand or approved equivalent. (Prime cost of the Chromium plated 1 1/4" chromium plated waste outlet is Rs. 2,500.00)</t>
  </si>
  <si>
    <t>Supply and fix Chromium plated 1/2" dia. 36" long flexible horse of  "Rocell" brand or approved equivalent. (Prime cost of the Chromium plated 1/2" dia. 18" long flexible horse is Rs. 3,000.00)</t>
  </si>
  <si>
    <t>Supply and fix Chromium plated pillar tap (cold water) for wash basin of "Rocell" brand or approved equivalent. (Prime cost of the Chromium plated pillar tap (cold water) for wash basin is Rs. 6,000.00)</t>
  </si>
  <si>
    <t>Supply and fix chromium plated Soap holder of "Rocell" brand or .  approved equivalent. (Prime cost of the chromium plated Soap holder is Rs. 3,500.00)</t>
  </si>
  <si>
    <t>Supply and fix chromium plated Toilet Paper Holder of "Rocell" brand or .  approved equivalent. (Prime cost of the chromium plated Toilet Paper Holder is Rs. 3,500.00)</t>
  </si>
  <si>
    <t>Supply and fix Chromium plated bathroom floor gully cover square type  of "Lanka Tiles Coloma " brand or approved equivalent. (Prime cost of the Chromium plated bathroom floor gully cover square type is Rs.
8,000.00)</t>
  </si>
  <si>
    <t>Supply and fix chromium plated Toilet Brush Holder of "Lanka Tiles Coloma - Angelo " brand or approved equivalent. (Prime cost of the chromium plated Toilet Brush Holder is Rs. 3,000.00)</t>
  </si>
  <si>
    <t>Supplying and installing of water tank 2000 ltr. Capacity rate to including the cost of transport. Hoisting in position and specials,rate to include to necessary ball valve and other related fixtures and accessories</t>
  </si>
  <si>
    <r>
      <rPr>
        <b/>
        <sz val="12"/>
        <rFont val="Times New Roman"/>
        <family val="1"/>
      </rPr>
      <t xml:space="preserve">MH- </t>
    </r>
    <r>
      <rPr>
        <sz val="12"/>
        <rFont val="Times New Roman"/>
        <family val="1"/>
      </rPr>
      <t>Construction of waste water concrete manhole internal size of 450mm x 450mm &amp; depth vary from 600mm to  900mm ,, consist of 3" thick Grade15 lean concrete &amp; 5" thick Grade 25 RCC base and sides, 1/2" thick cement sand rendering in 1:2 mix trowel smooth with neat grey cement to all internal surfaces and external exposed surfaces. Excavation and 3" thick Grade 20 RCC cover slab with lifting hooks ( Reinforced with 10mm dia.M.S. rods @ 6" c/c both ways)</t>
    </r>
  </si>
  <si>
    <t xml:space="preserve">Excavation for column, wall, staircase foundations in any material (except rock requiring blasting) up to depth (as per the drawings), part return fill in and ram and surplus depositted within site as directed.                                                                                                           </t>
  </si>
  <si>
    <t>In column/strip footing</t>
  </si>
  <si>
    <t xml:space="preserve">Column base </t>
  </si>
  <si>
    <t>E1.5</t>
  </si>
  <si>
    <t>E1.6</t>
  </si>
  <si>
    <t>Staircase</t>
  </si>
  <si>
    <r>
      <t xml:space="preserve">Mild/Tor steel reinforcement to slabs, beams, lintols, columns, footings &amp; etc.. bent to shape, laid in position and tied with         </t>
    </r>
    <r>
      <rPr>
        <sz val="11"/>
        <color indexed="10"/>
        <rFont val="Times New Roman"/>
        <family val="1"/>
      </rPr>
      <t>16 B.W.G.</t>
    </r>
    <r>
      <rPr>
        <sz val="11"/>
        <rFont val="Times New Roman"/>
        <family val="1"/>
      </rPr>
      <t xml:space="preserve"> Aneal binding wire in Ground Floor.</t>
    </r>
  </si>
  <si>
    <r>
      <t xml:space="preserve">Mild/Tor steel reinforcement to slabs, beams, lintols, columns, footings &amp; etc.. bent to shape, laid in position and tied with         </t>
    </r>
    <r>
      <rPr>
        <sz val="11"/>
        <color indexed="10"/>
        <rFont val="Times New Roman"/>
        <family val="1"/>
      </rPr>
      <t xml:space="preserve">16 B.W.G. </t>
    </r>
    <r>
      <rPr>
        <sz val="11"/>
        <rFont val="Times New Roman"/>
        <family val="1"/>
      </rPr>
      <t>Aneal binding wire in second floor .</t>
    </r>
  </si>
  <si>
    <t>In  Floor Slab</t>
  </si>
  <si>
    <t>Supply, installation &amp; termination  of  from MDB to each  DBs.</t>
  </si>
  <si>
    <t>Supply and Installation of Power Distribution Panels</t>
  </si>
  <si>
    <t>SUB CIRCUIT &amp; LIGHT POINT WIRING</t>
  </si>
  <si>
    <r>
      <rPr>
        <b/>
        <sz val="11"/>
        <rFont val="Times New Roman"/>
        <family val="1"/>
      </rPr>
      <t xml:space="preserve">Point wiring for socket outlets 13A - ( 16A Circuits) </t>
    </r>
    <r>
      <rPr>
        <sz val="11"/>
        <rFont val="Times New Roman"/>
        <family val="1"/>
      </rPr>
      <t xml:space="preserve">                                                         Supply, Installation &amp; wiring of 13A power Socket Outlet, by using 2x1C 2.5mm^2 Cu /PVC/PVC Cable + 1C 2.5 mm^2 Cu/PVC Earth Cable (in radial circuit) through slab &amp; wall in PVC conduits including PVC conduits, sunk box, junction box, outlet and complete with all other relevant accessories. </t>
    </r>
  </si>
  <si>
    <r>
      <rPr>
        <b/>
        <sz val="11"/>
        <rFont val="Times New Roman"/>
        <family val="1"/>
      </rPr>
      <t xml:space="preserve">Two way light Point Wiring (10A Circuits) </t>
    </r>
    <r>
      <rPr>
        <sz val="11"/>
        <rFont val="Times New Roman"/>
        <family val="1"/>
      </rPr>
      <t xml:space="preserve">                                                                                          Supply &amp; Installation of 2way light Point Wiring, by using 2x1C 1.5mm^2 Cu/PVC/PVC Cable + 1C 1.5 mm^2 Cu/PVC Earth Cable through slab &amp; wall in PVC conduits including PVC conduits, sunk box, junction box, 10A PVC 2 way Switches and complete with all other relevant accessories. </t>
    </r>
  </si>
  <si>
    <r>
      <rPr>
        <b/>
        <sz val="11"/>
        <rFont val="Times New Roman"/>
        <family val="1"/>
      </rPr>
      <t>Installation of light fittings-indoor/outdoor</t>
    </r>
    <r>
      <rPr>
        <sz val="11"/>
        <rFont val="Times New Roman"/>
        <family val="1"/>
      </rPr>
      <t xml:space="preserve">                                                                                                                                                                                                                                                                          Installation of light fittings including roll plugs, screws and complete with all other relevant accessories.                                                                                                                                                                                 </t>
    </r>
  </si>
  <si>
    <t>Supplying and fixing 1800mm internal dia.x 2'-6" depth Pre-cast Soakage ( 7 nr of rings) pit with concrete cover and gaps filler with mortar works, and  perporated holes manufactured by "SEC" or approved equivalent. Rate shall include to excavtion,back filling, taransporting and  hire charges of boomtruck for placing and complete with all the necessary connection to  working order and subject to specific approval by the  Engineer and detail drawings</t>
  </si>
  <si>
    <t>Construction of Septic tank 5700mm (L) X 2500mm(W) X 3200mm (invet depth) Including excavation ,backfilling, masonry work,concrete work.opening cover with lifting handles,complete with all necessary connection to working order and complete as per the detailded drawings</t>
  </si>
  <si>
    <r>
      <rPr>
        <b/>
        <sz val="11"/>
        <rFont val="Times New Roman"/>
        <family val="1"/>
      </rPr>
      <t xml:space="preserve">Light Point Wiring (10A Circuits)-indoor/outdoor   </t>
    </r>
    <r>
      <rPr>
        <sz val="11"/>
        <rFont val="Times New Roman"/>
        <family val="1"/>
      </rPr>
      <t xml:space="preserve">                                                                                       Supply &amp; Installation of light Point Wiring, by using 2x1C 1.5mm^2 Cu/PVC/PVC Cable + 1C 1.5 mm^2 Cu/PVC Earth Cable through slab &amp; wall in PVC conduits including PVC conduits, sunk box, junction box, 10A PVC Switch and complete with all other relevant accessories. </t>
    </r>
  </si>
  <si>
    <t>Water supply,waste and sewarage line plumbing work</t>
  </si>
  <si>
    <t>Figurs will be changed as per the MEP Engineers Specifications and Final Drawings</t>
  </si>
  <si>
    <t>Contractor must perform site visits &amp; check for practical &amp; feasible conditions/options of the given designs  based on practical site conditions &amp; submit quotations accordingly.</t>
  </si>
  <si>
    <t>Contractor must check the actual cable length @ site, before purchasing and start cable laying/implementation.</t>
  </si>
  <si>
    <t>If any discrepancy identified, bidder should clarify the same with client/consultant engineer before submission of final quotation and proposal.</t>
  </si>
  <si>
    <t>Contractor need to submit, schematic drawings, design details, and data sheets of all items with tender document.</t>
  </si>
  <si>
    <t xml:space="preserve">Shop Drawings </t>
  </si>
  <si>
    <t>Need to submit shop drawings and get approval from the consultant engineer before installation &amp; starting of relevant works</t>
  </si>
  <si>
    <t>As Built Drawings</t>
  </si>
  <si>
    <t>Submission of chartered engineer certified as built drawings for the total installation</t>
  </si>
  <si>
    <t>Any Other Items</t>
  </si>
  <si>
    <t>TOTAL in LKR  (WITHOUT TAX)</t>
  </si>
  <si>
    <t>Name of the Company: ………………………………………………….</t>
  </si>
  <si>
    <t xml:space="preserve">Name and Signature of Authorized personnel: …………………………………………………. </t>
  </si>
  <si>
    <t>Rubber Stamp: ………………………………….</t>
  </si>
  <si>
    <t>Date: ………….…………………….</t>
  </si>
  <si>
    <t>Proposed Building For Hiroshan Hettiarachchi at Maharagama,</t>
  </si>
  <si>
    <t>It’s bidders’ responsibility to refer drawings, relevant specifications and general notes thereby check and verify quantities.</t>
  </si>
  <si>
    <t xml:space="preserve">Supply, Installation, Testing and Commissioning of CCTV System </t>
  </si>
  <si>
    <t xml:space="preserve">BoQ and Specifications for CCTV System </t>
  </si>
  <si>
    <t>This Bills of Quantities shall be read in conjunction with all the other Bid Documents. All such provisions shall be included in rates and prices as applicable.</t>
  </si>
  <si>
    <t>This is a Measure &amp; Pay Contract. All items should be checked, measured and verified with relevant drawings.</t>
  </si>
  <si>
    <t>Contractor must read the specifications, general notes given and submit the quotation accordingly.</t>
  </si>
  <si>
    <t>As this is a Measure &amp; Pay Contract, Bidders are advised to carefully refer and understand all  drawings, specifications and general notes before submission of their quotation and proposal.</t>
  </si>
  <si>
    <t>Contractor must submit shop drawings and get approval before start fabrication and installation.</t>
  </si>
  <si>
    <t>Contractor must submit brands and specifications of all items and get approval before start fabrication and installation.</t>
  </si>
  <si>
    <t>Recommended Brands of Items</t>
  </si>
  <si>
    <t>Camera-Hikvision,Dahua  or equivalent ( need consultant's approval)</t>
  </si>
  <si>
    <t>NVR-Hikvision,Dahua  or equivalent ( need consultant's approval)</t>
  </si>
  <si>
    <t>Cables (Cat 6) - Schneider (France)  or equivalent                                                                                                                                                                                                                                                                      ( need consultant's approval)</t>
  </si>
  <si>
    <t>POE Switch - Schneider (France)  or equivalent                                                                                                                                                                                                             ( need consultant's approval)</t>
  </si>
  <si>
    <t>LED Monitor / TV-HP,Dell,Samsung,Panasonic or equivalent                                                                                                                                                                                                                                                                                                             ( need consultant's approval)</t>
  </si>
  <si>
    <t>Storage Device-Seagate, Western Digital (WD) or equivalent                                                                                                                                                                                                                                                                                                             ( need consultant's approval)</t>
  </si>
  <si>
    <t>Conduits / Junction Boxes / Sunk Boxes - National, Slon, Polychrome or equivalent (need consultant's approval)</t>
  </si>
  <si>
    <t>UPS-APC,DCP or equivalent                                                                                                                                                                                                                                                                                                             ( need consultant's approval)</t>
  </si>
  <si>
    <t>U Rack - EMP or equivalent ( need consultant's approval)</t>
  </si>
  <si>
    <t>Supply and Installation, Testing and Commissioning of CCTV System</t>
  </si>
  <si>
    <t>Supply and installation of 3MP IP (at least 30m) HD resolution POE indoor camera with DWDR, Day/Night (ICR), 3DNR, AWB, AGC, BLC and c/w all other relevant accessories.                                                                                                                                                   (Need to submit all technical details of the camera with bid document)</t>
  </si>
  <si>
    <t>Supply and installation of 3MP IP (at least 30m) HD resolution POE outdoor camera with DWDR, Day/Night (ICR), 3DNR, AWB, AGC, BLC and c/w all other relevant accessories.                                                                                                                                                   (Need to submit all technical details of the camera with bid document)</t>
  </si>
  <si>
    <r>
      <t>Supply and installation of 3MP IP (at least 30m) HD resolution POE indoor camera with DWDR, Day/Night (ICR), 3DNR, AWB, AGC, BLC and c/w all other relevant accessories (inside passenger lifts).</t>
    </r>
    <r>
      <rPr>
        <b/>
        <sz val="11"/>
        <rFont val="Times New Roman"/>
        <family val="1"/>
      </rPr>
      <t xml:space="preserve">This shall be included under lift contractor's scope as per client's interest if required. In such case, this item shall be omitted from CCTV contractor's scope.                   </t>
    </r>
    <r>
      <rPr>
        <sz val="11"/>
        <rFont val="Times New Roman"/>
        <family val="1"/>
      </rPr>
      <t xml:space="preserve">                                                                                                                                (Need to submit all technical details of the camera with bid document)</t>
    </r>
  </si>
  <si>
    <r>
      <t>Supply and installation of NVR system (01 No 24Ch NVRs) &amp; complete with all other relevant accessories.</t>
    </r>
    <r>
      <rPr>
        <b/>
        <sz val="11"/>
        <rFont val="Times New Roman"/>
        <family val="1"/>
      </rPr>
      <t xml:space="preserve"> </t>
    </r>
    <r>
      <rPr>
        <sz val="11"/>
        <rFont val="Times New Roman"/>
        <family val="1"/>
      </rPr>
      <t xml:space="preserve">Also provision should be included in the NVR system for connecting a link to provide monitoring facility at a remote location proposed by the client if required.       </t>
    </r>
    <r>
      <rPr>
        <b/>
        <sz val="11"/>
        <rFont val="Times New Roman"/>
        <family val="1"/>
      </rPr>
      <t xml:space="preserve">                   </t>
    </r>
    <r>
      <rPr>
        <sz val="11"/>
        <rFont val="Times New Roman"/>
        <family val="1"/>
      </rPr>
      <t xml:space="preserve">                                                                           (Need to mention relevant no of  NVR units &amp; respective channels per each unit if any deviations required in the given system as per contractor's interest) </t>
    </r>
  </si>
  <si>
    <t>Supply and installation of storage facility for 01 month (at least).              (Need to mention proposed storage capacity &amp; HDD qty. to satisfy this requirement)</t>
  </si>
  <si>
    <t>Supply and installation of LED Full HD 24 inch Monitor/TV with  mounting brackets at reception area &amp; CCTV room @ first floor  and complete with all other relevant accessories.                                                                                                             ( Monitor size &amp; quantity can be varied as per client requirement)</t>
  </si>
  <si>
    <t>Supply &amp; installation of wall mounted type 5U metal rack (with toughened glass front lockable door) as main CCTV rack @ panel room in first floor   including mounting brackets,nut &amp; bolts &amp; complete with all other relevant accessories.</t>
  </si>
  <si>
    <t>Supply and installation of 24 Port POE switch inside main CCTV rack @ IT room, including POE switch, patch panels, patch chords (if required)  and complete with all other relevant accessories.</t>
  </si>
  <si>
    <t>Supply and installation of CCTV camera point wiring with Cat 6 UTP cables through slab &amp; wall in PVC conduits including connectors,PVC conduits, junction boxes, sunk boxes &amp; complete with all other relevant accessories. Need to consider all camera point wiring &amp; backbone wiring for switches from main CCTV rack.(actual length can be varied as per site conditions &amp; breakdown of items need to be submitted with bid document)</t>
  </si>
  <si>
    <t xml:space="preserve">Supply and installation of Cat 6 UTP cables for display units from main CCTV rack through slab &amp; wall in PVC conduits including connectors,decoders,PVC conduits, junction boxes, sunk boxes &amp; complete with all other relevant accessories. </t>
  </si>
  <si>
    <t>Testing and commissioning of the system; Need to submit the certified test certificate, Testing of every CCTV outlet shall be done using cable tester. Contractor shall ensure clarity of Video. Test results report shall be submitted by the contractor.                                                                                                                                                               (contractor need to ensure the video quality expected by client / consultant after completion of works).</t>
  </si>
  <si>
    <t>Total system should have at least 2 years of minimum warranty period. If any deviation, please mention</t>
  </si>
  <si>
    <t>Need to include annual maintenance agreement after the warranty period, Including cost for 5 years (Excluding spare parts cost).</t>
  </si>
  <si>
    <t>Provide for any other item/s of CCTV System not listed above which in the opinion of bidder required as per the contract for the proper execution and completion of the Works. Bidder need to specify the items in adequate details and each item to be priced separately.</t>
  </si>
  <si>
    <t>Bidder need to mention proposed brands for below items/accessories along with the bid document.</t>
  </si>
  <si>
    <t>Indoor Camera -</t>
  </si>
  <si>
    <t>Outdoor Camera -</t>
  </si>
  <si>
    <t>NVR -</t>
  </si>
  <si>
    <t xml:space="preserve">Cables (Cat 6) - </t>
  </si>
  <si>
    <t xml:space="preserve">POE Switch - </t>
  </si>
  <si>
    <t>LED Monitor / TV -</t>
  </si>
  <si>
    <t>Storage Device -</t>
  </si>
  <si>
    <t xml:space="preserve">Conduits / Junction Boxes / Sunk Boxes - </t>
  </si>
  <si>
    <t>UPS -</t>
  </si>
  <si>
    <t>U Rack -</t>
  </si>
  <si>
    <r>
      <t>This is measure and pay contract.</t>
    </r>
    <r>
      <rPr>
        <sz val="11"/>
        <rFont val="Times New Roman"/>
        <family val="1"/>
      </rPr>
      <t xml:space="preserve"> Bidders are advised to carefully refer and understand all  drawings, specifications and general notes before submission of their quotation and proposal.</t>
    </r>
  </si>
  <si>
    <t>It’s bidder's responsibility to refer drawings, relevant specifications and general notes thereby calculate actual quantities.</t>
  </si>
  <si>
    <r>
      <t xml:space="preserve">If any discrepancy identified, bidder should verify the same with client/consultant engineer </t>
    </r>
    <r>
      <rPr>
        <b/>
        <sz val="11"/>
        <rFont val="Times New Roman"/>
        <family val="1"/>
      </rPr>
      <t>before submission</t>
    </r>
    <r>
      <rPr>
        <sz val="11"/>
        <rFont val="Times New Roman"/>
        <family val="1"/>
      </rPr>
      <t xml:space="preserve"> of final quotation and proposal.</t>
    </r>
  </si>
  <si>
    <t xml:space="preserve">RATE </t>
  </si>
  <si>
    <t xml:space="preserve">AMOUNT </t>
  </si>
  <si>
    <t>CCTV SYSTEM</t>
  </si>
  <si>
    <t xml:space="preserve">ADD 15% VAT </t>
  </si>
  <si>
    <t>Allow lump sum for constructing, maintaining, dismantling and removal on completion of the Works, a temporary office,stores and workshop with toilet,elecricity facility in conformity with the plans provided for Engineer's requirements, including furniture and fittings, furnishing, sanitary facilities necessary and other facilities.</t>
  </si>
  <si>
    <t xml:space="preserve">Glazed wall tiling of size 300mm x 600mm approved colour, supplying and fixing to walls on a 1:3 cement sand mortar layer, and pointed with tile grout to match the tile. (Prime Cost of
tile Rs.600.00 per sqft)
</t>
  </si>
  <si>
    <t>BILLS OF QUANTITIES</t>
  </si>
  <si>
    <t>*+</t>
  </si>
  <si>
    <t>Water tank slab/Roof Slab</t>
  </si>
  <si>
    <t>Plastering 5/8" thick to reveals in second floor in cement and sand 1:5 finished semi-rough in Second floor. Rate includes cost of "Febmix"as a workability enhancer.</t>
  </si>
  <si>
    <t>Plastering 5/8" thick to reveals in second floor in cement and  sand 1:5 finished smooth with two coats of skim coat in Second floor. Rate includes cost of "Febmix"as a workability enhancer.</t>
  </si>
  <si>
    <t>Roof Floor</t>
  </si>
  <si>
    <t>Pipe Works/Manhole/ Septic Tanks</t>
  </si>
  <si>
    <t>Staircase handr/Balcony rail as per the design</t>
  </si>
  <si>
    <t>Water Tank  Floor</t>
  </si>
  <si>
    <t>Supply and fix white vitreous china (vc) floor standing close coupled semi .  back to wall water closet suite with wash down flushing with 6/3 liters dual flushing has horizontal outlet with vario drain bend and two lateral holes for bottom water connection , P trap, cistern with water inlet from rear of "Rocell" brand or approved equivalent complete to working order inclusive of universal bend of "Rocell" brand. (Prime cost of the water closet, tank and seat cover is Rs.60,000.00)</t>
  </si>
  <si>
    <t>LED 6w  Mirror lamp  fitting.-  (Prime cost is Rs.5,500.00)</t>
  </si>
  <si>
    <t>Brick work in cement and sand 1:5 in super Structure in ground floor.  ( 9" thick brick work)</t>
  </si>
  <si>
    <t>Brick work in cement and sand 1:5 in First floor level.(9" thick brick work)</t>
  </si>
  <si>
    <t>Application of cementitious water proofing using Barralastic or approved equivalnt for internal wet areas such as toilet floors and walls (Walls Up to 1.50m) where the surfaces are not directly exposed to sunlight and weathering. Rate shall include to  cleaning the substrate and 1:3 cement sand bedding and all other work as per manufacturer's specifications on application and shall include ponding test for a 300mm water height kept for a period of 48 hours for horizontal surfaces.</t>
  </si>
  <si>
    <t>SUB TOTAL III</t>
  </si>
  <si>
    <t xml:space="preserve">SUB TOTAL-II-CARRIED TO FORM OF BID  </t>
  </si>
  <si>
    <t>Supply and fix white vitreous china (vc) floor standing Vanity wash basin with overflow hole and single tap hole in center of "Rocell" brand or approved equivalent complete to working order inclusive of the 1 1/4" chromium plated waste outlet of "Rocell" brand or approved equivalent and 1 1/4" chromium plated siphon cleanable bottle trap of "Rocell" brand or approved equivalent. (Prime cost of the floor standing wash basin  is Rs.40,000.00)</t>
  </si>
  <si>
    <t>Supply and fix chromium plated Bidet Spray of "Rocell" brand or . approved equivalent. (Prime cost of the chromium plated Bidet Spray is Rs. 5,000.00)</t>
  </si>
  <si>
    <t>Supply and fix Chromium plated Bip tap of of "Rocell" brand or approved  equivalent. (Prime cost of the Chromium plated Bip tap is Rs. 5,000.00)</t>
  </si>
  <si>
    <t>Supply and fix chromium plated Towel Ring of "Rocell" brand or . approved equivalent. (Prime cost of the chromium plated Towel Ring is Rs. 3,500.00)</t>
  </si>
  <si>
    <t>MDB/DB</t>
  </si>
  <si>
    <t>Supplying of Wall Bracket  light fittings -(Prime cost is Rs.6,500.00)</t>
  </si>
  <si>
    <t>Column Stub</t>
  </si>
  <si>
    <t>in Column Stub</t>
  </si>
  <si>
    <t>D1</t>
  </si>
  <si>
    <t>D2</t>
  </si>
  <si>
    <t xml:space="preserve">In  stairacse </t>
  </si>
  <si>
    <t xml:space="preserve">In column shaft from  Second floor level to Roof floor Level </t>
  </si>
  <si>
    <t>In column shaft from Second floor level to Roof floor level</t>
  </si>
  <si>
    <t>D4</t>
  </si>
  <si>
    <t>D5</t>
  </si>
  <si>
    <t>FG1</t>
  </si>
  <si>
    <t xml:space="preserve">(FF2) Supply and laying of 4" high skirting including tile grout to match the tile of tiling 
</t>
  </si>
  <si>
    <t xml:space="preserve">Inner diameter of 150mm dia Ceiling/slab mounted down light complete with 18w LED lamp. (Prime cost is Rs.6,000.00) </t>
  </si>
  <si>
    <t>FG2</t>
  </si>
  <si>
    <t>Brick work in cement and sand 1:5 in Roof floor level.(9" thick brick work)</t>
  </si>
  <si>
    <t>Roof top  Floor</t>
  </si>
  <si>
    <t>Roof  level Floor</t>
  </si>
  <si>
    <t>In Roof top Floor</t>
  </si>
  <si>
    <t>E. 02.6</t>
  </si>
  <si>
    <t>E. 02.7</t>
  </si>
  <si>
    <t>E. 02.8</t>
  </si>
  <si>
    <t>Roof  floor</t>
  </si>
  <si>
    <t xml:space="preserve">(FF1) Supply and laying of 4" high skirting including tile grout to match the tile of tiling 
</t>
  </si>
  <si>
    <t>S 16</t>
  </si>
  <si>
    <t>S 26</t>
  </si>
  <si>
    <t>Slon underground water sump   of water sump , 5000L rate to include excavation and back filling,cover slab and sump open grating , formwork,concrete works, reinforcement work and other all related work, and neat finish and as per the details</t>
  </si>
  <si>
    <t xml:space="preserve">TY 01 pendant light type 01 as per the 3d drawing (Prime cost is Rs.46,000.00) </t>
  </si>
  <si>
    <t>Supplying of Outdoor light fittings -(Prime cost is Rs.9500.00)</t>
  </si>
  <si>
    <t>V04.19</t>
  </si>
  <si>
    <t>V04.20</t>
  </si>
  <si>
    <t>V04.21</t>
  </si>
  <si>
    <t>V04.22</t>
  </si>
  <si>
    <t>V04.23</t>
  </si>
  <si>
    <t>V04.24</t>
  </si>
  <si>
    <t>V04.25</t>
  </si>
  <si>
    <t>V04.26</t>
  </si>
  <si>
    <t>V04.27</t>
  </si>
  <si>
    <t>V04.28</t>
  </si>
  <si>
    <t>In Reinforced beam at Roof Top floor level</t>
  </si>
  <si>
    <t>In Reinforced Slab at Roof Top floor level</t>
  </si>
  <si>
    <t>In  Slab at Roof Top floor level</t>
  </si>
  <si>
    <t>eth</t>
  </si>
  <si>
    <t>BTC</t>
  </si>
  <si>
    <t>Titanium works</t>
  </si>
  <si>
    <t>Supplying and laying 3mm thick titanium layer on the 12mm thick 1:3 cement sand rough finish bed including 3mm thick glass expansions,after 24 hours wetting the floor for 4 -5 days, and cutting with 100 sanding grit while watering , then cut with
400 sanding grit &amp; after that smooth the floor with 1000 sanding grit pads &amp; apply two coats of sealer on dried clean floor. sealering should be carried out as per the manufacturer's specification. Finally polish with buffing pads to achieve good shine.</t>
  </si>
  <si>
    <t>M 05</t>
  </si>
  <si>
    <t>F1</t>
  </si>
  <si>
    <t>F2</t>
  </si>
  <si>
    <t>F3</t>
  </si>
  <si>
    <t>FW4</t>
  </si>
  <si>
    <t>FW7</t>
  </si>
  <si>
    <t>FW5</t>
  </si>
  <si>
    <t>FW2</t>
  </si>
  <si>
    <t>FW1</t>
  </si>
  <si>
    <t>FG4</t>
  </si>
  <si>
    <t>FG3</t>
  </si>
  <si>
    <t>Brick work in cement and sand 1:5 in super Structure in ground floor.  ( 4" thick brick work)</t>
  </si>
  <si>
    <t>D9</t>
  </si>
  <si>
    <t>Vertical solid walls, 150mm thick.</t>
  </si>
  <si>
    <t>Brick work in cement and sand 1:5 in super Structure in ground floor.  ( 6" thick brick work)</t>
  </si>
  <si>
    <t>FW3</t>
  </si>
  <si>
    <t>Brick work in cement and sand 1:5 in super Structure in First floor level. ( 6" thick brick work)</t>
  </si>
  <si>
    <t>FG6</t>
  </si>
  <si>
    <t>Brick work in cement and sand 1:5 in Roof floor level.(6" thick brick work)</t>
  </si>
  <si>
    <t>D6</t>
  </si>
  <si>
    <t>FG9</t>
  </si>
  <si>
    <t xml:space="preserve">Wall waterprofing </t>
  </si>
  <si>
    <t xml:space="preserve">Floor waterprofing </t>
  </si>
  <si>
    <t>K1.1</t>
  </si>
  <si>
    <t>K1.2</t>
  </si>
  <si>
    <t>K1.3</t>
  </si>
  <si>
    <t>FW6</t>
  </si>
  <si>
    <t>D10</t>
  </si>
  <si>
    <t>FG7</t>
  </si>
  <si>
    <t>D7</t>
  </si>
  <si>
    <t>K 02.1</t>
  </si>
  <si>
    <t>K 02.2</t>
  </si>
  <si>
    <t>K 02.3</t>
  </si>
  <si>
    <t>K3.1</t>
  </si>
  <si>
    <t>K3.2</t>
  </si>
  <si>
    <t>K3.3</t>
  </si>
  <si>
    <r>
      <t xml:space="preserve">Door type </t>
    </r>
    <r>
      <rPr>
        <b/>
        <sz val="11"/>
        <rFont val="Times New Roman"/>
        <family val="1"/>
      </rPr>
      <t>D2</t>
    </r>
    <r>
      <rPr>
        <sz val="11"/>
        <rFont val="Times New Roman"/>
        <family val="1"/>
      </rPr>
      <t xml:space="preserve"> size 900mm x 2600mm class I teak timber solid Paneled door  per the detail drawings with all necessary iron mongaries</t>
    </r>
  </si>
  <si>
    <r>
      <t xml:space="preserve">Door type </t>
    </r>
    <r>
      <rPr>
        <b/>
        <sz val="11"/>
        <rFont val="Times New Roman"/>
        <family val="1"/>
      </rPr>
      <t>D3</t>
    </r>
    <r>
      <rPr>
        <sz val="11"/>
        <rFont val="Times New Roman"/>
        <family val="1"/>
      </rPr>
      <t xml:space="preserve"> size 900mm x 3000mm class I teak timber solid Paneled door  per the detail drawings with all necessary iron mongaries</t>
    </r>
  </si>
  <si>
    <r>
      <t xml:space="preserve">Door type </t>
    </r>
    <r>
      <rPr>
        <b/>
        <sz val="11"/>
        <rFont val="Times New Roman"/>
        <family val="1"/>
      </rPr>
      <t>D4</t>
    </r>
    <r>
      <rPr>
        <sz val="11"/>
        <rFont val="Times New Roman"/>
        <family val="1"/>
      </rPr>
      <t xml:space="preserve"> size 900mm x 2100mm class I teak timber solid Paneled door  per the detail drawings with all necessary iron mongaries</t>
    </r>
  </si>
  <si>
    <r>
      <t xml:space="preserve">Door type </t>
    </r>
    <r>
      <rPr>
        <b/>
        <sz val="11"/>
        <rFont val="Times New Roman"/>
        <family val="1"/>
      </rPr>
      <t>D5</t>
    </r>
    <r>
      <rPr>
        <sz val="11"/>
        <rFont val="Times New Roman"/>
        <family val="1"/>
      </rPr>
      <t xml:space="preserve"> size 750mm x 2100mm class I teak timber solid Paneled door  per the detail drawings with all necessary iron mongaries</t>
    </r>
  </si>
  <si>
    <r>
      <t xml:space="preserve">Door type </t>
    </r>
    <r>
      <rPr>
        <b/>
        <sz val="11"/>
        <rFont val="Times New Roman"/>
        <family val="1"/>
      </rPr>
      <t>D6</t>
    </r>
    <r>
      <rPr>
        <sz val="11"/>
        <rFont val="Times New Roman"/>
        <family val="1"/>
      </rPr>
      <t xml:space="preserve"> size 1320mm x 3000mm class I teak timber solid Paneled door  per the detail drawings with all necessary iron mongaries</t>
    </r>
  </si>
  <si>
    <t>F4</t>
  </si>
  <si>
    <t>F5</t>
  </si>
  <si>
    <t>F6</t>
  </si>
  <si>
    <t>F7</t>
  </si>
  <si>
    <t>F8</t>
  </si>
  <si>
    <t>F9</t>
  </si>
  <si>
    <t>F10</t>
  </si>
  <si>
    <t>F11</t>
  </si>
  <si>
    <t>F12</t>
  </si>
  <si>
    <t>F13</t>
  </si>
  <si>
    <t>F14</t>
  </si>
  <si>
    <t>F15</t>
  </si>
  <si>
    <t>F16</t>
  </si>
  <si>
    <t>F17</t>
  </si>
  <si>
    <t>F18</t>
  </si>
  <si>
    <t>F19</t>
  </si>
  <si>
    <t>F20</t>
  </si>
  <si>
    <t>F21</t>
  </si>
  <si>
    <t>F22</t>
  </si>
  <si>
    <t>F23</t>
  </si>
  <si>
    <t>FD1</t>
  </si>
  <si>
    <t>FD2</t>
  </si>
  <si>
    <t>m3</t>
  </si>
  <si>
    <t>Ground floor concrete(100mm thick)</t>
  </si>
  <si>
    <t>1B1</t>
  </si>
  <si>
    <t>1B2</t>
  </si>
  <si>
    <t>1B3</t>
  </si>
  <si>
    <t>1B4</t>
  </si>
  <si>
    <t>1B6</t>
  </si>
  <si>
    <t>1B8</t>
  </si>
  <si>
    <t>1B9</t>
  </si>
  <si>
    <t>1B10</t>
  </si>
  <si>
    <t>1B11</t>
  </si>
  <si>
    <t>1B12</t>
  </si>
  <si>
    <t>1B13</t>
  </si>
  <si>
    <t>1B14</t>
  </si>
  <si>
    <t>1B15</t>
  </si>
  <si>
    <t>1B16</t>
  </si>
  <si>
    <t>1B17</t>
  </si>
  <si>
    <t>1B18</t>
  </si>
  <si>
    <t>1B19</t>
  </si>
  <si>
    <t>1B20</t>
  </si>
  <si>
    <t>1B21</t>
  </si>
  <si>
    <t>1B22</t>
  </si>
  <si>
    <t>1B23</t>
  </si>
  <si>
    <t>1B24</t>
  </si>
  <si>
    <t>1B25</t>
  </si>
  <si>
    <t>1B26</t>
  </si>
  <si>
    <t>1B27</t>
  </si>
  <si>
    <t>1B28</t>
  </si>
  <si>
    <t>1B29</t>
  </si>
  <si>
    <t>1B30</t>
  </si>
  <si>
    <t>1B31</t>
  </si>
  <si>
    <t>1B32</t>
  </si>
  <si>
    <t>1B33</t>
  </si>
  <si>
    <t>1B34</t>
  </si>
  <si>
    <t>1B35</t>
  </si>
  <si>
    <t>1B36</t>
  </si>
  <si>
    <t>1B37</t>
  </si>
  <si>
    <t>2B2</t>
  </si>
  <si>
    <t>2B3</t>
  </si>
  <si>
    <t>2B8</t>
  </si>
  <si>
    <t>2B10</t>
  </si>
  <si>
    <t>2B11</t>
  </si>
  <si>
    <t>2B13</t>
  </si>
  <si>
    <t>2B14</t>
  </si>
  <si>
    <t>2B15</t>
  </si>
  <si>
    <t>2B16</t>
  </si>
  <si>
    <t>2B17</t>
  </si>
  <si>
    <t>2B19</t>
  </si>
  <si>
    <t>2B20</t>
  </si>
  <si>
    <t>2B21</t>
  </si>
  <si>
    <t>2B22</t>
  </si>
  <si>
    <t>2B23</t>
  </si>
  <si>
    <t>2B24</t>
  </si>
  <si>
    <t>2B25</t>
  </si>
  <si>
    <t>2B26</t>
  </si>
  <si>
    <t>2B27</t>
  </si>
  <si>
    <t>2B28</t>
  </si>
  <si>
    <t>2B29</t>
  </si>
  <si>
    <t>2B30</t>
  </si>
  <si>
    <t>2B31</t>
  </si>
  <si>
    <t>2B32</t>
  </si>
  <si>
    <t>2B33</t>
  </si>
  <si>
    <t>2B37</t>
  </si>
  <si>
    <t>2B39</t>
  </si>
  <si>
    <t>2B40</t>
  </si>
  <si>
    <t>2B41</t>
  </si>
  <si>
    <t>2B42</t>
  </si>
  <si>
    <t>3B3</t>
  </si>
  <si>
    <t>3B4</t>
  </si>
  <si>
    <t>3B8</t>
  </si>
  <si>
    <t>3B11</t>
  </si>
  <si>
    <t>3B13</t>
  </si>
  <si>
    <t>3B15</t>
  </si>
  <si>
    <t>3B20</t>
  </si>
  <si>
    <t>3B25</t>
  </si>
  <si>
    <t>3B26</t>
  </si>
  <si>
    <t>3B28</t>
  </si>
  <si>
    <t>3B29</t>
  </si>
  <si>
    <t>3B30</t>
  </si>
  <si>
    <t>3B32</t>
  </si>
  <si>
    <t>3B37</t>
  </si>
  <si>
    <t>3B41</t>
  </si>
  <si>
    <t>3B42</t>
  </si>
  <si>
    <t>L.01.1</t>
  </si>
  <si>
    <t>L. 01</t>
  </si>
  <si>
    <t>L.01.2</t>
  </si>
  <si>
    <t>L.01.3</t>
  </si>
  <si>
    <t xml:space="preserve">(FF1) 600mmx1200mm homogeneous floor tile marble floor tile  paving on 1:3 cement &amp; sand bedding with suitable adhesives and pointed with tile grout to match the tile. (Prime Cost of tile Rs.600.00 per sqft)
</t>
  </si>
  <si>
    <t>In First Floor</t>
  </si>
  <si>
    <t>In Ground Floor</t>
  </si>
  <si>
    <t>L.02</t>
  </si>
  <si>
    <t>L.02.1</t>
  </si>
  <si>
    <t>L.02.2</t>
  </si>
  <si>
    <t>L.02.3</t>
  </si>
  <si>
    <t>L.02.4</t>
  </si>
  <si>
    <t xml:space="preserve">(FF2) 900mm x 900mm homogeneous floor tile  full body matt floor tile paving on 1:3 cement &amp; sand bedding with suitable adhesives and pointed with tile grout to match the tile. (Prime Cost of tile Rs.600.00 per sqft)
</t>
  </si>
  <si>
    <t>L.02.5</t>
  </si>
  <si>
    <t>L.02.6</t>
  </si>
  <si>
    <t xml:space="preserve">(FF3) 600mm x 600mm homogeneous floor tile  Full Body Semi Matt Floor tile ( Type 01 ) paving on 1:3 cement &amp; sand bedding with suitable adhesives and pointed with tile grout to match the tile. (Prime Cost of tile Rs.600.00 per sqft)
</t>
  </si>
  <si>
    <t>L.02.7</t>
  </si>
  <si>
    <t xml:space="preserve">(FF3) Supply and laying of 4" high skirting including tile grout to match the tile of tiling </t>
  </si>
  <si>
    <t>L.02.8</t>
  </si>
  <si>
    <t xml:space="preserve">(FF4) 600mm x 600mm homogeneous floor tile  Full Body Semi Matt Floor Tile ( Type 02 ) paving on 1:3 cement &amp; sand bedding with suitable adhesives and pointed with tile grout to match the tile. (Prime Cost of tile Rs.600.00 per sqft)
</t>
  </si>
  <si>
    <t>L.02.9</t>
  </si>
  <si>
    <t xml:space="preserve">(FF5) 300mm x 300mm homogeneous floor tile  Full Body Semi Matt Floor Tile ( Type 03 ) paving on 1:3 cement &amp; sand bedding with suitable adhesives and pointed with tile grout to match the tile. (Prime Cost of tile Rs.600.00 per sqft)
</t>
  </si>
  <si>
    <t>L.02.10</t>
  </si>
  <si>
    <t xml:space="preserve">(FF4) Supply and laying of 4" high skirting including tile grout to match the tile of tiling </t>
  </si>
  <si>
    <t xml:space="preserve">(FF5) Supply and laying of 4" high skirting including tile grout to match the tile of tiling </t>
  </si>
  <si>
    <t>L.02.11</t>
  </si>
  <si>
    <t>L.02.12</t>
  </si>
  <si>
    <t xml:space="preserve">(FF6) Full Body Gloss floor tile Finishing homogeneous floor tile  non slip floor tie paving on 1:3 cement &amp; sand bedding with suitable adhesives and pointed with tile grout to match the tile. (Prime Cost of tile Rs.600.00 per sqft)
</t>
  </si>
  <si>
    <t>L.02.13</t>
  </si>
  <si>
    <t>(FF7) Solid Timber flooring non slip floor with timber grout to match the tile. (Prime Cost of tile Rs.3,600.00 per sqft)</t>
  </si>
  <si>
    <t xml:space="preserve">(FF7) Supply and laying of 4" high skirting including tile grout to match the tile of tiling 
</t>
  </si>
  <si>
    <t>L.02.14</t>
  </si>
  <si>
    <t>L.02.15</t>
  </si>
  <si>
    <t>L.02.16</t>
  </si>
  <si>
    <t xml:space="preserve">(FF10) 600mmx600mm(600 x 600)mm Full Body Non - Slip Floor Tile ( For Balcony ) paving on 1:3 cement &amp; sand bedding with suitable adhesives and pointed with tile grout to match the tile. (Prime Cost of tile Rs.600.00 per sqft)
</t>
  </si>
  <si>
    <t>L.02.17</t>
  </si>
  <si>
    <t>(FF11) 300mmx600mm homogeneous Full body Non - Slip Floor paving on 1:3 cement &amp; sand bedding with suitable adhesives and pointed with tile grout to match the tile. (Prime Cost of tile Rs.600.00 per sqft)</t>
  </si>
  <si>
    <t>L.02.18</t>
  </si>
  <si>
    <t>L.02.19</t>
  </si>
  <si>
    <t>L.02.20</t>
  </si>
  <si>
    <t>L.02.21</t>
  </si>
  <si>
    <t>(FF14) Supply and laying 25mm Thick class 01 Solid timber plank as per the architects direction and specification.. . (Prime Cost of tile Rs.4,250.00 per sqft)</t>
  </si>
  <si>
    <t xml:space="preserve">Inner diameter of 100mm dia Ceiling/slab mounted down light complete with 18w LED lamp. (Prime cost is Rs.6,000.00) </t>
  </si>
  <si>
    <t>Supplying and installation of ceiling fan with all fittings (Pc sum is Rs. 60,000.00)</t>
  </si>
  <si>
    <t xml:space="preserve">Chandelier light type 02 as per the 3d drawing (Prime cost is Rs.146,000.00) </t>
  </si>
  <si>
    <t>Second  Top Floor</t>
  </si>
  <si>
    <r>
      <rPr>
        <b/>
        <sz val="11"/>
        <rFont val="Times New Roman"/>
        <family val="1"/>
      </rPr>
      <t xml:space="preserve">Point wiring for socket outlets 13A - ( 16A Circuits) </t>
    </r>
    <r>
      <rPr>
        <sz val="11"/>
        <rFont val="Times New Roman"/>
        <family val="1"/>
      </rPr>
      <t xml:space="preserve">                                                         Supply, Installation &amp; wiring of 13A power Socket Outlet, by using 2x1C 2.5mm^2 Cu /PVC/PVC Cable + 1C 2.5 mm^2 Cu/PVC Earth Cable (in radial circuit) through slab &amp; wall in PVC conduits including PVC conduits, sunk box, junction box, outlet and complete with all other relevant accessories.</t>
    </r>
  </si>
  <si>
    <r>
      <t xml:space="preserve">Door type </t>
    </r>
    <r>
      <rPr>
        <b/>
        <sz val="11"/>
        <rFont val="Times New Roman"/>
        <family val="1"/>
      </rPr>
      <t>D1</t>
    </r>
    <r>
      <rPr>
        <sz val="11"/>
        <rFont val="Times New Roman"/>
        <family val="1"/>
      </rPr>
      <t xml:space="preserve"> size 1200mm x 3600mm class I teak timber solid Paneled door  per the detail drawings with all necessary iron mongaries</t>
    </r>
  </si>
  <si>
    <r>
      <t xml:space="preserve">Door type </t>
    </r>
    <r>
      <rPr>
        <b/>
        <sz val="11"/>
        <rFont val="Times New Roman"/>
        <family val="1"/>
      </rPr>
      <t>D7</t>
    </r>
    <r>
      <rPr>
        <sz val="11"/>
        <rFont val="Times New Roman"/>
        <family val="1"/>
      </rPr>
      <t xml:space="preserve"> size 2025mm x 3000mm Aluminium Glass Door  per the detail drawings with all necessary iron mongaries</t>
    </r>
  </si>
  <si>
    <r>
      <t xml:space="preserve">Door type </t>
    </r>
    <r>
      <rPr>
        <b/>
        <sz val="11"/>
        <rFont val="Times New Roman"/>
        <family val="1"/>
      </rPr>
      <t>D8</t>
    </r>
    <r>
      <rPr>
        <sz val="11"/>
        <rFont val="Times New Roman"/>
        <family val="1"/>
      </rPr>
      <t xml:space="preserve"> size 1900mm x 2100mm Aluminium Glass Door  per the detail drawings with all necessary iron mongaries</t>
    </r>
  </si>
  <si>
    <r>
      <t xml:space="preserve">Door type </t>
    </r>
    <r>
      <rPr>
        <b/>
        <sz val="11"/>
        <rFont val="Times New Roman"/>
        <family val="1"/>
      </rPr>
      <t>D9</t>
    </r>
    <r>
      <rPr>
        <sz val="11"/>
        <rFont val="Times New Roman"/>
        <family val="1"/>
      </rPr>
      <t xml:space="preserve"> size 900mm x 3000mm Aluminium Glass Door  per the detail drawings with all necessary iron mongaries</t>
    </r>
  </si>
  <si>
    <r>
      <t xml:space="preserve">Door type </t>
    </r>
    <r>
      <rPr>
        <b/>
        <sz val="11"/>
        <rFont val="Times New Roman"/>
        <family val="1"/>
      </rPr>
      <t>D10</t>
    </r>
    <r>
      <rPr>
        <sz val="11"/>
        <rFont val="Times New Roman"/>
        <family val="1"/>
      </rPr>
      <t xml:space="preserve"> size 1100mm x 3000mm Aluminium Glass Door  per the detail drawings with all necessary iron mongaries</t>
    </r>
  </si>
  <si>
    <r>
      <t xml:space="preserve">Door type </t>
    </r>
    <r>
      <rPr>
        <b/>
        <sz val="11"/>
        <rFont val="Times New Roman"/>
        <family val="1"/>
      </rPr>
      <t>D11</t>
    </r>
    <r>
      <rPr>
        <sz val="11"/>
        <rFont val="Times New Roman"/>
        <family val="1"/>
      </rPr>
      <t xml:space="preserve"> size 1100mm x 3000mm Aluminium Glass Door  per the detail drawings with all necessary iron mongaries</t>
    </r>
  </si>
  <si>
    <r>
      <t xml:space="preserve">French Window type </t>
    </r>
    <r>
      <rPr>
        <b/>
        <sz val="11"/>
        <rFont val="Times New Roman"/>
        <family val="1"/>
      </rPr>
      <t xml:space="preserve">FW1 </t>
    </r>
    <r>
      <rPr>
        <sz val="11"/>
        <rFont val="Times New Roman"/>
        <family val="1"/>
      </rPr>
      <t>, size 3000mmX3000mmm Aluminium Glass French Window  per the detail drawings with all necessary iron mongaries</t>
    </r>
  </si>
  <si>
    <r>
      <t xml:space="preserve">French Window type </t>
    </r>
    <r>
      <rPr>
        <b/>
        <sz val="11"/>
        <rFont val="Times New Roman"/>
        <family val="1"/>
      </rPr>
      <t xml:space="preserve">FW2 </t>
    </r>
    <r>
      <rPr>
        <sz val="11"/>
        <rFont val="Times New Roman"/>
        <family val="1"/>
      </rPr>
      <t>, size 2100mmX3000mmm Aluminium Glass French Window  per the detail drawings with all necessary iron mongaries</t>
    </r>
  </si>
  <si>
    <r>
      <t xml:space="preserve">French Window type </t>
    </r>
    <r>
      <rPr>
        <b/>
        <sz val="11"/>
        <rFont val="Times New Roman"/>
        <family val="1"/>
      </rPr>
      <t xml:space="preserve">FW3 </t>
    </r>
    <r>
      <rPr>
        <sz val="11"/>
        <rFont val="Times New Roman"/>
        <family val="1"/>
      </rPr>
      <t>, size 2075mmX3000mmm Aluminium Glass French Window  per the detail drawings with all necessary iron mongaries</t>
    </r>
  </si>
  <si>
    <r>
      <t xml:space="preserve">French Window type </t>
    </r>
    <r>
      <rPr>
        <b/>
        <sz val="11"/>
        <rFont val="Times New Roman"/>
        <family val="1"/>
      </rPr>
      <t xml:space="preserve">FW4 </t>
    </r>
    <r>
      <rPr>
        <sz val="11"/>
        <rFont val="Times New Roman"/>
        <family val="1"/>
      </rPr>
      <t>, size 3000mmX3000mmm Aluminium Glass French Window  per the detail drawings with all necessary iron mongaries</t>
    </r>
  </si>
  <si>
    <r>
      <t xml:space="preserve">French Window type </t>
    </r>
    <r>
      <rPr>
        <b/>
        <sz val="11"/>
        <rFont val="Times New Roman"/>
        <family val="1"/>
      </rPr>
      <t xml:space="preserve">FW5 </t>
    </r>
    <r>
      <rPr>
        <sz val="11"/>
        <rFont val="Times New Roman"/>
        <family val="1"/>
      </rPr>
      <t>, size 2100mmX3000mmm Aluminium Glass French Window  per the detail drawings with all necessary iron mongaries</t>
    </r>
  </si>
  <si>
    <r>
      <t xml:space="preserve">French Window type </t>
    </r>
    <r>
      <rPr>
        <b/>
        <sz val="11"/>
        <rFont val="Times New Roman"/>
        <family val="1"/>
      </rPr>
      <t xml:space="preserve">FW6 </t>
    </r>
    <r>
      <rPr>
        <sz val="11"/>
        <rFont val="Times New Roman"/>
        <family val="1"/>
      </rPr>
      <t>, size 5775mmX3000mmm Aluminium Glass French Window  per the detail drawings with all necessary iron mongaries</t>
    </r>
  </si>
  <si>
    <r>
      <t xml:space="preserve">French Window type </t>
    </r>
    <r>
      <rPr>
        <b/>
        <sz val="11"/>
        <rFont val="Times New Roman"/>
        <family val="1"/>
      </rPr>
      <t xml:space="preserve">FW7 </t>
    </r>
    <r>
      <rPr>
        <sz val="11"/>
        <rFont val="Times New Roman"/>
        <family val="1"/>
      </rPr>
      <t>, size 3075mmX3000mmm Aluminium Glass French Window  per the detail drawings with all necessary iron mongaries</t>
    </r>
  </si>
  <si>
    <r>
      <t xml:space="preserve">Window type </t>
    </r>
    <r>
      <rPr>
        <b/>
        <sz val="11"/>
        <rFont val="Times New Roman"/>
        <family val="1"/>
      </rPr>
      <t>W1</t>
    </r>
    <r>
      <rPr>
        <sz val="11"/>
        <rFont val="Times New Roman"/>
        <family val="1"/>
      </rPr>
      <t xml:space="preserve"> size 3050mm x 600mm  Aluminium Glass French Window  per the detail drawings with all necessary iron mongaries</t>
    </r>
  </si>
  <si>
    <r>
      <t xml:space="preserve">Fanlight type </t>
    </r>
    <r>
      <rPr>
        <b/>
        <sz val="11"/>
        <rFont val="Times New Roman"/>
        <family val="1"/>
      </rPr>
      <t>FL1</t>
    </r>
    <r>
      <rPr>
        <sz val="11"/>
        <rFont val="Times New Roman"/>
        <family val="1"/>
      </rPr>
      <t xml:space="preserve"> , size 1100mmX1500mm  Aluminium Glass Fanlight  per the detail drawings with all necessary iron mongaries</t>
    </r>
  </si>
  <si>
    <r>
      <t xml:space="preserve">Fanlight type </t>
    </r>
    <r>
      <rPr>
        <b/>
        <sz val="11"/>
        <rFont val="Times New Roman"/>
        <family val="1"/>
      </rPr>
      <t>FL2</t>
    </r>
    <r>
      <rPr>
        <sz val="11"/>
        <rFont val="Times New Roman"/>
        <family val="1"/>
      </rPr>
      <t xml:space="preserve"> , size 1050mmX3000mm  Aluminium Glass Fanlight  per the detail drawings with all necessary iron mongaries</t>
    </r>
  </si>
  <si>
    <r>
      <t xml:space="preserve">Fanlight type </t>
    </r>
    <r>
      <rPr>
        <b/>
        <sz val="11"/>
        <rFont val="Times New Roman"/>
        <family val="1"/>
      </rPr>
      <t>FL3</t>
    </r>
    <r>
      <rPr>
        <sz val="11"/>
        <rFont val="Times New Roman"/>
        <family val="1"/>
      </rPr>
      <t xml:space="preserve"> , size 1425mmX1500mm  Aluminium Glass Fanlight  per the detail drawings with all necessary iron mongaries</t>
    </r>
  </si>
  <si>
    <r>
      <t xml:space="preserve">Window type </t>
    </r>
    <r>
      <rPr>
        <b/>
        <sz val="11"/>
        <rFont val="Times New Roman"/>
        <family val="1"/>
      </rPr>
      <t xml:space="preserve">FG1 </t>
    </r>
    <r>
      <rPr>
        <sz val="11"/>
        <rFont val="Times New Roman"/>
        <family val="1"/>
      </rPr>
      <t>, size 3700mmX3000mm Aluminium Glass Fixe Glass Window  per the detail drawings with all necessary iron mongaries</t>
    </r>
  </si>
  <si>
    <r>
      <t xml:space="preserve">Window type </t>
    </r>
    <r>
      <rPr>
        <b/>
        <sz val="11"/>
        <rFont val="Times New Roman"/>
        <family val="1"/>
      </rPr>
      <t xml:space="preserve">FG2 </t>
    </r>
    <r>
      <rPr>
        <sz val="11"/>
        <rFont val="Times New Roman"/>
        <family val="1"/>
      </rPr>
      <t>, size 1200mmX3000mm Aluminium Glass Fixe Glass Window  per the detail drawings with all necessary iron mongaries</t>
    </r>
  </si>
  <si>
    <r>
      <t xml:space="preserve">Window type </t>
    </r>
    <r>
      <rPr>
        <b/>
        <sz val="11"/>
        <rFont val="Times New Roman"/>
        <family val="1"/>
      </rPr>
      <t xml:space="preserve">FG3 </t>
    </r>
    <r>
      <rPr>
        <sz val="11"/>
        <rFont val="Times New Roman"/>
        <family val="1"/>
      </rPr>
      <t>, size 1000mmX3000mm Aluminium Glass Fixe Glass Window  per the detail drawings with all necessary iron mongaries</t>
    </r>
  </si>
  <si>
    <r>
      <t xml:space="preserve">Window type </t>
    </r>
    <r>
      <rPr>
        <b/>
        <sz val="11"/>
        <rFont val="Times New Roman"/>
        <family val="1"/>
      </rPr>
      <t xml:space="preserve">FG4 </t>
    </r>
    <r>
      <rPr>
        <sz val="11"/>
        <rFont val="Times New Roman"/>
        <family val="1"/>
      </rPr>
      <t>, size 3700mmX3000mm Aluminium Glass Fixe Glass Window  per the detail drawings with all necessary iron mongaries</t>
    </r>
  </si>
  <si>
    <r>
      <t xml:space="preserve">Window type </t>
    </r>
    <r>
      <rPr>
        <b/>
        <sz val="11"/>
        <rFont val="Times New Roman"/>
        <family val="1"/>
      </rPr>
      <t xml:space="preserve">FG5 </t>
    </r>
    <r>
      <rPr>
        <sz val="11"/>
        <rFont val="Times New Roman"/>
        <family val="1"/>
      </rPr>
      <t>, size 5775mmX3000mm Aluminium Glass Fixe Glass Window  per the detail drawings with all necessary iron mongaries</t>
    </r>
  </si>
  <si>
    <r>
      <t xml:space="preserve">Window type </t>
    </r>
    <r>
      <rPr>
        <b/>
        <sz val="11"/>
        <rFont val="Times New Roman"/>
        <family val="1"/>
      </rPr>
      <t xml:space="preserve">FG6 </t>
    </r>
    <r>
      <rPr>
        <sz val="11"/>
        <rFont val="Times New Roman"/>
        <family val="1"/>
      </rPr>
      <t>, size 3750mmX3000mm Aluminium Glass Fixe Glass Window  per the detail drawings with all necessary iron mongaries</t>
    </r>
  </si>
  <si>
    <r>
      <t xml:space="preserve">Window type </t>
    </r>
    <r>
      <rPr>
        <b/>
        <sz val="11"/>
        <rFont val="Times New Roman"/>
        <family val="1"/>
      </rPr>
      <t xml:space="preserve">FG7 </t>
    </r>
    <r>
      <rPr>
        <sz val="11"/>
        <rFont val="Times New Roman"/>
        <family val="1"/>
      </rPr>
      <t>, size 750mmX3000mm Aluminium Glass Fixe Glass Window  per the detail drawings with all necessary iron mongaries</t>
    </r>
  </si>
  <si>
    <r>
      <t xml:space="preserve">Window type </t>
    </r>
    <r>
      <rPr>
        <b/>
        <sz val="11"/>
        <rFont val="Times New Roman"/>
        <family val="1"/>
      </rPr>
      <t xml:space="preserve">FG8 </t>
    </r>
    <r>
      <rPr>
        <sz val="11"/>
        <rFont val="Times New Roman"/>
        <family val="1"/>
      </rPr>
      <t>, size 750mmX3000mm Aluminium Glass Fixe Glass Window  per the detail drawings with all necessary iron mongaries</t>
    </r>
  </si>
  <si>
    <r>
      <t xml:space="preserve">Window type </t>
    </r>
    <r>
      <rPr>
        <b/>
        <sz val="11"/>
        <rFont val="Times New Roman"/>
        <family val="1"/>
      </rPr>
      <t xml:space="preserve">FG9 </t>
    </r>
    <r>
      <rPr>
        <sz val="11"/>
        <rFont val="Times New Roman"/>
        <family val="1"/>
      </rPr>
      <t>, size 6440mmX3000mm Aluminium Glass Fixe Glass Window  per the detail drawings with all necessary iron mongaries</t>
    </r>
  </si>
  <si>
    <t xml:space="preserve">Allow Sum for Pool work </t>
  </si>
  <si>
    <t xml:space="preserve">(FF9) Supply and laying Heavy used floor carpet as per the architects direction and specification.. . (Prime Cost of tile Rs.2,100.00 per sqft)
</t>
  </si>
  <si>
    <t>(FF12)  Supply and laying Rubber Matt carpet Floor as per the architects direction and specification.. . (Prime Cost of tile Rs.1,900.00 per sqft)</t>
  </si>
  <si>
    <t>(FF13) Mosaic Pool tlie paving on 1:3 cement &amp; sand bedding with suitable adhesives and pointed with tile grout to match the tile. (Prime Cost of tile Rs.2,550.00 per sqft)</t>
  </si>
  <si>
    <t>(FF14) Supply and laying W.P.C Deck  as per the architects direction and specification.. . (Prime Cost of tile Rs.1,850.00 per sqft)</t>
  </si>
  <si>
    <t>PROPOSED HOUSE DESIGN FOR MR.RATHEESHAN AT JAFFNA.</t>
  </si>
  <si>
    <t>Allow Sum for other work , latter and desing other , CCTV</t>
  </si>
  <si>
    <t>The rates for Items are strictly applicable, subject to the fulfillment of the following conditions.</t>
  </si>
  <si>
    <t>REINFORCEMENT</t>
  </si>
  <si>
    <t>R/F cost delivered to Site</t>
  </si>
  <si>
    <t>Decription</t>
  </si>
  <si>
    <t xml:space="preserve">Unit </t>
  </si>
  <si>
    <t xml:space="preserve">Rate </t>
  </si>
  <si>
    <t>Price per Ton</t>
  </si>
  <si>
    <t>Ton</t>
  </si>
  <si>
    <t xml:space="preserve">Loading &amp; Unloading Cost (1hr Un/Sk Labour per 1 Ton) </t>
  </si>
  <si>
    <t>hr</t>
  </si>
  <si>
    <t>Transport Cost (Miximum 20km range)</t>
  </si>
  <si>
    <t>Turn</t>
  </si>
  <si>
    <t>Total Cost per 1 Ton of R/F Delivered to Site</t>
  </si>
  <si>
    <t>Total Cost per 1 Kg R/F Delivered to Site</t>
  </si>
  <si>
    <t>Rate Analysis for BOQ Work Items</t>
  </si>
  <si>
    <t>Pay Item No:</t>
  </si>
  <si>
    <t>Work Item :</t>
  </si>
  <si>
    <t>Rebar work</t>
  </si>
  <si>
    <t>Assumed Quantity for rate build-up :</t>
  </si>
  <si>
    <t xml:space="preserve">Norm Ref. : </t>
  </si>
  <si>
    <t>Item no.</t>
  </si>
  <si>
    <t>Component</t>
  </si>
  <si>
    <t>Quantity</t>
  </si>
  <si>
    <t>Rate (LKR)</t>
  </si>
  <si>
    <t>Amount (LKR)</t>
  </si>
  <si>
    <t>Remarks</t>
  </si>
  <si>
    <t>A.1</t>
  </si>
  <si>
    <t>Subcontract for Rebar Bending / Binding</t>
  </si>
  <si>
    <t>Subtotal -A</t>
  </si>
  <si>
    <t>Plant/Equipment Component</t>
  </si>
  <si>
    <t xml:space="preserve"> </t>
  </si>
  <si>
    <t>Total Cost for Plant/Equipment - B</t>
  </si>
  <si>
    <t>Material Component</t>
  </si>
  <si>
    <t>C.1</t>
  </si>
  <si>
    <t>Rebar</t>
  </si>
  <si>
    <t>C.2</t>
  </si>
  <si>
    <t>Cover Blocks</t>
  </si>
  <si>
    <t>Ps</t>
  </si>
  <si>
    <t>C.3</t>
  </si>
  <si>
    <t xml:space="preserve">Binding wire </t>
  </si>
  <si>
    <t>Total Cost for Material - C</t>
  </si>
  <si>
    <t>Miscellaneous Cost Component</t>
  </si>
  <si>
    <t>Allow for tools</t>
  </si>
  <si>
    <t>Allow</t>
  </si>
  <si>
    <t>Allow for Material wastage</t>
  </si>
  <si>
    <t>Total Cost for Miscellaneous - D</t>
  </si>
  <si>
    <t xml:space="preserve">Estimated Direct Cost - E </t>
  </si>
  <si>
    <t>( A + B + C + D )</t>
  </si>
  <si>
    <t>Overheads/Preliminary and Profit - F</t>
  </si>
  <si>
    <t>of E</t>
  </si>
  <si>
    <t>Total - H</t>
  </si>
  <si>
    <t>( E + F )</t>
  </si>
  <si>
    <t>Rate per unit</t>
  </si>
  <si>
    <t>( H / +</t>
  </si>
  <si>
    <t>Say Rate(LKR)</t>
  </si>
  <si>
    <t>per 1 Kg</t>
  </si>
  <si>
    <t>CONCRETE</t>
  </si>
  <si>
    <t>Cement Bag cost delivered to Site</t>
  </si>
  <si>
    <t>Cement Bag (50kg)</t>
  </si>
  <si>
    <t>Bag</t>
  </si>
  <si>
    <t xml:space="preserve">Loading &amp; Unloading Cost </t>
  </si>
  <si>
    <t>Load</t>
  </si>
  <si>
    <t>Total Cost per 50 Cement bags</t>
  </si>
  <si>
    <t>Total Cost per 1nr  Cement bag delivered to Site</t>
  </si>
  <si>
    <t>G 15 Concrete</t>
  </si>
  <si>
    <t>Subcontract for Concrete Mixing</t>
  </si>
  <si>
    <t>A.2</t>
  </si>
  <si>
    <t>Subcontract for Concrete Laying/Leveling/Curring</t>
  </si>
  <si>
    <t>B.1</t>
  </si>
  <si>
    <t>Concrete Mixture</t>
  </si>
  <si>
    <t>Day</t>
  </si>
  <si>
    <t>B.2</t>
  </si>
  <si>
    <t>Poker Vibrator</t>
  </si>
  <si>
    <t>Cement</t>
  </si>
  <si>
    <t>River Sand</t>
  </si>
  <si>
    <t>Cube</t>
  </si>
  <si>
    <t>Metal (3/4" Agg)</t>
  </si>
  <si>
    <t>H /</t>
  </si>
  <si>
    <t xml:space="preserve">per 1 </t>
  </si>
  <si>
    <t>G 20 Concrete</t>
  </si>
  <si>
    <t>G 25 Concrete</t>
  </si>
  <si>
    <t>Internal Plaster (16mm thk./1:5 Cement Sand mortar)</t>
  </si>
  <si>
    <t>Subcontract for Internal Plaster</t>
  </si>
  <si>
    <t>A.3</t>
  </si>
  <si>
    <t>Subcontract for Checken mesh Attached</t>
  </si>
  <si>
    <t>Scaffolding</t>
  </si>
  <si>
    <t>Checken Mesh</t>
  </si>
  <si>
    <t>Sqft</t>
  </si>
  <si>
    <t>C.4</t>
  </si>
  <si>
    <t>Febmix (Admixture)</t>
  </si>
  <si>
    <t>Liter</t>
  </si>
  <si>
    <t xml:space="preserve">Reveals - Internal Plaster </t>
  </si>
  <si>
    <t>Subcontract for Reveal</t>
  </si>
  <si>
    <t>External Plaster (25mm thk./1:5 Cement Sand mortar)</t>
  </si>
  <si>
    <t>Subcontract for External Plaster</t>
  </si>
  <si>
    <t xml:space="preserve">Reveals - External Plaster </t>
  </si>
  <si>
    <t xml:space="preserve">Weather Gard - External Plaster </t>
  </si>
  <si>
    <t>Subcontract for Weather Gard</t>
  </si>
  <si>
    <t>Internal Wall Emultion Paint</t>
  </si>
  <si>
    <t>(Painting  walls, columns, Revels with  2 coats of skimcoat, one  coat  of   wall  primer and two coats of emulsion paint including preparing surface.)</t>
  </si>
  <si>
    <t>Subcontract for Internal Paint</t>
  </si>
  <si>
    <t>Skim Coat</t>
  </si>
  <si>
    <t>Sand Paper</t>
  </si>
  <si>
    <t>Acrylic Wall Filler</t>
  </si>
  <si>
    <t>Emulsion Paints</t>
  </si>
  <si>
    <t>Skim Coat (20kg)</t>
  </si>
  <si>
    <t>9" Roller Brush (10 Uses)</t>
  </si>
  <si>
    <t>C.5</t>
  </si>
  <si>
    <t>Internal Slab Soffit Emultion Paint</t>
  </si>
  <si>
    <t>(Painting soffit  &amp; Beams with 2 coats of skimcoat, one  coat  of   wall  primer and two coats of emulsion paint including preparing surface.)</t>
  </si>
  <si>
    <t>Subcontract for Internal soffit Paint</t>
  </si>
  <si>
    <t>External Emultion Paint</t>
  </si>
  <si>
    <t>(Painting walls,slab and revels  with one coat of Exterior wall primer and  two  coats  of  weathershield weatherproof acrylic exterior emultion  paint)</t>
  </si>
  <si>
    <t>Subcontract for External wall Paint</t>
  </si>
  <si>
    <t>External Acrylic filler</t>
  </si>
  <si>
    <t>weathershield weatherproof  Paints</t>
  </si>
  <si>
    <t>Floor Tiling (600 x 600mm)</t>
  </si>
  <si>
    <t>LIVING &amp; BEDROOM FLOOR TILE</t>
  </si>
  <si>
    <t>(Homogeneous Porcelain  glazed floor tile 600mm x 600mm paving on 1:3 cement &amp; sand bedding and pointed with tile grout to match the tile)</t>
  </si>
  <si>
    <t xml:space="preserve">Subcontract for Floor Tiling </t>
  </si>
  <si>
    <t>Floor</t>
  </si>
  <si>
    <t>Skirting</t>
  </si>
  <si>
    <t>wall</t>
  </si>
  <si>
    <t>Tiles (600 x 600mm)</t>
  </si>
  <si>
    <t>Sand</t>
  </si>
  <si>
    <t>Tile Adhesive 25Kg</t>
  </si>
  <si>
    <t>C.6</t>
  </si>
  <si>
    <t>Tile Grout</t>
  </si>
  <si>
    <t>C.7</t>
  </si>
  <si>
    <t>Cotton Waste</t>
  </si>
  <si>
    <t>Bathroom Wall Tiling (300 x 600mm)</t>
  </si>
  <si>
    <t>Homogeneous Porcelain glazed Wall tile 300mm x 600mm paving on plaster and pointed with tile grout to match the tile.</t>
  </si>
  <si>
    <t xml:space="preserve">Subcontract for Wall Tiling </t>
  </si>
  <si>
    <t>Tiles (300 x 600mm)</t>
  </si>
  <si>
    <t>Bathroom Floor Tiling (600 x 600mm)</t>
  </si>
  <si>
    <t>Homogeneous Porcelain semi - glazed/matt wash room floor tile 600mm x 600mm paving on 1:3 cement &amp; sand bedding and pointed with tile grout to match the tile.</t>
  </si>
  <si>
    <t>Tile Skirting (600 x 75mm)</t>
  </si>
  <si>
    <t xml:space="preserve">Supply and laying of 4" high skirting including tile grout to match the tile of tiling </t>
  </si>
  <si>
    <t>Subcontract for Tile Skirting</t>
  </si>
  <si>
    <t>Tiles (600 x 75mm)</t>
  </si>
  <si>
    <t>Staircase Tiling (300 x 300mm)</t>
  </si>
  <si>
    <t>(Homogeneous Porcelain  glazed floor tile 300mm x 300mm paving on 1:3 cement &amp; sand bedding and pointed with tile grout to match the tile)</t>
  </si>
  <si>
    <t xml:space="preserve">Subcontract for Staircase Floor Tiling </t>
  </si>
  <si>
    <t>Tiles (300 x 300mm)</t>
  </si>
  <si>
    <t>Pool Tiling (100 x 100mm)</t>
  </si>
  <si>
    <t>(Homogeneous Porcelain Blue Color glazed floor tile 100mm x 100mm paving on 1:2 cement &amp; sand bedding and pointed with tile grout to match the tile)</t>
  </si>
  <si>
    <t xml:space="preserve">Subcontract for Pool Tiling </t>
  </si>
  <si>
    <t>Pool Tiles (100 x 100mm)</t>
  </si>
  <si>
    <t>Tile Grout (Special)</t>
  </si>
  <si>
    <r>
      <t>Work Item                                        :</t>
    </r>
    <r>
      <rPr>
        <b/>
        <sz val="9"/>
        <rFont val="Times New Roman"/>
        <family val="1"/>
      </rPr>
      <t xml:space="preserve"> Point Stone Floor</t>
    </r>
  </si>
  <si>
    <t>Subcontract for Laying Point Stone</t>
  </si>
  <si>
    <t>Point Stone</t>
  </si>
  <si>
    <t>Swimming Pool waterproofing work</t>
  </si>
  <si>
    <t>Subcontract for waterproofing (with material)</t>
  </si>
  <si>
    <t xml:space="preserve">Subcontract for Angle fillet </t>
  </si>
  <si>
    <t>ft</t>
  </si>
  <si>
    <t>Excavation for foundation</t>
  </si>
  <si>
    <t>Subcontract for foundation Excavation</t>
  </si>
  <si>
    <t>Allow for Machine Transport</t>
  </si>
  <si>
    <t>Labor Cost</t>
  </si>
  <si>
    <t>Jumping Compactor (Only Machine)</t>
  </si>
  <si>
    <t>Dry Soil</t>
  </si>
  <si>
    <t xml:space="preserve">Material </t>
  </si>
  <si>
    <t>Subcontract</t>
  </si>
  <si>
    <t xml:space="preserve">Machine </t>
  </si>
  <si>
    <t>Reinforcement</t>
  </si>
  <si>
    <t>Excavation</t>
  </si>
  <si>
    <t>Rebar Binding / Bending</t>
  </si>
  <si>
    <t xml:space="preserve">Jumping Compactor </t>
  </si>
  <si>
    <t>Cement (With Transport)</t>
  </si>
  <si>
    <t>FW - Footing</t>
  </si>
  <si>
    <t>FW - Coulmn shaft</t>
  </si>
  <si>
    <t>FW - Tie Beam</t>
  </si>
  <si>
    <t>FW - Column</t>
  </si>
  <si>
    <t>FW - Slab</t>
  </si>
  <si>
    <t>FW - Beam</t>
  </si>
  <si>
    <t>FW - Staircase</t>
  </si>
  <si>
    <t xml:space="preserve">Concrete Mixing </t>
  </si>
  <si>
    <t xml:space="preserve">Weathershield paint </t>
  </si>
  <si>
    <t>Concrete Laying</t>
  </si>
  <si>
    <t>Floor Tile</t>
  </si>
  <si>
    <t>Internal Plaster (+Column &amp; Beam)</t>
  </si>
  <si>
    <t>Bathroom Wall Tile</t>
  </si>
  <si>
    <t>External Plaster (+Column &amp; Beam)</t>
  </si>
  <si>
    <t>Bathroom Floor Tile</t>
  </si>
  <si>
    <t>Reveal</t>
  </si>
  <si>
    <t>Checken mesh Attached</t>
  </si>
  <si>
    <t>Weather Gard</t>
  </si>
  <si>
    <t>Staircase Floor Tile</t>
  </si>
  <si>
    <t>Tile Adhesive ( 25 Kg )</t>
  </si>
  <si>
    <t>Internal Paint</t>
  </si>
  <si>
    <t>Tile Grout (1Kg )</t>
  </si>
  <si>
    <t>Internal Slab Soffit Paint</t>
  </si>
  <si>
    <t>External Paint</t>
  </si>
  <si>
    <t>Bathroom Floor Tiling</t>
  </si>
  <si>
    <t>Tile Skirting</t>
  </si>
  <si>
    <t>Wall Tiling</t>
  </si>
  <si>
    <t>Staircase Tiling</t>
  </si>
  <si>
    <t>Pool Tiling</t>
  </si>
  <si>
    <t>Granite work (With M)</t>
  </si>
  <si>
    <t>Laying Point Stone</t>
  </si>
  <si>
    <t>Waterproofing work (with material / 6 coat)</t>
  </si>
  <si>
    <t>Angle fillet preparation</t>
  </si>
  <si>
    <t>COST</t>
  </si>
  <si>
    <t>OHP%</t>
  </si>
  <si>
    <t>Grade 25 concrete shall be used for footings, columns, beams,staircases, tie-beams of reinforced concrete elements in multi-storied building (excluding lintols, stiffener columns, copings, non-structural
columns and Drains).</t>
  </si>
  <si>
    <t>Cement concrete 1:3:6 (1") laid to a thickness of 2" in wall foundations, under column/stair footings,plinth beams including placing in position,compacting and curing.</t>
  </si>
  <si>
    <t>Waterproofing work (Bathroom / Balcony)</t>
  </si>
  <si>
    <t>Waterproofing work (with material / 4 coat)</t>
  </si>
  <si>
    <t>Application of two coats of elastomeric water proofing material using thoroseal or approved equivalnt capable to withstand temperature variation for wet areas exposed to sunlight and weathering. ( balconies, sun-shades, concrete gutters etc.) rate shall include for cleaning the substrate and all other work as per manufacturer's specifications on application and shall include ponding test for a 300mm water height kept for a period of 48 hours for horizontal surfaces and cement sand finished with neat finish smooth rendering.</t>
  </si>
  <si>
    <t>Provide by Client</t>
  </si>
  <si>
    <t>N/A</t>
  </si>
  <si>
    <t>JCB</t>
  </si>
  <si>
    <t>Hr</t>
  </si>
  <si>
    <t>Waterproofing work (Roof Top) Torch Membrane</t>
  </si>
  <si>
    <t xml:space="preserve">Removing top soil </t>
  </si>
  <si>
    <t>Tipper</t>
  </si>
  <si>
    <t>Trip</t>
  </si>
  <si>
    <t xml:space="preserve">Plastering 5/8" thick to reveals in ground floor  in cement and sand 1:5 finished semi-rough. Rate includes cost of "Febmix"as a workability enhancer. </t>
  </si>
  <si>
    <t>Titanium works (with material)</t>
  </si>
  <si>
    <r>
      <t>Rate for items shall include the cost of fixing,adapter,connecting 2core 1mm</t>
    </r>
    <r>
      <rPr>
        <vertAlign val="superscript"/>
        <sz val="11"/>
        <rFont val="Times New Roman"/>
        <family val="1"/>
      </rPr>
      <t xml:space="preserve">2 . </t>
    </r>
    <r>
      <rPr>
        <sz val="11"/>
        <rFont val="Times New Roman"/>
        <family val="1"/>
      </rPr>
      <t>And any other related cost</t>
    </r>
  </si>
  <si>
    <t>(FF 08) Supplying of 300mm x 300mm temples stone work with masory work</t>
  </si>
  <si>
    <t>EXCAVATION &amp; EARTH WORK</t>
  </si>
  <si>
    <t xml:space="preserve">Site Clearing &amp; Removing top soil </t>
  </si>
  <si>
    <t>Per 1 Sqr</t>
  </si>
  <si>
    <t>Total</t>
  </si>
  <si>
    <t>Labour</t>
  </si>
  <si>
    <t>Un/Skilled</t>
  </si>
  <si>
    <t>Sqr</t>
  </si>
  <si>
    <t>Total Labour Cost</t>
  </si>
  <si>
    <t>Transport (Disposal of Excavated material)</t>
  </si>
  <si>
    <t>Basic Cost per 10 Sqr</t>
  </si>
  <si>
    <t>Basic Cost per 1 sqr</t>
  </si>
  <si>
    <t>Basic Cost per 1m2</t>
  </si>
  <si>
    <t>Excavation for foundations depth not exceeding 1.5m (Manual Excavation)</t>
  </si>
  <si>
    <t>Per 1 Cube</t>
  </si>
  <si>
    <t>Sub Contractor's Rate</t>
  </si>
  <si>
    <t>Basic Cost per 1 Cube</t>
  </si>
  <si>
    <r>
      <t>Basic Cost per 1 m</t>
    </r>
    <r>
      <rPr>
        <b/>
        <vertAlign val="superscript"/>
        <sz val="11"/>
        <color theme="1"/>
        <rFont val="Arial Narrow"/>
        <family val="2"/>
      </rPr>
      <t>3</t>
    </r>
  </si>
  <si>
    <t>Earth Filling (Excavated material)</t>
  </si>
  <si>
    <t>Consider 12 Cubes</t>
  </si>
  <si>
    <t>Material</t>
  </si>
  <si>
    <t>Total Material Cost</t>
  </si>
  <si>
    <t>Un/Skilled Labour for levelling &amp; Compaction</t>
  </si>
  <si>
    <t>Days</t>
  </si>
  <si>
    <t>Plant &amp; Machinery</t>
  </si>
  <si>
    <t>Jumping Compactor</t>
  </si>
  <si>
    <t>Total Plant &amp; Machinery Cost</t>
  </si>
  <si>
    <t>Basic Cost per 12 Cube</t>
  </si>
  <si>
    <t>Imported Soil Filling</t>
  </si>
  <si>
    <t>Cost of Imported Soil Transport to Site</t>
  </si>
  <si>
    <t>35% of Additional Soil for Compaction</t>
  </si>
  <si>
    <t xml:space="preserve">Qurry Dust Filling </t>
  </si>
  <si>
    <t>Cost of Qurry Dust Transport to Site</t>
  </si>
  <si>
    <t>10% of Additional Quarry Dust for Compaction</t>
  </si>
  <si>
    <t>JCB with Operator</t>
  </si>
  <si>
    <t>Dam Proof Membrane ; Gauge 1000 Polythene</t>
  </si>
  <si>
    <t>Gauge 1000 polythene</t>
  </si>
  <si>
    <t>Laying</t>
  </si>
  <si>
    <t>ft2</t>
  </si>
  <si>
    <t>Basic Cost per 1 Sqr</t>
  </si>
  <si>
    <t>Basic Cost per 1 m2</t>
  </si>
  <si>
    <t>Basic Cost per 1 ft2</t>
  </si>
  <si>
    <t xml:space="preserve">Cement </t>
  </si>
  <si>
    <t>Bitumix (20 L    18,500 LKR)</t>
  </si>
  <si>
    <t>Lit</t>
  </si>
  <si>
    <t>CONCRETE WORKS</t>
  </si>
  <si>
    <t>Grade 15 Insitu Concrete 1: 3 : 6</t>
  </si>
  <si>
    <t>3/4"Metal</t>
  </si>
  <si>
    <t>Concrete Mixer</t>
  </si>
  <si>
    <r>
      <t>Basic Cost per 1 m</t>
    </r>
    <r>
      <rPr>
        <b/>
        <vertAlign val="superscript"/>
        <sz val="11"/>
        <color theme="1"/>
        <rFont val="Arial Narrow"/>
        <family val="2"/>
      </rPr>
      <t>2</t>
    </r>
  </si>
  <si>
    <t>Grade 20 Insitu Concrete 1: 2 : 4</t>
  </si>
  <si>
    <t>Basic Cost per 1 Cube - Ground to 1st Floor</t>
  </si>
  <si>
    <t>Basic Cost per 1 Cube - 1st Floor to 2nd Floor</t>
  </si>
  <si>
    <t>Basic Cost per 1 Cube - 2nd Floor to 3rd Floor</t>
  </si>
  <si>
    <t>Grade 25 Insitu Concrete 1:1 1/2 : 3</t>
  </si>
  <si>
    <t>Metal</t>
  </si>
  <si>
    <t xml:space="preserve">2"thk.  Screed Concrete;  Grade 15 Insitu Concrete 1: 3 : 6 </t>
  </si>
  <si>
    <t>Concrete (Material Cost Only)</t>
  </si>
  <si>
    <t>Wastage 10%</t>
  </si>
  <si>
    <t>Sub Contractor's Rate for Placing</t>
  </si>
  <si>
    <t>Sq.ft</t>
  </si>
  <si>
    <t xml:space="preserve">3"thk.  Screed Concrete;  Grade 20 Insitu Concrete 1: 2 : 4 </t>
  </si>
  <si>
    <t xml:space="preserve">3"thk. Floor Concrete with BRC A142 mesh;  Grade 20 Insitu Concrete 1: 2 : 4 </t>
  </si>
  <si>
    <t>Wastage for Concrete 10%</t>
  </si>
  <si>
    <t>BRC A142 mesh</t>
  </si>
  <si>
    <t>LINTELS, STIFFENER COLUMNS</t>
  </si>
  <si>
    <t>100 x 100 mm Lintels in Grade 25 insitu Concrete 1 : 1 1/2 : 3</t>
  </si>
  <si>
    <t>Per 10m</t>
  </si>
  <si>
    <t>Bags</t>
  </si>
  <si>
    <t>R/F</t>
  </si>
  <si>
    <t>Sub Contractor's Rate with Form work</t>
  </si>
  <si>
    <t>L.ft</t>
  </si>
  <si>
    <t>Basic Cost per 10m</t>
  </si>
  <si>
    <t>Basic Cost per 1m</t>
  </si>
  <si>
    <t>Basic Cost per 1 L.ft</t>
  </si>
  <si>
    <t>150 x 150 mm Lintels in Grade 25 insitu Concrete 1 : 1 1/2 : 3</t>
  </si>
  <si>
    <t>225 x 150 mm Lintels in Grade 25 insitu Concrete 1 : 1 1/2 : 3</t>
  </si>
  <si>
    <t>Length</t>
  </si>
  <si>
    <t>Breadth</t>
  </si>
  <si>
    <t xml:space="preserve">Depth </t>
  </si>
  <si>
    <t>225 x 225 mm Lintels in Grade 25 insitu Concrete 1 : 1 1/2 : 3</t>
  </si>
  <si>
    <t>READYMIX CONCRETE</t>
  </si>
  <si>
    <t>Grade 25 Readymix Concrete 1:1 1/2 : 3  with Pump car</t>
  </si>
  <si>
    <t>Per 1 m3</t>
  </si>
  <si>
    <t>G.25 Readymix Concrete</t>
  </si>
  <si>
    <r>
      <t>m</t>
    </r>
    <r>
      <rPr>
        <vertAlign val="superscript"/>
        <sz val="11"/>
        <color theme="1"/>
        <rFont val="Arial Narrow"/>
        <family val="2"/>
      </rPr>
      <t>3</t>
    </r>
  </si>
  <si>
    <t>Wastage</t>
  </si>
  <si>
    <t xml:space="preserve">Levelling Gang's Rate </t>
  </si>
  <si>
    <t>Pump Car Charge ( Rs.40,000.00 per Upto 30m3)</t>
  </si>
  <si>
    <t>Basic Cost per 24 m3</t>
  </si>
  <si>
    <t>Total Cost per 1 Cwt R/F Delivered to Site</t>
  </si>
  <si>
    <t xml:space="preserve">R/F </t>
  </si>
  <si>
    <t>Per 1 Cwt</t>
  </si>
  <si>
    <t>Mild Steel/Tor Steel Delivered to Site</t>
  </si>
  <si>
    <t>Cwt</t>
  </si>
  <si>
    <t xml:space="preserve">Add 1.5% from steel cost to shapers or chairs </t>
  </si>
  <si>
    <t>Add 4% for Cover Blocks</t>
  </si>
  <si>
    <t>Basic Cost per 1 Cwt</t>
  </si>
  <si>
    <t>Basic Cost per 1 Ton</t>
  </si>
  <si>
    <t>Basic Cost per 1 Kg</t>
  </si>
  <si>
    <t>WATERPROOFING</t>
  </si>
  <si>
    <t>Baralastic water proofing work</t>
  </si>
  <si>
    <t xml:space="preserve">Per 38.75 Sqft </t>
  </si>
  <si>
    <t>12mm thk. Levelling screed</t>
  </si>
  <si>
    <t>bag</t>
  </si>
  <si>
    <t>cu</t>
  </si>
  <si>
    <t>Non shrink grout</t>
  </si>
  <si>
    <t>Masterseal 540</t>
  </si>
  <si>
    <t xml:space="preserve">Transport Cost </t>
  </si>
  <si>
    <t>Sub Contractor's waterproofing Rate with material</t>
  </si>
  <si>
    <t>Sub Contractor's Angle filet Rate with material</t>
  </si>
  <si>
    <t>Basic Cost per 38.75 ft2</t>
  </si>
  <si>
    <t>MASONRY WORK</t>
  </si>
  <si>
    <t xml:space="preserve">Random Rubble Masonry </t>
  </si>
  <si>
    <t xml:space="preserve"> 6" x 9" Rubble</t>
  </si>
  <si>
    <t>ft3</t>
  </si>
  <si>
    <t>Basic Cost per 1 m3</t>
  </si>
  <si>
    <t>BRICK WORK</t>
  </si>
  <si>
    <t>225 mm thk. Brick Wall (Brick Size 212.5mm x 100mm x 50mm)</t>
  </si>
  <si>
    <t>Bricks (Brick Size 212.5mm x 100mm x 50mm)</t>
  </si>
  <si>
    <t>Wastage 5%</t>
  </si>
  <si>
    <t>Add; 5% for Scaffoldings</t>
  </si>
  <si>
    <t>150 mm thk. Brick Wall (Brick Size 212.5mm x 150mm x 75mm)</t>
  </si>
  <si>
    <t>Materials</t>
  </si>
  <si>
    <t>Bricks (Brick Size 212.5mm x 150mm x 75mm)</t>
  </si>
  <si>
    <t>112 mm thk. Brick Wall (Brick Size 212.5mm x 100mm x 50mm)</t>
  </si>
  <si>
    <t>BLOCK WORK</t>
  </si>
  <si>
    <t>100mm Thk.Solid Block Work</t>
  </si>
  <si>
    <t>100mm thk. Solid Block  Wall (Block Size 390mm x 190mm x 100mm)</t>
  </si>
  <si>
    <t>Blocks(Block Size 390mm x 190mm x 100mm)</t>
  </si>
  <si>
    <t>Add; 5% for Tools</t>
  </si>
  <si>
    <t>150mm Thk.Solid Block Work</t>
  </si>
  <si>
    <t>150mm thk. Solid Block  Wall (Block Size 390mm x 190mm x 100mm)</t>
  </si>
  <si>
    <t>Add; 3% for Tools</t>
  </si>
  <si>
    <t>100mm Thk.Hollow Block Work</t>
  </si>
  <si>
    <t>100mm thk. Hollow Block  Wall (Block Size 390mm x 190mm x 100mm)</t>
  </si>
  <si>
    <t>PLASTERING</t>
  </si>
  <si>
    <t>16mm thk. Internal Plastering in 1:5 Cement Sand mortar</t>
  </si>
  <si>
    <t>Sand Papers</t>
  </si>
  <si>
    <t xml:space="preserve">Add; 5% for Scaffoldings  </t>
  </si>
  <si>
    <t>Finex Motar Plus (Plasticiser)</t>
  </si>
  <si>
    <t>Ltr</t>
  </si>
  <si>
    <t>Chicken mesh</t>
  </si>
  <si>
    <t>20mm thk. External Plastering  in 1:5 Cement Sand motar (with Scaffolding work)</t>
  </si>
  <si>
    <t>20mm thk. External Plastering  in 1:5 Cement Sand motar (Moulding work)</t>
  </si>
  <si>
    <t>16mm thk. Column &amp; Beam Plastering in 1:5 Cement Sand mortar</t>
  </si>
  <si>
    <t>FLOOR FINISHES</t>
  </si>
  <si>
    <t xml:space="preserve">12mm thk. Cement rendering in 1:3 Cement Sand motar </t>
  </si>
  <si>
    <t>Exapansion joint with Sealent and M/s Bitumix</t>
  </si>
  <si>
    <t xml:space="preserve">25mm thk. Plinth Plastering in 1:3 Cement Sand motar </t>
  </si>
  <si>
    <t>Sub Contractor's Rate for 18mm thk. Screed</t>
  </si>
  <si>
    <t>18mm thk. DPC in 1:3 Cement Sand motar  and blinded with tar</t>
  </si>
  <si>
    <t>Bitumix 20L (10850 + VAT)</t>
  </si>
  <si>
    <t xml:space="preserve">18mm thk. Floor Rendering in 1:3 Cement Sand motar </t>
  </si>
  <si>
    <t xml:space="preserve">25mm thk. Floor Rendering in 1:3 Cement Sand motar </t>
  </si>
  <si>
    <t>TILING</t>
  </si>
  <si>
    <t>Tiles (600 x 600mm) (Tile P.C. Rs.500per 1ft2)</t>
  </si>
  <si>
    <t>Sum</t>
  </si>
  <si>
    <t>Transport Cost</t>
  </si>
  <si>
    <t>Wall Tiling (600 x 600mm)</t>
  </si>
  <si>
    <t>Tiles (600 x 600mm) (Tile P.C. Rs.550 per 1ft2)</t>
  </si>
  <si>
    <t>Tile Adhesive</t>
  </si>
  <si>
    <t>Pool Tiling (600 x 600mm)</t>
  </si>
  <si>
    <t>Tiles (600 x 600mm) (Tile P.C. Rs.700 per 1ft2)</t>
  </si>
  <si>
    <t>SF Skim Coat 20 Kg Bag - Rs.1380</t>
  </si>
  <si>
    <t>Acrylic Wall Filler  20L Rs.12821</t>
  </si>
  <si>
    <t>Skirting with (300 x 300mm)</t>
  </si>
  <si>
    <t>Basic Cost per 100 L.ft</t>
  </si>
  <si>
    <t>Basic Cost per 1 m</t>
  </si>
  <si>
    <t>Tiles (600 x 600mm) (Tile P.C. Rs.700per 1ft2)</t>
  </si>
  <si>
    <t>Tiles (600 x 600mm) (Tile P.C. Rs.600per 1ft2)</t>
  </si>
  <si>
    <t>Temple Stone Paving (300 x 300mm)</t>
  </si>
  <si>
    <t>Temple Stone (600 x 600mm) (Tile P.C. Rs.700per 1ft2)</t>
  </si>
  <si>
    <t>Perforated Brick Wall</t>
  </si>
  <si>
    <t>Wire cut brick (4 x 55)</t>
  </si>
  <si>
    <t>Internal Painting Wall - Apply one Coat of Acrylic Filler and Two Coats of Emulsion Paints on Walls</t>
  </si>
  <si>
    <t>Transport Cost (10% of Total Material Cost)</t>
  </si>
  <si>
    <t>Add; Scaffolding 5%</t>
  </si>
  <si>
    <t>Internal Painting Wall - Apply Two coats of Skim coat on slab soffit</t>
  </si>
  <si>
    <t>Weathersheild Paint 20L - Rs.58583</t>
  </si>
  <si>
    <t>Interior /Exterior Sealer- 20L  Rs. 58583</t>
  </si>
  <si>
    <t>Internal Painting Wall - Apply  one Coat of Acrylic Filler and Two Coats of Emulsion Paints on slab soffit</t>
  </si>
  <si>
    <t>External Painting Wall - Apply Two coats of Exterior Primer and Three Coats of Weathersheild Paint</t>
  </si>
  <si>
    <t>Primer</t>
  </si>
  <si>
    <t>Weathersheild waterproofing Paint</t>
  </si>
  <si>
    <t>Sub Contractor's waterproofing Rate without material</t>
  </si>
  <si>
    <t>Sub Contractor's Angle filet Rate without material</t>
  </si>
  <si>
    <t>DOORS &amp; WINDOWS</t>
  </si>
  <si>
    <t>D1 (1200 X 2850)</t>
  </si>
  <si>
    <t>Sub Contractors Rate for Supply &amp; fixing of Timber frame and Sash</t>
  </si>
  <si>
    <t>Basic Cost per 1 nr</t>
  </si>
  <si>
    <t>Pre Cast Pergola 100 x 50mm  with 3mm thk. Polycarbonate sheets</t>
  </si>
  <si>
    <t>Per Area 4m x 4m</t>
  </si>
  <si>
    <t>100 x 50mm, 4m Long Precast pergola</t>
  </si>
  <si>
    <t>Consumbles for fixing of Pergola</t>
  </si>
  <si>
    <t>Finish with Titanium</t>
  </si>
  <si>
    <t>3mm thk. Polycarbonate Sheets</t>
  </si>
  <si>
    <t>GI Box bar frame work</t>
  </si>
  <si>
    <t>Rs.14500</t>
  </si>
  <si>
    <t>Basic Cost per 16m Sqr</t>
  </si>
  <si>
    <t>Exposed Rafter roof with Lunumidella Ceiling</t>
  </si>
  <si>
    <t>Per 12.48 Sqr</t>
  </si>
  <si>
    <t>50x100 Wall Plate (Tulang)</t>
  </si>
  <si>
    <t>75x175 Ridge Plate (Tulang)</t>
  </si>
  <si>
    <t>50x125 Raffters (Tulang)</t>
  </si>
  <si>
    <t>50x50 Battens (Tulang)</t>
  </si>
  <si>
    <t>225x25  Valance Board (Tulang)</t>
  </si>
  <si>
    <t>225x25 Barge board (Tulang)</t>
  </si>
  <si>
    <t xml:space="preserve">5mm thk single sided heat insulation </t>
  </si>
  <si>
    <t>20mm thk 150mm width stained and water base timber ceilling</t>
  </si>
  <si>
    <t>Corrugated cement fiber roofing sheet</t>
  </si>
  <si>
    <t>Half round roofing tiles (Covering tile)</t>
  </si>
  <si>
    <t>Rigde tile</t>
  </si>
  <si>
    <t>Waterbase Painting (Material price per 1ft2)</t>
  </si>
  <si>
    <t>Add; Tools 3%</t>
  </si>
  <si>
    <t>Basic Cost per 12.48 Sqr</t>
  </si>
  <si>
    <t>Pre Cast Pergola 100 x 50mm, finish with Titanium Cut finish</t>
  </si>
  <si>
    <t>Vanity counter ( 900 x 550 mm)   4" thk. G20 concrete 1:2:4                 ( 3' x 1'10")</t>
  </si>
  <si>
    <t>Width</t>
  </si>
  <si>
    <t>Depth</t>
  </si>
  <si>
    <t>Per 1 item</t>
  </si>
  <si>
    <t>Concrete</t>
  </si>
  <si>
    <t>Concrete (G20 insitue)</t>
  </si>
  <si>
    <t>Formwork</t>
  </si>
  <si>
    <t>kg</t>
  </si>
  <si>
    <t>F/W</t>
  </si>
  <si>
    <t>2' height Tile back spash with backing</t>
  </si>
  <si>
    <t>Plastering in vanity top</t>
  </si>
  <si>
    <t>T10</t>
  </si>
  <si>
    <t>Granite</t>
  </si>
  <si>
    <t>Tool 3%</t>
  </si>
  <si>
    <t>Plastering</t>
  </si>
  <si>
    <t>Sub Contractor's Rate with F/W materils and top plastering</t>
  </si>
  <si>
    <t>item</t>
  </si>
  <si>
    <t>Senarath 24.09.2023</t>
  </si>
  <si>
    <t>Tile Backspash</t>
  </si>
  <si>
    <t>Basic Cost per 1 item</t>
  </si>
  <si>
    <t>Vanity counter (4200 x 600 mm)   4" thk. G20 concrete 1:2:4                 ( 14' x 2' )</t>
  </si>
  <si>
    <t>Vanity counter ( 2325 x 600 mm)   4" thk. G20 concrete 1:2:4                 ( 7'9" x 2')</t>
  </si>
  <si>
    <t>Supplying and inslattaion of Roller Door with remote controller works</t>
  </si>
  <si>
    <t>Size 5000mmx3200mm</t>
  </si>
  <si>
    <t>With Material</t>
  </si>
  <si>
    <t>Large Motor with Electrical unit + Roller Door</t>
  </si>
  <si>
    <t>Sub Contractor's Rate for Concrete Structure</t>
  </si>
  <si>
    <t>Basic Cost per unit</t>
  </si>
  <si>
    <t>L -TILING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</si>
</sst>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 #,##0.00_);_(* \(#,##0.00\);_(* &quot;-&quot;??_);_(@_)"/>
    <numFmt numFmtId="165" formatCode="0.0"/>
    <numFmt numFmtId="166" formatCode="0.000%"/>
    <numFmt numFmtId="167" formatCode="#,##0.00000000"/>
    <numFmt numFmtId="168" formatCode="#,##0.0;[Red]#,##0.0"/>
    <numFmt numFmtId="169" formatCode="_(* #,##0.000_);_(* \(#,##0.000\);_(* &quot;-&quot;??_);_(@_)"/>
  </numFmts>
  <fonts count="68"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Times New Roman"/>
      <family val="1"/>
    </font>
    <font>
      <sz val="10"/>
      <name val="Arial"/>
      <family val="2"/>
    </font>
    <font>
      <sz val="11"/>
      <name val="Times New Roman"/>
      <family val="1"/>
    </font>
    <font>
      <b/>
      <sz val="11"/>
      <name val="Times New Roman"/>
      <family val="1"/>
    </font>
    <font>
      <sz val="11"/>
      <color indexed="10"/>
      <name val="Times New Roman"/>
      <family val="1"/>
    </font>
    <font>
      <b/>
      <u/>
      <sz val="12"/>
      <name val="Times New Roman"/>
      <family val="1"/>
    </font>
    <font>
      <b/>
      <u/>
      <sz val="11"/>
      <name val="Times New Roman"/>
      <family val="1"/>
    </font>
    <font>
      <b/>
      <vertAlign val="superscript"/>
      <sz val="11"/>
      <name val="Times New Roman"/>
      <family val="1"/>
    </font>
    <font>
      <vertAlign val="superscript"/>
      <sz val="11"/>
      <name val="Times New Roman"/>
      <family val="1"/>
    </font>
    <font>
      <b/>
      <sz val="10"/>
      <name val="Times New Roman"/>
      <family val="1"/>
    </font>
    <font>
      <sz val="11"/>
      <color theme="1"/>
      <name val="Times New Roman"/>
      <family val="1"/>
    </font>
    <font>
      <b/>
      <sz val="11"/>
      <color theme="1"/>
      <name val="Times New Roman"/>
      <family val="1"/>
    </font>
    <font>
      <b/>
      <sz val="10"/>
      <color rgb="FFFF0000"/>
      <name val="Arial"/>
      <family val="2"/>
    </font>
    <font>
      <b/>
      <sz val="10"/>
      <name val="Arial"/>
      <family val="2"/>
    </font>
    <font>
      <b/>
      <sz val="12"/>
      <name val="Times New Roman"/>
      <family val="1"/>
    </font>
    <font>
      <sz val="12"/>
      <name val="Times New Roman"/>
      <family val="1"/>
    </font>
    <font>
      <u/>
      <sz val="10"/>
      <name val="Times New Roman"/>
      <family val="1"/>
    </font>
    <font>
      <sz val="10"/>
      <name val="Courier"/>
      <family val="3"/>
    </font>
    <font>
      <sz val="8"/>
      <name val="Arial"/>
      <family val="2"/>
    </font>
    <font>
      <sz val="10"/>
      <name val="Arial"/>
      <family val="2"/>
    </font>
    <font>
      <b/>
      <sz val="16"/>
      <name val="Times New Roman"/>
      <family val="1"/>
    </font>
    <font>
      <sz val="14"/>
      <name val="Times New Roman"/>
      <family val="1"/>
    </font>
    <font>
      <sz val="14"/>
      <color indexed="12"/>
      <name val="Times New Roman"/>
      <family val="1"/>
    </font>
    <font>
      <b/>
      <sz val="14"/>
      <name val="Times New Roman"/>
      <family val="1"/>
    </font>
    <font>
      <b/>
      <sz val="22"/>
      <name val="Times New Roman"/>
      <family val="1"/>
    </font>
    <font>
      <sz val="11"/>
      <color rgb="FFFF0000"/>
      <name val="Times New Roman"/>
      <family val="1"/>
    </font>
    <font>
      <sz val="11"/>
      <name val="Arial"/>
      <family val="2"/>
    </font>
    <font>
      <u/>
      <sz val="12"/>
      <name val="Times New Roman"/>
      <family val="1"/>
    </font>
    <font>
      <sz val="11"/>
      <color rgb="FFFF0000"/>
      <name val="Arial"/>
      <family val="2"/>
    </font>
    <font>
      <b/>
      <sz val="11"/>
      <color rgb="FFFF0000"/>
      <name val="Times New Roman"/>
      <family val="1"/>
    </font>
    <font>
      <sz val="6"/>
      <name val="Arial"/>
      <family val="2"/>
    </font>
    <font>
      <sz val="10"/>
      <color rgb="FFFF0000"/>
      <name val="Arial"/>
      <family val="2"/>
    </font>
    <font>
      <sz val="6"/>
      <color rgb="FFFF0000"/>
      <name val="Arial"/>
      <family val="2"/>
    </font>
    <font>
      <sz val="9"/>
      <color indexed="81"/>
      <name val="Tahoma"/>
      <family val="2"/>
    </font>
    <font>
      <b/>
      <sz val="9"/>
      <color indexed="81"/>
      <name val="Tahoma"/>
      <family val="2"/>
    </font>
    <font>
      <b/>
      <sz val="11"/>
      <name val="Arial"/>
      <family val="2"/>
    </font>
    <font>
      <b/>
      <sz val="11"/>
      <color rgb="FFFF0000"/>
      <name val="Arial"/>
      <family val="2"/>
    </font>
    <font>
      <sz val="8"/>
      <name val="Arial"/>
      <family val="2"/>
    </font>
    <font>
      <b/>
      <u/>
      <sz val="9"/>
      <name val="Times New Roman"/>
      <family val="1"/>
    </font>
    <font>
      <sz val="8"/>
      <name val="Times New Roman"/>
      <family val="1"/>
    </font>
    <font>
      <b/>
      <sz val="8"/>
      <color theme="1"/>
      <name val="Times New Roman"/>
      <family val="1"/>
    </font>
    <font>
      <sz val="8"/>
      <color theme="1"/>
      <name val="Times New Roman"/>
      <family val="1"/>
    </font>
    <font>
      <sz val="9"/>
      <color theme="1"/>
      <name val="Times New Roman"/>
      <family val="1"/>
    </font>
    <font>
      <b/>
      <sz val="9"/>
      <color theme="1"/>
      <name val="Times New Roman"/>
      <family val="1"/>
    </font>
    <font>
      <sz val="9"/>
      <name val="Times New Roman"/>
      <family val="1"/>
    </font>
    <font>
      <b/>
      <sz val="9"/>
      <name val="Times New Roman"/>
      <family val="1"/>
    </font>
    <font>
      <b/>
      <sz val="12"/>
      <color theme="0"/>
      <name val="Times New Roman"/>
      <family val="1"/>
    </font>
    <font>
      <sz val="9"/>
      <color rgb="FF7030A0"/>
      <name val="Times New Roman"/>
      <family val="1"/>
    </font>
    <font>
      <sz val="10"/>
      <color theme="1"/>
      <name val="Times New Roman"/>
      <family val="1"/>
    </font>
    <font>
      <b/>
      <sz val="10"/>
      <color theme="1"/>
      <name val="Times New Roman"/>
      <family val="1"/>
    </font>
    <font>
      <u/>
      <sz val="11"/>
      <name val="Times New Roman"/>
      <family val="1"/>
    </font>
    <font>
      <b/>
      <u/>
      <sz val="10"/>
      <name val="Arial"/>
      <family val="2"/>
    </font>
    <font>
      <b/>
      <sz val="11"/>
      <color theme="1"/>
      <name val="Arial Narrow"/>
      <family val="2"/>
    </font>
    <font>
      <sz val="11"/>
      <color theme="1"/>
      <name val="Arial Narrow"/>
      <family val="2"/>
    </font>
    <font>
      <b/>
      <vertAlign val="superscript"/>
      <sz val="11"/>
      <color theme="1"/>
      <name val="Arial Narrow"/>
      <family val="2"/>
    </font>
    <font>
      <u val="singleAccounting"/>
      <sz val="11"/>
      <color theme="1"/>
      <name val="Arial Narrow"/>
      <family val="2"/>
    </font>
    <font>
      <vertAlign val="superscript"/>
      <sz val="11"/>
      <color theme="1"/>
      <name val="Arial Narrow"/>
      <family val="2"/>
    </font>
    <font>
      <b/>
      <sz val="11"/>
      <color theme="1"/>
      <name val="Calibri"/>
      <family val="2"/>
      <scheme val="minor"/>
    </font>
  </fonts>
  <fills count="1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8"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rgb="FF98BFC6"/>
        <bgColor indexed="64"/>
      </patternFill>
    </fill>
    <fill>
      <patternFill patternType="solid">
        <fgColor rgb="FFF4B2E4"/>
        <bgColor indexed="64"/>
      </patternFill>
    </fill>
    <fill>
      <patternFill patternType="solid">
        <fgColor theme="8" tint="-0.249977111117893"/>
        <bgColor indexed="64"/>
      </patternFill>
    </fill>
    <fill>
      <patternFill patternType="solid">
        <fgColor rgb="FF7030A0"/>
        <bgColor indexed="64"/>
      </patternFill>
    </fill>
    <fill>
      <patternFill patternType="solid">
        <fgColor theme="7" tint="-0.499984740745262"/>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rgb="FFFFC000"/>
        <bgColor indexed="64"/>
      </patternFill>
    </fill>
  </fills>
  <borders count="8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right style="thin">
        <color indexed="64"/>
      </right>
      <top/>
      <bottom/>
      <diagonal/>
    </border>
    <border>
      <left style="thin">
        <color indexed="64"/>
      </left>
      <right/>
      <top style="thin">
        <color indexed="64"/>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style="thin">
        <color indexed="64"/>
      </left>
      <right style="thin">
        <color indexed="64"/>
      </right>
      <top style="thin">
        <color indexed="64"/>
      </top>
      <bottom style="double">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medium">
        <color indexed="64"/>
      </left>
      <right style="medium">
        <color indexed="64"/>
      </right>
      <top style="thin">
        <color indexed="64"/>
      </top>
      <bottom style="medium">
        <color indexed="64"/>
      </bottom>
      <diagonal/>
    </border>
    <border>
      <left/>
      <right style="thin">
        <color indexed="64"/>
      </right>
      <top/>
      <bottom style="thin">
        <color indexed="64"/>
      </bottom>
      <diagonal/>
    </border>
    <border>
      <left/>
      <right/>
      <top style="thin">
        <color auto="1"/>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medium">
        <color indexed="64"/>
      </top>
      <bottom style="hair">
        <color indexed="64"/>
      </bottom>
      <diagonal/>
    </border>
    <border>
      <left style="thin">
        <color indexed="64"/>
      </left>
      <right style="thin">
        <color indexed="64"/>
      </right>
      <top style="hair">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hair">
        <color indexed="64"/>
      </top>
      <bottom/>
      <diagonal/>
    </border>
    <border>
      <left style="thin">
        <color indexed="64"/>
      </left>
      <right style="medium">
        <color indexed="64"/>
      </right>
      <top style="hair">
        <color indexed="64"/>
      </top>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bottom style="medium">
        <color indexed="64"/>
      </bottom>
      <diagonal/>
    </border>
    <border>
      <left style="thin">
        <color indexed="64"/>
      </left>
      <right/>
      <top style="medium">
        <color indexed="64"/>
      </top>
      <bottom/>
      <diagonal/>
    </border>
    <border>
      <left/>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auto="1"/>
      </left>
      <right style="thin">
        <color indexed="64"/>
      </right>
      <top/>
      <bottom style="thin">
        <color auto="1"/>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bottom/>
      <diagonal/>
    </border>
    <border>
      <left style="medium">
        <color auto="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auto="1"/>
      </right>
      <top style="thin">
        <color theme="0" tint="-0.24994659260841701"/>
      </top>
      <bottom style="thin">
        <color theme="0" tint="-0.24994659260841701"/>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auto="1"/>
      </left>
      <right style="thin">
        <color auto="1"/>
      </right>
      <top style="thin">
        <color auto="1"/>
      </top>
      <bottom style="hair">
        <color auto="1"/>
      </bottom>
      <diagonal/>
    </border>
  </borders>
  <cellStyleXfs count="39">
    <xf numFmtId="0" fontId="0" fillId="0" borderId="0"/>
    <xf numFmtId="164" fontId="8"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0" fontId="8" fillId="0" borderId="0"/>
    <xf numFmtId="164" fontId="9" fillId="0" borderId="0" applyFont="0" applyFill="0" applyBorder="0" applyAlignment="0" applyProtection="0"/>
    <xf numFmtId="0" fontId="9" fillId="0" borderId="0"/>
    <xf numFmtId="164" fontId="11" fillId="0" borderId="0" applyFont="0" applyFill="0" applyBorder="0" applyAlignment="0" applyProtection="0"/>
    <xf numFmtId="9" fontId="11" fillId="0" borderId="0" applyFont="0" applyFill="0" applyBorder="0" applyAlignment="0" applyProtection="0"/>
    <xf numFmtId="0" fontId="7" fillId="0" borderId="0"/>
    <xf numFmtId="9" fontId="7" fillId="0" borderId="0" applyFont="0" applyFill="0" applyBorder="0" applyAlignment="0" applyProtection="0"/>
    <xf numFmtId="164" fontId="7" fillId="0" borderId="0" applyFont="0" applyFill="0" applyBorder="0" applyAlignment="0" applyProtection="0"/>
    <xf numFmtId="0" fontId="9" fillId="0" borderId="0"/>
    <xf numFmtId="0" fontId="27" fillId="0" borderId="0"/>
    <xf numFmtId="0" fontId="9" fillId="0" borderId="0"/>
    <xf numFmtId="0" fontId="9" fillId="0" borderId="0"/>
    <xf numFmtId="164" fontId="6" fillId="0" borderId="0" applyFont="0" applyFill="0" applyBorder="0" applyAlignment="0" applyProtection="0"/>
    <xf numFmtId="0" fontId="6" fillId="0" borderId="0"/>
    <xf numFmtId="0" fontId="25" fillId="0" borderId="0"/>
    <xf numFmtId="0" fontId="5" fillId="0" borderId="0"/>
    <xf numFmtId="164" fontId="5" fillId="0" borderId="0" applyFont="0" applyFill="0" applyBorder="0" applyAlignment="0" applyProtection="0"/>
    <xf numFmtId="9" fontId="29" fillId="0" borderId="0" applyFont="0" applyFill="0" applyBorder="0" applyAlignment="0" applyProtection="0"/>
    <xf numFmtId="0" fontId="4" fillId="0" borderId="0"/>
    <xf numFmtId="43" fontId="4" fillId="0" borderId="0" applyFont="0" applyFill="0" applyBorder="0" applyAlignment="0" applyProtection="0"/>
    <xf numFmtId="164" fontId="9" fillId="0" borderId="0" applyFont="0" applyFill="0" applyBorder="0" applyAlignment="0" applyProtection="0"/>
    <xf numFmtId="0" fontId="3" fillId="0" borderId="0"/>
    <xf numFmtId="164" fontId="3" fillId="0" borderId="0" applyFont="0" applyFill="0" applyBorder="0" applyAlignment="0" applyProtection="0"/>
    <xf numFmtId="0" fontId="9" fillId="0" borderId="0"/>
    <xf numFmtId="164" fontId="2" fillId="0" borderId="0" applyFont="0" applyFill="0" applyBorder="0" applyAlignment="0" applyProtection="0"/>
    <xf numFmtId="0" fontId="25" fillId="0" borderId="0"/>
    <xf numFmtId="0" fontId="25" fillId="0" borderId="0" applyFont="0" applyFill="0" applyBorder="0" applyAlignment="0" applyProtection="0"/>
    <xf numFmtId="0" fontId="9" fillId="0" borderId="0"/>
    <xf numFmtId="0" fontId="1" fillId="0" borderId="0"/>
    <xf numFmtId="0" fontId="9" fillId="0" borderId="0"/>
    <xf numFmtId="0" fontId="1" fillId="0" borderId="0"/>
    <xf numFmtId="164" fontId="1" fillId="0" borderId="0" applyFont="0" applyFill="0" applyBorder="0" applyAlignment="0" applyProtection="0"/>
    <xf numFmtId="9" fontId="9"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cellStyleXfs>
  <cellXfs count="1519">
    <xf numFmtId="0" fontId="0" fillId="0" borderId="0" xfId="0"/>
    <xf numFmtId="2" fontId="10" fillId="0" borderId="0" xfId="0" applyNumberFormat="1" applyFont="1"/>
    <xf numFmtId="0" fontId="10" fillId="0" borderId="11" xfId="0" applyFont="1" applyBorder="1" applyAlignment="1">
      <alignment horizontal="center" vertical="top"/>
    </xf>
    <xf numFmtId="4" fontId="12" fillId="0" borderId="0" xfId="0" applyNumberFormat="1" applyFont="1" applyAlignment="1">
      <alignment vertical="center"/>
    </xf>
    <xf numFmtId="4" fontId="12" fillId="0" borderId="0" xfId="0" applyNumberFormat="1" applyFont="1" applyAlignment="1">
      <alignment vertical="top"/>
    </xf>
    <xf numFmtId="4" fontId="13" fillId="0" borderId="0" xfId="0" applyNumberFormat="1" applyFont="1" applyAlignment="1">
      <alignment vertical="center"/>
    </xf>
    <xf numFmtId="4" fontId="12" fillId="0" borderId="0" xfId="0" applyNumberFormat="1" applyFont="1" applyAlignment="1">
      <alignment horizontal="justify" vertical="top"/>
    </xf>
    <xf numFmtId="4" fontId="12" fillId="0" borderId="0" xfId="0" applyNumberFormat="1" applyFont="1" applyAlignment="1">
      <alignment horizontal="center" vertical="top"/>
    </xf>
    <xf numFmtId="4" fontId="12" fillId="0" borderId="0" xfId="0" applyNumberFormat="1" applyFont="1" applyAlignment="1">
      <alignment horizontal="right" vertical="top"/>
    </xf>
    <xf numFmtId="2" fontId="13" fillId="0" borderId="6" xfId="0" applyNumberFormat="1" applyFont="1" applyBorder="1" applyAlignment="1">
      <alignment horizontal="center"/>
    </xf>
    <xf numFmtId="2" fontId="13" fillId="0" borderId="7" xfId="0" applyNumberFormat="1" applyFont="1" applyBorder="1" applyAlignment="1">
      <alignment horizontal="center"/>
    </xf>
    <xf numFmtId="2" fontId="13" fillId="0" borderId="8" xfId="0" applyNumberFormat="1" applyFont="1" applyBorder="1" applyAlignment="1">
      <alignment horizontal="center"/>
    </xf>
    <xf numFmtId="0" fontId="13" fillId="0" borderId="9" xfId="0" applyFont="1" applyBorder="1" applyAlignment="1">
      <alignment horizontal="center"/>
    </xf>
    <xf numFmtId="164" fontId="13" fillId="0" borderId="10" xfId="2" applyFont="1" applyFill="1" applyBorder="1" applyAlignment="1">
      <alignment horizontal="center"/>
    </xf>
    <xf numFmtId="2" fontId="12" fillId="0" borderId="13" xfId="0" applyNumberFormat="1" applyFont="1" applyBorder="1" applyAlignment="1">
      <alignment horizontal="center"/>
    </xf>
    <xf numFmtId="0" fontId="12" fillId="0" borderId="15" xfId="0" applyFont="1" applyBorder="1" applyAlignment="1">
      <alignment horizontal="center"/>
    </xf>
    <xf numFmtId="0" fontId="12" fillId="0" borderId="0" xfId="0" applyFont="1" applyAlignment="1">
      <alignment horizontal="center"/>
    </xf>
    <xf numFmtId="0" fontId="12" fillId="0" borderId="0" xfId="0" applyFont="1" applyAlignment="1">
      <alignment horizontal="justify"/>
    </xf>
    <xf numFmtId="164" fontId="12" fillId="0" borderId="15" xfId="3" applyFont="1" applyFill="1" applyBorder="1" applyAlignment="1">
      <alignment horizontal="right" vertical="justify"/>
    </xf>
    <xf numFmtId="2" fontId="12" fillId="0" borderId="13" xfId="2" applyNumberFormat="1" applyFont="1" applyFill="1" applyBorder="1" applyAlignment="1">
      <alignment horizontal="right" vertical="justify"/>
    </xf>
    <xf numFmtId="2" fontId="12" fillId="0" borderId="21" xfId="2" applyNumberFormat="1" applyFont="1" applyFill="1" applyBorder="1" applyAlignment="1">
      <alignment horizontal="right" vertical="justify"/>
    </xf>
    <xf numFmtId="164" fontId="12" fillId="0" borderId="23" xfId="3" applyFont="1" applyFill="1" applyBorder="1" applyAlignment="1">
      <alignment horizontal="right" vertical="justify"/>
    </xf>
    <xf numFmtId="0" fontId="10" fillId="0" borderId="11" xfId="0" applyFont="1" applyBorder="1" applyAlignment="1">
      <alignment horizontal="center" vertical="center"/>
    </xf>
    <xf numFmtId="2" fontId="10" fillId="0" borderId="0" xfId="0" applyNumberFormat="1" applyFont="1" applyAlignment="1">
      <alignment vertical="center"/>
    </xf>
    <xf numFmtId="0" fontId="10" fillId="0" borderId="11" xfId="0" applyFont="1" applyBorder="1" applyAlignment="1">
      <alignment horizontal="center" vertical="center" wrapText="1"/>
    </xf>
    <xf numFmtId="0" fontId="10" fillId="0" borderId="0" xfId="0" applyFont="1" applyAlignment="1">
      <alignment horizontal="justify" vertical="center"/>
    </xf>
    <xf numFmtId="0" fontId="10" fillId="0" borderId="11" xfId="0" applyFont="1" applyBorder="1" applyAlignment="1">
      <alignment horizontal="center" vertical="top" wrapText="1"/>
    </xf>
    <xf numFmtId="2" fontId="12" fillId="0" borderId="0" xfId="0" applyNumberFormat="1" applyFont="1" applyAlignment="1">
      <alignment horizontal="center"/>
    </xf>
    <xf numFmtId="4" fontId="10" fillId="0" borderId="0" xfId="0" applyNumberFormat="1" applyFont="1" applyAlignment="1">
      <alignment vertical="top"/>
    </xf>
    <xf numFmtId="0" fontId="12" fillId="0" borderId="0" xfId="0" applyFont="1"/>
    <xf numFmtId="164" fontId="13" fillId="0" borderId="8" xfId="1" applyFont="1" applyFill="1" applyBorder="1" applyAlignment="1">
      <alignment horizontal="center"/>
    </xf>
    <xf numFmtId="164" fontId="12" fillId="0" borderId="13" xfId="1" applyFont="1" applyFill="1" applyBorder="1" applyAlignment="1">
      <alignment horizontal="right"/>
    </xf>
    <xf numFmtId="164" fontId="12" fillId="0" borderId="13" xfId="1" applyFont="1" applyFill="1" applyBorder="1" applyAlignment="1">
      <alignment horizontal="right" vertical="justify"/>
    </xf>
    <xf numFmtId="164" fontId="12" fillId="0" borderId="21" xfId="1" applyFont="1" applyFill="1" applyBorder="1" applyAlignment="1">
      <alignment horizontal="right" vertical="justify"/>
    </xf>
    <xf numFmtId="164" fontId="12" fillId="0" borderId="0" xfId="1" applyFont="1" applyBorder="1" applyAlignment="1">
      <alignment horizontal="right" vertical="top"/>
    </xf>
    <xf numFmtId="164" fontId="12" fillId="0" borderId="0" xfId="1" applyFont="1" applyBorder="1" applyAlignment="1">
      <alignment horizontal="center"/>
    </xf>
    <xf numFmtId="4" fontId="12" fillId="0" borderId="13" xfId="0" applyNumberFormat="1" applyFont="1" applyBorder="1" applyAlignment="1">
      <alignment horizontal="center" vertical="top"/>
    </xf>
    <xf numFmtId="0" fontId="10" fillId="0" borderId="13" xfId="0" applyFont="1" applyBorder="1" applyAlignment="1">
      <alignment horizontal="center" vertical="center"/>
    </xf>
    <xf numFmtId="164" fontId="13" fillId="0" borderId="0" xfId="2" applyFont="1" applyFill="1" applyBorder="1" applyAlignment="1">
      <alignment horizontal="center"/>
    </xf>
    <xf numFmtId="4" fontId="13" fillId="0" borderId="0" xfId="0" applyNumberFormat="1" applyFont="1" applyAlignment="1">
      <alignment horizontal="right" vertical="top"/>
    </xf>
    <xf numFmtId="2" fontId="24" fillId="0" borderId="6" xfId="0" applyNumberFormat="1" applyFont="1" applyBorder="1" applyAlignment="1">
      <alignment horizontal="center" vertical="top"/>
    </xf>
    <xf numFmtId="2" fontId="24" fillId="0" borderId="7" xfId="0" applyNumberFormat="1" applyFont="1" applyBorder="1" applyAlignment="1">
      <alignment horizontal="center"/>
    </xf>
    <xf numFmtId="164" fontId="24" fillId="0" borderId="10" xfId="1" applyFont="1" applyFill="1" applyBorder="1" applyAlignment="1">
      <alignment horizontal="center"/>
    </xf>
    <xf numFmtId="4" fontId="25" fillId="0" borderId="0" xfId="0" applyNumberFormat="1" applyFont="1" applyAlignment="1">
      <alignment vertical="top"/>
    </xf>
    <xf numFmtId="0" fontId="25" fillId="0" borderId="11" xfId="0" applyFont="1" applyBorder="1" applyAlignment="1">
      <alignment horizontal="center" vertical="top"/>
    </xf>
    <xf numFmtId="2" fontId="25" fillId="0" borderId="0" xfId="0" applyNumberFormat="1" applyFont="1"/>
    <xf numFmtId="164" fontId="25" fillId="0" borderId="15" xfId="1" applyFont="1" applyFill="1" applyBorder="1" applyAlignment="1"/>
    <xf numFmtId="0" fontId="25" fillId="0" borderId="11" xfId="0" applyFont="1" applyBorder="1" applyAlignment="1">
      <alignment horizontal="center" vertical="center"/>
    </xf>
    <xf numFmtId="0" fontId="25" fillId="0" borderId="17" xfId="0" applyFont="1" applyBorder="1" applyAlignment="1">
      <alignment horizontal="justify" vertical="center"/>
    </xf>
    <xf numFmtId="164" fontId="25" fillId="0" borderId="15" xfId="1" applyFont="1" applyFill="1" applyBorder="1" applyAlignment="1">
      <alignment vertical="center"/>
    </xf>
    <xf numFmtId="2" fontId="25" fillId="0" borderId="0" xfId="0" applyNumberFormat="1" applyFont="1" applyAlignment="1">
      <alignment vertical="center"/>
    </xf>
    <xf numFmtId="0" fontId="25" fillId="0" borderId="11" xfId="0" applyFont="1" applyBorder="1" applyAlignment="1">
      <alignment horizontal="center" vertical="center" wrapText="1"/>
    </xf>
    <xf numFmtId="0" fontId="25" fillId="0" borderId="0" xfId="0" applyFont="1" applyAlignment="1">
      <alignment horizontal="justify" vertical="center"/>
    </xf>
    <xf numFmtId="0" fontId="24" fillId="0" borderId="0" xfId="0" applyFont="1" applyAlignment="1">
      <alignment horizontal="left" vertical="center"/>
    </xf>
    <xf numFmtId="164" fontId="24" fillId="0" borderId="15" xfId="1" applyFont="1" applyFill="1" applyBorder="1" applyAlignment="1">
      <alignment vertical="center" wrapText="1"/>
    </xf>
    <xf numFmtId="0" fontId="25" fillId="0" borderId="11" xfId="0" applyFont="1" applyBorder="1" applyAlignment="1">
      <alignment horizontal="center" vertical="top" wrapText="1"/>
    </xf>
    <xf numFmtId="164" fontId="25" fillId="0" borderId="15" xfId="1" applyFont="1" applyFill="1" applyBorder="1" applyAlignment="1">
      <alignment wrapText="1"/>
    </xf>
    <xf numFmtId="0" fontId="25" fillId="0" borderId="19" xfId="0" applyFont="1" applyBorder="1" applyAlignment="1">
      <alignment horizontal="center" vertical="top" wrapText="1"/>
    </xf>
    <xf numFmtId="0" fontId="25" fillId="0" borderId="0" xfId="0" applyFont="1" applyAlignment="1">
      <alignment horizontal="center" vertical="top"/>
    </xf>
    <xf numFmtId="0" fontId="25" fillId="0" borderId="0" xfId="0" applyFont="1" applyAlignment="1">
      <alignment horizontal="justify"/>
    </xf>
    <xf numFmtId="4" fontId="25" fillId="0" borderId="0" xfId="0" applyNumberFormat="1" applyFont="1" applyAlignment="1">
      <alignment horizontal="center" vertical="top"/>
    </xf>
    <xf numFmtId="4" fontId="25" fillId="0" borderId="0" xfId="0" applyNumberFormat="1" applyFont="1" applyAlignment="1">
      <alignment horizontal="justify" vertical="top"/>
    </xf>
    <xf numFmtId="164" fontId="25" fillId="0" borderId="0" xfId="1" applyFont="1" applyBorder="1" applyAlignment="1">
      <alignment horizontal="right" vertical="top"/>
    </xf>
    <xf numFmtId="4" fontId="25" fillId="0" borderId="1" xfId="0" applyNumberFormat="1" applyFont="1" applyBorder="1" applyAlignment="1">
      <alignment horizontal="center" vertical="top"/>
    </xf>
    <xf numFmtId="4" fontId="25" fillId="0" borderId="2" xfId="0" applyNumberFormat="1" applyFont="1" applyBorder="1" applyAlignment="1">
      <alignment horizontal="justify" vertical="top"/>
    </xf>
    <xf numFmtId="2" fontId="24" fillId="0" borderId="11" xfId="0" applyNumberFormat="1" applyFont="1" applyBorder="1" applyAlignment="1">
      <alignment horizontal="center" vertical="top"/>
    </xf>
    <xf numFmtId="2" fontId="24" fillId="0" borderId="0" xfId="0" applyNumberFormat="1" applyFont="1" applyAlignment="1">
      <alignment horizontal="center"/>
    </xf>
    <xf numFmtId="0" fontId="25" fillId="0" borderId="6" xfId="0" applyFont="1" applyBorder="1" applyAlignment="1">
      <alignment horizontal="center" vertical="center"/>
    </xf>
    <xf numFmtId="2" fontId="24" fillId="0" borderId="34" xfId="0" applyNumberFormat="1" applyFont="1" applyBorder="1" applyAlignment="1">
      <alignment vertical="center"/>
    </xf>
    <xf numFmtId="2" fontId="24" fillId="0" borderId="19" xfId="0" applyNumberFormat="1" applyFont="1" applyBorder="1" applyAlignment="1">
      <alignment horizontal="center" vertical="top"/>
    </xf>
    <xf numFmtId="2" fontId="24" fillId="0" borderId="20" xfId="0" applyNumberFormat="1" applyFont="1" applyBorder="1" applyAlignment="1">
      <alignment horizontal="center"/>
    </xf>
    <xf numFmtId="2" fontId="15" fillId="0" borderId="29" xfId="0" applyNumberFormat="1" applyFont="1" applyBorder="1" applyAlignment="1">
      <alignment horizontal="center"/>
    </xf>
    <xf numFmtId="2" fontId="15" fillId="0" borderId="26" xfId="0" applyNumberFormat="1" applyFont="1" applyBorder="1" applyAlignment="1">
      <alignment horizontal="center"/>
    </xf>
    <xf numFmtId="0" fontId="10" fillId="0" borderId="13" xfId="0" applyFont="1" applyBorder="1" applyAlignment="1">
      <alignment horizontal="justify" vertical="top"/>
    </xf>
    <xf numFmtId="0" fontId="12" fillId="0" borderId="13" xfId="0" applyFont="1" applyBorder="1" applyAlignment="1">
      <alignment horizontal="center" vertical="justify"/>
    </xf>
    <xf numFmtId="164" fontId="12" fillId="0" borderId="13" xfId="1" applyFont="1" applyFill="1" applyBorder="1" applyAlignment="1">
      <alignment horizontal="right" vertical="top"/>
    </xf>
    <xf numFmtId="0" fontId="13" fillId="0" borderId="13" xfId="0" applyFont="1" applyBorder="1" applyAlignment="1">
      <alignment horizontal="justify" vertical="top"/>
    </xf>
    <xf numFmtId="0" fontId="16" fillId="0" borderId="28" xfId="0" applyFont="1" applyBorder="1" applyAlignment="1">
      <alignment horizontal="left" vertical="top"/>
    </xf>
    <xf numFmtId="2" fontId="12" fillId="0" borderId="28" xfId="0" applyNumberFormat="1" applyFont="1" applyBorder="1" applyAlignment="1">
      <alignment horizontal="center"/>
    </xf>
    <xf numFmtId="0" fontId="12" fillId="0" borderId="28" xfId="0" applyFont="1" applyBorder="1" applyAlignment="1">
      <alignment horizontal="center"/>
    </xf>
    <xf numFmtId="164" fontId="12" fillId="0" borderId="28" xfId="1" applyFont="1" applyFill="1" applyBorder="1" applyAlignment="1">
      <alignment horizontal="center"/>
    </xf>
    <xf numFmtId="0" fontId="16" fillId="0" borderId="13" xfId="0" applyFont="1" applyBorder="1" applyAlignment="1">
      <alignment horizontal="left" vertical="top"/>
    </xf>
    <xf numFmtId="0" fontId="12" fillId="0" borderId="13" xfId="0" applyFont="1" applyBorder="1" applyAlignment="1">
      <alignment horizontal="center"/>
    </xf>
    <xf numFmtId="0" fontId="12" fillId="0" borderId="13" xfId="0" applyFont="1" applyBorder="1" applyAlignment="1">
      <alignment horizontal="justify"/>
    </xf>
    <xf numFmtId="164" fontId="12" fillId="0" borderId="13" xfId="3" applyFont="1" applyFill="1" applyBorder="1" applyAlignment="1">
      <alignment horizontal="right" vertical="justify"/>
    </xf>
    <xf numFmtId="0" fontId="12" fillId="0" borderId="13" xfId="0" applyFont="1" applyBorder="1" applyAlignment="1">
      <alignment horizontal="justify" vertical="top" wrapText="1"/>
    </xf>
    <xf numFmtId="0" fontId="12" fillId="0" borderId="13" xfId="0" applyFont="1" applyBorder="1" applyAlignment="1">
      <alignment horizontal="left" vertical="top" wrapText="1"/>
    </xf>
    <xf numFmtId="4" fontId="12" fillId="0" borderId="13" xfId="0" applyNumberFormat="1" applyFont="1" applyBorder="1" applyAlignment="1">
      <alignment horizontal="center" vertical="center"/>
    </xf>
    <xf numFmtId="4" fontId="15" fillId="0" borderId="13" xfId="0" applyNumberFormat="1" applyFont="1" applyBorder="1" applyAlignment="1">
      <alignment horizontal="justify" vertical="center"/>
    </xf>
    <xf numFmtId="4" fontId="15" fillId="0" borderId="13" xfId="0" applyNumberFormat="1" applyFont="1" applyBorder="1" applyAlignment="1">
      <alignment horizontal="right" vertical="center"/>
    </xf>
    <xf numFmtId="4" fontId="12" fillId="0" borderId="13" xfId="0" applyNumberFormat="1" applyFont="1" applyBorder="1" applyAlignment="1">
      <alignment horizontal="right" vertical="top"/>
    </xf>
    <xf numFmtId="0" fontId="23" fillId="0" borderId="13" xfId="0" applyFont="1" applyBorder="1" applyAlignment="1">
      <alignment wrapText="1"/>
    </xf>
    <xf numFmtId="4" fontId="16" fillId="0" borderId="13" xfId="0" applyNumberFormat="1" applyFont="1" applyBorder="1" applyAlignment="1">
      <alignment horizontal="right" vertical="center" wrapText="1"/>
    </xf>
    <xf numFmtId="0" fontId="23" fillId="0" borderId="13" xfId="0" applyFont="1" applyBorder="1" applyAlignment="1">
      <alignment vertical="top"/>
    </xf>
    <xf numFmtId="4" fontId="16" fillId="0" borderId="13" xfId="0" applyNumberFormat="1" applyFont="1" applyBorder="1" applyAlignment="1">
      <alignment horizontal="justify" vertical="center" wrapText="1"/>
    </xf>
    <xf numFmtId="4" fontId="12" fillId="0" borderId="13" xfId="0" applyNumberFormat="1" applyFont="1" applyBorder="1" applyAlignment="1">
      <alignment horizontal="justify" vertical="top" wrapText="1"/>
    </xf>
    <xf numFmtId="4" fontId="12" fillId="0" borderId="13" xfId="0" applyNumberFormat="1" applyFont="1" applyBorder="1" applyAlignment="1">
      <alignment horizontal="right" vertical="top" wrapText="1"/>
    </xf>
    <xf numFmtId="0" fontId="9" fillId="0" borderId="13" xfId="0" applyFont="1" applyBorder="1" applyAlignment="1">
      <alignment wrapText="1"/>
    </xf>
    <xf numFmtId="0" fontId="23" fillId="0" borderId="13" xfId="0" applyFont="1" applyBorder="1" applyAlignment="1">
      <alignment vertical="top" wrapText="1"/>
    </xf>
    <xf numFmtId="4" fontId="13" fillId="0" borderId="13" xfId="0" applyNumberFormat="1" applyFont="1" applyBorder="1" applyAlignment="1">
      <alignment horizontal="right" vertical="center" wrapText="1"/>
    </xf>
    <xf numFmtId="4" fontId="12" fillId="0" borderId="13" xfId="0" applyNumberFormat="1" applyFont="1" applyBorder="1" applyAlignment="1">
      <alignment horizontal="justify" vertical="center" wrapText="1"/>
    </xf>
    <xf numFmtId="4" fontId="12" fillId="0" borderId="13" xfId="0" applyNumberFormat="1" applyFont="1" applyBorder="1" applyAlignment="1">
      <alignment horizontal="right" vertical="center" wrapText="1"/>
    </xf>
    <xf numFmtId="4" fontId="13" fillId="0" borderId="13" xfId="0" applyNumberFormat="1" applyFont="1" applyBorder="1" applyAlignment="1">
      <alignment horizontal="justify" vertical="center" wrapText="1"/>
    </xf>
    <xf numFmtId="4" fontId="15" fillId="0" borderId="13" xfId="0" applyNumberFormat="1" applyFont="1" applyBorder="1" applyAlignment="1">
      <alignment horizontal="justify" vertical="center" wrapText="1"/>
    </xf>
    <xf numFmtId="4" fontId="15" fillId="0" borderId="13" xfId="0" applyNumberFormat="1" applyFont="1" applyBorder="1" applyAlignment="1">
      <alignment horizontal="right" vertical="center" wrapText="1"/>
    </xf>
    <xf numFmtId="4" fontId="12" fillId="0" borderId="6" xfId="0" applyNumberFormat="1" applyFont="1" applyBorder="1" applyAlignment="1">
      <alignment horizontal="center" vertical="center"/>
    </xf>
    <xf numFmtId="4" fontId="16" fillId="0" borderId="8" xfId="0" applyNumberFormat="1" applyFont="1" applyBorder="1" applyAlignment="1">
      <alignment horizontal="right" vertical="center" wrapText="1"/>
    </xf>
    <xf numFmtId="4" fontId="12" fillId="0" borderId="8" xfId="0" applyNumberFormat="1" applyFont="1" applyBorder="1" applyAlignment="1">
      <alignment horizontal="center" vertical="top"/>
    </xf>
    <xf numFmtId="164" fontId="12" fillId="0" borderId="8" xfId="1" applyFont="1" applyFill="1" applyBorder="1" applyAlignment="1">
      <alignment horizontal="right" vertical="top"/>
    </xf>
    <xf numFmtId="4" fontId="13" fillId="0" borderId="10" xfId="0" applyNumberFormat="1" applyFont="1" applyBorder="1" applyAlignment="1">
      <alignment horizontal="right" vertical="top"/>
    </xf>
    <xf numFmtId="4" fontId="13" fillId="0" borderId="13" xfId="0" applyNumberFormat="1" applyFont="1" applyBorder="1" applyAlignment="1">
      <alignment horizontal="center" vertical="top"/>
    </xf>
    <xf numFmtId="164" fontId="13" fillId="0" borderId="13" xfId="1" applyFont="1" applyFill="1" applyBorder="1" applyAlignment="1">
      <alignment horizontal="right" vertical="top"/>
    </xf>
    <xf numFmtId="4" fontId="13" fillId="0" borderId="8" xfId="0" applyNumberFormat="1" applyFont="1" applyBorder="1" applyAlignment="1">
      <alignment horizontal="justify" vertical="center" wrapText="1"/>
    </xf>
    <xf numFmtId="4" fontId="12" fillId="0" borderId="28" xfId="0" applyNumberFormat="1" applyFont="1" applyBorder="1" applyAlignment="1">
      <alignment horizontal="center" vertical="center"/>
    </xf>
    <xf numFmtId="4" fontId="15" fillId="0" borderId="28" xfId="0" applyNumberFormat="1" applyFont="1" applyBorder="1" applyAlignment="1">
      <alignment horizontal="justify" vertical="center" wrapText="1"/>
    </xf>
    <xf numFmtId="4" fontId="15" fillId="0" borderId="28" xfId="0" applyNumberFormat="1" applyFont="1" applyBorder="1" applyAlignment="1">
      <alignment horizontal="right" vertical="center" wrapText="1"/>
    </xf>
    <xf numFmtId="4" fontId="12" fillId="0" borderId="28" xfId="0" applyNumberFormat="1" applyFont="1" applyBorder="1" applyAlignment="1">
      <alignment horizontal="center" vertical="top"/>
    </xf>
    <xf numFmtId="164" fontId="12" fillId="0" borderId="28" xfId="1" applyFont="1" applyFill="1" applyBorder="1" applyAlignment="1">
      <alignment horizontal="right" vertical="top"/>
    </xf>
    <xf numFmtId="0" fontId="19" fillId="0" borderId="13" xfId="0" applyFont="1" applyBorder="1" applyAlignment="1">
      <alignment wrapText="1"/>
    </xf>
    <xf numFmtId="0" fontId="19" fillId="0" borderId="13" xfId="0" applyFont="1" applyBorder="1" applyAlignment="1">
      <alignment vertical="top"/>
    </xf>
    <xf numFmtId="4" fontId="12" fillId="0" borderId="13" xfId="0" applyNumberFormat="1" applyFont="1" applyBorder="1" applyAlignment="1">
      <alignment horizontal="left" vertical="top" wrapText="1"/>
    </xf>
    <xf numFmtId="4" fontId="16" fillId="0" borderId="28" xfId="0" applyNumberFormat="1" applyFont="1" applyBorder="1" applyAlignment="1">
      <alignment horizontal="right" vertical="center" wrapText="1"/>
    </xf>
    <xf numFmtId="4" fontId="13" fillId="0" borderId="13" xfId="0" applyNumberFormat="1" applyFont="1" applyBorder="1" applyAlignment="1">
      <alignment horizontal="justify" vertical="top" wrapText="1"/>
    </xf>
    <xf numFmtId="4" fontId="24" fillId="0" borderId="13" xfId="0" applyNumberFormat="1" applyFont="1" applyBorder="1" applyAlignment="1">
      <alignment horizontal="justify" vertical="center"/>
    </xf>
    <xf numFmtId="4" fontId="24" fillId="0" borderId="13" xfId="0" applyNumberFormat="1" applyFont="1" applyBorder="1" applyAlignment="1">
      <alignment horizontal="left" vertical="center" wrapText="1"/>
    </xf>
    <xf numFmtId="4" fontId="24" fillId="0" borderId="13" xfId="0" applyNumberFormat="1" applyFont="1" applyBorder="1" applyAlignment="1">
      <alignment horizontal="justify" vertical="center" wrapText="1"/>
    </xf>
    <xf numFmtId="4" fontId="13" fillId="0" borderId="13" xfId="0" applyNumberFormat="1" applyFont="1" applyBorder="1" applyAlignment="1">
      <alignment horizontal="left" vertical="center" wrapText="1"/>
    </xf>
    <xf numFmtId="4" fontId="16" fillId="0" borderId="28" xfId="0" applyNumberFormat="1" applyFont="1" applyBorder="1" applyAlignment="1">
      <alignment horizontal="justify" vertical="center" wrapText="1"/>
    </xf>
    <xf numFmtId="39" fontId="12" fillId="0" borderId="12" xfId="2" applyNumberFormat="1" applyFont="1" applyFill="1" applyBorder="1" applyAlignment="1"/>
    <xf numFmtId="4" fontId="12" fillId="0" borderId="13" xfId="0" applyNumberFormat="1" applyFont="1" applyBorder="1" applyAlignment="1">
      <alignment vertical="center" wrapText="1"/>
    </xf>
    <xf numFmtId="164" fontId="12" fillId="0" borderId="13" xfId="1" applyFont="1" applyFill="1" applyBorder="1" applyAlignment="1">
      <alignment horizontal="left" vertical="top" wrapText="1"/>
    </xf>
    <xf numFmtId="0" fontId="12" fillId="0" borderId="13" xfId="0" applyFont="1" applyBorder="1" applyAlignment="1">
      <alignment horizontal="left" vertical="top"/>
    </xf>
    <xf numFmtId="0" fontId="16" fillId="0" borderId="13" xfId="0" applyFont="1" applyBorder="1" applyAlignment="1">
      <alignment horizontal="left" vertical="top" wrapText="1"/>
    </xf>
    <xf numFmtId="0" fontId="12" fillId="0" borderId="13" xfId="0" applyFont="1" applyBorder="1" applyAlignment="1">
      <alignment vertical="top" wrapText="1"/>
    </xf>
    <xf numFmtId="164" fontId="13" fillId="0" borderId="13" xfId="1" applyFont="1" applyFill="1" applyBorder="1" applyAlignment="1">
      <alignment horizontal="center" vertical="top"/>
    </xf>
    <xf numFmtId="164" fontId="12" fillId="0" borderId="13" xfId="1" applyFont="1" applyFill="1" applyBorder="1" applyAlignment="1">
      <alignment horizontal="center" vertical="top"/>
    </xf>
    <xf numFmtId="164" fontId="12" fillId="0" borderId="0" xfId="1" applyFont="1" applyBorder="1" applyAlignment="1">
      <alignment horizontal="center" vertical="top"/>
    </xf>
    <xf numFmtId="0" fontId="26" fillId="0" borderId="13" xfId="0" applyFont="1" applyBorder="1" applyAlignment="1">
      <alignment vertical="center"/>
    </xf>
    <xf numFmtId="0" fontId="12" fillId="0" borderId="13" xfId="0" applyFont="1" applyBorder="1" applyAlignment="1">
      <alignment vertical="center" wrapText="1"/>
    </xf>
    <xf numFmtId="2" fontId="25" fillId="0" borderId="0" xfId="0" applyNumberFormat="1" applyFont="1" applyAlignment="1">
      <alignment horizontal="left" wrapText="1"/>
    </xf>
    <xf numFmtId="164" fontId="24" fillId="0" borderId="23" xfId="1" applyFont="1" applyFill="1" applyBorder="1" applyAlignment="1">
      <alignment wrapText="1"/>
    </xf>
    <xf numFmtId="4" fontId="10" fillId="0" borderId="13" xfId="0" applyNumberFormat="1" applyFont="1" applyBorder="1" applyAlignment="1">
      <alignment horizontal="justify" vertical="center" wrapText="1"/>
    </xf>
    <xf numFmtId="0" fontId="10" fillId="0" borderId="0" xfId="15" applyFont="1" applyAlignment="1">
      <alignment horizontal="center"/>
    </xf>
    <xf numFmtId="4" fontId="12" fillId="0" borderId="0" xfId="0" applyNumberFormat="1" applyFont="1" applyAlignment="1">
      <alignment horizontal="center" vertical="center"/>
    </xf>
    <xf numFmtId="164" fontId="12" fillId="0" borderId="0" xfId="1" applyFont="1" applyBorder="1" applyAlignment="1">
      <alignment horizontal="center" vertical="center"/>
    </xf>
    <xf numFmtId="4" fontId="12" fillId="0" borderId="13" xfId="0" applyNumberFormat="1" applyFont="1" applyBorder="1" applyAlignment="1">
      <alignment vertical="center"/>
    </xf>
    <xf numFmtId="0" fontId="20" fillId="0" borderId="12" xfId="0" applyFont="1" applyBorder="1" applyAlignment="1" applyProtection="1">
      <alignment vertical="center" wrapText="1"/>
      <protection locked="0"/>
    </xf>
    <xf numFmtId="9" fontId="20" fillId="0" borderId="12" xfId="21" applyFont="1" applyBorder="1" applyAlignment="1" applyProtection="1">
      <alignment horizontal="center" vertical="center" wrapText="1"/>
      <protection locked="0"/>
    </xf>
    <xf numFmtId="4" fontId="12" fillId="0" borderId="27" xfId="0" applyNumberFormat="1" applyFont="1" applyBorder="1" applyAlignment="1">
      <alignment horizontal="center" vertical="center"/>
    </xf>
    <xf numFmtId="4" fontId="12" fillId="0" borderId="11" xfId="0" applyNumberFormat="1" applyFont="1" applyBorder="1" applyAlignment="1">
      <alignment horizontal="center" vertical="center"/>
    </xf>
    <xf numFmtId="4" fontId="12" fillId="0" borderId="0" xfId="0" applyNumberFormat="1" applyFont="1" applyAlignment="1">
      <alignment horizontal="left" vertical="top"/>
    </xf>
    <xf numFmtId="2" fontId="24" fillId="0" borderId="26" xfId="0" applyNumberFormat="1" applyFont="1" applyBorder="1" applyAlignment="1">
      <alignment horizontal="left"/>
    </xf>
    <xf numFmtId="164" fontId="25" fillId="0" borderId="2" xfId="1" applyFont="1" applyBorder="1" applyAlignment="1"/>
    <xf numFmtId="0" fontId="12" fillId="0" borderId="0" xfId="0" applyFont="1" applyAlignment="1">
      <alignment wrapText="1"/>
    </xf>
    <xf numFmtId="0" fontId="12" fillId="0" borderId="0" xfId="0" applyFont="1" applyAlignment="1">
      <alignment horizontal="center" vertical="top" wrapText="1"/>
    </xf>
    <xf numFmtId="2" fontId="13" fillId="0" borderId="0" xfId="0" applyNumberFormat="1" applyFont="1" applyAlignment="1">
      <alignment horizontal="center"/>
    </xf>
    <xf numFmtId="164" fontId="13" fillId="0" borderId="0" xfId="1" applyFont="1" applyFill="1" applyBorder="1" applyAlignment="1">
      <alignment wrapText="1"/>
    </xf>
    <xf numFmtId="0" fontId="12" fillId="0" borderId="0" xfId="0" applyFont="1" applyAlignment="1">
      <alignment horizontal="left" vertical="top" wrapText="1"/>
    </xf>
    <xf numFmtId="4" fontId="12" fillId="0" borderId="0" xfId="0" applyNumberFormat="1" applyFont="1" applyAlignment="1">
      <alignment horizontal="left"/>
    </xf>
    <xf numFmtId="164" fontId="24" fillId="0" borderId="15" xfId="1" applyFont="1" applyFill="1" applyBorder="1" applyAlignment="1">
      <alignment vertical="center"/>
    </xf>
    <xf numFmtId="4" fontId="12" fillId="0" borderId="13" xfId="0" applyNumberFormat="1" applyFont="1" applyBorder="1" applyAlignment="1">
      <alignment vertical="top" wrapText="1"/>
    </xf>
    <xf numFmtId="4" fontId="16" fillId="0" borderId="13" xfId="0" applyNumberFormat="1" applyFont="1" applyBorder="1" applyAlignment="1">
      <alignment vertical="center" wrapText="1"/>
    </xf>
    <xf numFmtId="4" fontId="13" fillId="0" borderId="13" xfId="0" applyNumberFormat="1" applyFont="1" applyBorder="1" applyAlignment="1">
      <alignment vertical="center" wrapText="1"/>
    </xf>
    <xf numFmtId="0" fontId="12" fillId="0" borderId="13" xfId="0" applyFont="1" applyBorder="1" applyAlignment="1">
      <alignment vertical="justify"/>
    </xf>
    <xf numFmtId="0" fontId="16" fillId="0" borderId="13" xfId="0" applyFont="1" applyBorder="1" applyAlignment="1">
      <alignment vertical="justify"/>
    </xf>
    <xf numFmtId="4" fontId="12" fillId="3" borderId="13" xfId="0" applyNumberFormat="1" applyFont="1" applyFill="1" applyBorder="1" applyAlignment="1">
      <alignment horizontal="center" vertical="top"/>
    </xf>
    <xf numFmtId="4" fontId="12" fillId="3" borderId="13" xfId="0" applyNumberFormat="1" applyFont="1" applyFill="1" applyBorder="1" applyAlignment="1">
      <alignment horizontal="right" vertical="top" wrapText="1"/>
    </xf>
    <xf numFmtId="164" fontId="12" fillId="3" borderId="13" xfId="1" applyFont="1" applyFill="1" applyBorder="1" applyAlignment="1">
      <alignment horizontal="right" vertical="top"/>
    </xf>
    <xf numFmtId="4" fontId="12" fillId="3" borderId="0" xfId="0" applyNumberFormat="1" applyFont="1" applyFill="1" applyAlignment="1">
      <alignment vertical="top"/>
    </xf>
    <xf numFmtId="4" fontId="19" fillId="0" borderId="13" xfId="0" applyNumberFormat="1" applyFont="1" applyBorder="1" applyAlignment="1">
      <alignment horizontal="justify" vertical="center" wrapText="1"/>
    </xf>
    <xf numFmtId="0" fontId="10" fillId="0" borderId="13" xfId="0" applyFont="1" applyBorder="1" applyAlignment="1">
      <alignment vertical="center"/>
    </xf>
    <xf numFmtId="0" fontId="19" fillId="0" borderId="13" xfId="0" applyFont="1" applyBorder="1" applyAlignment="1">
      <alignment vertical="center"/>
    </xf>
    <xf numFmtId="0" fontId="16" fillId="0" borderId="28" xfId="0" applyFont="1" applyBorder="1" applyAlignment="1">
      <alignment horizontal="center" vertical="top"/>
    </xf>
    <xf numFmtId="0" fontId="16" fillId="0" borderId="13" xfId="0" applyFont="1" applyBorder="1" applyAlignment="1">
      <alignment horizontal="center" vertical="top"/>
    </xf>
    <xf numFmtId="0" fontId="12" fillId="0" borderId="13" xfId="0" applyFont="1" applyBorder="1" applyAlignment="1">
      <alignment horizontal="center" vertical="center" wrapText="1"/>
    </xf>
    <xf numFmtId="0" fontId="26" fillId="0" borderId="13" xfId="0" applyFont="1" applyBorder="1" applyAlignment="1">
      <alignment horizontal="center" vertical="center"/>
    </xf>
    <xf numFmtId="0" fontId="19" fillId="0" borderId="13" xfId="0" applyFont="1" applyBorder="1" applyAlignment="1">
      <alignment horizontal="center" vertical="center"/>
    </xf>
    <xf numFmtId="0" fontId="19" fillId="0" borderId="13" xfId="0" applyFont="1" applyBorder="1" applyAlignment="1">
      <alignment horizontal="center" vertical="center" wrapText="1"/>
    </xf>
    <xf numFmtId="0" fontId="12" fillId="0" borderId="13" xfId="0" applyFont="1" applyBorder="1" applyAlignment="1">
      <alignment horizontal="center" vertical="top"/>
    </xf>
    <xf numFmtId="0" fontId="12" fillId="0" borderId="13" xfId="0" applyFont="1" applyBorder="1" applyAlignment="1">
      <alignment horizontal="center" vertical="top" wrapText="1"/>
    </xf>
    <xf numFmtId="0" fontId="16" fillId="0" borderId="13" xfId="0" applyFont="1" applyBorder="1" applyAlignment="1">
      <alignment horizontal="center" vertical="top" wrapText="1"/>
    </xf>
    <xf numFmtId="1" fontId="10" fillId="0" borderId="0" xfId="15" applyNumberFormat="1" applyFont="1" applyAlignment="1">
      <alignment horizontal="right"/>
    </xf>
    <xf numFmtId="1" fontId="10" fillId="0" borderId="0" xfId="15" applyNumberFormat="1" applyFont="1" applyAlignment="1">
      <alignment horizontal="left"/>
    </xf>
    <xf numFmtId="0" fontId="30" fillId="0" borderId="0" xfId="15" applyFont="1"/>
    <xf numFmtId="0" fontId="30" fillId="0" borderId="0" xfId="15" applyFont="1" applyAlignment="1">
      <alignment horizontal="center"/>
    </xf>
    <xf numFmtId="0" fontId="31" fillId="0" borderId="0" xfId="15" applyFont="1" applyAlignment="1">
      <alignment horizontal="center"/>
    </xf>
    <xf numFmtId="0" fontId="32" fillId="0" borderId="0" xfId="15" applyFont="1" applyAlignment="1">
      <alignment horizontal="center"/>
    </xf>
    <xf numFmtId="0" fontId="10" fillId="0" borderId="0" xfId="15" applyFont="1" applyAlignment="1">
      <alignment horizontal="center" wrapText="1"/>
    </xf>
    <xf numFmtId="0" fontId="34" fillId="0" borderId="0" xfId="15" applyFont="1" applyAlignment="1">
      <alignment vertical="center" wrapText="1"/>
    </xf>
    <xf numFmtId="0" fontId="25" fillId="0" borderId="0" xfId="0" applyFont="1" applyAlignment="1">
      <alignment horizontal="left" vertical="top" wrapText="1"/>
    </xf>
    <xf numFmtId="4" fontId="12" fillId="0" borderId="13" xfId="0" applyNumberFormat="1" applyFont="1" applyBorder="1" applyAlignment="1">
      <alignment horizontal="center" vertical="center" wrapText="1"/>
    </xf>
    <xf numFmtId="164" fontId="12" fillId="0" borderId="13" xfId="1" applyFont="1" applyFill="1" applyBorder="1" applyAlignment="1">
      <alignment horizontal="center" vertical="center"/>
    </xf>
    <xf numFmtId="2" fontId="12" fillId="0" borderId="24" xfId="2" applyNumberFormat="1" applyFont="1" applyFill="1" applyBorder="1" applyAlignment="1">
      <alignment horizontal="right" vertical="justify"/>
    </xf>
    <xf numFmtId="0" fontId="12" fillId="0" borderId="24" xfId="0" applyFont="1" applyBorder="1" applyAlignment="1">
      <alignment horizontal="center" vertical="justify"/>
    </xf>
    <xf numFmtId="164" fontId="12" fillId="0" borderId="24" xfId="1" applyFont="1" applyFill="1" applyBorder="1" applyAlignment="1">
      <alignment horizontal="right" vertical="justify"/>
    </xf>
    <xf numFmtId="4" fontId="12" fillId="0" borderId="13" xfId="0" applyNumberFormat="1" applyFont="1" applyBorder="1" applyAlignment="1">
      <alignment horizontal="left" wrapText="1"/>
    </xf>
    <xf numFmtId="4" fontId="13" fillId="0" borderId="28" xfId="0" applyNumberFormat="1" applyFont="1" applyBorder="1" applyAlignment="1">
      <alignment horizontal="justify" vertical="top" wrapText="1"/>
    </xf>
    <xf numFmtId="4" fontId="12" fillId="0" borderId="28" xfId="0" applyNumberFormat="1" applyFont="1" applyBorder="1" applyAlignment="1">
      <alignment horizontal="right" vertical="top" wrapText="1"/>
    </xf>
    <xf numFmtId="4" fontId="12" fillId="0" borderId="21" xfId="0" applyNumberFormat="1" applyFont="1" applyBorder="1" applyAlignment="1">
      <alignment horizontal="justify" vertical="top" wrapText="1"/>
    </xf>
    <xf numFmtId="4" fontId="12" fillId="0" borderId="21" xfId="0" applyNumberFormat="1" applyFont="1" applyBorder="1" applyAlignment="1">
      <alignment horizontal="right" vertical="top" wrapText="1"/>
    </xf>
    <xf numFmtId="4" fontId="12" fillId="0" borderId="21" xfId="0" applyNumberFormat="1" applyFont="1" applyBorder="1" applyAlignment="1">
      <alignment horizontal="center" vertical="top"/>
    </xf>
    <xf numFmtId="164" fontId="12" fillId="0" borderId="21" xfId="1" applyFont="1" applyFill="1" applyBorder="1" applyAlignment="1">
      <alignment horizontal="right" vertical="top"/>
    </xf>
    <xf numFmtId="4" fontId="12" fillId="0" borderId="13" xfId="0" applyNumberFormat="1" applyFont="1" applyBorder="1" applyAlignment="1">
      <alignment horizontal="center" vertical="top" wrapText="1"/>
    </xf>
    <xf numFmtId="4" fontId="16" fillId="0" borderId="13" xfId="0" applyNumberFormat="1" applyFont="1" applyBorder="1" applyAlignment="1">
      <alignment horizontal="justify" vertical="top" wrapText="1"/>
    </xf>
    <xf numFmtId="4" fontId="15" fillId="0" borderId="43" xfId="0" applyNumberFormat="1" applyFont="1" applyBorder="1" applyAlignment="1">
      <alignment horizontal="justify" vertical="center" wrapText="1"/>
    </xf>
    <xf numFmtId="4" fontId="25" fillId="0" borderId="43" xfId="0" applyNumberFormat="1" applyFont="1" applyBorder="1" applyAlignment="1">
      <alignment horizontal="center" vertical="center" wrapText="1"/>
    </xf>
    <xf numFmtId="4" fontId="12" fillId="0" borderId="43" xfId="0" applyNumberFormat="1" applyFont="1" applyBorder="1" applyAlignment="1">
      <alignment horizontal="center" vertical="center"/>
    </xf>
    <xf numFmtId="164" fontId="12" fillId="0" borderId="43" xfId="1" applyFont="1" applyFill="1" applyBorder="1" applyAlignment="1">
      <alignment horizontal="center" vertical="center"/>
    </xf>
    <xf numFmtId="4" fontId="15" fillId="0" borderId="44" xfId="0" applyNumberFormat="1" applyFont="1" applyBorder="1" applyAlignment="1">
      <alignment horizontal="justify" vertical="center" wrapText="1"/>
    </xf>
    <xf numFmtId="4" fontId="25" fillId="0" borderId="44" xfId="0" applyNumberFormat="1" applyFont="1" applyBorder="1" applyAlignment="1">
      <alignment horizontal="center" vertical="center" wrapText="1"/>
    </xf>
    <xf numFmtId="4" fontId="12" fillId="0" borderId="44" xfId="0" applyNumberFormat="1" applyFont="1" applyBorder="1" applyAlignment="1">
      <alignment horizontal="center" vertical="center"/>
    </xf>
    <xf numFmtId="164" fontId="12" fillId="0" borderId="44" xfId="1" applyFont="1" applyFill="1" applyBorder="1" applyAlignment="1">
      <alignment horizontal="center" vertical="center"/>
    </xf>
    <xf numFmtId="4" fontId="25" fillId="0" borderId="13" xfId="0" applyNumberFormat="1" applyFont="1" applyBorder="1" applyAlignment="1">
      <alignment horizontal="center" vertical="center" wrapText="1"/>
    </xf>
    <xf numFmtId="4" fontId="25" fillId="0" borderId="13" xfId="0" applyNumberFormat="1" applyFont="1" applyBorder="1" applyAlignment="1">
      <alignment horizontal="justify" vertical="center" wrapText="1"/>
    </xf>
    <xf numFmtId="4" fontId="12" fillId="0" borderId="21" xfId="0" applyNumberFormat="1" applyFont="1" applyBorder="1" applyAlignment="1">
      <alignment horizontal="center" vertical="center" wrapText="1"/>
    </xf>
    <xf numFmtId="4" fontId="12" fillId="0" borderId="21" xfId="0" applyNumberFormat="1" applyFont="1" applyBorder="1" applyAlignment="1">
      <alignment horizontal="center" vertical="center"/>
    </xf>
    <xf numFmtId="164" fontId="12" fillId="0" borderId="21" xfId="1" applyFont="1" applyFill="1" applyBorder="1" applyAlignment="1">
      <alignment horizontal="center" vertical="center"/>
    </xf>
    <xf numFmtId="4" fontId="25" fillId="0" borderId="25" xfId="0" applyNumberFormat="1" applyFont="1" applyBorder="1" applyAlignment="1">
      <alignment horizontal="center" vertical="center" wrapText="1"/>
    </xf>
    <xf numFmtId="164" fontId="12" fillId="0" borderId="28" xfId="1" applyFont="1" applyFill="1" applyBorder="1" applyAlignment="1">
      <alignment horizontal="center" vertical="center"/>
    </xf>
    <xf numFmtId="4" fontId="13" fillId="0" borderId="13" xfId="0" applyNumberFormat="1" applyFont="1" applyBorder="1" applyAlignment="1">
      <alignment horizontal="left" vertical="top" wrapText="1"/>
    </xf>
    <xf numFmtId="2" fontId="13" fillId="0" borderId="28" xfId="0" applyNumberFormat="1" applyFont="1" applyBorder="1" applyAlignment="1">
      <alignment horizontal="center"/>
    </xf>
    <xf numFmtId="4" fontId="13" fillId="0" borderId="21" xfId="0" applyNumberFormat="1" applyFont="1" applyBorder="1" applyAlignment="1">
      <alignment horizontal="justify" vertical="top" wrapText="1"/>
    </xf>
    <xf numFmtId="4" fontId="12" fillId="3" borderId="13" xfId="0" applyNumberFormat="1" applyFont="1" applyFill="1" applyBorder="1" applyAlignment="1">
      <alignment horizontal="justify" vertical="top" wrapText="1"/>
    </xf>
    <xf numFmtId="4" fontId="12" fillId="3" borderId="13" xfId="0" applyNumberFormat="1" applyFont="1" applyFill="1" applyBorder="1" applyAlignment="1">
      <alignment horizontal="center" vertical="center" wrapText="1"/>
    </xf>
    <xf numFmtId="4" fontId="12" fillId="3" borderId="13" xfId="0" applyNumberFormat="1" applyFont="1" applyFill="1" applyBorder="1" applyAlignment="1">
      <alignment horizontal="center" vertical="center"/>
    </xf>
    <xf numFmtId="164" fontId="12" fillId="3" borderId="13" xfId="1" applyFont="1" applyFill="1" applyBorder="1" applyAlignment="1">
      <alignment horizontal="center" vertical="center"/>
    </xf>
    <xf numFmtId="0" fontId="30" fillId="0" borderId="0" xfId="15" applyFont="1" applyAlignment="1">
      <alignment wrapText="1"/>
    </xf>
    <xf numFmtId="4" fontId="12" fillId="3" borderId="0" xfId="0" applyNumberFormat="1" applyFont="1" applyFill="1" applyAlignment="1">
      <alignment horizontal="right" vertical="top"/>
    </xf>
    <xf numFmtId="4" fontId="24" fillId="0" borderId="0" xfId="0" applyNumberFormat="1" applyFont="1" applyAlignment="1">
      <alignment horizontal="center" wrapText="1"/>
    </xf>
    <xf numFmtId="4" fontId="24" fillId="0" borderId="0" xfId="0" applyNumberFormat="1" applyFont="1" applyAlignment="1">
      <alignment horizontal="center" vertical="center" wrapText="1"/>
    </xf>
    <xf numFmtId="164" fontId="24" fillId="0" borderId="0" xfId="1" applyFont="1" applyFill="1" applyBorder="1" applyAlignment="1">
      <alignment horizontal="center"/>
    </xf>
    <xf numFmtId="164" fontId="25" fillId="0" borderId="0" xfId="1" applyFont="1" applyFill="1" applyBorder="1" applyAlignment="1">
      <alignment vertical="center"/>
    </xf>
    <xf numFmtId="164" fontId="24" fillId="0" borderId="0" xfId="1" applyFont="1" applyFill="1" applyBorder="1" applyAlignment="1">
      <alignment vertical="center"/>
    </xf>
    <xf numFmtId="164" fontId="24" fillId="0" borderId="0" xfId="1" applyFont="1" applyFill="1" applyBorder="1" applyAlignment="1">
      <alignment vertical="center" wrapText="1"/>
    </xf>
    <xf numFmtId="164" fontId="25" fillId="0" borderId="0" xfId="1" applyFont="1" applyFill="1" applyBorder="1" applyAlignment="1">
      <alignment wrapText="1"/>
    </xf>
    <xf numFmtId="164" fontId="24" fillId="0" borderId="0" xfId="1" applyFont="1" applyFill="1" applyBorder="1" applyAlignment="1">
      <alignment wrapText="1"/>
    </xf>
    <xf numFmtId="164" fontId="25" fillId="0" borderId="0" xfId="1" applyFont="1" applyBorder="1" applyAlignment="1"/>
    <xf numFmtId="9" fontId="20" fillId="0" borderId="0" xfId="21" applyFont="1" applyBorder="1" applyAlignment="1" applyProtection="1">
      <alignment horizontal="center" vertical="center" wrapText="1"/>
      <protection locked="0"/>
    </xf>
    <xf numFmtId="4" fontId="25" fillId="0" borderId="13" xfId="0" applyNumberFormat="1" applyFont="1" applyBorder="1" applyAlignment="1">
      <alignment horizontal="left" vertical="center" wrapText="1"/>
    </xf>
    <xf numFmtId="0" fontId="12" fillId="0" borderId="0" xfId="0" applyFont="1" applyAlignment="1">
      <alignment horizontal="left" wrapText="1"/>
    </xf>
    <xf numFmtId="164" fontId="12" fillId="0" borderId="0" xfId="1" applyFont="1" applyFill="1" applyBorder="1" applyAlignment="1">
      <alignment horizontal="left" wrapText="1"/>
    </xf>
    <xf numFmtId="164" fontId="10" fillId="0" borderId="15" xfId="1" applyFont="1" applyFill="1" applyBorder="1" applyAlignment="1"/>
    <xf numFmtId="164" fontId="10" fillId="0" borderId="0" xfId="1" applyFont="1" applyFill="1" applyBorder="1" applyAlignment="1"/>
    <xf numFmtId="164" fontId="10" fillId="0" borderId="15" xfId="1" applyFont="1" applyFill="1" applyBorder="1" applyAlignment="1">
      <alignment vertical="center"/>
    </xf>
    <xf numFmtId="164" fontId="10" fillId="0" borderId="0" xfId="1" applyFont="1" applyFill="1" applyBorder="1" applyAlignment="1">
      <alignment vertical="center"/>
    </xf>
    <xf numFmtId="164" fontId="10" fillId="0" borderId="15" xfId="1" applyFont="1" applyFill="1" applyBorder="1" applyAlignment="1">
      <alignment vertical="center" wrapText="1"/>
    </xf>
    <xf numFmtId="164" fontId="10" fillId="0" borderId="0" xfId="1" applyFont="1" applyFill="1" applyBorder="1" applyAlignment="1">
      <alignment vertical="center" wrapText="1"/>
    </xf>
    <xf numFmtId="2" fontId="19" fillId="0" borderId="0" xfId="0" applyNumberFormat="1" applyFont="1" applyAlignment="1">
      <alignment horizontal="left" wrapText="1"/>
    </xf>
    <xf numFmtId="164" fontId="10" fillId="0" borderId="15" xfId="1" applyFont="1" applyFill="1" applyBorder="1" applyAlignment="1">
      <alignment wrapText="1"/>
    </xf>
    <xf numFmtId="164" fontId="10" fillId="0" borderId="0" xfId="1" applyFont="1" applyFill="1" applyBorder="1" applyAlignment="1">
      <alignment wrapText="1"/>
    </xf>
    <xf numFmtId="0" fontId="33" fillId="0" borderId="0" xfId="15" applyFont="1" applyAlignment="1">
      <alignment wrapText="1"/>
    </xf>
    <xf numFmtId="0" fontId="12" fillId="0" borderId="0" xfId="0" applyFont="1" applyAlignment="1">
      <alignment horizontal="left" vertical="center" wrapText="1"/>
    </xf>
    <xf numFmtId="0" fontId="12" fillId="0" borderId="0" xfId="0" applyFont="1" applyAlignment="1">
      <alignment horizontal="left"/>
    </xf>
    <xf numFmtId="164" fontId="10" fillId="0" borderId="0" xfId="1" applyFont="1" applyAlignment="1">
      <alignment horizontal="center"/>
    </xf>
    <xf numFmtId="164" fontId="31" fillId="0" borderId="0" xfId="1" applyFont="1" applyAlignment="1">
      <alignment horizontal="center"/>
    </xf>
    <xf numFmtId="164" fontId="32" fillId="0" borderId="0" xfId="1" applyFont="1" applyAlignment="1">
      <alignment horizontal="center"/>
    </xf>
    <xf numFmtId="166" fontId="24" fillId="0" borderId="0" xfId="21" applyNumberFormat="1" applyFont="1" applyBorder="1" applyAlignment="1">
      <alignment horizontal="center" vertical="center" wrapText="1"/>
    </xf>
    <xf numFmtId="166" fontId="24" fillId="0" borderId="0" xfId="21" applyNumberFormat="1" applyFont="1" applyFill="1" applyBorder="1" applyAlignment="1">
      <alignment horizontal="center"/>
    </xf>
    <xf numFmtId="166" fontId="10" fillId="0" borderId="0" xfId="21" applyNumberFormat="1" applyFont="1" applyFill="1" applyBorder="1" applyAlignment="1"/>
    <xf numFmtId="166" fontId="25" fillId="0" borderId="0" xfId="21" applyNumberFormat="1" applyFont="1" applyFill="1" applyBorder="1" applyAlignment="1">
      <alignment vertical="center"/>
    </xf>
    <xf numFmtId="166" fontId="10" fillId="0" borderId="0" xfId="21" applyNumberFormat="1" applyFont="1" applyFill="1" applyBorder="1" applyAlignment="1">
      <alignment vertical="center"/>
    </xf>
    <xf numFmtId="166" fontId="24" fillId="0" borderId="0" xfId="21" applyNumberFormat="1" applyFont="1" applyFill="1" applyBorder="1" applyAlignment="1">
      <alignment vertical="center"/>
    </xf>
    <xf numFmtId="166" fontId="24" fillId="0" borderId="0" xfId="21" applyNumberFormat="1" applyFont="1" applyFill="1" applyBorder="1" applyAlignment="1">
      <alignment vertical="center" wrapText="1"/>
    </xf>
    <xf numFmtId="166" fontId="10" fillId="0" borderId="0" xfId="21" applyNumberFormat="1" applyFont="1" applyFill="1" applyBorder="1" applyAlignment="1">
      <alignment vertical="center" wrapText="1"/>
    </xf>
    <xf numFmtId="166" fontId="25" fillId="0" borderId="0" xfId="21" applyNumberFormat="1" applyFont="1" applyFill="1" applyBorder="1" applyAlignment="1">
      <alignment wrapText="1"/>
    </xf>
    <xf numFmtId="166" fontId="10" fillId="0" borderId="0" xfId="21" applyNumberFormat="1" applyFont="1" applyFill="1" applyBorder="1" applyAlignment="1">
      <alignment wrapText="1"/>
    </xf>
    <xf numFmtId="166" fontId="24" fillId="0" borderId="0" xfId="21" applyNumberFormat="1" applyFont="1" applyFill="1" applyBorder="1" applyAlignment="1">
      <alignment wrapText="1"/>
    </xf>
    <xf numFmtId="166" fontId="25" fillId="0" borderId="0" xfId="21" applyNumberFormat="1" applyFont="1" applyFill="1" applyBorder="1" applyAlignment="1">
      <alignment horizontal="left" vertical="top" wrapText="1"/>
    </xf>
    <xf numFmtId="166" fontId="12" fillId="0" borderId="0" xfId="21" applyNumberFormat="1" applyFont="1" applyFill="1" applyBorder="1" applyAlignment="1">
      <alignment horizontal="left" vertical="center" wrapText="1"/>
    </xf>
    <xf numFmtId="166" fontId="12" fillId="0" borderId="0" xfId="21" applyNumberFormat="1" applyFont="1" applyFill="1" applyBorder="1" applyAlignment="1">
      <alignment horizontal="left"/>
    </xf>
    <xf numFmtId="166" fontId="12" fillId="0" borderId="0" xfId="21" applyNumberFormat="1" applyFont="1" applyFill="1" applyBorder="1" applyAlignment="1">
      <alignment wrapText="1"/>
    </xf>
    <xf numFmtId="166" fontId="13" fillId="0" borderId="0" xfId="21" applyNumberFormat="1" applyFont="1" applyFill="1" applyBorder="1" applyAlignment="1">
      <alignment wrapText="1"/>
    </xf>
    <xf numFmtId="166" fontId="12" fillId="0" borderId="0" xfId="21" applyNumberFormat="1" applyFont="1" applyFill="1" applyBorder="1" applyAlignment="1">
      <alignment horizontal="left" vertical="top" wrapText="1"/>
    </xf>
    <xf numFmtId="166" fontId="12" fillId="0" borderId="0" xfId="21" applyNumberFormat="1" applyFont="1" applyFill="1" applyBorder="1" applyAlignment="1">
      <alignment horizontal="left" wrapText="1"/>
    </xf>
    <xf numFmtId="166" fontId="25" fillId="0" borderId="0" xfId="21" applyNumberFormat="1" applyFont="1" applyBorder="1" applyAlignment="1"/>
    <xf numFmtId="166" fontId="25" fillId="0" borderId="0" xfId="21" applyNumberFormat="1" applyFont="1" applyBorder="1" applyAlignment="1">
      <alignment horizontal="right" vertical="top"/>
    </xf>
    <xf numFmtId="166" fontId="20" fillId="0" borderId="0" xfId="21" applyNumberFormat="1" applyFont="1" applyBorder="1" applyAlignment="1" applyProtection="1">
      <alignment horizontal="center" vertical="center" wrapText="1"/>
      <protection locked="0"/>
    </xf>
    <xf numFmtId="164" fontId="24" fillId="0" borderId="0" xfId="1" applyFont="1" applyBorder="1" applyAlignment="1">
      <alignment horizontal="center" wrapText="1"/>
    </xf>
    <xf numFmtId="164" fontId="12" fillId="0" borderId="0" xfId="1" applyFont="1" applyFill="1" applyBorder="1" applyAlignment="1"/>
    <xf numFmtId="164" fontId="20" fillId="0" borderId="0" xfId="1" applyFont="1" applyBorder="1" applyAlignment="1" applyProtection="1">
      <alignment horizontal="center" vertical="center" wrapText="1"/>
      <protection locked="0"/>
    </xf>
    <xf numFmtId="4" fontId="12" fillId="3" borderId="13" xfId="0" applyNumberFormat="1" applyFont="1" applyFill="1" applyBorder="1" applyAlignment="1">
      <alignment horizontal="left" vertical="top" wrapText="1"/>
    </xf>
    <xf numFmtId="0" fontId="12" fillId="0" borderId="13" xfId="6" applyFont="1" applyBorder="1" applyAlignment="1">
      <alignment horizontal="left" vertical="top" wrapText="1"/>
    </xf>
    <xf numFmtId="4" fontId="16" fillId="3" borderId="13" xfId="0" applyNumberFormat="1" applyFont="1" applyFill="1" applyBorder="1" applyAlignment="1">
      <alignment horizontal="justify" vertical="top" wrapText="1"/>
    </xf>
    <xf numFmtId="4" fontId="13" fillId="0" borderId="13" xfId="0" applyNumberFormat="1" applyFont="1" applyBorder="1" applyAlignment="1">
      <alignment horizontal="justify" wrapText="1"/>
    </xf>
    <xf numFmtId="164" fontId="24" fillId="0" borderId="0" xfId="1" applyFont="1" applyBorder="1" applyAlignment="1">
      <alignment horizontal="center" vertical="center" wrapText="1"/>
    </xf>
    <xf numFmtId="164" fontId="25" fillId="0" borderId="0" xfId="1" applyFont="1" applyFill="1" applyBorder="1" applyAlignment="1">
      <alignment horizontal="left" vertical="top" wrapText="1"/>
    </xf>
    <xf numFmtId="164" fontId="12" fillId="0" borderId="0" xfId="1" applyFont="1" applyFill="1" applyBorder="1" applyAlignment="1">
      <alignment horizontal="left" vertical="center" wrapText="1"/>
    </xf>
    <xf numFmtId="164" fontId="12" fillId="0" borderId="0" xfId="1" applyFont="1" applyFill="1" applyBorder="1" applyAlignment="1">
      <alignment horizontal="left"/>
    </xf>
    <xf numFmtId="164" fontId="12" fillId="0" borderId="0" xfId="1" applyFont="1" applyFill="1" applyBorder="1" applyAlignment="1">
      <alignment wrapText="1"/>
    </xf>
    <xf numFmtId="164" fontId="12" fillId="0" borderId="0" xfId="1" applyFont="1" applyFill="1" applyBorder="1" applyAlignment="1">
      <alignment horizontal="left" vertical="top" wrapText="1"/>
    </xf>
    <xf numFmtId="0" fontId="16" fillId="0" borderId="24" xfId="0" applyFont="1" applyBorder="1" applyAlignment="1">
      <alignment horizontal="left" vertical="top" wrapText="1"/>
    </xf>
    <xf numFmtId="0" fontId="16" fillId="0" borderId="24" xfId="0" applyFont="1" applyBorder="1" applyAlignment="1">
      <alignment horizontal="center" vertical="top" wrapText="1"/>
    </xf>
    <xf numFmtId="2" fontId="25" fillId="0" borderId="11" xfId="0" applyNumberFormat="1" applyFont="1" applyBorder="1" applyAlignment="1">
      <alignment horizontal="center" vertical="top"/>
    </xf>
    <xf numFmtId="2" fontId="25" fillId="0" borderId="0" xfId="0" applyNumberFormat="1" applyFont="1" applyAlignment="1">
      <alignment horizontal="left"/>
    </xf>
    <xf numFmtId="164" fontId="25" fillId="0" borderId="3" xfId="1" applyFont="1" applyBorder="1" applyAlignment="1">
      <alignment horizontal="right" vertical="top"/>
    </xf>
    <xf numFmtId="164" fontId="24" fillId="0" borderId="10" xfId="1" applyFont="1" applyFill="1" applyBorder="1" applyAlignment="1">
      <alignment vertical="center"/>
    </xf>
    <xf numFmtId="164" fontId="25" fillId="0" borderId="0" xfId="1" applyFont="1" applyBorder="1" applyAlignment="1">
      <alignment horizontal="center"/>
    </xf>
    <xf numFmtId="164" fontId="37" fillId="0" borderId="30" xfId="1" applyFont="1" applyFill="1" applyBorder="1" applyAlignment="1">
      <alignment horizontal="center"/>
    </xf>
    <xf numFmtId="164" fontId="25" fillId="0" borderId="23" xfId="1" applyFont="1" applyFill="1" applyBorder="1" applyAlignment="1"/>
    <xf numFmtId="164" fontId="25" fillId="0" borderId="36" xfId="1" applyFont="1" applyFill="1" applyBorder="1" applyAlignment="1"/>
    <xf numFmtId="4" fontId="25" fillId="3" borderId="13" xfId="0" applyNumberFormat="1" applyFont="1" applyFill="1" applyBorder="1" applyAlignment="1">
      <alignment horizontal="justify" vertical="center" wrapText="1"/>
    </xf>
    <xf numFmtId="4" fontId="25" fillId="3" borderId="13" xfId="0" applyNumberFormat="1" applyFont="1" applyFill="1" applyBorder="1" applyAlignment="1">
      <alignment horizontal="center" vertical="center" wrapText="1"/>
    </xf>
    <xf numFmtId="4" fontId="12" fillId="3" borderId="0" xfId="0" applyNumberFormat="1" applyFont="1" applyFill="1" applyAlignment="1">
      <alignment vertical="center"/>
    </xf>
    <xf numFmtId="164" fontId="36" fillId="0" borderId="6" xfId="2" applyFont="1" applyBorder="1"/>
    <xf numFmtId="0" fontId="36" fillId="0" borderId="8" xfId="12" applyFont="1" applyBorder="1"/>
    <xf numFmtId="0" fontId="36" fillId="0" borderId="0" xfId="12" applyFont="1"/>
    <xf numFmtId="164" fontId="36" fillId="0" borderId="25" xfId="2" applyFont="1" applyBorder="1"/>
    <xf numFmtId="164" fontId="36" fillId="0" borderId="12" xfId="2" applyFont="1" applyBorder="1"/>
    <xf numFmtId="0" fontId="36" fillId="0" borderId="12" xfId="12" applyFont="1" applyBorder="1"/>
    <xf numFmtId="43" fontId="36" fillId="0" borderId="0" xfId="12" applyNumberFormat="1" applyFont="1"/>
    <xf numFmtId="164" fontId="36" fillId="0" borderId="0" xfId="2" applyFont="1"/>
    <xf numFmtId="4" fontId="12" fillId="3" borderId="0" xfId="0" applyNumberFormat="1" applyFont="1" applyFill="1"/>
    <xf numFmtId="4" fontId="12" fillId="0" borderId="0" xfId="0" applyNumberFormat="1" applyFont="1" applyAlignment="1">
      <alignment horizontal="left" vertical="center"/>
    </xf>
    <xf numFmtId="4" fontId="12" fillId="3" borderId="0" xfId="0" applyNumberFormat="1" applyFont="1" applyFill="1" applyAlignment="1">
      <alignment horizontal="left" vertical="center"/>
    </xf>
    <xf numFmtId="164" fontId="12" fillId="0" borderId="28" xfId="28" applyFont="1" applyFill="1" applyBorder="1" applyAlignment="1">
      <alignment horizontal="center" vertical="center"/>
    </xf>
    <xf numFmtId="0" fontId="12" fillId="0" borderId="14" xfId="29" applyFont="1" applyBorder="1" applyAlignment="1">
      <alignment horizontal="left" vertical="top" wrapText="1"/>
    </xf>
    <xf numFmtId="164" fontId="12" fillId="0" borderId="13" xfId="2" applyFont="1" applyFill="1" applyBorder="1" applyAlignment="1">
      <alignment horizontal="center" vertical="center" wrapText="1"/>
    </xf>
    <xf numFmtId="0" fontId="12" fillId="0" borderId="13" xfId="29" applyFont="1" applyBorder="1" applyAlignment="1">
      <alignment horizontal="left" vertical="top" wrapText="1"/>
    </xf>
    <xf numFmtId="164" fontId="12" fillId="3" borderId="13" xfId="28" applyFont="1" applyFill="1" applyBorder="1" applyAlignment="1">
      <alignment horizontal="center" vertical="center"/>
    </xf>
    <xf numFmtId="164" fontId="12" fillId="0" borderId="0" xfId="28" applyFont="1" applyBorder="1" applyAlignment="1">
      <alignment horizontal="center" vertical="center"/>
    </xf>
    <xf numFmtId="4" fontId="12" fillId="3" borderId="0" xfId="0" applyNumberFormat="1" applyFont="1" applyFill="1" applyAlignment="1">
      <alignment horizontal="left" vertical="center" wrapText="1"/>
    </xf>
    <xf numFmtId="4" fontId="25" fillId="3" borderId="13" xfId="0" applyNumberFormat="1" applyFont="1" applyFill="1" applyBorder="1" applyAlignment="1">
      <alignment horizontal="left" vertical="center" wrapText="1"/>
    </xf>
    <xf numFmtId="167" fontId="12" fillId="0" borderId="0" xfId="0" applyNumberFormat="1" applyFont="1" applyAlignment="1">
      <alignment horizontal="center" vertical="center"/>
    </xf>
    <xf numFmtId="0" fontId="25" fillId="0" borderId="0" xfId="31" applyFont="1" applyAlignment="1">
      <alignment horizontal="left" vertical="top" wrapText="1"/>
    </xf>
    <xf numFmtId="0" fontId="13" fillId="0" borderId="18" xfId="31" applyFont="1" applyBorder="1" applyAlignment="1">
      <alignment horizontal="center" vertical="center" wrapText="1"/>
    </xf>
    <xf numFmtId="165" fontId="13" fillId="0" borderId="12" xfId="2" applyNumberFormat="1" applyFont="1" applyFill="1" applyBorder="1" applyAlignment="1">
      <alignment horizontal="center" vertical="center" wrapText="1"/>
    </xf>
    <xf numFmtId="0" fontId="13" fillId="0" borderId="12" xfId="31" applyFont="1" applyBorder="1" applyAlignment="1">
      <alignment horizontal="center" vertical="center" wrapText="1"/>
    </xf>
    <xf numFmtId="4" fontId="13" fillId="0" borderId="12" xfId="2" applyNumberFormat="1" applyFont="1" applyFill="1" applyBorder="1" applyAlignment="1">
      <alignment horizontal="center" vertical="center" wrapText="1"/>
    </xf>
    <xf numFmtId="0" fontId="12" fillId="0" borderId="0" xfId="6" applyFont="1" applyAlignment="1">
      <alignment horizontal="center" vertical="center" wrapText="1"/>
    </xf>
    <xf numFmtId="0" fontId="12" fillId="0" borderId="0" xfId="6" applyFont="1" applyAlignment="1">
      <alignment vertical="center" wrapText="1"/>
    </xf>
    <xf numFmtId="165" fontId="13" fillId="0" borderId="13" xfId="2" applyNumberFormat="1" applyFont="1" applyFill="1" applyBorder="1" applyAlignment="1">
      <alignment horizontal="center" vertical="center" wrapText="1"/>
    </xf>
    <xf numFmtId="0" fontId="13" fillId="0" borderId="13" xfId="31" applyFont="1" applyBorder="1" applyAlignment="1">
      <alignment horizontal="center" vertical="center" wrapText="1"/>
    </xf>
    <xf numFmtId="4" fontId="13" fillId="0" borderId="13" xfId="2" applyNumberFormat="1" applyFont="1" applyFill="1" applyBorder="1" applyAlignment="1">
      <alignment horizontal="center" vertical="center" wrapText="1"/>
    </xf>
    <xf numFmtId="164" fontId="13" fillId="0" borderId="13" xfId="2" applyFont="1" applyFill="1" applyBorder="1" applyAlignment="1">
      <alignment horizontal="center" vertical="center" wrapText="1"/>
    </xf>
    <xf numFmtId="0" fontId="12" fillId="0" borderId="0" xfId="6" applyFont="1" applyAlignment="1">
      <alignment wrapText="1"/>
    </xf>
    <xf numFmtId="1" fontId="13" fillId="0" borderId="13" xfId="29" applyNumberFormat="1" applyFont="1" applyBorder="1" applyAlignment="1">
      <alignment horizontal="center" vertical="center" wrapText="1"/>
    </xf>
    <xf numFmtId="164" fontId="12" fillId="0" borderId="13" xfId="2" applyFont="1" applyFill="1" applyBorder="1" applyAlignment="1" applyProtection="1">
      <alignment horizontal="center" vertical="center" wrapText="1"/>
    </xf>
    <xf numFmtId="0" fontId="12" fillId="0" borderId="13" xfId="29" applyFont="1" applyBorder="1" applyAlignment="1">
      <alignment horizontal="center" vertical="center" wrapText="1"/>
    </xf>
    <xf numFmtId="164" fontId="12" fillId="0" borderId="0" xfId="6" applyNumberFormat="1" applyFont="1" applyAlignment="1">
      <alignment wrapText="1"/>
    </xf>
    <xf numFmtId="2" fontId="12" fillId="0" borderId="0" xfId="29" applyNumberFormat="1" applyFont="1" applyAlignment="1">
      <alignment horizontal="center" wrapText="1"/>
    </xf>
    <xf numFmtId="1" fontId="12" fillId="0" borderId="13" xfId="29" applyNumberFormat="1" applyFont="1" applyBorder="1" applyAlignment="1">
      <alignment horizontal="center" vertical="center" wrapText="1"/>
    </xf>
    <xf numFmtId="43" fontId="12" fillId="0" borderId="13" xfId="30" applyNumberFormat="1" applyFont="1" applyFill="1" applyBorder="1" applyAlignment="1">
      <alignment horizontal="center" vertical="top" wrapText="1"/>
    </xf>
    <xf numFmtId="1" fontId="12" fillId="0" borderId="13" xfId="6" applyNumberFormat="1" applyFont="1" applyBorder="1" applyAlignment="1">
      <alignment horizontal="center" vertical="center"/>
    </xf>
    <xf numFmtId="0" fontId="13" fillId="0" borderId="14" xfId="29" applyFont="1" applyBorder="1" applyAlignment="1">
      <alignment horizontal="left" vertical="top" wrapText="1"/>
    </xf>
    <xf numFmtId="0" fontId="12" fillId="0" borderId="0" xfId="6" applyFont="1"/>
    <xf numFmtId="0" fontId="35" fillId="0" borderId="14" xfId="29" applyFont="1" applyBorder="1" applyAlignment="1">
      <alignment horizontal="left" vertical="top" wrapText="1"/>
    </xf>
    <xf numFmtId="165" fontId="12" fillId="0" borderId="12" xfId="2" applyNumberFormat="1" applyFont="1" applyFill="1" applyBorder="1" applyAlignment="1" applyProtection="1">
      <alignment horizontal="center" vertical="center" wrapText="1"/>
    </xf>
    <xf numFmtId="165" fontId="12" fillId="0" borderId="0" xfId="2" applyNumberFormat="1" applyFont="1" applyFill="1" applyBorder="1" applyAlignment="1" applyProtection="1">
      <alignment horizontal="center" vertical="center" wrapText="1"/>
    </xf>
    <xf numFmtId="165" fontId="12" fillId="0" borderId="0" xfId="29" applyNumberFormat="1" applyFont="1" applyAlignment="1">
      <alignment horizontal="center" vertical="center" wrapText="1"/>
    </xf>
    <xf numFmtId="164" fontId="12" fillId="0" borderId="0" xfId="2" applyFont="1" applyFill="1" applyBorder="1" applyAlignment="1">
      <alignment horizontal="center" vertical="center" wrapText="1"/>
    </xf>
    <xf numFmtId="164" fontId="12" fillId="0" borderId="0" xfId="2" applyFont="1" applyFill="1" applyBorder="1"/>
    <xf numFmtId="165" fontId="12" fillId="0" borderId="0" xfId="2" applyNumberFormat="1" applyFont="1" applyFill="1" applyBorder="1" applyAlignment="1">
      <alignment horizontal="center" vertical="center" wrapText="1"/>
    </xf>
    <xf numFmtId="1" fontId="12" fillId="0" borderId="0" xfId="31" applyNumberFormat="1" applyFont="1" applyAlignment="1">
      <alignment horizontal="center" vertical="center" wrapText="1"/>
    </xf>
    <xf numFmtId="0" fontId="12" fillId="0" borderId="0" xfId="31" applyFont="1" applyAlignment="1">
      <alignment horizontal="left" vertical="center" wrapText="1"/>
    </xf>
    <xf numFmtId="0" fontId="12" fillId="0" borderId="0" xfId="31" applyFont="1" applyAlignment="1">
      <alignment horizontal="center" vertical="center" wrapText="1"/>
    </xf>
    <xf numFmtId="0" fontId="12" fillId="0" borderId="17" xfId="0" applyFont="1" applyBorder="1" applyAlignment="1">
      <alignment horizontal="left"/>
    </xf>
    <xf numFmtId="164" fontId="12" fillId="0" borderId="13" xfId="28" applyFont="1" applyFill="1" applyBorder="1" applyAlignment="1">
      <alignment horizontal="center" vertical="center"/>
    </xf>
    <xf numFmtId="0" fontId="12" fillId="0" borderId="0" xfId="6" applyFont="1" applyAlignment="1">
      <alignment vertical="center"/>
    </xf>
    <xf numFmtId="0" fontId="12" fillId="0" borderId="13" xfId="0" applyFont="1" applyBorder="1" applyAlignment="1">
      <alignment horizontal="center" vertical="center"/>
    </xf>
    <xf numFmtId="0" fontId="12" fillId="0" borderId="13" xfId="6" applyFont="1" applyBorder="1" applyAlignment="1">
      <alignment horizontal="left" vertical="center" wrapText="1"/>
    </xf>
    <xf numFmtId="43" fontId="12" fillId="0" borderId="25" xfId="30" applyNumberFormat="1" applyFont="1" applyFill="1" applyBorder="1" applyAlignment="1">
      <alignment horizontal="center" vertical="top" wrapText="1"/>
    </xf>
    <xf numFmtId="43" fontId="12" fillId="0" borderId="24" xfId="30" applyNumberFormat="1" applyFont="1" applyFill="1" applyBorder="1" applyAlignment="1">
      <alignment horizontal="center" vertical="top" wrapText="1"/>
    </xf>
    <xf numFmtId="49" fontId="12" fillId="0" borderId="13" xfId="0" applyNumberFormat="1" applyFont="1" applyBorder="1" applyAlignment="1">
      <alignment horizontal="center" vertical="center" wrapText="1"/>
    </xf>
    <xf numFmtId="0" fontId="13" fillId="0" borderId="13" xfId="29" applyFont="1" applyBorder="1" applyAlignment="1">
      <alignment horizontal="left" vertical="top" wrapText="1"/>
    </xf>
    <xf numFmtId="0" fontId="13" fillId="0" borderId="0" xfId="6" applyFont="1" applyAlignment="1">
      <alignment horizontal="left" vertical="top" wrapText="1"/>
    </xf>
    <xf numFmtId="0" fontId="25" fillId="0" borderId="0" xfId="0" applyFont="1"/>
    <xf numFmtId="164" fontId="13" fillId="0" borderId="12" xfId="2" applyFont="1" applyFill="1" applyBorder="1" applyAlignment="1">
      <alignment horizontal="center" vertical="center" wrapText="1"/>
    </xf>
    <xf numFmtId="0" fontId="13" fillId="0" borderId="14" xfId="31" applyFont="1" applyBorder="1" applyAlignment="1">
      <alignment horizontal="center" vertical="center" wrapText="1"/>
    </xf>
    <xf numFmtId="1" fontId="13" fillId="0" borderId="13" xfId="29" applyNumberFormat="1" applyFont="1" applyBorder="1" applyAlignment="1">
      <alignment horizontal="center" vertical="top" wrapText="1"/>
    </xf>
    <xf numFmtId="0" fontId="12" fillId="0" borderId="13" xfId="31" applyFont="1" applyBorder="1" applyAlignment="1">
      <alignment horizontal="left" vertical="top" wrapText="1"/>
    </xf>
    <xf numFmtId="165" fontId="12" fillId="0" borderId="0" xfId="2" applyNumberFormat="1" applyFont="1" applyFill="1" applyBorder="1" applyAlignment="1">
      <alignment horizontal="center" vertical="top" wrapText="1"/>
    </xf>
    <xf numFmtId="164" fontId="12" fillId="0" borderId="13" xfId="2" applyFont="1" applyFill="1" applyBorder="1" applyAlignment="1" applyProtection="1">
      <alignment horizontal="center" vertical="top" wrapText="1"/>
    </xf>
    <xf numFmtId="164" fontId="12" fillId="0" borderId="0" xfId="2" applyFont="1" applyFill="1" applyBorder="1" applyAlignment="1">
      <alignment horizontal="center" vertical="top" wrapText="1"/>
    </xf>
    <xf numFmtId="0" fontId="12" fillId="0" borderId="0" xfId="6" applyFont="1" applyAlignment="1">
      <alignment horizontal="center" vertical="top" wrapText="1"/>
    </xf>
    <xf numFmtId="0" fontId="12" fillId="0" borderId="0" xfId="6" applyFont="1" applyAlignment="1">
      <alignment vertical="top" wrapText="1"/>
    </xf>
    <xf numFmtId="0" fontId="13" fillId="0" borderId="13" xfId="31" applyFont="1" applyBorder="1" applyAlignment="1">
      <alignment horizontal="left" vertical="center" wrapText="1"/>
    </xf>
    <xf numFmtId="43" fontId="12" fillId="0" borderId="17" xfId="30" applyNumberFormat="1" applyFont="1" applyFill="1" applyBorder="1" applyAlignment="1">
      <alignment horizontal="center" vertical="top" wrapText="1"/>
    </xf>
    <xf numFmtId="0" fontId="12" fillId="0" borderId="14" xfId="0" applyFont="1" applyBorder="1" applyAlignment="1">
      <alignment horizontal="center" vertical="center" wrapText="1"/>
    </xf>
    <xf numFmtId="0" fontId="16" fillId="0" borderId="13" xfId="6" applyFont="1" applyBorder="1" applyAlignment="1">
      <alignment horizontal="left" vertical="top" wrapText="1"/>
    </xf>
    <xf numFmtId="2" fontId="12" fillId="0" borderId="13" xfId="31" applyNumberFormat="1" applyFont="1" applyBorder="1" applyAlignment="1">
      <alignment horizontal="center" vertical="center"/>
    </xf>
    <xf numFmtId="0" fontId="12" fillId="0" borderId="13" xfId="0" applyFont="1" applyBorder="1"/>
    <xf numFmtId="1" fontId="12" fillId="0" borderId="13" xfId="2" applyNumberFormat="1" applyFont="1" applyFill="1" applyBorder="1" applyAlignment="1">
      <alignment horizontal="right" vertical="center"/>
    </xf>
    <xf numFmtId="164" fontId="13" fillId="0" borderId="17" xfId="2" applyFont="1" applyFill="1" applyBorder="1" applyAlignment="1">
      <alignment horizontal="center" vertical="center" wrapText="1"/>
    </xf>
    <xf numFmtId="4" fontId="13" fillId="0" borderId="13" xfId="2" applyNumberFormat="1" applyFont="1" applyFill="1" applyBorder="1" applyAlignment="1">
      <alignment horizontal="right" vertical="center" wrapText="1"/>
    </xf>
    <xf numFmtId="0" fontId="36" fillId="0" borderId="0" xfId="6" applyFont="1" applyAlignment="1">
      <alignment vertical="center"/>
    </xf>
    <xf numFmtId="0" fontId="12" fillId="0" borderId="0" xfId="0" applyFont="1" applyAlignment="1">
      <alignment horizontal="center" vertical="center"/>
    </xf>
    <xf numFmtId="0" fontId="12" fillId="0" borderId="17" xfId="6" applyFont="1" applyBorder="1" applyAlignment="1">
      <alignment horizontal="left" vertical="top" wrapText="1"/>
    </xf>
    <xf numFmtId="165" fontId="12" fillId="0" borderId="13" xfId="29" applyNumberFormat="1" applyFont="1" applyBorder="1" applyAlignment="1">
      <alignment horizontal="right" vertical="center" wrapText="1"/>
    </xf>
    <xf numFmtId="165" fontId="12" fillId="0" borderId="0" xfId="29" applyNumberFormat="1" applyFont="1" applyAlignment="1">
      <alignment horizontal="right" vertical="center" wrapText="1"/>
    </xf>
    <xf numFmtId="164" fontId="12" fillId="0" borderId="17" xfId="2" applyFont="1" applyFill="1" applyBorder="1" applyAlignment="1">
      <alignment horizontal="center" vertical="center" wrapText="1"/>
    </xf>
    <xf numFmtId="0" fontId="12" fillId="0" borderId="17" xfId="0" applyFont="1" applyBorder="1"/>
    <xf numFmtId="0" fontId="13" fillId="0" borderId="13" xfId="0" applyFont="1" applyBorder="1" applyAlignment="1">
      <alignment horizontal="left" vertical="top"/>
    </xf>
    <xf numFmtId="165" fontId="25" fillId="0" borderId="0" xfId="2" applyNumberFormat="1" applyFont="1" applyFill="1" applyBorder="1" applyAlignment="1" applyProtection="1">
      <alignment horizontal="center" vertical="center"/>
    </xf>
    <xf numFmtId="0" fontId="25" fillId="0" borderId="13" xfId="18" applyBorder="1" applyAlignment="1">
      <alignment horizontal="center" vertical="center"/>
    </xf>
    <xf numFmtId="164" fontId="12" fillId="0" borderId="13" xfId="2" applyFont="1" applyFill="1" applyBorder="1" applyAlignment="1">
      <alignment vertical="center" wrapText="1"/>
    </xf>
    <xf numFmtId="43" fontId="12" fillId="0" borderId="13" xfId="30" applyNumberFormat="1" applyFont="1" applyFill="1" applyBorder="1" applyAlignment="1">
      <alignment vertical="center" wrapText="1"/>
    </xf>
    <xf numFmtId="164" fontId="12" fillId="0" borderId="0" xfId="2" applyFont="1" applyFill="1" applyBorder="1" applyAlignment="1">
      <alignment vertical="center" wrapText="1"/>
    </xf>
    <xf numFmtId="0" fontId="10" fillId="0" borderId="0" xfId="0" applyFont="1" applyAlignment="1">
      <alignment vertical="center"/>
    </xf>
    <xf numFmtId="164" fontId="12" fillId="0" borderId="0" xfId="6" applyNumberFormat="1" applyFont="1" applyAlignment="1">
      <alignment vertical="center"/>
    </xf>
    <xf numFmtId="2" fontId="12" fillId="0" borderId="0" xfId="29" applyNumberFormat="1" applyFont="1" applyAlignment="1">
      <alignment vertical="center" wrapText="1"/>
    </xf>
    <xf numFmtId="0" fontId="12" fillId="0" borderId="13" xfId="6" applyFont="1" applyBorder="1" applyAlignment="1">
      <alignment horizontal="center" wrapText="1"/>
    </xf>
    <xf numFmtId="165" fontId="12" fillId="0" borderId="13" xfId="0" applyNumberFormat="1" applyFont="1" applyBorder="1" applyAlignment="1">
      <alignment horizontal="center" vertical="center"/>
    </xf>
    <xf numFmtId="43" fontId="12" fillId="0" borderId="17" xfId="30" applyNumberFormat="1" applyFont="1" applyFill="1" applyBorder="1" applyAlignment="1">
      <alignment vertical="center" wrapText="1"/>
    </xf>
    <xf numFmtId="0" fontId="12" fillId="0" borderId="0" xfId="0" applyFont="1" applyAlignment="1">
      <alignment vertical="center"/>
    </xf>
    <xf numFmtId="0" fontId="12" fillId="0" borderId="13" xfId="0" applyFont="1" applyBorder="1" applyAlignment="1">
      <alignment horizontal="justify" vertical="center" wrapText="1"/>
    </xf>
    <xf numFmtId="0" fontId="12" fillId="0" borderId="13" xfId="0" applyFont="1" applyBorder="1" applyAlignment="1">
      <alignment horizontal="left" vertical="center" wrapText="1"/>
    </xf>
    <xf numFmtId="164" fontId="12" fillId="0" borderId="13" xfId="2" applyFont="1" applyFill="1" applyBorder="1" applyAlignment="1">
      <alignment horizontal="left" vertical="center" wrapText="1"/>
    </xf>
    <xf numFmtId="0" fontId="12" fillId="0" borderId="0" xfId="0" applyFont="1" applyAlignment="1">
      <alignment horizontal="left" vertical="center"/>
    </xf>
    <xf numFmtId="164" fontId="12" fillId="0" borderId="13" xfId="2" applyFont="1" applyFill="1" applyBorder="1" applyAlignment="1">
      <alignment vertical="center"/>
    </xf>
    <xf numFmtId="165" fontId="12" fillId="0" borderId="13" xfId="0" applyNumberFormat="1" applyFont="1" applyBorder="1" applyAlignment="1">
      <alignment vertical="center"/>
    </xf>
    <xf numFmtId="0" fontId="12" fillId="0" borderId="13" xfId="0" applyFont="1" applyBorder="1" applyAlignment="1">
      <alignment vertical="center"/>
    </xf>
    <xf numFmtId="0" fontId="12" fillId="0" borderId="0" xfId="0" applyFont="1" applyAlignment="1">
      <alignment horizontal="center" vertical="center" wrapText="1"/>
    </xf>
    <xf numFmtId="164" fontId="12" fillId="0" borderId="13" xfId="2" applyFont="1" applyFill="1" applyBorder="1"/>
    <xf numFmtId="0" fontId="12" fillId="0" borderId="13" xfId="6" applyFont="1" applyBorder="1"/>
    <xf numFmtId="164" fontId="0" fillId="0" borderId="13" xfId="2" applyFont="1" applyFill="1" applyBorder="1" applyAlignment="1">
      <alignment horizontal="center" vertical="center"/>
    </xf>
    <xf numFmtId="0" fontId="40" fillId="0" borderId="0" xfId="0" applyFont="1"/>
    <xf numFmtId="0" fontId="0" fillId="0" borderId="13" xfId="0" applyBorder="1" applyAlignment="1">
      <alignment horizontal="center" vertical="center"/>
    </xf>
    <xf numFmtId="2" fontId="12" fillId="0" borderId="13" xfId="29" applyNumberFormat="1" applyFont="1" applyBorder="1" applyAlignment="1">
      <alignment horizontal="right" vertical="center" wrapText="1"/>
    </xf>
    <xf numFmtId="4" fontId="23" fillId="0" borderId="13" xfId="0" applyNumberFormat="1" applyFont="1" applyBorder="1" applyAlignment="1">
      <alignment horizontal="center" vertical="center"/>
    </xf>
    <xf numFmtId="1" fontId="35" fillId="0" borderId="13" xfId="6" applyNumberFormat="1" applyFont="1" applyBorder="1" applyAlignment="1">
      <alignment horizontal="center" vertical="center"/>
    </xf>
    <xf numFmtId="2" fontId="35" fillId="0" borderId="13" xfId="29" applyNumberFormat="1" applyFont="1" applyBorder="1" applyAlignment="1">
      <alignment horizontal="right" vertical="center" wrapText="1"/>
    </xf>
    <xf numFmtId="164" fontId="41" fillId="0" borderId="13" xfId="2" applyFont="1" applyFill="1" applyBorder="1" applyAlignment="1">
      <alignment horizontal="center" vertical="center"/>
    </xf>
    <xf numFmtId="4" fontId="22" fillId="0" borderId="13" xfId="0" applyNumberFormat="1" applyFont="1" applyBorder="1" applyAlignment="1">
      <alignment horizontal="center" vertical="center"/>
    </xf>
    <xf numFmtId="0" fontId="42" fillId="0" borderId="0" xfId="0" applyFont="1"/>
    <xf numFmtId="1" fontId="20" fillId="0" borderId="12" xfId="6" applyNumberFormat="1" applyFont="1" applyBorder="1" applyAlignment="1">
      <alignment horizontal="center" vertical="center"/>
    </xf>
    <xf numFmtId="0" fontId="21" fillId="0" borderId="18" xfId="0" applyFont="1" applyBorder="1" applyAlignment="1">
      <alignment horizontal="center" vertical="center"/>
    </xf>
    <xf numFmtId="0" fontId="21" fillId="0" borderId="12" xfId="0" applyFont="1" applyBorder="1" applyAlignment="1">
      <alignment horizontal="center" vertical="center" wrapText="1"/>
    </xf>
    <xf numFmtId="164" fontId="21" fillId="0" borderId="12" xfId="2" applyFont="1" applyFill="1" applyBorder="1" applyAlignment="1" applyProtection="1">
      <alignment horizontal="right" vertical="center"/>
      <protection locked="0"/>
    </xf>
    <xf numFmtId="43" fontId="20" fillId="0" borderId="32" xfId="30" applyNumberFormat="1" applyFont="1" applyFill="1" applyBorder="1" applyAlignment="1">
      <alignment horizontal="center" vertical="center" wrapText="1"/>
    </xf>
    <xf numFmtId="0" fontId="20" fillId="0" borderId="0" xfId="6" applyFont="1"/>
    <xf numFmtId="164" fontId="20" fillId="0" borderId="0" xfId="6" applyNumberFormat="1" applyFont="1"/>
    <xf numFmtId="2" fontId="20" fillId="0" borderId="0" xfId="29" applyNumberFormat="1" applyFont="1" applyAlignment="1">
      <alignment horizontal="center" wrapText="1"/>
    </xf>
    <xf numFmtId="0" fontId="21" fillId="0" borderId="0" xfId="0" applyFont="1" applyAlignment="1">
      <alignment horizontal="center" vertical="center"/>
    </xf>
    <xf numFmtId="0" fontId="21" fillId="0" borderId="0" xfId="0" applyFont="1" applyAlignment="1">
      <alignment horizontal="center" vertical="center" wrapText="1"/>
    </xf>
    <xf numFmtId="164" fontId="21" fillId="0" borderId="0" xfId="2" applyFont="1" applyFill="1" applyBorder="1" applyAlignment="1" applyProtection="1">
      <alignment horizontal="right" vertical="center"/>
      <protection locked="0"/>
    </xf>
    <xf numFmtId="0" fontId="21" fillId="0" borderId="0" xfId="0" applyFont="1" applyAlignment="1">
      <alignment horizontal="left" vertical="center" wrapText="1"/>
    </xf>
    <xf numFmtId="164" fontId="35" fillId="0" borderId="0" xfId="2" applyFont="1" applyFill="1" applyBorder="1"/>
    <xf numFmtId="0" fontId="13" fillId="0" borderId="0" xfId="6" applyFont="1" applyAlignment="1">
      <alignment horizontal="left" vertical="center" wrapText="1"/>
    </xf>
    <xf numFmtId="0" fontId="13" fillId="0" borderId="0" xfId="0" applyFont="1"/>
    <xf numFmtId="0" fontId="13" fillId="0" borderId="0" xfId="0" applyFont="1" applyAlignment="1">
      <alignment vertical="top" wrapText="1"/>
    </xf>
    <xf numFmtId="164" fontId="13" fillId="0" borderId="0" xfId="2" applyFont="1" applyFill="1" applyBorder="1" applyAlignment="1">
      <alignment vertical="center" wrapText="1"/>
    </xf>
    <xf numFmtId="0" fontId="13" fillId="0" borderId="0" xfId="0" applyFont="1" applyAlignment="1">
      <alignment horizontal="justify" vertical="center"/>
    </xf>
    <xf numFmtId="164" fontId="13" fillId="0" borderId="0" xfId="2" applyFont="1" applyFill="1" applyBorder="1" applyAlignment="1">
      <alignment vertical="top" wrapText="1"/>
    </xf>
    <xf numFmtId="0" fontId="12" fillId="0" borderId="0" xfId="0" applyFont="1" applyAlignment="1">
      <alignment vertical="top" wrapText="1"/>
    </xf>
    <xf numFmtId="4" fontId="12" fillId="0" borderId="0" xfId="2" applyNumberFormat="1" applyFont="1" applyFill="1" applyBorder="1" applyAlignment="1">
      <alignment horizontal="right" vertical="center" wrapText="1"/>
    </xf>
    <xf numFmtId="0" fontId="13" fillId="0" borderId="14" xfId="31" applyFont="1" applyBorder="1" applyAlignment="1">
      <alignment horizontal="left" vertical="center" wrapText="1"/>
    </xf>
    <xf numFmtId="165" fontId="12" fillId="0" borderId="42" xfId="29" applyNumberFormat="1" applyFont="1" applyBorder="1" applyAlignment="1">
      <alignment horizontal="center" vertical="center" wrapText="1"/>
    </xf>
    <xf numFmtId="164" fontId="12" fillId="0" borderId="25" xfId="2" applyFont="1" applyFill="1" applyBorder="1" applyAlignment="1">
      <alignment horizontal="center" vertical="center" wrapText="1"/>
    </xf>
    <xf numFmtId="165" fontId="12" fillId="0" borderId="24" xfId="0" applyNumberFormat="1" applyFont="1" applyBorder="1" applyAlignment="1">
      <alignment horizontal="center" vertical="center"/>
    </xf>
    <xf numFmtId="164" fontId="12" fillId="0" borderId="24" xfId="2" applyFont="1" applyFill="1" applyBorder="1" applyAlignment="1">
      <alignment horizontal="center" vertical="center" wrapText="1"/>
    </xf>
    <xf numFmtId="1" fontId="12" fillId="0" borderId="25" xfId="29" applyNumberFormat="1" applyFont="1" applyBorder="1" applyAlignment="1">
      <alignment horizontal="center" vertical="center" wrapText="1"/>
    </xf>
    <xf numFmtId="1" fontId="12" fillId="0" borderId="24" xfId="29" applyNumberFormat="1" applyFont="1" applyBorder="1" applyAlignment="1">
      <alignment horizontal="center" vertical="center" wrapText="1"/>
    </xf>
    <xf numFmtId="1" fontId="12" fillId="0" borderId="25" xfId="6" applyNumberFormat="1" applyFont="1" applyBorder="1" applyAlignment="1">
      <alignment horizontal="center" vertical="center"/>
    </xf>
    <xf numFmtId="1" fontId="12" fillId="0" borderId="24" xfId="6" applyNumberFormat="1" applyFont="1" applyBorder="1" applyAlignment="1">
      <alignment horizontal="center" vertical="center"/>
    </xf>
    <xf numFmtId="1" fontId="12" fillId="0" borderId="40" xfId="6" applyNumberFormat="1" applyFont="1" applyBorder="1" applyAlignment="1">
      <alignment horizontal="center" vertical="center"/>
    </xf>
    <xf numFmtId="1" fontId="12" fillId="0" borderId="14" xfId="6" applyNumberFormat="1" applyFont="1" applyBorder="1" applyAlignment="1">
      <alignment horizontal="center" vertical="center"/>
    </xf>
    <xf numFmtId="164" fontId="12" fillId="0" borderId="42" xfId="2" applyFont="1" applyFill="1" applyBorder="1"/>
    <xf numFmtId="1" fontId="15" fillId="0" borderId="0" xfId="0" applyNumberFormat="1" applyFont="1" applyAlignment="1">
      <alignment vertical="center"/>
    </xf>
    <xf numFmtId="165" fontId="12" fillId="0" borderId="39" xfId="29" applyNumberFormat="1" applyFont="1" applyBorder="1" applyAlignment="1">
      <alignment horizontal="center" vertical="center" wrapText="1"/>
    </xf>
    <xf numFmtId="0" fontId="13" fillId="0" borderId="42" xfId="0" applyFont="1" applyBorder="1"/>
    <xf numFmtId="1" fontId="12" fillId="0" borderId="14" xfId="2" applyNumberFormat="1" applyFont="1" applyFill="1" applyBorder="1" applyAlignment="1">
      <alignment horizontal="right" vertical="center"/>
    </xf>
    <xf numFmtId="4" fontId="13" fillId="0" borderId="17" xfId="2" applyNumberFormat="1" applyFont="1" applyFill="1" applyBorder="1" applyAlignment="1">
      <alignment horizontal="right" vertical="center" wrapText="1"/>
    </xf>
    <xf numFmtId="165" fontId="12" fillId="0" borderId="39" xfId="0" applyNumberFormat="1" applyFont="1" applyBorder="1" applyAlignment="1">
      <alignment horizontal="left"/>
    </xf>
    <xf numFmtId="2" fontId="12" fillId="0" borderId="39" xfId="0" applyNumberFormat="1" applyFont="1" applyBorder="1" applyAlignment="1">
      <alignment horizontal="left"/>
    </xf>
    <xf numFmtId="164" fontId="12" fillId="0" borderId="39" xfId="2" applyFont="1" applyFill="1" applyBorder="1" applyAlignment="1">
      <alignment horizontal="left" vertical="center"/>
    </xf>
    <xf numFmtId="0" fontId="12" fillId="0" borderId="31" xfId="0" applyFont="1" applyBorder="1" applyAlignment="1">
      <alignment horizontal="left"/>
    </xf>
    <xf numFmtId="1" fontId="16" fillId="0" borderId="14" xfId="0" applyNumberFormat="1" applyFont="1" applyBorder="1" applyAlignment="1">
      <alignment vertical="center"/>
    </xf>
    <xf numFmtId="165" fontId="12" fillId="0" borderId="0" xfId="0" applyNumberFormat="1" applyFont="1" applyAlignment="1">
      <alignment horizontal="left"/>
    </xf>
    <xf numFmtId="2" fontId="12" fillId="0" borderId="0" xfId="0" applyNumberFormat="1" applyFont="1" applyAlignment="1">
      <alignment horizontal="left"/>
    </xf>
    <xf numFmtId="164" fontId="12" fillId="0" borderId="0" xfId="2" applyFont="1" applyFill="1" applyBorder="1" applyAlignment="1">
      <alignment horizontal="left" vertical="center"/>
    </xf>
    <xf numFmtId="168" fontId="15" fillId="0" borderId="14" xfId="0" applyNumberFormat="1" applyFont="1" applyBorder="1" applyAlignment="1">
      <alignment horizontal="center" vertical="center"/>
    </xf>
    <xf numFmtId="1" fontId="25" fillId="0" borderId="0" xfId="0" applyNumberFormat="1" applyFont="1" applyAlignment="1">
      <alignment horizontal="center"/>
    </xf>
    <xf numFmtId="2" fontId="25" fillId="0" borderId="0" xfId="0" applyNumberFormat="1" applyFont="1" applyAlignment="1">
      <alignment horizontal="center"/>
    </xf>
    <xf numFmtId="164" fontId="25" fillId="0" borderId="0" xfId="2" applyFont="1" applyFill="1" applyBorder="1" applyAlignment="1">
      <alignment vertical="center"/>
    </xf>
    <xf numFmtId="0" fontId="25" fillId="0" borderId="17" xfId="0" applyFont="1" applyBorder="1" applyAlignment="1">
      <alignment vertical="center"/>
    </xf>
    <xf numFmtId="0" fontId="12" fillId="0" borderId="25" xfId="6" applyFont="1" applyBorder="1" applyAlignment="1">
      <alignment horizontal="left" vertical="center" wrapText="1"/>
    </xf>
    <xf numFmtId="0" fontId="12" fillId="0" borderId="25" xfId="0" applyFont="1" applyBorder="1" applyAlignment="1">
      <alignment horizontal="center" vertical="center" wrapText="1"/>
    </xf>
    <xf numFmtId="0" fontId="12" fillId="0" borderId="24" xfId="6" applyFont="1" applyBorder="1" applyAlignment="1">
      <alignment horizontal="left" vertical="center" wrapText="1"/>
    </xf>
    <xf numFmtId="0" fontId="12" fillId="0" borderId="24" xfId="0" applyFont="1" applyBorder="1" applyAlignment="1">
      <alignment horizontal="center" vertical="center" wrapText="1"/>
    </xf>
    <xf numFmtId="0" fontId="12" fillId="0" borderId="25" xfId="29" applyFont="1" applyBorder="1" applyAlignment="1">
      <alignment horizontal="left" vertical="top" wrapText="1"/>
    </xf>
    <xf numFmtId="43" fontId="12" fillId="0" borderId="38" xfId="30" applyNumberFormat="1" applyFont="1" applyFill="1" applyBorder="1" applyAlignment="1">
      <alignment horizontal="center" vertical="top" wrapText="1"/>
    </xf>
    <xf numFmtId="0" fontId="12" fillId="0" borderId="24" xfId="0" applyFont="1" applyBorder="1" applyAlignment="1">
      <alignment vertical="center" wrapText="1"/>
    </xf>
    <xf numFmtId="43" fontId="12" fillId="0" borderId="31" xfId="30" applyNumberFormat="1" applyFont="1" applyFill="1" applyBorder="1" applyAlignment="1">
      <alignment vertical="center" wrapText="1"/>
    </xf>
    <xf numFmtId="0" fontId="12" fillId="0" borderId="25" xfId="0" applyFont="1" applyBorder="1" applyAlignment="1">
      <alignment horizontal="left" vertical="center" wrapText="1"/>
    </xf>
    <xf numFmtId="165" fontId="12" fillId="0" borderId="25" xfId="0" applyNumberFormat="1" applyFont="1" applyBorder="1" applyAlignment="1">
      <alignment horizontal="center" vertical="center"/>
    </xf>
    <xf numFmtId="164" fontId="12" fillId="0" borderId="25" xfId="2" applyFont="1" applyFill="1" applyBorder="1" applyAlignment="1">
      <alignment horizontal="left" vertical="center" wrapText="1"/>
    </xf>
    <xf numFmtId="43" fontId="12" fillId="0" borderId="38" xfId="30" applyNumberFormat="1" applyFont="1" applyFill="1" applyBorder="1" applyAlignment="1">
      <alignment vertical="center" wrapText="1"/>
    </xf>
    <xf numFmtId="0" fontId="12" fillId="0" borderId="24" xfId="0" applyFont="1" applyBorder="1" applyAlignment="1">
      <alignment horizontal="center" vertical="center"/>
    </xf>
    <xf numFmtId="164" fontId="12" fillId="0" borderId="24" xfId="2" applyFont="1" applyFill="1" applyBorder="1" applyAlignment="1">
      <alignment vertical="center"/>
    </xf>
    <xf numFmtId="1" fontId="20" fillId="0" borderId="14" xfId="6" applyNumberFormat="1" applyFont="1" applyBorder="1" applyAlignment="1">
      <alignment horizontal="center" vertical="center"/>
    </xf>
    <xf numFmtId="43" fontId="20" fillId="0" borderId="17" xfId="30" applyNumberFormat="1" applyFont="1" applyFill="1" applyBorder="1" applyAlignment="1">
      <alignment horizontal="center" vertical="center" wrapText="1"/>
    </xf>
    <xf numFmtId="0" fontId="12" fillId="0" borderId="17" xfId="0" applyFont="1" applyBorder="1" applyAlignment="1">
      <alignment horizontal="right" vertical="center"/>
    </xf>
    <xf numFmtId="1" fontId="12" fillId="0" borderId="41" xfId="6" applyNumberFormat="1" applyFont="1" applyBorder="1" applyAlignment="1">
      <alignment horizontal="center" vertical="center"/>
    </xf>
    <xf numFmtId="0" fontId="13" fillId="0" borderId="42" xfId="6" applyFont="1" applyBorder="1" applyAlignment="1">
      <alignment horizontal="left" vertical="center" wrapText="1"/>
    </xf>
    <xf numFmtId="0" fontId="12" fillId="0" borderId="42" xfId="0" applyFont="1" applyBorder="1" applyAlignment="1">
      <alignment horizontal="center"/>
    </xf>
    <xf numFmtId="2" fontId="12" fillId="0" borderId="42" xfId="0" applyNumberFormat="1" applyFont="1" applyBorder="1" applyAlignment="1">
      <alignment horizontal="center"/>
    </xf>
    <xf numFmtId="0" fontId="12" fillId="0" borderId="38" xfId="0" applyFont="1" applyBorder="1" applyAlignment="1">
      <alignment horizontal="right" vertical="center"/>
    </xf>
    <xf numFmtId="0" fontId="13" fillId="0" borderId="39" xfId="0" applyFont="1" applyBorder="1"/>
    <xf numFmtId="0" fontId="12" fillId="0" borderId="39" xfId="0" applyFont="1" applyBorder="1" applyAlignment="1">
      <alignment horizontal="center"/>
    </xf>
    <xf numFmtId="2" fontId="12" fillId="0" borderId="39" xfId="0" applyNumberFormat="1" applyFont="1" applyBorder="1" applyAlignment="1">
      <alignment horizontal="center"/>
    </xf>
    <xf numFmtId="164" fontId="12" fillId="0" borderId="39" xfId="2" applyFont="1" applyFill="1" applyBorder="1"/>
    <xf numFmtId="0" fontId="12" fillId="0" borderId="31" xfId="0" applyFont="1" applyBorder="1" applyAlignment="1">
      <alignment horizontal="right" vertical="center"/>
    </xf>
    <xf numFmtId="0" fontId="13" fillId="0" borderId="17" xfId="0" applyFont="1" applyBorder="1" applyAlignment="1">
      <alignment vertical="center" wrapText="1"/>
    </xf>
    <xf numFmtId="164" fontId="12" fillId="0" borderId="17" xfId="2" applyFont="1" applyFill="1" applyBorder="1" applyAlignment="1">
      <alignment horizontal="right" vertical="center"/>
    </xf>
    <xf numFmtId="0" fontId="13" fillId="0" borderId="17" xfId="0" applyFont="1" applyBorder="1" applyAlignment="1">
      <alignment vertical="top" wrapText="1"/>
    </xf>
    <xf numFmtId="0" fontId="12" fillId="0" borderId="17" xfId="0" applyFont="1" applyBorder="1" applyAlignment="1">
      <alignment vertical="center" wrapText="1"/>
    </xf>
    <xf numFmtId="0" fontId="12" fillId="0" borderId="17" xfId="0" applyFont="1" applyBorder="1" applyAlignment="1">
      <alignment vertical="center"/>
    </xf>
    <xf numFmtId="4" fontId="12" fillId="3" borderId="13" xfId="0" applyNumberFormat="1" applyFont="1" applyFill="1" applyBorder="1" applyAlignment="1">
      <alignment vertical="top" wrapText="1"/>
    </xf>
    <xf numFmtId="4" fontId="12" fillId="3" borderId="13" xfId="0" applyNumberFormat="1" applyFont="1" applyFill="1" applyBorder="1" applyAlignment="1">
      <alignment vertical="center" wrapText="1"/>
    </xf>
    <xf numFmtId="4" fontId="12" fillId="3" borderId="13" xfId="0" applyNumberFormat="1" applyFont="1" applyFill="1" applyBorder="1" applyAlignment="1">
      <alignment horizontal="right" vertical="center" wrapText="1"/>
    </xf>
    <xf numFmtId="4" fontId="16" fillId="3" borderId="43" xfId="0" applyNumberFormat="1" applyFont="1" applyFill="1" applyBorder="1" applyAlignment="1">
      <alignment horizontal="justify" vertical="top" wrapText="1"/>
    </xf>
    <xf numFmtId="164" fontId="12" fillId="3" borderId="43" xfId="1" applyFont="1" applyFill="1" applyBorder="1" applyAlignment="1">
      <alignment horizontal="center" vertical="center" wrapText="1"/>
    </xf>
    <xf numFmtId="4" fontId="12" fillId="3" borderId="43" xfId="0" applyNumberFormat="1" applyFont="1" applyFill="1" applyBorder="1" applyAlignment="1">
      <alignment horizontal="center" vertical="center"/>
    </xf>
    <xf numFmtId="164" fontId="12" fillId="3" borderId="43" xfId="1" applyFont="1" applyFill="1" applyBorder="1" applyAlignment="1">
      <alignment horizontal="center" vertical="center"/>
    </xf>
    <xf numFmtId="4" fontId="16" fillId="3" borderId="44" xfId="0" applyNumberFormat="1" applyFont="1" applyFill="1" applyBorder="1" applyAlignment="1">
      <alignment horizontal="justify" vertical="top" wrapText="1"/>
    </xf>
    <xf numFmtId="164" fontId="12" fillId="3" borderId="44" xfId="1" applyFont="1" applyFill="1" applyBorder="1" applyAlignment="1">
      <alignment horizontal="center" vertical="center" wrapText="1"/>
    </xf>
    <xf numFmtId="4" fontId="12" fillId="3" borderId="44" xfId="0" applyNumberFormat="1" applyFont="1" applyFill="1" applyBorder="1" applyAlignment="1">
      <alignment horizontal="center" vertical="center"/>
    </xf>
    <xf numFmtId="164" fontId="12" fillId="3" borderId="44" xfId="1" applyFont="1" applyFill="1" applyBorder="1" applyAlignment="1">
      <alignment horizontal="center" vertical="center"/>
    </xf>
    <xf numFmtId="4" fontId="13" fillId="3" borderId="13" xfId="0" applyNumberFormat="1" applyFont="1" applyFill="1" applyBorder="1" applyAlignment="1">
      <alignment horizontal="justify" vertical="top" wrapText="1"/>
    </xf>
    <xf numFmtId="164" fontId="12" fillId="3" borderId="13" xfId="1" applyFont="1" applyFill="1" applyBorder="1" applyAlignment="1">
      <alignment horizontal="center" vertical="center" wrapText="1"/>
    </xf>
    <xf numFmtId="4" fontId="12" fillId="3" borderId="0" xfId="0" applyNumberFormat="1" applyFont="1" applyFill="1" applyAlignment="1">
      <alignment vertical="top" wrapText="1"/>
    </xf>
    <xf numFmtId="4" fontId="13" fillId="3" borderId="13" xfId="0" applyNumberFormat="1" applyFont="1" applyFill="1" applyBorder="1" applyAlignment="1">
      <alignment horizontal="left" vertical="top" wrapText="1"/>
    </xf>
    <xf numFmtId="4" fontId="13" fillId="3" borderId="13" xfId="0" applyNumberFormat="1" applyFont="1" applyFill="1" applyBorder="1" applyAlignment="1">
      <alignment horizontal="center" vertical="top"/>
    </xf>
    <xf numFmtId="0" fontId="12" fillId="3" borderId="13" xfId="18" applyFont="1" applyFill="1" applyBorder="1" applyAlignment="1">
      <alignment vertical="center" wrapText="1"/>
    </xf>
    <xf numFmtId="164" fontId="12" fillId="3" borderId="13" xfId="1" applyFont="1" applyFill="1" applyBorder="1" applyAlignment="1">
      <alignment vertical="center"/>
    </xf>
    <xf numFmtId="164" fontId="12" fillId="3" borderId="13" xfId="2" applyFont="1" applyFill="1" applyBorder="1" applyAlignment="1">
      <alignment vertical="center"/>
    </xf>
    <xf numFmtId="4" fontId="13" fillId="3" borderId="14" xfId="0" applyNumberFormat="1" applyFont="1" applyFill="1" applyBorder="1" applyAlignment="1">
      <alignment vertical="top" wrapText="1"/>
    </xf>
    <xf numFmtId="4" fontId="12" fillId="3" borderId="13" xfId="0" applyNumberFormat="1" applyFont="1" applyFill="1" applyBorder="1" applyAlignment="1">
      <alignment wrapText="1"/>
    </xf>
    <xf numFmtId="2" fontId="12" fillId="3" borderId="13" xfId="4" applyNumberFormat="1" applyFont="1" applyFill="1" applyBorder="1" applyAlignment="1">
      <alignment horizontal="left" vertical="center" wrapText="1"/>
    </xf>
    <xf numFmtId="4" fontId="12" fillId="3" borderId="13" xfId="27" applyNumberFormat="1" applyFont="1" applyFill="1" applyBorder="1" applyAlignment="1">
      <alignment horizontal="center" vertical="center"/>
    </xf>
    <xf numFmtId="164" fontId="12" fillId="3" borderId="42" xfId="1" applyFont="1" applyFill="1" applyBorder="1" applyAlignment="1">
      <alignment vertical="center"/>
    </xf>
    <xf numFmtId="4" fontId="13" fillId="3" borderId="0" xfId="27" applyNumberFormat="1" applyFont="1" applyFill="1" applyAlignment="1">
      <alignment vertical="center"/>
    </xf>
    <xf numFmtId="0" fontId="13" fillId="3" borderId="0" xfId="27" applyFont="1" applyFill="1" applyAlignment="1">
      <alignment vertical="center"/>
    </xf>
    <xf numFmtId="164" fontId="12" fillId="3" borderId="0" xfId="1" applyFont="1" applyFill="1" applyBorder="1" applyAlignment="1">
      <alignment vertical="center"/>
    </xf>
    <xf numFmtId="0" fontId="12" fillId="3" borderId="0" xfId="27" applyFont="1" applyFill="1" applyAlignment="1">
      <alignment vertical="center"/>
    </xf>
    <xf numFmtId="4" fontId="12" fillId="3" borderId="0" xfId="0" applyNumberFormat="1" applyFont="1" applyFill="1" applyAlignment="1">
      <alignment horizontal="center" vertical="top"/>
    </xf>
    <xf numFmtId="4" fontId="12" fillId="3" borderId="0" xfId="0" applyNumberFormat="1" applyFont="1" applyFill="1" applyAlignment="1">
      <alignment horizontal="justify" vertical="top"/>
    </xf>
    <xf numFmtId="164" fontId="12" fillId="3" borderId="0" xfId="1" applyFont="1" applyFill="1" applyBorder="1" applyAlignment="1">
      <alignment horizontal="center" vertical="center"/>
    </xf>
    <xf numFmtId="4" fontId="12" fillId="3" borderId="0" xfId="0" applyNumberFormat="1" applyFont="1" applyFill="1" applyAlignment="1">
      <alignment horizontal="center" vertical="center"/>
    </xf>
    <xf numFmtId="2" fontId="16" fillId="3" borderId="13" xfId="4" applyNumberFormat="1" applyFont="1" applyFill="1" applyBorder="1" applyAlignment="1">
      <alignment horizontal="left" vertical="center" wrapText="1"/>
    </xf>
    <xf numFmtId="4" fontId="12" fillId="0" borderId="36" xfId="0" applyNumberFormat="1" applyFont="1" applyBorder="1" applyAlignment="1">
      <alignment horizontal="right" vertical="top"/>
    </xf>
    <xf numFmtId="4" fontId="12" fillId="0" borderId="15" xfId="0" applyNumberFormat="1" applyFont="1" applyBorder="1" applyAlignment="1">
      <alignment horizontal="right" vertical="top"/>
    </xf>
    <xf numFmtId="4" fontId="12" fillId="0" borderId="11" xfId="0" applyNumberFormat="1" applyFont="1" applyBorder="1" applyAlignment="1">
      <alignment horizontal="center" vertical="top"/>
    </xf>
    <xf numFmtId="4" fontId="12" fillId="3" borderId="11" xfId="0" applyNumberFormat="1" applyFont="1" applyFill="1" applyBorder="1" applyAlignment="1">
      <alignment horizontal="center" vertical="top"/>
    </xf>
    <xf numFmtId="4" fontId="12" fillId="3" borderId="15" xfId="0" applyNumberFormat="1" applyFont="1" applyFill="1" applyBorder="1" applyAlignment="1">
      <alignment horizontal="right" vertical="top"/>
    </xf>
    <xf numFmtId="4" fontId="12" fillId="0" borderId="19" xfId="0" applyNumberFormat="1" applyFont="1" applyBorder="1" applyAlignment="1">
      <alignment horizontal="center" vertical="top"/>
    </xf>
    <xf numFmtId="4" fontId="12" fillId="0" borderId="23" xfId="0" applyNumberFormat="1" applyFont="1" applyBorder="1" applyAlignment="1">
      <alignment horizontal="right" vertical="top"/>
    </xf>
    <xf numFmtId="4" fontId="12" fillId="0" borderId="27" xfId="0" applyNumberFormat="1" applyFont="1" applyBorder="1" applyAlignment="1">
      <alignment horizontal="center" vertical="top"/>
    </xf>
    <xf numFmtId="4" fontId="12" fillId="3" borderId="21" xfId="0" applyNumberFormat="1" applyFont="1" applyFill="1" applyBorder="1" applyAlignment="1">
      <alignment horizontal="justify" vertical="top" wrapText="1"/>
    </xf>
    <xf numFmtId="164" fontId="12" fillId="3" borderId="21" xfId="1" applyFont="1" applyFill="1" applyBorder="1" applyAlignment="1">
      <alignment horizontal="right" vertical="top"/>
    </xf>
    <xf numFmtId="4" fontId="12" fillId="3" borderId="23" xfId="0" applyNumberFormat="1" applyFont="1" applyFill="1" applyBorder="1" applyAlignment="1">
      <alignment horizontal="right" vertical="top"/>
    </xf>
    <xf numFmtId="4" fontId="12" fillId="3" borderId="19" xfId="0" applyNumberFormat="1" applyFont="1" applyFill="1" applyBorder="1" applyAlignment="1">
      <alignment horizontal="center" vertical="top"/>
    </xf>
    <xf numFmtId="4" fontId="13" fillId="0" borderId="8" xfId="0" applyNumberFormat="1" applyFont="1" applyBorder="1" applyAlignment="1">
      <alignment horizontal="left" vertical="center" wrapText="1"/>
    </xf>
    <xf numFmtId="2" fontId="12" fillId="0" borderId="8" xfId="0" applyNumberFormat="1" applyFont="1" applyBorder="1" applyAlignment="1">
      <alignment horizontal="center" vertical="center"/>
    </xf>
    <xf numFmtId="0" fontId="12" fillId="0" borderId="9" xfId="0" applyFont="1" applyBorder="1" applyAlignment="1">
      <alignment horizontal="center" vertical="center"/>
    </xf>
    <xf numFmtId="164" fontId="12" fillId="0" borderId="8" xfId="1" applyFont="1" applyFill="1" applyBorder="1" applyAlignment="1">
      <alignment horizontal="center" vertical="center"/>
    </xf>
    <xf numFmtId="164" fontId="12" fillId="0" borderId="10" xfId="2" applyFont="1" applyFill="1" applyBorder="1" applyAlignment="1">
      <alignment horizontal="center" vertical="center"/>
    </xf>
    <xf numFmtId="4" fontId="12" fillId="0" borderId="46" xfId="0" applyNumberFormat="1" applyFont="1" applyBorder="1" applyAlignment="1">
      <alignment horizontal="center" vertical="center"/>
    </xf>
    <xf numFmtId="4" fontId="12" fillId="0" borderId="47" xfId="0" applyNumberFormat="1" applyFont="1" applyBorder="1" applyAlignment="1">
      <alignment horizontal="center" vertical="center"/>
    </xf>
    <xf numFmtId="4" fontId="12" fillId="0" borderId="48" xfId="0" applyNumberFormat="1" applyFont="1" applyBorder="1" applyAlignment="1">
      <alignment horizontal="center" vertical="center"/>
    </xf>
    <xf numFmtId="4" fontId="12" fillId="0" borderId="49" xfId="0" applyNumberFormat="1" applyFont="1" applyBorder="1" applyAlignment="1">
      <alignment horizontal="center" vertical="center"/>
    </xf>
    <xf numFmtId="4" fontId="12" fillId="0" borderId="19" xfId="0" applyNumberFormat="1" applyFont="1" applyBorder="1" applyAlignment="1">
      <alignment horizontal="center" vertical="center"/>
    </xf>
    <xf numFmtId="4" fontId="25" fillId="0" borderId="21" xfId="0" applyNumberFormat="1" applyFont="1" applyBorder="1" applyAlignment="1">
      <alignment horizontal="center" vertical="center" wrapText="1"/>
    </xf>
    <xf numFmtId="4" fontId="12" fillId="0" borderId="23" xfId="0" applyNumberFormat="1" applyFont="1" applyBorder="1" applyAlignment="1">
      <alignment horizontal="center" vertical="center"/>
    </xf>
    <xf numFmtId="4" fontId="25" fillId="0" borderId="28" xfId="0" applyNumberFormat="1" applyFont="1" applyBorder="1" applyAlignment="1">
      <alignment horizontal="center" vertical="center" wrapText="1"/>
    </xf>
    <xf numFmtId="4" fontId="12" fillId="0" borderId="36" xfId="0" applyNumberFormat="1" applyFont="1" applyBorder="1" applyAlignment="1">
      <alignment horizontal="center" vertical="center"/>
    </xf>
    <xf numFmtId="164" fontId="12" fillId="3" borderId="28" xfId="1" applyFont="1" applyFill="1" applyBorder="1" applyAlignment="1">
      <alignment horizontal="center" vertical="center"/>
    </xf>
    <xf numFmtId="4" fontId="12" fillId="3" borderId="15" xfId="0" applyNumberFormat="1" applyFont="1" applyFill="1" applyBorder="1" applyAlignment="1">
      <alignment horizontal="center" vertical="center"/>
    </xf>
    <xf numFmtId="4" fontId="12" fillId="3" borderId="11" xfId="0" applyNumberFormat="1" applyFont="1" applyFill="1" applyBorder="1" applyAlignment="1">
      <alignment horizontal="center" vertical="center"/>
    </xf>
    <xf numFmtId="4" fontId="12" fillId="3" borderId="21" xfId="0" applyNumberFormat="1" applyFont="1" applyFill="1" applyBorder="1" applyAlignment="1">
      <alignment horizontal="center" vertical="center"/>
    </xf>
    <xf numFmtId="164" fontId="12" fillId="3" borderId="21" xfId="1" applyFont="1" applyFill="1" applyBorder="1" applyAlignment="1">
      <alignment horizontal="center" vertical="center"/>
    </xf>
    <xf numFmtId="4" fontId="12" fillId="3" borderId="23" xfId="0" applyNumberFormat="1" applyFont="1" applyFill="1" applyBorder="1" applyAlignment="1">
      <alignment horizontal="center" vertical="center"/>
    </xf>
    <xf numFmtId="4" fontId="12" fillId="3" borderId="28" xfId="0" applyNumberFormat="1" applyFont="1" applyFill="1" applyBorder="1" applyAlignment="1">
      <alignment horizontal="center" vertical="center"/>
    </xf>
    <xf numFmtId="4" fontId="12" fillId="3" borderId="36" xfId="0" applyNumberFormat="1" applyFont="1" applyFill="1" applyBorder="1" applyAlignment="1">
      <alignment horizontal="center" vertical="center"/>
    </xf>
    <xf numFmtId="4" fontId="12" fillId="0" borderId="45" xfId="0" applyNumberFormat="1" applyFont="1" applyBorder="1" applyAlignment="1">
      <alignment horizontal="center" vertical="center"/>
    </xf>
    <xf numFmtId="4" fontId="13" fillId="0" borderId="45" xfId="0" applyNumberFormat="1" applyFont="1" applyBorder="1" applyAlignment="1">
      <alignment horizontal="left" vertical="center" wrapText="1"/>
    </xf>
    <xf numFmtId="4" fontId="12" fillId="0" borderId="45" xfId="0" applyNumberFormat="1" applyFont="1" applyBorder="1" applyAlignment="1">
      <alignment horizontal="center" vertical="center" wrapText="1"/>
    </xf>
    <xf numFmtId="164" fontId="12" fillId="0" borderId="33" xfId="1" applyFont="1" applyFill="1" applyBorder="1" applyAlignment="1">
      <alignment horizontal="center" vertical="center"/>
    </xf>
    <xf numFmtId="2" fontId="13" fillId="0" borderId="8" xfId="0" applyNumberFormat="1" applyFont="1" applyBorder="1" applyAlignment="1">
      <alignment horizontal="center" vertical="center"/>
    </xf>
    <xf numFmtId="0" fontId="13" fillId="0" borderId="9" xfId="0" applyFont="1" applyBorder="1" applyAlignment="1">
      <alignment horizontal="center" vertical="center"/>
    </xf>
    <xf numFmtId="164" fontId="13" fillId="0" borderId="8" xfId="28" applyFont="1" applyFill="1" applyBorder="1" applyAlignment="1">
      <alignment horizontal="center" vertical="center"/>
    </xf>
    <xf numFmtId="164" fontId="13" fillId="0" borderId="10" xfId="2" applyFont="1" applyFill="1" applyBorder="1" applyAlignment="1">
      <alignment horizontal="center" vertical="center"/>
    </xf>
    <xf numFmtId="164" fontId="12" fillId="0" borderId="21" xfId="28" applyFont="1" applyFill="1" applyBorder="1" applyAlignment="1">
      <alignment horizontal="center" vertical="center"/>
    </xf>
    <xf numFmtId="4" fontId="13" fillId="0" borderId="11" xfId="0" applyNumberFormat="1" applyFont="1" applyBorder="1" applyAlignment="1">
      <alignment horizontal="center" vertical="top"/>
    </xf>
    <xf numFmtId="4" fontId="12" fillId="0" borderId="28" xfId="0" applyNumberFormat="1" applyFont="1" applyBorder="1" applyAlignment="1">
      <alignment horizontal="justify" vertical="top" wrapText="1"/>
    </xf>
    <xf numFmtId="43" fontId="12" fillId="0" borderId="15" xfId="30" applyNumberFormat="1" applyFont="1" applyFill="1" applyBorder="1" applyAlignment="1">
      <alignment horizontal="center" vertical="center" wrapText="1"/>
    </xf>
    <xf numFmtId="4" fontId="12" fillId="0" borderId="37" xfId="0" applyNumberFormat="1" applyFont="1" applyBorder="1" applyAlignment="1">
      <alignment horizontal="center" vertical="center"/>
    </xf>
    <xf numFmtId="4" fontId="13" fillId="0" borderId="37" xfId="0" applyNumberFormat="1" applyFont="1" applyBorder="1" applyAlignment="1">
      <alignment horizontal="left" vertical="center" wrapText="1"/>
    </xf>
    <xf numFmtId="4" fontId="16" fillId="0" borderId="16" xfId="0" applyNumberFormat="1" applyFont="1" applyBorder="1" applyAlignment="1">
      <alignment horizontal="center" vertical="center" wrapText="1"/>
    </xf>
    <xf numFmtId="4" fontId="12" fillId="0" borderId="50" xfId="0" applyNumberFormat="1" applyFont="1" applyBorder="1" applyAlignment="1">
      <alignment horizontal="center" vertical="center"/>
    </xf>
    <xf numFmtId="164" fontId="12" fillId="0" borderId="51" xfId="28" applyFont="1" applyFill="1" applyBorder="1" applyAlignment="1">
      <alignment horizontal="center" vertical="center"/>
    </xf>
    <xf numFmtId="4" fontId="13" fillId="0" borderId="37" xfId="0" applyNumberFormat="1" applyFont="1" applyBorder="1" applyAlignment="1">
      <alignment horizontal="center" vertical="center"/>
    </xf>
    <xf numFmtId="2" fontId="13" fillId="3" borderId="6" xfId="0" applyNumberFormat="1" applyFont="1" applyFill="1" applyBorder="1" applyAlignment="1">
      <alignment horizontal="center"/>
    </xf>
    <xf numFmtId="2" fontId="13" fillId="3" borderId="7" xfId="0" applyNumberFormat="1" applyFont="1" applyFill="1" applyBorder="1" applyAlignment="1">
      <alignment horizontal="center"/>
    </xf>
    <xf numFmtId="164" fontId="13" fillId="3" borderId="8" xfId="1" applyFont="1" applyFill="1" applyBorder="1" applyAlignment="1">
      <alignment horizontal="center" vertical="center"/>
    </xf>
    <xf numFmtId="0" fontId="13" fillId="3" borderId="9" xfId="0" applyFont="1" applyFill="1" applyBorder="1" applyAlignment="1">
      <alignment horizontal="center" vertical="center"/>
    </xf>
    <xf numFmtId="164" fontId="13" fillId="3" borderId="10" xfId="2" applyFont="1" applyFill="1" applyBorder="1" applyAlignment="1">
      <alignment horizontal="center" vertical="center"/>
    </xf>
    <xf numFmtId="4" fontId="12" fillId="3" borderId="46" xfId="0" applyNumberFormat="1" applyFont="1" applyFill="1" applyBorder="1" applyAlignment="1">
      <alignment horizontal="center" vertical="top"/>
    </xf>
    <xf numFmtId="4" fontId="12" fillId="3" borderId="47" xfId="0" applyNumberFormat="1" applyFont="1" applyFill="1" applyBorder="1" applyAlignment="1">
      <alignment horizontal="center" vertical="center"/>
    </xf>
    <xf numFmtId="4" fontId="12" fillId="3" borderId="48" xfId="0" applyNumberFormat="1" applyFont="1" applyFill="1" applyBorder="1" applyAlignment="1">
      <alignment horizontal="center" vertical="top"/>
    </xf>
    <xf numFmtId="4" fontId="12" fillId="3" borderId="49" xfId="0" applyNumberFormat="1" applyFont="1" applyFill="1" applyBorder="1" applyAlignment="1">
      <alignment horizontal="center" vertical="center"/>
    </xf>
    <xf numFmtId="164" fontId="12" fillId="3" borderId="21" xfId="1" applyFont="1" applyFill="1" applyBorder="1" applyAlignment="1">
      <alignment horizontal="center" vertical="center" wrapText="1"/>
    </xf>
    <xf numFmtId="43" fontId="36" fillId="3" borderId="17" xfId="0" applyNumberFormat="1" applyFont="1" applyFill="1" applyBorder="1" applyAlignment="1">
      <alignment horizontal="center" vertical="center"/>
    </xf>
    <xf numFmtId="4" fontId="13" fillId="3" borderId="27" xfId="0" applyNumberFormat="1" applyFont="1" applyFill="1" applyBorder="1" applyAlignment="1">
      <alignment horizontal="center" vertical="top"/>
    </xf>
    <xf numFmtId="4" fontId="16" fillId="3" borderId="28" xfId="0" applyNumberFormat="1" applyFont="1" applyFill="1" applyBorder="1" applyAlignment="1">
      <alignment horizontal="justify" vertical="top" wrapText="1"/>
    </xf>
    <xf numFmtId="164" fontId="12" fillId="3" borderId="28" xfId="1" applyFont="1" applyFill="1" applyBorder="1" applyAlignment="1">
      <alignment horizontal="center" vertical="center" wrapText="1"/>
    </xf>
    <xf numFmtId="4" fontId="13" fillId="3" borderId="11" xfId="0" applyNumberFormat="1" applyFont="1" applyFill="1" applyBorder="1" applyAlignment="1">
      <alignment horizontal="center" vertical="top"/>
    </xf>
    <xf numFmtId="164" fontId="12" fillId="3" borderId="15" xfId="2" applyFont="1" applyFill="1" applyBorder="1" applyAlignment="1">
      <alignment vertical="center"/>
    </xf>
    <xf numFmtId="164" fontId="12" fillId="3" borderId="15" xfId="1" applyFont="1" applyFill="1" applyBorder="1" applyAlignment="1">
      <alignment horizontal="right" vertical="center"/>
    </xf>
    <xf numFmtId="4" fontId="13" fillId="3" borderId="19" xfId="0" applyNumberFormat="1" applyFont="1" applyFill="1" applyBorder="1" applyAlignment="1">
      <alignment horizontal="center" vertical="top"/>
    </xf>
    <xf numFmtId="4" fontId="12" fillId="3" borderId="21" xfId="27" applyNumberFormat="1" applyFont="1" applyFill="1" applyBorder="1" applyAlignment="1">
      <alignment horizontal="center" vertical="center"/>
    </xf>
    <xf numFmtId="164" fontId="12" fillId="3" borderId="21" xfId="1" applyFont="1" applyFill="1" applyBorder="1" applyAlignment="1">
      <alignment vertical="center"/>
    </xf>
    <xf numFmtId="4" fontId="12" fillId="3" borderId="37" xfId="0" applyNumberFormat="1" applyFont="1" applyFill="1" applyBorder="1" applyAlignment="1">
      <alignment horizontal="center" vertical="center"/>
    </xf>
    <xf numFmtId="4" fontId="13" fillId="3" borderId="37" xfId="0" applyNumberFormat="1" applyFont="1" applyFill="1" applyBorder="1" applyAlignment="1">
      <alignment horizontal="justify" vertical="center" wrapText="1"/>
    </xf>
    <xf numFmtId="164" fontId="16" fillId="3" borderId="16" xfId="1" applyFont="1" applyFill="1" applyBorder="1" applyAlignment="1">
      <alignment horizontal="center" vertical="center" wrapText="1"/>
    </xf>
    <xf numFmtId="4" fontId="12" fillId="3" borderId="50" xfId="0" applyNumberFormat="1" applyFont="1" applyFill="1" applyBorder="1" applyAlignment="1">
      <alignment horizontal="center" vertical="center"/>
    </xf>
    <xf numFmtId="164" fontId="12" fillId="3" borderId="51" xfId="1" applyFont="1" applyFill="1" applyBorder="1" applyAlignment="1">
      <alignment horizontal="center" vertical="center"/>
    </xf>
    <xf numFmtId="4" fontId="13" fillId="3" borderId="37" xfId="0" applyNumberFormat="1" applyFont="1" applyFill="1" applyBorder="1" applyAlignment="1">
      <alignment horizontal="center" vertical="center"/>
    </xf>
    <xf numFmtId="164" fontId="12" fillId="0" borderId="27" xfId="1" applyFont="1" applyFill="1" applyBorder="1" applyAlignment="1">
      <alignment horizontal="center" vertical="top"/>
    </xf>
    <xf numFmtId="0" fontId="12" fillId="0" borderId="36" xfId="0" applyFont="1" applyBorder="1" applyAlignment="1">
      <alignment horizontal="center"/>
    </xf>
    <xf numFmtId="164" fontId="13" fillId="0" borderId="11" xfId="1" applyFont="1" applyFill="1" applyBorder="1" applyAlignment="1">
      <alignment horizontal="center" vertical="top"/>
    </xf>
    <xf numFmtId="164" fontId="12" fillId="0" borderId="11" xfId="1" applyFont="1" applyFill="1" applyBorder="1" applyAlignment="1">
      <alignment horizontal="center" vertical="top"/>
    </xf>
    <xf numFmtId="164" fontId="12" fillId="0" borderId="19" xfId="1" applyFont="1" applyFill="1" applyBorder="1" applyAlignment="1">
      <alignment horizontal="center" vertical="top"/>
    </xf>
    <xf numFmtId="0" fontId="12" fillId="0" borderId="21" xfId="0" applyFont="1" applyBorder="1" applyAlignment="1">
      <alignment horizontal="left" vertical="top"/>
    </xf>
    <xf numFmtId="0" fontId="12" fillId="0" borderId="21" xfId="0" applyFont="1" applyBorder="1" applyAlignment="1">
      <alignment horizontal="center" vertical="top"/>
    </xf>
    <xf numFmtId="0" fontId="12" fillId="0" borderId="21" xfId="0" applyFont="1" applyBorder="1" applyAlignment="1">
      <alignment horizontal="center" vertical="justify"/>
    </xf>
    <xf numFmtId="164" fontId="12" fillId="0" borderId="17" xfId="1" applyFont="1" applyFill="1" applyBorder="1" applyAlignment="1">
      <alignment horizontal="right" vertical="justify"/>
    </xf>
    <xf numFmtId="2" fontId="12" fillId="0" borderId="28" xfId="2" applyNumberFormat="1" applyFont="1" applyFill="1" applyBorder="1" applyAlignment="1">
      <alignment horizontal="right" vertical="justify"/>
    </xf>
    <xf numFmtId="0" fontId="12" fillId="0" borderId="28" xfId="0" applyFont="1" applyBorder="1" applyAlignment="1">
      <alignment horizontal="center" vertical="justify"/>
    </xf>
    <xf numFmtId="164" fontId="12" fillId="0" borderId="28" xfId="1" applyFont="1" applyFill="1" applyBorder="1" applyAlignment="1">
      <alignment horizontal="right" vertical="justify"/>
    </xf>
    <xf numFmtId="164" fontId="12" fillId="0" borderId="36" xfId="3" applyFont="1" applyFill="1" applyBorder="1" applyAlignment="1">
      <alignment horizontal="right" vertical="justify"/>
    </xf>
    <xf numFmtId="164" fontId="13" fillId="0" borderId="52" xfId="1" applyFont="1" applyFill="1" applyBorder="1" applyAlignment="1">
      <alignment horizontal="center" vertical="top"/>
    </xf>
    <xf numFmtId="164" fontId="12" fillId="0" borderId="53" xfId="3" applyFont="1" applyFill="1" applyBorder="1" applyAlignment="1">
      <alignment horizontal="right" vertical="justify"/>
    </xf>
    <xf numFmtId="0" fontId="12" fillId="0" borderId="21" xfId="0" applyFont="1" applyBorder="1" applyAlignment="1">
      <alignment horizontal="left" vertical="top" wrapText="1"/>
    </xf>
    <xf numFmtId="0" fontId="12" fillId="0" borderId="21" xfId="0" applyFont="1" applyBorder="1" applyAlignment="1">
      <alignment horizontal="center" vertical="top" wrapText="1"/>
    </xf>
    <xf numFmtId="164" fontId="13" fillId="0" borderId="27" xfId="1" applyFont="1" applyFill="1" applyBorder="1" applyAlignment="1">
      <alignment horizontal="center" vertical="top"/>
    </xf>
    <xf numFmtId="0" fontId="16" fillId="0" borderId="28" xfId="0" applyFont="1" applyBorder="1" applyAlignment="1">
      <alignment horizontal="left" vertical="top" wrapText="1"/>
    </xf>
    <xf numFmtId="0" fontId="16" fillId="0" borderId="28" xfId="0" applyFont="1" applyBorder="1" applyAlignment="1">
      <alignment horizontal="center" vertical="top" wrapText="1"/>
    </xf>
    <xf numFmtId="0" fontId="13" fillId="0" borderId="8" xfId="0" applyFont="1" applyBorder="1" applyAlignment="1">
      <alignment horizontal="center"/>
    </xf>
    <xf numFmtId="4" fontId="13" fillId="0" borderId="11" xfId="0" applyNumberFormat="1" applyFont="1" applyBorder="1" applyAlignment="1">
      <alignment horizontal="center" vertical="center"/>
    </xf>
    <xf numFmtId="2" fontId="13" fillId="0" borderId="8" xfId="0" applyNumberFormat="1" applyFont="1" applyBorder="1"/>
    <xf numFmtId="4" fontId="12" fillId="0" borderId="21" xfId="0" applyNumberFormat="1" applyFont="1" applyBorder="1" applyAlignment="1">
      <alignment horizontal="left" wrapText="1"/>
    </xf>
    <xf numFmtId="4" fontId="16" fillId="0" borderId="21" xfId="0" applyNumberFormat="1" applyFont="1" applyBorder="1" applyAlignment="1">
      <alignment horizontal="right" vertical="center" wrapText="1"/>
    </xf>
    <xf numFmtId="4" fontId="12" fillId="0" borderId="28" xfId="0" applyNumberFormat="1" applyFont="1" applyBorder="1" applyAlignment="1">
      <alignment vertical="center"/>
    </xf>
    <xf numFmtId="4" fontId="12" fillId="0" borderId="21" xfId="0" applyNumberFormat="1" applyFont="1" applyBorder="1" applyAlignment="1">
      <alignment vertical="center" wrapText="1"/>
    </xf>
    <xf numFmtId="4" fontId="12" fillId="0" borderId="28" xfId="0" applyNumberFormat="1" applyFont="1" applyBorder="1" applyAlignment="1">
      <alignment vertical="top" wrapText="1"/>
    </xf>
    <xf numFmtId="4" fontId="16" fillId="0" borderId="21" xfId="0" applyNumberFormat="1" applyFont="1" applyBorder="1" applyAlignment="1">
      <alignment vertical="center" wrapText="1"/>
    </xf>
    <xf numFmtId="4" fontId="12" fillId="0" borderId="28" xfId="0" applyNumberFormat="1" applyFont="1" applyBorder="1" applyAlignment="1">
      <alignment vertical="center" wrapText="1"/>
    </xf>
    <xf numFmtId="4" fontId="13" fillId="0" borderId="15" xfId="0" applyNumberFormat="1" applyFont="1" applyBorder="1" applyAlignment="1">
      <alignment horizontal="right" vertical="top"/>
    </xf>
    <xf numFmtId="4" fontId="13" fillId="0" borderId="19" xfId="0" applyNumberFormat="1" applyFont="1" applyBorder="1" applyAlignment="1">
      <alignment horizontal="center" vertical="center"/>
    </xf>
    <xf numFmtId="4" fontId="13" fillId="0" borderId="21" xfId="0" applyNumberFormat="1" applyFont="1" applyBorder="1" applyAlignment="1">
      <alignment horizontal="center" vertical="top"/>
    </xf>
    <xf numFmtId="164" fontId="13" fillId="0" borderId="21" xfId="1" applyFont="1" applyFill="1" applyBorder="1" applyAlignment="1">
      <alignment horizontal="right" vertical="top"/>
    </xf>
    <xf numFmtId="4" fontId="13" fillId="0" borderId="23" xfId="0" applyNumberFormat="1" applyFont="1" applyBorder="1" applyAlignment="1">
      <alignment horizontal="right" vertical="top"/>
    </xf>
    <xf numFmtId="4" fontId="13" fillId="0" borderId="8" xfId="0" applyNumberFormat="1" applyFont="1" applyBorder="1" applyAlignment="1">
      <alignment vertical="center" wrapText="1"/>
    </xf>
    <xf numFmtId="4" fontId="12" fillId="0" borderId="15" xfId="0" applyNumberFormat="1" applyFont="1" applyBorder="1" applyAlignment="1">
      <alignment horizontal="center" vertical="center"/>
    </xf>
    <xf numFmtId="4" fontId="13" fillId="0" borderId="10" xfId="0" applyNumberFormat="1" applyFont="1" applyBorder="1" applyAlignment="1">
      <alignment horizontal="center" vertical="center"/>
    </xf>
    <xf numFmtId="2" fontId="13" fillId="0" borderId="27" xfId="0" applyNumberFormat="1" applyFont="1" applyBorder="1" applyAlignment="1">
      <alignment horizontal="center"/>
    </xf>
    <xf numFmtId="4" fontId="12" fillId="0" borderId="54" xfId="0" applyNumberFormat="1" applyFont="1" applyBorder="1" applyAlignment="1">
      <alignment horizontal="center" vertical="center"/>
    </xf>
    <xf numFmtId="4" fontId="13" fillId="0" borderId="54" xfId="0" applyNumberFormat="1" applyFont="1" applyBorder="1" applyAlignment="1">
      <alignment horizontal="right" vertical="top"/>
    </xf>
    <xf numFmtId="164" fontId="36" fillId="0" borderId="0" xfId="12" applyNumberFormat="1" applyFont="1"/>
    <xf numFmtId="4" fontId="13" fillId="0" borderId="14" xfId="0" applyNumberFormat="1" applyFont="1" applyBorder="1" applyAlignment="1">
      <alignment horizontal="justify" vertical="top" wrapText="1"/>
    </xf>
    <xf numFmtId="4" fontId="16" fillId="3" borderId="8" xfId="0" applyNumberFormat="1" applyFont="1" applyFill="1" applyBorder="1" applyAlignment="1">
      <alignment horizontal="right" vertical="center" wrapText="1"/>
    </xf>
    <xf numFmtId="0" fontId="13" fillId="3" borderId="13" xfId="0" applyFont="1" applyFill="1" applyBorder="1" applyAlignment="1">
      <alignment vertical="center"/>
    </xf>
    <xf numFmtId="4" fontId="36" fillId="0" borderId="12" xfId="12" applyNumberFormat="1" applyFont="1" applyBorder="1"/>
    <xf numFmtId="164" fontId="36" fillId="0" borderId="12" xfId="1" applyFont="1" applyBorder="1"/>
    <xf numFmtId="164" fontId="36" fillId="0" borderId="12" xfId="2" applyFont="1" applyBorder="1" applyAlignment="1">
      <alignment vertical="top"/>
    </xf>
    <xf numFmtId="164" fontId="36" fillId="0" borderId="12" xfId="1" applyFont="1" applyBorder="1" applyAlignment="1">
      <alignment vertical="top" wrapText="1"/>
    </xf>
    <xf numFmtId="0" fontId="36" fillId="0" borderId="0" xfId="12" applyFont="1" applyAlignment="1">
      <alignment vertical="top"/>
    </xf>
    <xf numFmtId="0" fontId="36" fillId="0" borderId="12" xfId="12" applyFont="1" applyBorder="1" applyAlignment="1">
      <alignment vertical="center"/>
    </xf>
    <xf numFmtId="4" fontId="36" fillId="0" borderId="12" xfId="12" applyNumberFormat="1" applyFont="1" applyBorder="1" applyAlignment="1">
      <alignment vertical="top" wrapText="1"/>
    </xf>
    <xf numFmtId="43" fontId="36" fillId="0" borderId="0" xfId="12" applyNumberFormat="1" applyFont="1" applyAlignment="1">
      <alignment vertical="top"/>
    </xf>
    <xf numFmtId="164" fontId="36" fillId="0" borderId="8" xfId="1" applyFont="1" applyBorder="1"/>
    <xf numFmtId="164" fontId="36" fillId="0" borderId="13" xfId="1" applyFont="1" applyBorder="1"/>
    <xf numFmtId="164" fontId="38" fillId="2" borderId="32" xfId="1" applyFont="1" applyFill="1" applyBorder="1"/>
    <xf numFmtId="164" fontId="38" fillId="2" borderId="14" xfId="1" applyFont="1" applyFill="1" applyBorder="1"/>
    <xf numFmtId="164" fontId="36" fillId="0" borderId="10" xfId="1" applyFont="1" applyBorder="1"/>
    <xf numFmtId="164" fontId="36" fillId="0" borderId="25" xfId="1" applyFont="1" applyBorder="1"/>
    <xf numFmtId="164" fontId="38" fillId="2" borderId="13" xfId="1" applyFont="1" applyFill="1" applyBorder="1"/>
    <xf numFmtId="164" fontId="36" fillId="0" borderId="12" xfId="1" applyFont="1" applyBorder="1" applyAlignment="1">
      <alignment vertical="center"/>
    </xf>
    <xf numFmtId="164" fontId="36" fillId="0" borderId="24" xfId="1" applyFont="1" applyBorder="1" applyAlignment="1">
      <alignment vertical="center"/>
    </xf>
    <xf numFmtId="164" fontId="38" fillId="2" borderId="32" xfId="1" applyFont="1" applyFill="1" applyBorder="1" applyAlignment="1">
      <alignment vertical="center"/>
    </xf>
    <xf numFmtId="164" fontId="38" fillId="2" borderId="24" xfId="1" applyFont="1" applyFill="1" applyBorder="1" applyAlignment="1">
      <alignment vertical="center"/>
    </xf>
    <xf numFmtId="164" fontId="36" fillId="0" borderId="24" xfId="1" applyFont="1" applyBorder="1"/>
    <xf numFmtId="164" fontId="38" fillId="2" borderId="24" xfId="1" applyFont="1" applyFill="1" applyBorder="1"/>
    <xf numFmtId="164" fontId="36" fillId="0" borderId="0" xfId="1" applyFont="1"/>
    <xf numFmtId="164" fontId="36" fillId="0" borderId="12" xfId="2" applyFont="1" applyBorder="1" applyAlignment="1">
      <alignment vertical="center"/>
    </xf>
    <xf numFmtId="4" fontId="36" fillId="0" borderId="12" xfId="12" applyNumberFormat="1" applyFont="1" applyBorder="1" applyAlignment="1">
      <alignment vertical="center" wrapText="1"/>
    </xf>
    <xf numFmtId="0" fontId="36" fillId="0" borderId="0" xfId="12" applyFont="1" applyAlignment="1">
      <alignment vertical="center"/>
    </xf>
    <xf numFmtId="43" fontId="36" fillId="0" borderId="0" xfId="12" applyNumberFormat="1" applyFont="1" applyAlignment="1">
      <alignment vertical="center"/>
    </xf>
    <xf numFmtId="4" fontId="12" fillId="3" borderId="21" xfId="0" applyNumberFormat="1" applyFont="1" applyFill="1" applyBorder="1" applyAlignment="1">
      <alignment vertical="top" wrapText="1"/>
    </xf>
    <xf numFmtId="4" fontId="12" fillId="3" borderId="21" xfId="0" applyNumberFormat="1" applyFont="1" applyFill="1" applyBorder="1" applyAlignment="1">
      <alignment horizontal="right" vertical="top" wrapText="1"/>
    </xf>
    <xf numFmtId="4" fontId="12" fillId="3" borderId="21" xfId="0" applyNumberFormat="1" applyFont="1" applyFill="1" applyBorder="1" applyAlignment="1">
      <alignment horizontal="center" vertical="top"/>
    </xf>
    <xf numFmtId="4" fontId="12" fillId="0" borderId="0" xfId="0" applyNumberFormat="1" applyFont="1" applyAlignment="1">
      <alignment vertical="top" wrapText="1"/>
    </xf>
    <xf numFmtId="4" fontId="12" fillId="0" borderId="21" xfId="0" applyNumberFormat="1" applyFont="1" applyBorder="1" applyAlignment="1">
      <alignment horizontal="left" vertical="top" wrapText="1"/>
    </xf>
    <xf numFmtId="4" fontId="16" fillId="0" borderId="21" xfId="0" applyNumberFormat="1" applyFont="1" applyBorder="1" applyAlignment="1">
      <alignment horizontal="justify" vertical="top" wrapText="1"/>
    </xf>
    <xf numFmtId="4" fontId="39" fillId="3" borderId="11" xfId="0" applyNumberFormat="1" applyFont="1" applyFill="1" applyBorder="1" applyAlignment="1">
      <alignment horizontal="center" vertical="top"/>
    </xf>
    <xf numFmtId="2" fontId="35" fillId="3" borderId="13" xfId="4" applyNumberFormat="1" applyFont="1" applyFill="1" applyBorder="1" applyAlignment="1">
      <alignment horizontal="left" vertical="center" wrapText="1"/>
    </xf>
    <xf numFmtId="164" fontId="35" fillId="3" borderId="13" xfId="1" applyFont="1" applyFill="1" applyBorder="1" applyAlignment="1">
      <alignment horizontal="center" vertical="center"/>
    </xf>
    <xf numFmtId="4" fontId="35" fillId="3" borderId="13" xfId="27" applyNumberFormat="1" applyFont="1" applyFill="1" applyBorder="1" applyAlignment="1">
      <alignment horizontal="center" vertical="center"/>
    </xf>
    <xf numFmtId="164" fontId="35" fillId="3" borderId="13" xfId="1" applyFont="1" applyFill="1" applyBorder="1" applyAlignment="1">
      <alignment vertical="center"/>
    </xf>
    <xf numFmtId="164" fontId="35" fillId="3" borderId="15" xfId="1" applyFont="1" applyFill="1" applyBorder="1" applyAlignment="1">
      <alignment horizontal="right" vertical="center"/>
    </xf>
    <xf numFmtId="4" fontId="39" fillId="3" borderId="0" xfId="27" applyNumberFormat="1" applyFont="1" applyFill="1" applyAlignment="1">
      <alignment vertical="center"/>
    </xf>
    <xf numFmtId="164" fontId="35" fillId="3" borderId="0" xfId="1" applyFont="1" applyFill="1" applyBorder="1" applyAlignment="1">
      <alignment vertical="center"/>
    </xf>
    <xf numFmtId="4" fontId="35" fillId="3" borderId="0" xfId="0" applyNumberFormat="1" applyFont="1" applyFill="1" applyAlignment="1">
      <alignment vertical="top"/>
    </xf>
    <xf numFmtId="2" fontId="12" fillId="3" borderId="13" xfId="4" applyNumberFormat="1" applyFont="1" applyFill="1" applyBorder="1" applyAlignment="1">
      <alignment horizontal="left" vertical="top" wrapText="1"/>
    </xf>
    <xf numFmtId="164" fontId="12" fillId="3" borderId="13" xfId="1" applyFont="1" applyFill="1" applyBorder="1" applyAlignment="1">
      <alignment vertical="top"/>
    </xf>
    <xf numFmtId="164" fontId="12" fillId="3" borderId="15" xfId="1" applyFont="1" applyFill="1" applyBorder="1" applyAlignment="1">
      <alignment horizontal="right" vertical="top"/>
    </xf>
    <xf numFmtId="4" fontId="13" fillId="3" borderId="0" xfId="27" applyNumberFormat="1" applyFont="1" applyFill="1" applyAlignment="1">
      <alignment vertical="top"/>
    </xf>
    <xf numFmtId="164" fontId="12" fillId="3" borderId="0" xfId="1" applyFont="1" applyFill="1" applyBorder="1" applyAlignment="1">
      <alignment vertical="top"/>
    </xf>
    <xf numFmtId="0" fontId="12" fillId="3" borderId="0" xfId="27" applyFont="1" applyFill="1" applyAlignment="1">
      <alignment vertical="top"/>
    </xf>
    <xf numFmtId="164" fontId="45" fillId="0" borderId="12" xfId="1" applyFont="1" applyBorder="1"/>
    <xf numFmtId="164" fontId="45" fillId="0" borderId="12" xfId="1" applyFont="1" applyBorder="1" applyAlignment="1">
      <alignment vertical="center"/>
    </xf>
    <xf numFmtId="4" fontId="25" fillId="0" borderId="21" xfId="0" applyNumberFormat="1" applyFont="1" applyBorder="1" applyAlignment="1">
      <alignment horizontal="justify" vertical="center" wrapText="1"/>
    </xf>
    <xf numFmtId="4" fontId="15" fillId="3" borderId="13" xfId="0" applyNumberFormat="1" applyFont="1" applyFill="1" applyBorder="1" applyAlignment="1">
      <alignment horizontal="justify" vertical="center" wrapText="1"/>
    </xf>
    <xf numFmtId="164" fontId="12" fillId="0" borderId="13" xfId="1" applyFont="1" applyFill="1" applyBorder="1" applyAlignment="1">
      <alignment horizontal="right" vertical="center"/>
    </xf>
    <xf numFmtId="4" fontId="12" fillId="0" borderId="15" xfId="0" applyNumberFormat="1" applyFont="1" applyBorder="1" applyAlignment="1">
      <alignment horizontal="right" vertical="center"/>
    </xf>
    <xf numFmtId="4" fontId="12" fillId="0" borderId="13" xfId="0" applyNumberFormat="1" applyFont="1" applyBorder="1" applyAlignment="1">
      <alignment horizontal="right" wrapText="1"/>
    </xf>
    <xf numFmtId="4" fontId="12" fillId="0" borderId="13" xfId="0" applyNumberFormat="1" applyFont="1" applyBorder="1" applyAlignment="1">
      <alignment horizontal="center"/>
    </xf>
    <xf numFmtId="4" fontId="15" fillId="0" borderId="21" xfId="0" applyNumberFormat="1" applyFont="1" applyBorder="1" applyAlignment="1">
      <alignment horizontal="justify" vertical="center" wrapText="1"/>
    </xf>
    <xf numFmtId="164" fontId="36" fillId="0" borderId="0" xfId="12" applyNumberFormat="1" applyFont="1" applyAlignment="1">
      <alignment vertical="top"/>
    </xf>
    <xf numFmtId="4" fontId="13" fillId="0" borderId="27" xfId="0" applyNumberFormat="1" applyFont="1" applyBorder="1" applyAlignment="1">
      <alignment horizontal="center" vertical="center"/>
    </xf>
    <xf numFmtId="4" fontId="36" fillId="0" borderId="12" xfId="12" applyNumberFormat="1" applyFont="1" applyBorder="1" applyAlignment="1">
      <alignment wrapText="1"/>
    </xf>
    <xf numFmtId="164" fontId="45" fillId="0" borderId="12" xfId="2" applyFont="1" applyBorder="1"/>
    <xf numFmtId="4" fontId="45" fillId="0" borderId="12" xfId="12" applyNumberFormat="1" applyFont="1" applyBorder="1"/>
    <xf numFmtId="0" fontId="45" fillId="0" borderId="12" xfId="12" applyFont="1" applyBorder="1"/>
    <xf numFmtId="164" fontId="45" fillId="0" borderId="24" xfId="1" applyFont="1" applyBorder="1"/>
    <xf numFmtId="164" fontId="46" fillId="2" borderId="32" xfId="1" applyFont="1" applyFill="1" applyBorder="1"/>
    <xf numFmtId="164" fontId="46" fillId="2" borderId="24" xfId="1" applyFont="1" applyFill="1" applyBorder="1"/>
    <xf numFmtId="0" fontId="45" fillId="0" borderId="0" xfId="12" applyFont="1"/>
    <xf numFmtId="43" fontId="45" fillId="0" borderId="0" xfId="12" applyNumberFormat="1" applyFont="1"/>
    <xf numFmtId="4" fontId="12" fillId="0" borderId="11" xfId="0" applyNumberFormat="1" applyFont="1" applyFill="1" applyBorder="1" applyAlignment="1">
      <alignment horizontal="center" vertical="top"/>
    </xf>
    <xf numFmtId="4" fontId="12" fillId="0" borderId="13" xfId="0" applyNumberFormat="1" applyFont="1" applyFill="1" applyBorder="1" applyAlignment="1">
      <alignment vertical="top" wrapText="1"/>
    </xf>
    <xf numFmtId="4" fontId="12" fillId="0" borderId="13" xfId="0" applyNumberFormat="1" applyFont="1" applyFill="1" applyBorder="1" applyAlignment="1">
      <alignment horizontal="right" vertical="top" wrapText="1"/>
    </xf>
    <xf numFmtId="4" fontId="12" fillId="0" borderId="13" xfId="0" applyNumberFormat="1" applyFont="1" applyFill="1" applyBorder="1" applyAlignment="1">
      <alignment horizontal="center" vertical="top"/>
    </xf>
    <xf numFmtId="4" fontId="12" fillId="0" borderId="15" xfId="0" applyNumberFormat="1" applyFont="1" applyFill="1" applyBorder="1" applyAlignment="1">
      <alignment horizontal="right" vertical="top"/>
    </xf>
    <xf numFmtId="4" fontId="12" fillId="0" borderId="0" xfId="0" applyNumberFormat="1" applyFont="1" applyFill="1" applyAlignment="1">
      <alignment vertical="top"/>
    </xf>
    <xf numFmtId="0" fontId="36" fillId="0" borderId="12" xfId="12" applyFont="1" applyBorder="1" applyAlignment="1">
      <alignment wrapText="1"/>
    </xf>
    <xf numFmtId="164" fontId="36" fillId="0" borderId="24" xfId="2" applyFont="1" applyBorder="1"/>
    <xf numFmtId="0" fontId="36" fillId="0" borderId="24" xfId="12" applyFont="1" applyBorder="1"/>
    <xf numFmtId="164" fontId="38" fillId="2" borderId="12" xfId="1" applyFont="1" applyFill="1" applyBorder="1"/>
    <xf numFmtId="164" fontId="38" fillId="2" borderId="12" xfId="1" applyFont="1" applyFill="1" applyBorder="1" applyAlignment="1">
      <alignment vertical="center"/>
    </xf>
    <xf numFmtId="4" fontId="12" fillId="0" borderId="28" xfId="0" applyNumberFormat="1" applyFont="1" applyBorder="1" applyAlignment="1">
      <alignment horizontal="left" vertical="top" wrapText="1"/>
    </xf>
    <xf numFmtId="4" fontId="12" fillId="0" borderId="22" xfId="0" applyNumberFormat="1" applyFont="1" applyBorder="1" applyAlignment="1">
      <alignment horizontal="justify" vertical="top" wrapText="1"/>
    </xf>
    <xf numFmtId="0" fontId="12" fillId="0" borderId="55" xfId="29" applyFont="1" applyBorder="1" applyAlignment="1">
      <alignment horizontal="left" vertical="top" wrapText="1"/>
    </xf>
    <xf numFmtId="4" fontId="12" fillId="0" borderId="28" xfId="0" applyNumberFormat="1" applyFont="1" applyBorder="1" applyAlignment="1">
      <alignment horizontal="center" vertical="center" wrapText="1"/>
    </xf>
    <xf numFmtId="4" fontId="12" fillId="0" borderId="0" xfId="0" applyNumberFormat="1" applyFont="1" applyBorder="1" applyAlignment="1">
      <alignment vertical="top"/>
    </xf>
    <xf numFmtId="0" fontId="12" fillId="0" borderId="22" xfId="29" applyFont="1" applyBorder="1" applyAlignment="1">
      <alignment horizontal="left" vertical="top" wrapText="1"/>
    </xf>
    <xf numFmtId="43" fontId="12" fillId="0" borderId="23" xfId="30" applyNumberFormat="1" applyFont="1" applyFill="1" applyBorder="1" applyAlignment="1">
      <alignment horizontal="center" vertical="center" wrapText="1"/>
    </xf>
    <xf numFmtId="2" fontId="12" fillId="3" borderId="21" xfId="4" applyNumberFormat="1" applyFont="1" applyFill="1" applyBorder="1" applyAlignment="1">
      <alignment horizontal="left" vertical="center" wrapText="1"/>
    </xf>
    <xf numFmtId="2" fontId="12" fillId="3" borderId="28" xfId="4" applyNumberFormat="1" applyFont="1" applyFill="1" applyBorder="1" applyAlignment="1">
      <alignment horizontal="left" vertical="center" wrapText="1"/>
    </xf>
    <xf numFmtId="4" fontId="12" fillId="3" borderId="28" xfId="27" applyNumberFormat="1" applyFont="1" applyFill="1" applyBorder="1" applyAlignment="1">
      <alignment horizontal="center" vertical="center"/>
    </xf>
    <xf numFmtId="2" fontId="12" fillId="3" borderId="21" xfId="4" applyNumberFormat="1" applyFont="1" applyFill="1" applyBorder="1" applyAlignment="1">
      <alignment horizontal="left" vertical="top" wrapText="1"/>
    </xf>
    <xf numFmtId="2" fontId="12" fillId="3" borderId="28" xfId="4" applyNumberFormat="1" applyFont="1" applyFill="1" applyBorder="1" applyAlignment="1">
      <alignment horizontal="left" vertical="top" wrapText="1"/>
    </xf>
    <xf numFmtId="164" fontId="13" fillId="0" borderId="6" xfId="1" applyFont="1" applyFill="1" applyBorder="1" applyAlignment="1">
      <alignment horizontal="center" vertical="center"/>
    </xf>
    <xf numFmtId="2" fontId="13" fillId="0" borderId="7" xfId="0" applyNumberFormat="1" applyFont="1" applyBorder="1" applyAlignment="1">
      <alignment horizontal="center" vertical="center"/>
    </xf>
    <xf numFmtId="2" fontId="13" fillId="0" borderId="7" xfId="0" applyNumberFormat="1" applyFont="1" applyBorder="1" applyAlignment="1">
      <alignment horizontal="center" vertical="center" wrapText="1"/>
    </xf>
    <xf numFmtId="164" fontId="13" fillId="0" borderId="8" xfId="1" applyFont="1" applyFill="1" applyBorder="1" applyAlignment="1">
      <alignment horizontal="center" vertical="center"/>
    </xf>
    <xf numFmtId="0" fontId="49" fillId="0" borderId="0" xfId="15" applyFont="1"/>
    <xf numFmtId="0" fontId="49" fillId="5" borderId="0" xfId="33" applyFont="1" applyFill="1"/>
    <xf numFmtId="0" fontId="49" fillId="5" borderId="0" xfId="15" applyFont="1" applyFill="1"/>
    <xf numFmtId="164" fontId="51" fillId="5" borderId="0" xfId="34" applyNumberFormat="1" applyFont="1" applyFill="1" applyAlignment="1">
      <alignment horizontal="left"/>
    </xf>
    <xf numFmtId="164" fontId="51" fillId="5" borderId="0" xfId="34" applyNumberFormat="1" applyFont="1" applyFill="1" applyAlignment="1">
      <alignment horizontal="center"/>
    </xf>
    <xf numFmtId="164" fontId="50" fillId="5" borderId="0" xfId="34" applyNumberFormat="1" applyFont="1" applyFill="1" applyAlignment="1">
      <alignment horizontal="center"/>
    </xf>
    <xf numFmtId="164" fontId="51" fillId="5" borderId="12" xfId="34" applyNumberFormat="1" applyFont="1" applyFill="1" applyBorder="1"/>
    <xf numFmtId="164" fontId="50" fillId="5" borderId="12" xfId="34" applyNumberFormat="1" applyFont="1" applyFill="1" applyBorder="1" applyAlignment="1">
      <alignment horizontal="center"/>
    </xf>
    <xf numFmtId="164" fontId="52" fillId="5" borderId="13" xfId="34" applyNumberFormat="1" applyFont="1" applyFill="1" applyBorder="1"/>
    <xf numFmtId="164" fontId="52" fillId="5" borderId="13" xfId="34" applyNumberFormat="1" applyFont="1" applyFill="1" applyBorder="1" applyAlignment="1">
      <alignment horizontal="left"/>
    </xf>
    <xf numFmtId="164" fontId="52" fillId="5" borderId="13" xfId="34" applyNumberFormat="1" applyFont="1" applyFill="1" applyBorder="1" applyAlignment="1">
      <alignment horizontal="center"/>
    </xf>
    <xf numFmtId="164" fontId="53" fillId="5" borderId="0" xfId="34" applyNumberFormat="1" applyFont="1" applyFill="1" applyAlignment="1">
      <alignment horizontal="center"/>
    </xf>
    <xf numFmtId="0" fontId="54" fillId="5" borderId="0" xfId="15" applyFont="1" applyFill="1"/>
    <xf numFmtId="164" fontId="52" fillId="5" borderId="13" xfId="34" applyNumberFormat="1" applyFont="1" applyFill="1" applyBorder="1" applyAlignment="1">
      <alignment vertical="center"/>
    </xf>
    <xf numFmtId="164" fontId="52" fillId="5" borderId="13" xfId="34" applyNumberFormat="1" applyFont="1" applyFill="1" applyBorder="1" applyAlignment="1">
      <alignment horizontal="left" vertical="center" wrapText="1"/>
    </xf>
    <xf numFmtId="164" fontId="52" fillId="5" borderId="13" xfId="34" applyNumberFormat="1" applyFont="1" applyFill="1" applyBorder="1" applyAlignment="1">
      <alignment horizontal="center" vertical="center"/>
    </xf>
    <xf numFmtId="164" fontId="53" fillId="5" borderId="0" xfId="34" applyNumberFormat="1" applyFont="1" applyFill="1" applyAlignment="1">
      <alignment horizontal="center" vertical="center"/>
    </xf>
    <xf numFmtId="0" fontId="54" fillId="5" borderId="0" xfId="15" applyFont="1" applyFill="1" applyAlignment="1">
      <alignment vertical="center"/>
    </xf>
    <xf numFmtId="164" fontId="52" fillId="5" borderId="12" xfId="34" applyNumberFormat="1" applyFont="1" applyFill="1" applyBorder="1" applyAlignment="1">
      <alignment horizontal="center"/>
    </xf>
    <xf numFmtId="0" fontId="54" fillId="5" borderId="1" xfId="15" applyFont="1" applyFill="1" applyBorder="1" applyAlignment="1">
      <alignment horizontal="center"/>
    </xf>
    <xf numFmtId="0" fontId="54" fillId="5" borderId="2" xfId="15" applyFont="1" applyFill="1" applyBorder="1"/>
    <xf numFmtId="0" fontId="54" fillId="5" borderId="2" xfId="15" applyFont="1" applyFill="1" applyBorder="1" applyAlignment="1">
      <alignment horizontal="center"/>
    </xf>
    <xf numFmtId="0" fontId="54" fillId="5" borderId="3" xfId="15" applyFont="1" applyFill="1" applyBorder="1"/>
    <xf numFmtId="0" fontId="54" fillId="5" borderId="4" xfId="15" applyFont="1" applyFill="1" applyBorder="1" applyAlignment="1">
      <alignment horizontal="center"/>
    </xf>
    <xf numFmtId="0" fontId="54" fillId="5" borderId="0" xfId="15" applyFont="1" applyFill="1" applyBorder="1"/>
    <xf numFmtId="0" fontId="54" fillId="5" borderId="0" xfId="15" applyFont="1" applyFill="1" applyBorder="1" applyAlignment="1">
      <alignment horizontal="center"/>
    </xf>
    <xf numFmtId="0" fontId="54" fillId="5" borderId="5" xfId="15" applyFont="1" applyFill="1" applyBorder="1"/>
    <xf numFmtId="0" fontId="54" fillId="5" borderId="59" xfId="15" applyFont="1" applyFill="1" applyBorder="1" applyAlignment="1">
      <alignment horizontal="center"/>
    </xf>
    <xf numFmtId="0" fontId="54" fillId="5" borderId="12" xfId="15" applyFont="1" applyFill="1" applyBorder="1" applyAlignment="1">
      <alignment horizontal="center"/>
    </xf>
    <xf numFmtId="0" fontId="54" fillId="5" borderId="60" xfId="15" applyFont="1" applyFill="1" applyBorder="1" applyAlignment="1">
      <alignment horizontal="center"/>
    </xf>
    <xf numFmtId="0" fontId="54" fillId="5" borderId="0" xfId="15" applyFont="1" applyFill="1" applyAlignment="1">
      <alignment horizontal="center"/>
    </xf>
    <xf numFmtId="0" fontId="54" fillId="5" borderId="52" xfId="15" applyFont="1" applyFill="1" applyBorder="1" applyAlignment="1">
      <alignment horizontal="center"/>
    </xf>
    <xf numFmtId="0" fontId="54" fillId="5" borderId="24" xfId="15" applyFont="1" applyFill="1" applyBorder="1"/>
    <xf numFmtId="0" fontId="54" fillId="5" borderId="24" xfId="15" applyFont="1" applyFill="1" applyBorder="1" applyAlignment="1">
      <alignment horizontal="center"/>
    </xf>
    <xf numFmtId="164" fontId="54" fillId="5" borderId="24" xfId="35" applyFont="1" applyFill="1" applyBorder="1"/>
    <xf numFmtId="0" fontId="54" fillId="5" borderId="53" xfId="15" applyFont="1" applyFill="1" applyBorder="1"/>
    <xf numFmtId="0" fontId="54" fillId="5" borderId="11" xfId="15" applyFont="1" applyFill="1" applyBorder="1" applyAlignment="1">
      <alignment horizontal="center"/>
    </xf>
    <xf numFmtId="0" fontId="54" fillId="5" borderId="13" xfId="15" applyFont="1" applyFill="1" applyBorder="1"/>
    <xf numFmtId="0" fontId="54" fillId="5" borderId="13" xfId="15" applyFont="1" applyFill="1" applyBorder="1" applyAlignment="1">
      <alignment horizontal="center"/>
    </xf>
    <xf numFmtId="164" fontId="54" fillId="5" borderId="13" xfId="35" applyFont="1" applyFill="1" applyBorder="1"/>
    <xf numFmtId="0" fontId="54" fillId="5" borderId="15" xfId="15" applyFont="1" applyFill="1" applyBorder="1"/>
    <xf numFmtId="0" fontId="54" fillId="5" borderId="61" xfId="15" applyFont="1" applyFill="1" applyBorder="1" applyAlignment="1">
      <alignment horizontal="center"/>
    </xf>
    <xf numFmtId="0" fontId="54" fillId="5" borderId="25" xfId="15" applyFont="1" applyFill="1" applyBorder="1"/>
    <xf numFmtId="0" fontId="54" fillId="5" borderId="25" xfId="15" applyFont="1" applyFill="1" applyBorder="1" applyAlignment="1">
      <alignment horizontal="center"/>
    </xf>
    <xf numFmtId="164" fontId="54" fillId="5" borderId="25" xfId="35" applyFont="1" applyFill="1" applyBorder="1"/>
    <xf numFmtId="0" fontId="54" fillId="5" borderId="62" xfId="15" applyFont="1" applyFill="1" applyBorder="1"/>
    <xf numFmtId="164" fontId="54" fillId="5" borderId="12" xfId="35" applyFont="1" applyFill="1" applyBorder="1" applyAlignment="1">
      <alignment horizontal="center"/>
    </xf>
    <xf numFmtId="164" fontId="54" fillId="5" borderId="15" xfId="35" applyFont="1" applyFill="1" applyBorder="1"/>
    <xf numFmtId="164" fontId="54" fillId="5" borderId="62" xfId="35" applyFont="1" applyFill="1" applyBorder="1"/>
    <xf numFmtId="164" fontId="54" fillId="5" borderId="60" xfId="35" applyFont="1" applyFill="1" applyBorder="1" applyAlignment="1">
      <alignment horizontal="center"/>
    </xf>
    <xf numFmtId="9" fontId="54" fillId="5" borderId="13" xfId="36" applyFont="1" applyFill="1" applyBorder="1" applyAlignment="1">
      <alignment horizontal="center"/>
    </xf>
    <xf numFmtId="0" fontId="54" fillId="5" borderId="63" xfId="15" applyFont="1" applyFill="1" applyBorder="1" applyAlignment="1">
      <alignment horizontal="center"/>
    </xf>
    <xf numFmtId="0" fontId="54" fillId="5" borderId="57" xfId="15" applyFont="1" applyFill="1" applyBorder="1"/>
    <xf numFmtId="164" fontId="54" fillId="5" borderId="12" xfId="35" applyFont="1" applyFill="1" applyBorder="1"/>
    <xf numFmtId="0" fontId="54" fillId="5" borderId="64" xfId="15" applyFont="1" applyFill="1" applyBorder="1"/>
    <xf numFmtId="164" fontId="54" fillId="5" borderId="0" xfId="35" applyFont="1" applyFill="1" applyBorder="1"/>
    <xf numFmtId="0" fontId="54" fillId="5" borderId="51" xfId="15" applyFont="1" applyFill="1" applyBorder="1" applyAlignment="1">
      <alignment horizontal="center"/>
    </xf>
    <xf numFmtId="0" fontId="54" fillId="5" borderId="56" xfId="15" applyFont="1" applyFill="1" applyBorder="1"/>
    <xf numFmtId="164" fontId="54" fillId="5" borderId="65" xfId="35" applyFont="1" applyFill="1" applyBorder="1"/>
    <xf numFmtId="0" fontId="54" fillId="5" borderId="50" xfId="15" applyFont="1" applyFill="1" applyBorder="1"/>
    <xf numFmtId="0" fontId="54" fillId="6" borderId="0" xfId="15" applyFont="1" applyFill="1" applyAlignment="1">
      <alignment horizontal="center"/>
    </xf>
    <xf numFmtId="0" fontId="54" fillId="6" borderId="0" xfId="15" applyFont="1" applyFill="1"/>
    <xf numFmtId="0" fontId="49" fillId="6" borderId="0" xfId="15" applyFont="1" applyFill="1"/>
    <xf numFmtId="0" fontId="49" fillId="6" borderId="0" xfId="33" applyFont="1" applyFill="1"/>
    <xf numFmtId="164" fontId="51" fillId="6" borderId="0" xfId="34" applyNumberFormat="1" applyFont="1" applyFill="1" applyAlignment="1">
      <alignment horizontal="left"/>
    </xf>
    <xf numFmtId="164" fontId="51" fillId="6" borderId="0" xfId="34" applyNumberFormat="1" applyFont="1" applyFill="1" applyAlignment="1">
      <alignment horizontal="center"/>
    </xf>
    <xf numFmtId="164" fontId="50" fillId="6" borderId="0" xfId="34" applyNumberFormat="1" applyFont="1" applyFill="1" applyAlignment="1">
      <alignment horizontal="center"/>
    </xf>
    <xf numFmtId="164" fontId="51" fillId="6" borderId="12" xfId="34" applyNumberFormat="1" applyFont="1" applyFill="1" applyBorder="1"/>
    <xf numFmtId="164" fontId="50" fillId="6" borderId="12" xfId="34" applyNumberFormat="1" applyFont="1" applyFill="1" applyBorder="1" applyAlignment="1">
      <alignment horizontal="center"/>
    </xf>
    <xf numFmtId="164" fontId="52" fillId="6" borderId="13" xfId="34" applyNumberFormat="1" applyFont="1" applyFill="1" applyBorder="1"/>
    <xf numFmtId="164" fontId="52" fillId="6" borderId="13" xfId="34" applyNumberFormat="1" applyFont="1" applyFill="1" applyBorder="1" applyAlignment="1">
      <alignment horizontal="left"/>
    </xf>
    <xf numFmtId="164" fontId="52" fillId="6" borderId="13" xfId="34" applyNumberFormat="1" applyFont="1" applyFill="1" applyBorder="1" applyAlignment="1">
      <alignment horizontal="center"/>
    </xf>
    <xf numFmtId="164" fontId="53" fillId="6" borderId="0" xfId="34" applyNumberFormat="1" applyFont="1" applyFill="1" applyAlignment="1">
      <alignment horizontal="center"/>
    </xf>
    <xf numFmtId="164" fontId="52" fillId="6" borderId="13" xfId="34" applyNumberFormat="1" applyFont="1" applyFill="1" applyBorder="1" applyAlignment="1">
      <alignment vertical="center"/>
    </xf>
    <xf numFmtId="164" fontId="52" fillId="6" borderId="13" xfId="34" applyNumberFormat="1" applyFont="1" applyFill="1" applyBorder="1" applyAlignment="1">
      <alignment horizontal="left" vertical="center" wrapText="1"/>
    </xf>
    <xf numFmtId="164" fontId="52" fillId="6" borderId="13" xfId="34" applyNumberFormat="1" applyFont="1" applyFill="1" applyBorder="1" applyAlignment="1">
      <alignment horizontal="center" vertical="center"/>
    </xf>
    <xf numFmtId="164" fontId="53" fillId="6" borderId="0" xfId="34" applyNumberFormat="1" applyFont="1" applyFill="1" applyAlignment="1">
      <alignment horizontal="center" vertical="center"/>
    </xf>
    <xf numFmtId="0" fontId="54" fillId="6" borderId="0" xfId="15" applyFont="1" applyFill="1" applyAlignment="1">
      <alignment vertical="center"/>
    </xf>
    <xf numFmtId="164" fontId="52" fillId="6" borderId="12" xfId="34" applyNumberFormat="1" applyFont="1" applyFill="1" applyBorder="1" applyAlignment="1">
      <alignment horizontal="center"/>
    </xf>
    <xf numFmtId="0" fontId="54" fillId="6" borderId="1" xfId="15" applyFont="1" applyFill="1" applyBorder="1" applyAlignment="1">
      <alignment horizontal="center"/>
    </xf>
    <xf numFmtId="0" fontId="54" fillId="6" borderId="2" xfId="15" applyFont="1" applyFill="1" applyBorder="1"/>
    <xf numFmtId="0" fontId="54" fillId="6" borderId="2" xfId="15" applyFont="1" applyFill="1" applyBorder="1" applyAlignment="1">
      <alignment horizontal="center"/>
    </xf>
    <xf numFmtId="0" fontId="54" fillId="6" borderId="3" xfId="15" applyFont="1" applyFill="1" applyBorder="1"/>
    <xf numFmtId="0" fontId="54" fillId="6" borderId="4" xfId="15" applyFont="1" applyFill="1" applyBorder="1" applyAlignment="1">
      <alignment horizontal="center"/>
    </xf>
    <xf numFmtId="0" fontId="54" fillId="6" borderId="0" xfId="15" applyFont="1" applyFill="1" applyBorder="1"/>
    <xf numFmtId="0" fontId="54" fillId="6" borderId="0" xfId="15" applyFont="1" applyFill="1" applyBorder="1" applyAlignment="1">
      <alignment horizontal="center"/>
    </xf>
    <xf numFmtId="0" fontId="54" fillId="6" borderId="5" xfId="15" applyFont="1" applyFill="1" applyBorder="1"/>
    <xf numFmtId="0" fontId="54" fillId="6" borderId="59" xfId="15" applyFont="1" applyFill="1" applyBorder="1" applyAlignment="1">
      <alignment horizontal="center"/>
    </xf>
    <xf numFmtId="0" fontId="54" fillId="6" borderId="12" xfId="15" applyFont="1" applyFill="1" applyBorder="1" applyAlignment="1">
      <alignment horizontal="center"/>
    </xf>
    <xf numFmtId="0" fontId="54" fillId="6" borderId="60" xfId="15" applyFont="1" applyFill="1" applyBorder="1" applyAlignment="1">
      <alignment horizontal="center"/>
    </xf>
    <xf numFmtId="0" fontId="54" fillId="6" borderId="52" xfId="15" applyFont="1" applyFill="1" applyBorder="1" applyAlignment="1">
      <alignment horizontal="center"/>
    </xf>
    <xf numFmtId="0" fontId="54" fillId="6" borderId="24" xfId="15" applyFont="1" applyFill="1" applyBorder="1"/>
    <xf numFmtId="0" fontId="54" fillId="6" borderId="24" xfId="15" applyFont="1" applyFill="1" applyBorder="1" applyAlignment="1">
      <alignment horizontal="center"/>
    </xf>
    <xf numFmtId="164" fontId="54" fillId="6" borderId="24" xfId="35" applyFont="1" applyFill="1" applyBorder="1"/>
    <xf numFmtId="0" fontId="54" fillId="6" borderId="53" xfId="15" applyFont="1" applyFill="1" applyBorder="1"/>
    <xf numFmtId="0" fontId="54" fillId="6" borderId="11" xfId="15" applyFont="1" applyFill="1" applyBorder="1" applyAlignment="1">
      <alignment horizontal="center" vertical="center"/>
    </xf>
    <xf numFmtId="0" fontId="54" fillId="6" borderId="13" xfId="15" applyFont="1" applyFill="1" applyBorder="1" applyAlignment="1">
      <alignment horizontal="left" vertical="center" wrapText="1"/>
    </xf>
    <xf numFmtId="0" fontId="54" fillId="6" borderId="13" xfId="15" applyFont="1" applyFill="1" applyBorder="1" applyAlignment="1">
      <alignment horizontal="center" vertical="center"/>
    </xf>
    <xf numFmtId="164" fontId="54" fillId="6" borderId="13" xfId="35" applyFont="1" applyFill="1" applyBorder="1" applyAlignment="1">
      <alignment vertical="center"/>
    </xf>
    <xf numFmtId="0" fontId="54" fillId="6" borderId="15" xfId="15" applyFont="1" applyFill="1" applyBorder="1" applyAlignment="1">
      <alignment vertical="center"/>
    </xf>
    <xf numFmtId="0" fontId="54" fillId="6" borderId="11" xfId="15" applyFont="1" applyFill="1" applyBorder="1" applyAlignment="1">
      <alignment horizontal="center" vertical="top"/>
    </xf>
    <xf numFmtId="0" fontId="54" fillId="6" borderId="13" xfId="15" applyFont="1" applyFill="1" applyBorder="1" applyAlignment="1">
      <alignment horizontal="left" vertical="top" wrapText="1"/>
    </xf>
    <xf numFmtId="0" fontId="54" fillId="6" borderId="13" xfId="15" applyFont="1" applyFill="1" applyBorder="1" applyAlignment="1">
      <alignment horizontal="center" vertical="top"/>
    </xf>
    <xf numFmtId="164" fontId="54" fillId="6" borderId="13" xfId="35" applyFont="1" applyFill="1" applyBorder="1" applyAlignment="1">
      <alignment vertical="top"/>
    </xf>
    <xf numFmtId="0" fontId="54" fillId="6" borderId="15" xfId="15" applyFont="1" applyFill="1" applyBorder="1" applyAlignment="1">
      <alignment vertical="top"/>
    </xf>
    <xf numFmtId="0" fontId="54" fillId="6" borderId="0" xfId="15" applyFont="1" applyFill="1" applyAlignment="1">
      <alignment vertical="top"/>
    </xf>
    <xf numFmtId="0" fontId="54" fillId="6" borderId="61" xfId="15" applyFont="1" applyFill="1" applyBorder="1" applyAlignment="1">
      <alignment horizontal="center"/>
    </xf>
    <xf numFmtId="0" fontId="54" fillId="6" borderId="25" xfId="15" applyFont="1" applyFill="1" applyBorder="1"/>
    <xf numFmtId="0" fontId="54" fillId="6" borderId="25" xfId="15" applyFont="1" applyFill="1" applyBorder="1" applyAlignment="1">
      <alignment horizontal="center"/>
    </xf>
    <xf numFmtId="164" fontId="54" fillId="6" borderId="25" xfId="35" applyFont="1" applyFill="1" applyBorder="1"/>
    <xf numFmtId="0" fontId="54" fillId="6" borderId="62" xfId="15" applyFont="1" applyFill="1" applyBorder="1"/>
    <xf numFmtId="164" fontId="54" fillId="6" borderId="12" xfId="35" applyFont="1" applyFill="1" applyBorder="1" applyAlignment="1">
      <alignment horizontal="center"/>
    </xf>
    <xf numFmtId="0" fontId="54" fillId="6" borderId="11" xfId="15" applyFont="1" applyFill="1" applyBorder="1" applyAlignment="1">
      <alignment horizontal="center"/>
    </xf>
    <xf numFmtId="0" fontId="54" fillId="6" borderId="13" xfId="15" applyFont="1" applyFill="1" applyBorder="1"/>
    <xf numFmtId="0" fontId="54" fillId="6" borderId="13" xfId="15" applyFont="1" applyFill="1" applyBorder="1" applyAlignment="1">
      <alignment horizontal="center"/>
    </xf>
    <xf numFmtId="164" fontId="54" fillId="6" borderId="13" xfId="35" applyFont="1" applyFill="1" applyBorder="1"/>
    <xf numFmtId="164" fontId="54" fillId="6" borderId="15" xfId="35" applyFont="1" applyFill="1" applyBorder="1"/>
    <xf numFmtId="164" fontId="54" fillId="6" borderId="62" xfId="35" applyFont="1" applyFill="1" applyBorder="1"/>
    <xf numFmtId="164" fontId="54" fillId="6" borderId="60" xfId="35" applyFont="1" applyFill="1" applyBorder="1" applyAlignment="1">
      <alignment horizontal="center"/>
    </xf>
    <xf numFmtId="0" fontId="54" fillId="6" borderId="15" xfId="15" applyFont="1" applyFill="1" applyBorder="1"/>
    <xf numFmtId="9" fontId="54" fillId="6" borderId="13" xfId="36" applyFont="1" applyFill="1" applyBorder="1" applyAlignment="1">
      <alignment horizontal="center"/>
    </xf>
    <xf numFmtId="0" fontId="54" fillId="6" borderId="63" xfId="15" applyFont="1" applyFill="1" applyBorder="1" applyAlignment="1">
      <alignment horizontal="center"/>
    </xf>
    <xf numFmtId="0" fontId="54" fillId="6" borderId="57" xfId="15" applyFont="1" applyFill="1" applyBorder="1"/>
    <xf numFmtId="164" fontId="54" fillId="6" borderId="12" xfId="35" applyFont="1" applyFill="1" applyBorder="1"/>
    <xf numFmtId="0" fontId="54" fillId="6" borderId="64" xfId="15" applyFont="1" applyFill="1" applyBorder="1"/>
    <xf numFmtId="164" fontId="54" fillId="6" borderId="0" xfId="35" applyFont="1" applyFill="1" applyBorder="1"/>
    <xf numFmtId="0" fontId="54" fillId="6" borderId="57" xfId="15" applyFont="1" applyFill="1" applyBorder="1" applyAlignment="1">
      <alignment horizontal="left"/>
    </xf>
    <xf numFmtId="0" fontId="54" fillId="6" borderId="0" xfId="15" applyFont="1" applyFill="1" applyBorder="1" applyAlignment="1">
      <alignment horizontal="right"/>
    </xf>
    <xf numFmtId="0" fontId="54" fillId="6" borderId="0" xfId="15" applyFont="1" applyFill="1" applyBorder="1" applyAlignment="1">
      <alignment horizontal="left"/>
    </xf>
    <xf numFmtId="0" fontId="54" fillId="6" borderId="51" xfId="15" applyFont="1" applyFill="1" applyBorder="1" applyAlignment="1">
      <alignment horizontal="center"/>
    </xf>
    <xf numFmtId="0" fontId="54" fillId="6" borderId="56" xfId="15" applyFont="1" applyFill="1" applyBorder="1"/>
    <xf numFmtId="0" fontId="54" fillId="6" borderId="56" xfId="15" applyFont="1" applyFill="1" applyBorder="1" applyAlignment="1">
      <alignment horizontal="left"/>
    </xf>
    <xf numFmtId="164" fontId="54" fillId="6" borderId="65" xfId="35" applyFont="1" applyFill="1" applyBorder="1"/>
    <xf numFmtId="0" fontId="54" fillId="6" borderId="50" xfId="15" applyFont="1" applyFill="1" applyBorder="1"/>
    <xf numFmtId="0" fontId="54" fillId="0" borderId="0" xfId="15" applyFont="1"/>
    <xf numFmtId="0" fontId="54" fillId="7" borderId="1" xfId="15" applyFont="1" applyFill="1" applyBorder="1" applyAlignment="1">
      <alignment horizontal="center"/>
    </xf>
    <xf numFmtId="0" fontId="54" fillId="7" borderId="2" xfId="15" applyFont="1" applyFill="1" applyBorder="1"/>
    <xf numFmtId="0" fontId="54" fillId="7" borderId="2" xfId="15" applyFont="1" applyFill="1" applyBorder="1" applyAlignment="1">
      <alignment horizontal="center"/>
    </xf>
    <xf numFmtId="0" fontId="54" fillId="7" borderId="3" xfId="15" applyFont="1" applyFill="1" applyBorder="1"/>
    <xf numFmtId="0" fontId="54" fillId="7" borderId="0" xfId="15" applyFont="1" applyFill="1"/>
    <xf numFmtId="0" fontId="54" fillId="7" borderId="4" xfId="15" applyFont="1" applyFill="1" applyBorder="1" applyAlignment="1">
      <alignment horizontal="center"/>
    </xf>
    <xf numFmtId="0" fontId="54" fillId="7" borderId="0" xfId="15" applyFont="1" applyFill="1" applyBorder="1"/>
    <xf numFmtId="0" fontId="54" fillId="7" borderId="0" xfId="15" applyFont="1" applyFill="1" applyBorder="1" applyAlignment="1">
      <alignment horizontal="center"/>
    </xf>
    <xf numFmtId="0" fontId="54" fillId="7" borderId="5" xfId="15" applyFont="1" applyFill="1" applyBorder="1"/>
    <xf numFmtId="0" fontId="55" fillId="7" borderId="0" xfId="15" applyFont="1" applyFill="1" applyBorder="1" applyAlignment="1"/>
    <xf numFmtId="0" fontId="55" fillId="7" borderId="5" xfId="15" applyFont="1" applyFill="1" applyBorder="1" applyAlignment="1"/>
    <xf numFmtId="0" fontId="54" fillId="7" borderId="59" xfId="15" applyFont="1" applyFill="1" applyBorder="1" applyAlignment="1">
      <alignment horizontal="center"/>
    </xf>
    <xf numFmtId="0" fontId="54" fillId="7" borderId="12" xfId="15" applyFont="1" applyFill="1" applyBorder="1" applyAlignment="1">
      <alignment horizontal="center"/>
    </xf>
    <xf numFmtId="0" fontId="54" fillId="7" borderId="60" xfId="15" applyFont="1" applyFill="1" applyBorder="1" applyAlignment="1">
      <alignment horizontal="center"/>
    </xf>
    <xf numFmtId="0" fontId="54" fillId="7" borderId="52" xfId="15" applyFont="1" applyFill="1" applyBorder="1" applyAlignment="1">
      <alignment horizontal="center"/>
    </xf>
    <xf numFmtId="0" fontId="54" fillId="7" borderId="24" xfId="15" applyFont="1" applyFill="1" applyBorder="1"/>
    <xf numFmtId="0" fontId="54" fillId="7" borderId="24" xfId="15" applyFont="1" applyFill="1" applyBorder="1" applyAlignment="1">
      <alignment horizontal="center"/>
    </xf>
    <xf numFmtId="164" fontId="54" fillId="7" borderId="24" xfId="35" applyFont="1" applyFill="1" applyBorder="1"/>
    <xf numFmtId="0" fontId="54" fillId="7" borderId="53" xfId="15" applyFont="1" applyFill="1" applyBorder="1"/>
    <xf numFmtId="0" fontId="54" fillId="7" borderId="11" xfId="15" applyFont="1" applyFill="1" applyBorder="1" applyAlignment="1">
      <alignment horizontal="center" vertical="center"/>
    </xf>
    <xf numFmtId="0" fontId="54" fillId="7" borderId="13" xfId="15" applyFont="1" applyFill="1" applyBorder="1" applyAlignment="1">
      <alignment horizontal="left" vertical="center" wrapText="1"/>
    </xf>
    <xf numFmtId="0" fontId="54" fillId="7" borderId="13" xfId="15" applyFont="1" applyFill="1" applyBorder="1" applyAlignment="1">
      <alignment horizontal="center" vertical="center"/>
    </xf>
    <xf numFmtId="164" fontId="54" fillId="7" borderId="13" xfId="35" applyFont="1" applyFill="1" applyBorder="1" applyAlignment="1">
      <alignment vertical="center"/>
    </xf>
    <xf numFmtId="0" fontId="54" fillId="7" borderId="15" xfId="15" applyFont="1" applyFill="1" applyBorder="1" applyAlignment="1">
      <alignment vertical="center"/>
    </xf>
    <xf numFmtId="0" fontId="54" fillId="7" borderId="61" xfId="15" applyFont="1" applyFill="1" applyBorder="1" applyAlignment="1">
      <alignment horizontal="center"/>
    </xf>
    <xf numFmtId="0" fontId="54" fillId="7" borderId="25" xfId="15" applyFont="1" applyFill="1" applyBorder="1"/>
    <xf numFmtId="0" fontId="54" fillId="7" borderId="25" xfId="15" applyFont="1" applyFill="1" applyBorder="1" applyAlignment="1">
      <alignment horizontal="center"/>
    </xf>
    <xf numFmtId="164" fontId="54" fillId="7" borderId="25" xfId="35" applyFont="1" applyFill="1" applyBorder="1"/>
    <xf numFmtId="0" fontId="54" fillId="7" borderId="62" xfId="15" applyFont="1" applyFill="1" applyBorder="1"/>
    <xf numFmtId="164" fontId="54" fillId="7" borderId="12" xfId="35" applyFont="1" applyFill="1" applyBorder="1" applyAlignment="1">
      <alignment horizontal="center"/>
    </xf>
    <xf numFmtId="0" fontId="54" fillId="7" borderId="11" xfId="15" applyFont="1" applyFill="1" applyBorder="1" applyAlignment="1">
      <alignment horizontal="center"/>
    </xf>
    <xf numFmtId="0" fontId="54" fillId="7" borderId="13" xfId="15" applyFont="1" applyFill="1" applyBorder="1"/>
    <xf numFmtId="0" fontId="54" fillId="7" borderId="13" xfId="15" applyFont="1" applyFill="1" applyBorder="1" applyAlignment="1">
      <alignment horizontal="center"/>
    </xf>
    <xf numFmtId="164" fontId="54" fillId="7" borderId="13" xfId="35" applyFont="1" applyFill="1" applyBorder="1"/>
    <xf numFmtId="164" fontId="54" fillId="7" borderId="15" xfId="35" applyFont="1" applyFill="1" applyBorder="1"/>
    <xf numFmtId="164" fontId="54" fillId="7" borderId="62" xfId="35" applyFont="1" applyFill="1" applyBorder="1"/>
    <xf numFmtId="164" fontId="54" fillId="7" borderId="60" xfId="35" applyFont="1" applyFill="1" applyBorder="1" applyAlignment="1">
      <alignment horizontal="center"/>
    </xf>
    <xf numFmtId="0" fontId="54" fillId="7" borderId="15" xfId="15" applyFont="1" applyFill="1" applyBorder="1"/>
    <xf numFmtId="164" fontId="54" fillId="7" borderId="13" xfId="35" applyNumberFormat="1" applyFont="1" applyFill="1" applyBorder="1"/>
    <xf numFmtId="9" fontId="54" fillId="7" borderId="13" xfId="36" applyFont="1" applyFill="1" applyBorder="1" applyAlignment="1">
      <alignment horizontal="center"/>
    </xf>
    <xf numFmtId="0" fontId="54" fillId="7" borderId="63" xfId="15" applyFont="1" applyFill="1" applyBorder="1" applyAlignment="1">
      <alignment horizontal="center"/>
    </xf>
    <xf numFmtId="0" fontId="54" fillId="7" borderId="57" xfId="15" applyFont="1" applyFill="1" applyBorder="1"/>
    <xf numFmtId="164" fontId="54" fillId="7" borderId="12" xfId="35" applyFont="1" applyFill="1" applyBorder="1"/>
    <xf numFmtId="0" fontId="54" fillId="7" borderId="64" xfId="15" applyFont="1" applyFill="1" applyBorder="1"/>
    <xf numFmtId="164" fontId="54" fillId="7" borderId="0" xfId="35" applyFont="1" applyFill="1" applyBorder="1"/>
    <xf numFmtId="0" fontId="54" fillId="7" borderId="57" xfId="15" applyFont="1" applyFill="1" applyBorder="1" applyAlignment="1">
      <alignment horizontal="left"/>
    </xf>
    <xf numFmtId="0" fontId="54" fillId="7" borderId="0" xfId="15" applyFont="1" applyFill="1" applyBorder="1" applyAlignment="1">
      <alignment horizontal="right"/>
    </xf>
    <xf numFmtId="0" fontId="54" fillId="7" borderId="0" xfId="15" applyFont="1" applyFill="1" applyBorder="1" applyAlignment="1">
      <alignment horizontal="left"/>
    </xf>
    <xf numFmtId="0" fontId="54" fillId="7" borderId="51" xfId="15" applyFont="1" applyFill="1" applyBorder="1" applyAlignment="1">
      <alignment horizontal="center"/>
    </xf>
    <xf numFmtId="0" fontId="54" fillId="7" borderId="56" xfId="15" applyFont="1" applyFill="1" applyBorder="1"/>
    <xf numFmtId="0" fontId="54" fillId="7" borderId="56" xfId="15" applyFont="1" applyFill="1" applyBorder="1" applyAlignment="1">
      <alignment horizontal="left"/>
    </xf>
    <xf numFmtId="164" fontId="54" fillId="7" borderId="65" xfId="35" applyFont="1" applyFill="1" applyBorder="1"/>
    <xf numFmtId="0" fontId="54" fillId="7" borderId="50" xfId="15" applyFont="1" applyFill="1" applyBorder="1"/>
    <xf numFmtId="0" fontId="54" fillId="8" borderId="1" xfId="15" applyFont="1" applyFill="1" applyBorder="1" applyAlignment="1">
      <alignment horizontal="center"/>
    </xf>
    <xf numFmtId="0" fontId="54" fillId="8" borderId="2" xfId="15" applyFont="1" applyFill="1" applyBorder="1"/>
    <xf numFmtId="0" fontId="54" fillId="8" borderId="2" xfId="15" applyFont="1" applyFill="1" applyBorder="1" applyAlignment="1">
      <alignment horizontal="center"/>
    </xf>
    <xf numFmtId="0" fontId="54" fillId="8" borderId="3" xfId="15" applyFont="1" applyFill="1" applyBorder="1"/>
    <xf numFmtId="0" fontId="54" fillId="8" borderId="0" xfId="15" applyFont="1" applyFill="1"/>
    <xf numFmtId="0" fontId="54" fillId="8" borderId="4" xfId="15" applyFont="1" applyFill="1" applyBorder="1" applyAlignment="1">
      <alignment horizontal="center"/>
    </xf>
    <xf numFmtId="0" fontId="54" fillId="8" borderId="0" xfId="15" applyFont="1" applyFill="1" applyBorder="1"/>
    <xf numFmtId="0" fontId="54" fillId="8" borderId="0" xfId="15" applyFont="1" applyFill="1" applyBorder="1" applyAlignment="1">
      <alignment horizontal="center"/>
    </xf>
    <xf numFmtId="0" fontId="54" fillId="8" borderId="5" xfId="15" applyFont="1" applyFill="1" applyBorder="1"/>
    <xf numFmtId="0" fontId="55" fillId="8" borderId="0" xfId="15" applyFont="1" applyFill="1" applyBorder="1" applyAlignment="1"/>
    <xf numFmtId="0" fontId="55" fillId="8" borderId="5" xfId="15" applyFont="1" applyFill="1" applyBorder="1" applyAlignment="1"/>
    <xf numFmtId="0" fontId="54" fillId="8" borderId="59" xfId="15" applyFont="1" applyFill="1" applyBorder="1" applyAlignment="1">
      <alignment horizontal="center"/>
    </xf>
    <xf numFmtId="0" fontId="54" fillId="8" borderId="12" xfId="15" applyFont="1" applyFill="1" applyBorder="1" applyAlignment="1">
      <alignment horizontal="center"/>
    </xf>
    <xf numFmtId="0" fontId="54" fillId="8" borderId="60" xfId="15" applyFont="1" applyFill="1" applyBorder="1" applyAlignment="1">
      <alignment horizontal="center"/>
    </xf>
    <xf numFmtId="0" fontId="54" fillId="8" borderId="52" xfId="15" applyFont="1" applyFill="1" applyBorder="1" applyAlignment="1">
      <alignment horizontal="center"/>
    </xf>
    <xf numFmtId="0" fontId="54" fillId="8" borderId="24" xfId="15" applyFont="1" applyFill="1" applyBorder="1"/>
    <xf numFmtId="0" fontId="54" fillId="8" borderId="24" xfId="15" applyFont="1" applyFill="1" applyBorder="1" applyAlignment="1">
      <alignment horizontal="center"/>
    </xf>
    <xf numFmtId="164" fontId="54" fillId="8" borderId="24" xfId="35" applyFont="1" applyFill="1" applyBorder="1"/>
    <xf numFmtId="0" fontId="54" fillId="8" borderId="53" xfId="15" applyFont="1" applyFill="1" applyBorder="1"/>
    <xf numFmtId="0" fontId="54" fillId="8" borderId="11" xfId="15" applyFont="1" applyFill="1" applyBorder="1" applyAlignment="1">
      <alignment horizontal="center" vertical="center"/>
    </xf>
    <xf numFmtId="0" fontId="54" fillId="8" borderId="13" xfId="15" applyFont="1" applyFill="1" applyBorder="1" applyAlignment="1">
      <alignment horizontal="left" vertical="center" wrapText="1"/>
    </xf>
    <xf numFmtId="0" fontId="54" fillId="8" borderId="13" xfId="15" applyFont="1" applyFill="1" applyBorder="1" applyAlignment="1">
      <alignment horizontal="center" vertical="center"/>
    </xf>
    <xf numFmtId="164" fontId="54" fillId="8" borderId="13" xfId="35" applyFont="1" applyFill="1" applyBorder="1" applyAlignment="1">
      <alignment vertical="center"/>
    </xf>
    <xf numFmtId="0" fontId="54" fillId="8" borderId="15" xfId="15" applyFont="1" applyFill="1" applyBorder="1" applyAlignment="1">
      <alignment vertical="center"/>
    </xf>
    <xf numFmtId="0" fontId="54" fillId="8" borderId="61" xfId="15" applyFont="1" applyFill="1" applyBorder="1" applyAlignment="1">
      <alignment horizontal="center"/>
    </xf>
    <xf numFmtId="0" fontId="54" fillId="8" borderId="25" xfId="15" applyFont="1" applyFill="1" applyBorder="1"/>
    <xf numFmtId="0" fontId="54" fillId="8" borderId="25" xfId="15" applyFont="1" applyFill="1" applyBorder="1" applyAlignment="1">
      <alignment horizontal="center"/>
    </xf>
    <xf numFmtId="164" fontId="54" fillId="8" borderId="25" xfId="35" applyFont="1" applyFill="1" applyBorder="1"/>
    <xf numFmtId="0" fontId="54" fillId="8" borderId="62" xfId="15" applyFont="1" applyFill="1" applyBorder="1"/>
    <xf numFmtId="164" fontId="54" fillId="8" borderId="12" xfId="35" applyFont="1" applyFill="1" applyBorder="1" applyAlignment="1">
      <alignment horizontal="center"/>
    </xf>
    <xf numFmtId="0" fontId="54" fillId="8" borderId="11" xfId="15" applyFont="1" applyFill="1" applyBorder="1" applyAlignment="1">
      <alignment horizontal="center"/>
    </xf>
    <xf numFmtId="0" fontId="54" fillId="8" borderId="13" xfId="15" applyFont="1" applyFill="1" applyBorder="1"/>
    <xf numFmtId="0" fontId="54" fillId="8" borderId="13" xfId="15" applyFont="1" applyFill="1" applyBorder="1" applyAlignment="1">
      <alignment horizontal="center"/>
    </xf>
    <xf numFmtId="164" fontId="54" fillId="8" borderId="13" xfId="35" applyFont="1" applyFill="1" applyBorder="1"/>
    <xf numFmtId="164" fontId="54" fillId="8" borderId="15" xfId="35" applyFont="1" applyFill="1" applyBorder="1"/>
    <xf numFmtId="164" fontId="54" fillId="8" borderId="62" xfId="35" applyFont="1" applyFill="1" applyBorder="1"/>
    <xf numFmtId="164" fontId="54" fillId="8" borderId="60" xfId="35" applyFont="1" applyFill="1" applyBorder="1" applyAlignment="1">
      <alignment horizontal="center"/>
    </xf>
    <xf numFmtId="0" fontId="54" fillId="8" borderId="15" xfId="15" applyFont="1" applyFill="1" applyBorder="1"/>
    <xf numFmtId="9" fontId="54" fillId="8" borderId="13" xfId="36" applyFont="1" applyFill="1" applyBorder="1" applyAlignment="1">
      <alignment horizontal="center"/>
    </xf>
    <xf numFmtId="0" fontId="54" fillId="8" borderId="63" xfId="15" applyFont="1" applyFill="1" applyBorder="1" applyAlignment="1">
      <alignment horizontal="center"/>
    </xf>
    <xf numFmtId="0" fontId="54" fillId="8" borderId="57" xfId="15" applyFont="1" applyFill="1" applyBorder="1"/>
    <xf numFmtId="164" fontId="54" fillId="8" borderId="12" xfId="35" applyFont="1" applyFill="1" applyBorder="1"/>
    <xf numFmtId="0" fontId="54" fillId="8" borderId="64" xfId="15" applyFont="1" applyFill="1" applyBorder="1"/>
    <xf numFmtId="164" fontId="54" fillId="8" borderId="0" xfId="35" applyFont="1" applyFill="1" applyBorder="1"/>
    <xf numFmtId="0" fontId="54" fillId="8" borderId="57" xfId="15" applyFont="1" applyFill="1" applyBorder="1" applyAlignment="1">
      <alignment horizontal="left"/>
    </xf>
    <xf numFmtId="0" fontId="54" fillId="8" borderId="0" xfId="15" applyFont="1" applyFill="1" applyBorder="1" applyAlignment="1">
      <alignment horizontal="right"/>
    </xf>
    <xf numFmtId="0" fontId="54" fillId="8" borderId="0" xfId="15" applyFont="1" applyFill="1" applyBorder="1" applyAlignment="1">
      <alignment horizontal="left"/>
    </xf>
    <xf numFmtId="0" fontId="54" fillId="8" borderId="51" xfId="15" applyFont="1" applyFill="1" applyBorder="1" applyAlignment="1">
      <alignment horizontal="center"/>
    </xf>
    <xf numFmtId="0" fontId="54" fillId="8" borderId="56" xfId="15" applyFont="1" applyFill="1" applyBorder="1"/>
    <xf numFmtId="0" fontId="54" fillId="8" borderId="56" xfId="15" applyFont="1" applyFill="1" applyBorder="1" applyAlignment="1">
      <alignment horizontal="left"/>
    </xf>
    <xf numFmtId="164" fontId="54" fillId="8" borderId="65" xfId="35" applyFont="1" applyFill="1" applyBorder="1"/>
    <xf numFmtId="0" fontId="54" fillId="8" borderId="50" xfId="15" applyFont="1" applyFill="1" applyBorder="1"/>
    <xf numFmtId="0" fontId="54" fillId="9" borderId="1" xfId="15" applyFont="1" applyFill="1" applyBorder="1" applyAlignment="1">
      <alignment horizontal="center"/>
    </xf>
    <xf numFmtId="0" fontId="54" fillId="9" borderId="2" xfId="15" applyFont="1" applyFill="1" applyBorder="1"/>
    <xf numFmtId="0" fontId="54" fillId="9" borderId="2" xfId="15" applyFont="1" applyFill="1" applyBorder="1" applyAlignment="1">
      <alignment horizontal="center"/>
    </xf>
    <xf numFmtId="0" fontId="54" fillId="9" borderId="3" xfId="15" applyFont="1" applyFill="1" applyBorder="1"/>
    <xf numFmtId="0" fontId="54" fillId="9" borderId="0" xfId="15" applyFont="1" applyFill="1"/>
    <xf numFmtId="0" fontId="54" fillId="9" borderId="4" xfId="15" applyFont="1" applyFill="1" applyBorder="1" applyAlignment="1">
      <alignment horizontal="center"/>
    </xf>
    <xf numFmtId="0" fontId="54" fillId="9" borderId="0" xfId="15" applyFont="1" applyFill="1" applyBorder="1"/>
    <xf numFmtId="0" fontId="54" fillId="9" borderId="0" xfId="15" applyFont="1" applyFill="1" applyBorder="1" applyAlignment="1">
      <alignment horizontal="center"/>
    </xf>
    <xf numFmtId="0" fontId="54" fillId="9" borderId="5" xfId="15" applyFont="1" applyFill="1" applyBorder="1"/>
    <xf numFmtId="0" fontId="55" fillId="9" borderId="0" xfId="15" applyFont="1" applyFill="1" applyBorder="1" applyAlignment="1"/>
    <xf numFmtId="0" fontId="55" fillId="9" borderId="5" xfId="15" applyFont="1" applyFill="1" applyBorder="1" applyAlignment="1"/>
    <xf numFmtId="0" fontId="54" fillId="9" borderId="59" xfId="15" applyFont="1" applyFill="1" applyBorder="1" applyAlignment="1">
      <alignment horizontal="center"/>
    </xf>
    <xf numFmtId="0" fontId="54" fillId="9" borderId="12" xfId="15" applyFont="1" applyFill="1" applyBorder="1" applyAlignment="1">
      <alignment horizontal="center"/>
    </xf>
    <xf numFmtId="0" fontId="54" fillId="9" borderId="60" xfId="15" applyFont="1" applyFill="1" applyBorder="1" applyAlignment="1">
      <alignment horizontal="center"/>
    </xf>
    <xf numFmtId="0" fontId="54" fillId="9" borderId="52" xfId="15" applyFont="1" applyFill="1" applyBorder="1" applyAlignment="1">
      <alignment horizontal="center"/>
    </xf>
    <xf numFmtId="0" fontId="54" fillId="9" borderId="24" xfId="15" applyFont="1" applyFill="1" applyBorder="1"/>
    <xf numFmtId="0" fontId="54" fillId="9" borderId="24" xfId="15" applyFont="1" applyFill="1" applyBorder="1" applyAlignment="1">
      <alignment horizontal="center"/>
    </xf>
    <xf numFmtId="164" fontId="54" fillId="9" borderId="24" xfId="35" applyFont="1" applyFill="1" applyBorder="1"/>
    <xf numFmtId="0" fontId="54" fillId="9" borderId="53" xfId="15" applyFont="1" applyFill="1" applyBorder="1"/>
    <xf numFmtId="0" fontId="54" fillId="9" borderId="11" xfId="15" applyFont="1" applyFill="1" applyBorder="1" applyAlignment="1">
      <alignment horizontal="center" vertical="center"/>
    </xf>
    <xf numFmtId="0" fontId="54" fillId="9" borderId="13" xfId="15" applyFont="1" applyFill="1" applyBorder="1" applyAlignment="1">
      <alignment horizontal="left" vertical="center" wrapText="1"/>
    </xf>
    <xf numFmtId="0" fontId="54" fillId="9" borderId="13" xfId="15" applyFont="1" applyFill="1" applyBorder="1" applyAlignment="1">
      <alignment horizontal="center" vertical="center"/>
    </xf>
    <xf numFmtId="164" fontId="54" fillId="9" borderId="13" xfId="35" applyFont="1" applyFill="1" applyBorder="1" applyAlignment="1">
      <alignment vertical="center"/>
    </xf>
    <xf numFmtId="0" fontId="54" fillId="9" borderId="15" xfId="15" applyFont="1" applyFill="1" applyBorder="1" applyAlignment="1">
      <alignment vertical="center"/>
    </xf>
    <xf numFmtId="0" fontId="54" fillId="9" borderId="61" xfId="15" applyFont="1" applyFill="1" applyBorder="1" applyAlignment="1">
      <alignment horizontal="center"/>
    </xf>
    <xf numFmtId="0" fontId="54" fillId="9" borderId="25" xfId="15" applyFont="1" applyFill="1" applyBorder="1"/>
    <xf numFmtId="0" fontId="54" fillId="9" borderId="25" xfId="15" applyFont="1" applyFill="1" applyBorder="1" applyAlignment="1">
      <alignment horizontal="center"/>
    </xf>
    <xf numFmtId="164" fontId="54" fillId="9" borderId="25" xfId="35" applyFont="1" applyFill="1" applyBorder="1"/>
    <xf numFmtId="0" fontId="54" fillId="9" borderId="62" xfId="15" applyFont="1" applyFill="1" applyBorder="1"/>
    <xf numFmtId="164" fontId="54" fillId="9" borderId="12" xfId="35" applyFont="1" applyFill="1" applyBorder="1" applyAlignment="1">
      <alignment horizontal="center"/>
    </xf>
    <xf numFmtId="0" fontId="54" fillId="9" borderId="11" xfId="15" applyFont="1" applyFill="1" applyBorder="1" applyAlignment="1">
      <alignment horizontal="center"/>
    </xf>
    <xf numFmtId="0" fontId="54" fillId="9" borderId="13" xfId="15" applyFont="1" applyFill="1" applyBorder="1"/>
    <xf numFmtId="0" fontId="54" fillId="9" borderId="13" xfId="15" applyFont="1" applyFill="1" applyBorder="1" applyAlignment="1">
      <alignment horizontal="center"/>
    </xf>
    <xf numFmtId="164" fontId="54" fillId="9" borderId="13" xfId="35" applyFont="1" applyFill="1" applyBorder="1"/>
    <xf numFmtId="164" fontId="54" fillId="9" borderId="15" xfId="35" applyFont="1" applyFill="1" applyBorder="1"/>
    <xf numFmtId="164" fontId="54" fillId="9" borderId="62" xfId="35" applyFont="1" applyFill="1" applyBorder="1"/>
    <xf numFmtId="164" fontId="54" fillId="9" borderId="60" xfId="35" applyFont="1" applyFill="1" applyBorder="1" applyAlignment="1">
      <alignment horizontal="center"/>
    </xf>
    <xf numFmtId="0" fontId="54" fillId="9" borderId="15" xfId="15" applyFont="1" applyFill="1" applyBorder="1"/>
    <xf numFmtId="164" fontId="54" fillId="9" borderId="25" xfId="35" applyFont="1" applyFill="1" applyBorder="1" applyAlignment="1">
      <alignment vertical="center"/>
    </xf>
    <xf numFmtId="9" fontId="54" fillId="9" borderId="13" xfId="36" applyFont="1" applyFill="1" applyBorder="1" applyAlignment="1">
      <alignment horizontal="center"/>
    </xf>
    <xf numFmtId="0" fontId="54" fillId="9" borderId="63" xfId="15" applyFont="1" applyFill="1" applyBorder="1" applyAlignment="1">
      <alignment horizontal="center"/>
    </xf>
    <xf numFmtId="0" fontId="54" fillId="9" borderId="57" xfId="15" applyFont="1" applyFill="1" applyBorder="1"/>
    <xf numFmtId="164" fontId="54" fillId="9" borderId="12" xfId="35" applyFont="1" applyFill="1" applyBorder="1"/>
    <xf numFmtId="0" fontId="54" fillId="9" borderId="64" xfId="15" applyFont="1" applyFill="1" applyBorder="1"/>
    <xf numFmtId="164" fontId="54" fillId="9" borderId="0" xfId="35" applyFont="1" applyFill="1" applyBorder="1"/>
    <xf numFmtId="0" fontId="54" fillId="9" borderId="57" xfId="15" applyFont="1" applyFill="1" applyBorder="1" applyAlignment="1">
      <alignment horizontal="left"/>
    </xf>
    <xf numFmtId="0" fontId="54" fillId="9" borderId="0" xfId="15" applyFont="1" applyFill="1" applyBorder="1" applyAlignment="1">
      <alignment horizontal="right"/>
    </xf>
    <xf numFmtId="0" fontId="54" fillId="9" borderId="0" xfId="15" applyFont="1" applyFill="1" applyBorder="1" applyAlignment="1">
      <alignment horizontal="left"/>
    </xf>
    <xf numFmtId="0" fontId="54" fillId="9" borderId="51" xfId="15" applyFont="1" applyFill="1" applyBorder="1" applyAlignment="1">
      <alignment horizontal="center"/>
    </xf>
    <xf numFmtId="0" fontId="54" fillId="9" borderId="56" xfId="15" applyFont="1" applyFill="1" applyBorder="1"/>
    <xf numFmtId="0" fontId="54" fillId="9" borderId="56" xfId="15" applyFont="1" applyFill="1" applyBorder="1" applyAlignment="1">
      <alignment horizontal="left"/>
    </xf>
    <xf numFmtId="164" fontId="54" fillId="9" borderId="65" xfId="35" applyFont="1" applyFill="1" applyBorder="1"/>
    <xf numFmtId="0" fontId="54" fillId="9" borderId="50" xfId="15" applyFont="1" applyFill="1" applyBorder="1"/>
    <xf numFmtId="0" fontId="54" fillId="10" borderId="1" xfId="15" applyFont="1" applyFill="1" applyBorder="1" applyAlignment="1">
      <alignment horizontal="center"/>
    </xf>
    <xf numFmtId="0" fontId="54" fillId="10" borderId="2" xfId="15" applyFont="1" applyFill="1" applyBorder="1"/>
    <xf numFmtId="0" fontId="54" fillId="10" borderId="2" xfId="15" applyFont="1" applyFill="1" applyBorder="1" applyAlignment="1">
      <alignment horizontal="center"/>
    </xf>
    <xf numFmtId="0" fontId="54" fillId="10" borderId="3" xfId="15" applyFont="1" applyFill="1" applyBorder="1"/>
    <xf numFmtId="0" fontId="54" fillId="10" borderId="0" xfId="15" applyFont="1" applyFill="1"/>
    <xf numFmtId="0" fontId="54" fillId="10" borderId="4" xfId="15" applyFont="1" applyFill="1" applyBorder="1" applyAlignment="1">
      <alignment horizontal="center"/>
    </xf>
    <xf numFmtId="0" fontId="54" fillId="10" borderId="0" xfId="15" applyFont="1" applyFill="1" applyBorder="1"/>
    <xf numFmtId="0" fontId="54" fillId="10" borderId="0" xfId="15" applyFont="1" applyFill="1" applyBorder="1" applyAlignment="1">
      <alignment horizontal="center"/>
    </xf>
    <xf numFmtId="0" fontId="54" fillId="10" borderId="5" xfId="15" applyFont="1" applyFill="1" applyBorder="1"/>
    <xf numFmtId="0" fontId="55" fillId="10" borderId="0" xfId="15" applyFont="1" applyFill="1" applyBorder="1" applyAlignment="1"/>
    <xf numFmtId="0" fontId="55" fillId="10" borderId="5" xfId="15" applyFont="1" applyFill="1" applyBorder="1" applyAlignment="1"/>
    <xf numFmtId="0" fontId="54" fillId="10" borderId="59" xfId="15" applyFont="1" applyFill="1" applyBorder="1" applyAlignment="1">
      <alignment horizontal="center"/>
    </xf>
    <xf numFmtId="0" fontId="54" fillId="10" borderId="12" xfId="15" applyFont="1" applyFill="1" applyBorder="1" applyAlignment="1">
      <alignment horizontal="center"/>
    </xf>
    <xf numFmtId="0" fontId="54" fillId="10" borderId="60" xfId="15" applyFont="1" applyFill="1" applyBorder="1" applyAlignment="1">
      <alignment horizontal="center"/>
    </xf>
    <xf numFmtId="0" fontId="54" fillId="10" borderId="52" xfId="15" applyFont="1" applyFill="1" applyBorder="1" applyAlignment="1">
      <alignment horizontal="center"/>
    </xf>
    <xf numFmtId="0" fontId="54" fillId="10" borderId="24" xfId="15" applyFont="1" applyFill="1" applyBorder="1"/>
    <xf numFmtId="0" fontId="54" fillId="10" borderId="24" xfId="15" applyFont="1" applyFill="1" applyBorder="1" applyAlignment="1">
      <alignment horizontal="center"/>
    </xf>
    <xf numFmtId="164" fontId="54" fillId="10" borderId="24" xfId="35" applyFont="1" applyFill="1" applyBorder="1"/>
    <xf numFmtId="0" fontId="54" fillId="10" borderId="53" xfId="15" applyFont="1" applyFill="1" applyBorder="1"/>
    <xf numFmtId="0" fontId="54" fillId="10" borderId="11" xfId="15" applyFont="1" applyFill="1" applyBorder="1" applyAlignment="1">
      <alignment horizontal="center" vertical="center"/>
    </xf>
    <xf numFmtId="0" fontId="54" fillId="10" borderId="13" xfId="15" applyFont="1" applyFill="1" applyBorder="1" applyAlignment="1">
      <alignment horizontal="left" vertical="center" wrapText="1"/>
    </xf>
    <xf numFmtId="0" fontId="54" fillId="10" borderId="13" xfId="15" applyFont="1" applyFill="1" applyBorder="1" applyAlignment="1">
      <alignment horizontal="center" vertical="center"/>
    </xf>
    <xf numFmtId="164" fontId="54" fillId="10" borderId="13" xfId="35" applyFont="1" applyFill="1" applyBorder="1" applyAlignment="1">
      <alignment vertical="center"/>
    </xf>
    <xf numFmtId="0" fontId="54" fillId="10" borderId="15" xfId="15" applyFont="1" applyFill="1" applyBorder="1" applyAlignment="1">
      <alignment vertical="center"/>
    </xf>
    <xf numFmtId="0" fontId="54" fillId="10" borderId="61" xfId="15" applyFont="1" applyFill="1" applyBorder="1" applyAlignment="1">
      <alignment horizontal="center"/>
    </xf>
    <xf numFmtId="0" fontId="54" fillId="10" borderId="25" xfId="15" applyFont="1" applyFill="1" applyBorder="1"/>
    <xf numFmtId="0" fontId="54" fillId="10" borderId="25" xfId="15" applyFont="1" applyFill="1" applyBorder="1" applyAlignment="1">
      <alignment horizontal="center"/>
    </xf>
    <xf numFmtId="164" fontId="54" fillId="10" borderId="25" xfId="35" applyFont="1" applyFill="1" applyBorder="1"/>
    <xf numFmtId="0" fontId="54" fillId="10" borderId="62" xfId="15" applyFont="1" applyFill="1" applyBorder="1"/>
    <xf numFmtId="164" fontId="54" fillId="10" borderId="12" xfId="35" applyFont="1" applyFill="1" applyBorder="1" applyAlignment="1">
      <alignment horizontal="center"/>
    </xf>
    <xf numFmtId="0" fontId="54" fillId="10" borderId="11" xfId="15" applyFont="1" applyFill="1" applyBorder="1" applyAlignment="1">
      <alignment horizontal="center"/>
    </xf>
    <xf numFmtId="0" fontId="54" fillId="10" borderId="13" xfId="15" applyFont="1" applyFill="1" applyBorder="1"/>
    <xf numFmtId="0" fontId="54" fillId="10" borderId="13" xfId="15" applyFont="1" applyFill="1" applyBorder="1" applyAlignment="1">
      <alignment horizontal="center"/>
    </xf>
    <xf numFmtId="164" fontId="54" fillId="10" borderId="13" xfId="35" applyFont="1" applyFill="1" applyBorder="1"/>
    <xf numFmtId="164" fontId="54" fillId="10" borderId="15" xfId="35" applyFont="1" applyFill="1" applyBorder="1"/>
    <xf numFmtId="164" fontId="54" fillId="10" borderId="62" xfId="35" applyFont="1" applyFill="1" applyBorder="1"/>
    <xf numFmtId="164" fontId="54" fillId="10" borderId="60" xfId="35" applyFont="1" applyFill="1" applyBorder="1" applyAlignment="1">
      <alignment horizontal="center"/>
    </xf>
    <xf numFmtId="0" fontId="54" fillId="10" borderId="15" xfId="15" applyFont="1" applyFill="1" applyBorder="1"/>
    <xf numFmtId="164" fontId="54" fillId="10" borderId="25" xfId="35" applyFont="1" applyFill="1" applyBorder="1" applyAlignment="1">
      <alignment vertical="center"/>
    </xf>
    <xf numFmtId="9" fontId="54" fillId="10" borderId="13" xfId="36" applyFont="1" applyFill="1" applyBorder="1" applyAlignment="1">
      <alignment horizontal="center"/>
    </xf>
    <xf numFmtId="0" fontId="54" fillId="10" borderId="63" xfId="15" applyFont="1" applyFill="1" applyBorder="1" applyAlignment="1">
      <alignment horizontal="center"/>
    </xf>
    <xf numFmtId="0" fontId="54" fillId="10" borderId="57" xfId="15" applyFont="1" applyFill="1" applyBorder="1"/>
    <xf numFmtId="164" fontId="54" fillId="10" borderId="12" xfId="35" applyFont="1" applyFill="1" applyBorder="1"/>
    <xf numFmtId="0" fontId="54" fillId="10" borderId="64" xfId="15" applyFont="1" applyFill="1" applyBorder="1"/>
    <xf numFmtId="164" fontId="54" fillId="10" borderId="0" xfId="35" applyFont="1" applyFill="1" applyBorder="1"/>
    <xf numFmtId="0" fontId="54" fillId="10" borderId="57" xfId="15" applyFont="1" applyFill="1" applyBorder="1" applyAlignment="1">
      <alignment horizontal="left"/>
    </xf>
    <xf numFmtId="0" fontId="54" fillId="10" borderId="0" xfId="15" applyFont="1" applyFill="1" applyBorder="1" applyAlignment="1">
      <alignment horizontal="right"/>
    </xf>
    <xf numFmtId="0" fontId="54" fillId="10" borderId="0" xfId="15" applyFont="1" applyFill="1" applyBorder="1" applyAlignment="1">
      <alignment horizontal="left"/>
    </xf>
    <xf numFmtId="0" fontId="54" fillId="10" borderId="51" xfId="15" applyFont="1" applyFill="1" applyBorder="1" applyAlignment="1">
      <alignment horizontal="center"/>
    </xf>
    <xf numFmtId="0" fontId="54" fillId="10" borderId="56" xfId="15" applyFont="1" applyFill="1" applyBorder="1"/>
    <xf numFmtId="0" fontId="54" fillId="10" borderId="56" xfId="15" applyFont="1" applyFill="1" applyBorder="1" applyAlignment="1">
      <alignment horizontal="left"/>
    </xf>
    <xf numFmtId="164" fontId="54" fillId="10" borderId="65" xfId="35" applyFont="1" applyFill="1" applyBorder="1"/>
    <xf numFmtId="0" fontId="54" fillId="10" borderId="50" xfId="15" applyFont="1" applyFill="1" applyBorder="1"/>
    <xf numFmtId="0" fontId="54" fillId="0" borderId="1" xfId="15" applyFont="1" applyFill="1" applyBorder="1" applyAlignment="1">
      <alignment horizontal="center"/>
    </xf>
    <xf numFmtId="0" fontId="54" fillId="0" borderId="2" xfId="15" applyFont="1" applyFill="1" applyBorder="1"/>
    <xf numFmtId="0" fontId="54" fillId="0" borderId="2" xfId="15" applyFont="1" applyFill="1" applyBorder="1" applyAlignment="1">
      <alignment horizontal="center"/>
    </xf>
    <xf numFmtId="0" fontId="54" fillId="0" borderId="3" xfId="15" applyFont="1" applyFill="1" applyBorder="1"/>
    <xf numFmtId="0" fontId="54" fillId="0" borderId="0" xfId="15" applyFont="1" applyFill="1"/>
    <xf numFmtId="0" fontId="54" fillId="0" borderId="4" xfId="15" applyFont="1" applyFill="1" applyBorder="1" applyAlignment="1">
      <alignment horizontal="center"/>
    </xf>
    <xf numFmtId="0" fontId="54" fillId="0" borderId="0" xfId="15" applyFont="1" applyFill="1" applyBorder="1"/>
    <xf numFmtId="0" fontId="54" fillId="0" borderId="0" xfId="15" applyFont="1" applyFill="1" applyBorder="1" applyAlignment="1">
      <alignment horizontal="center"/>
    </xf>
    <xf numFmtId="0" fontId="54" fillId="0" borderId="5" xfId="15" applyFont="1" applyFill="1" applyBorder="1"/>
    <xf numFmtId="0" fontId="55" fillId="0" borderId="0" xfId="15" applyFont="1" applyFill="1" applyBorder="1" applyAlignment="1"/>
    <xf numFmtId="0" fontId="55" fillId="0" borderId="5" xfId="15" applyFont="1" applyFill="1" applyBorder="1" applyAlignment="1"/>
    <xf numFmtId="0" fontId="54" fillId="0" borderId="59" xfId="15" applyFont="1" applyFill="1" applyBorder="1" applyAlignment="1">
      <alignment horizontal="center"/>
    </xf>
    <xf numFmtId="0" fontId="54" fillId="0" borderId="12" xfId="15" applyFont="1" applyFill="1" applyBorder="1" applyAlignment="1">
      <alignment horizontal="center"/>
    </xf>
    <xf numFmtId="0" fontId="54" fillId="0" borderId="60" xfId="15" applyFont="1" applyFill="1" applyBorder="1" applyAlignment="1">
      <alignment horizontal="center"/>
    </xf>
    <xf numFmtId="0" fontId="54" fillId="0" borderId="52" xfId="15" applyFont="1" applyFill="1" applyBorder="1" applyAlignment="1">
      <alignment horizontal="center"/>
    </xf>
    <xf numFmtId="0" fontId="54" fillId="0" borderId="24" xfId="15" applyFont="1" applyFill="1" applyBorder="1"/>
    <xf numFmtId="0" fontId="54" fillId="0" borderId="24" xfId="15" applyFont="1" applyFill="1" applyBorder="1" applyAlignment="1">
      <alignment horizontal="center"/>
    </xf>
    <xf numFmtId="164" fontId="54" fillId="0" borderId="24" xfId="35" applyFont="1" applyFill="1" applyBorder="1"/>
    <xf numFmtId="0" fontId="54" fillId="0" borderId="53" xfId="15" applyFont="1" applyFill="1" applyBorder="1"/>
    <xf numFmtId="0" fontId="54" fillId="0" borderId="11" xfId="15" applyFont="1" applyFill="1" applyBorder="1" applyAlignment="1">
      <alignment horizontal="center" vertical="center"/>
    </xf>
    <xf numFmtId="0" fontId="54" fillId="0" borderId="13" xfId="15" applyFont="1" applyFill="1" applyBorder="1" applyAlignment="1">
      <alignment horizontal="left" vertical="center" wrapText="1"/>
    </xf>
    <xf numFmtId="0" fontId="54" fillId="0" borderId="13" xfId="15" applyFont="1" applyFill="1" applyBorder="1" applyAlignment="1">
      <alignment horizontal="center" vertical="center"/>
    </xf>
    <xf numFmtId="164" fontId="54" fillId="0" borderId="13" xfId="35" applyFont="1" applyFill="1" applyBorder="1" applyAlignment="1">
      <alignment vertical="center"/>
    </xf>
    <xf numFmtId="0" fontId="54" fillId="0" borderId="15" xfId="15" applyFont="1" applyFill="1" applyBorder="1" applyAlignment="1">
      <alignment vertical="center"/>
    </xf>
    <xf numFmtId="0" fontId="54" fillId="0" borderId="61" xfId="15" applyFont="1" applyFill="1" applyBorder="1" applyAlignment="1">
      <alignment horizontal="center"/>
    </xf>
    <xf numFmtId="0" fontId="54" fillId="0" borderId="25" xfId="15" applyFont="1" applyFill="1" applyBorder="1"/>
    <xf numFmtId="0" fontId="54" fillId="0" borderId="25" xfId="15" applyFont="1" applyFill="1" applyBorder="1" applyAlignment="1">
      <alignment horizontal="center"/>
    </xf>
    <xf numFmtId="164" fontId="54" fillId="0" borderId="25" xfId="35" applyFont="1" applyFill="1" applyBorder="1"/>
    <xf numFmtId="0" fontId="54" fillId="0" borderId="62" xfId="15" applyFont="1" applyFill="1" applyBorder="1"/>
    <xf numFmtId="164" fontId="54" fillId="0" borderId="12" xfId="35" applyFont="1" applyFill="1" applyBorder="1" applyAlignment="1">
      <alignment horizontal="center"/>
    </xf>
    <xf numFmtId="0" fontId="54" fillId="0" borderId="11" xfId="15" applyFont="1" applyFill="1" applyBorder="1" applyAlignment="1">
      <alignment horizontal="center"/>
    </xf>
    <xf numFmtId="0" fontId="54" fillId="0" borderId="13" xfId="15" applyFont="1" applyFill="1" applyBorder="1"/>
    <xf numFmtId="0" fontId="54" fillId="0" borderId="13" xfId="15" applyFont="1" applyFill="1" applyBorder="1" applyAlignment="1">
      <alignment horizontal="center"/>
    </xf>
    <xf numFmtId="164" fontId="54" fillId="0" borderId="13" xfId="35" applyFont="1" applyFill="1" applyBorder="1"/>
    <xf numFmtId="164" fontId="54" fillId="0" borderId="15" xfId="35" applyFont="1" applyFill="1" applyBorder="1"/>
    <xf numFmtId="164" fontId="54" fillId="0" borderId="62" xfId="35" applyFont="1" applyFill="1" applyBorder="1"/>
    <xf numFmtId="164" fontId="54" fillId="0" borderId="60" xfId="35" applyFont="1" applyFill="1" applyBorder="1" applyAlignment="1">
      <alignment horizontal="center"/>
    </xf>
    <xf numFmtId="0" fontId="54" fillId="0" borderId="15" xfId="15" applyFont="1" applyFill="1" applyBorder="1"/>
    <xf numFmtId="164" fontId="54" fillId="0" borderId="25" xfId="35" applyFont="1" applyFill="1" applyBorder="1" applyAlignment="1">
      <alignment vertical="center"/>
    </xf>
    <xf numFmtId="9" fontId="54" fillId="0" borderId="13" xfId="36" applyFont="1" applyFill="1" applyBorder="1" applyAlignment="1">
      <alignment horizontal="center"/>
    </xf>
    <xf numFmtId="0" fontId="54" fillId="0" borderId="63" xfId="15" applyFont="1" applyFill="1" applyBorder="1" applyAlignment="1">
      <alignment horizontal="center"/>
    </xf>
    <xf numFmtId="0" fontId="54" fillId="0" borderId="57" xfId="15" applyFont="1" applyFill="1" applyBorder="1"/>
    <xf numFmtId="164" fontId="54" fillId="0" borderId="12" xfId="35" applyFont="1" applyFill="1" applyBorder="1"/>
    <xf numFmtId="0" fontId="54" fillId="0" borderId="64" xfId="15" applyFont="1" applyFill="1" applyBorder="1"/>
    <xf numFmtId="164" fontId="54" fillId="0" borderId="0" xfId="35" applyFont="1" applyFill="1" applyBorder="1"/>
    <xf numFmtId="0" fontId="54" fillId="0" borderId="57" xfId="15" applyFont="1" applyFill="1" applyBorder="1" applyAlignment="1">
      <alignment horizontal="left"/>
    </xf>
    <xf numFmtId="0" fontId="54" fillId="0" borderId="0" xfId="15" applyFont="1" applyFill="1" applyBorder="1" applyAlignment="1">
      <alignment horizontal="right"/>
    </xf>
    <xf numFmtId="0" fontId="54" fillId="0" borderId="0" xfId="15" applyFont="1" applyFill="1" applyBorder="1" applyAlignment="1">
      <alignment horizontal="left"/>
    </xf>
    <xf numFmtId="0" fontId="54" fillId="0" borderId="51" xfId="15" applyFont="1" applyFill="1" applyBorder="1" applyAlignment="1">
      <alignment horizontal="center"/>
    </xf>
    <xf numFmtId="0" fontId="54" fillId="0" borderId="56" xfId="15" applyFont="1" applyFill="1" applyBorder="1"/>
    <xf numFmtId="0" fontId="54" fillId="0" borderId="56" xfId="15" applyFont="1" applyFill="1" applyBorder="1" applyAlignment="1">
      <alignment horizontal="left"/>
    </xf>
    <xf numFmtId="164" fontId="54" fillId="0" borderId="65" xfId="35" applyFont="1" applyFill="1" applyBorder="1"/>
    <xf numFmtId="0" fontId="54" fillId="0" borderId="50" xfId="15" applyFont="1" applyFill="1" applyBorder="1"/>
    <xf numFmtId="0" fontId="54" fillId="0" borderId="0" xfId="15" applyFont="1" applyAlignment="1">
      <alignment horizontal="center"/>
    </xf>
    <xf numFmtId="0" fontId="10" fillId="0" borderId="4" xfId="15" applyFont="1" applyBorder="1"/>
    <xf numFmtId="0" fontId="10" fillId="0" borderId="0" xfId="15" applyFont="1" applyBorder="1" applyAlignment="1">
      <alignment horizontal="center"/>
    </xf>
    <xf numFmtId="0" fontId="10" fillId="0" borderId="0" xfId="15" applyFont="1" applyBorder="1"/>
    <xf numFmtId="0" fontId="10" fillId="0" borderId="68" xfId="15" applyFont="1" applyBorder="1"/>
    <xf numFmtId="164" fontId="10" fillId="0" borderId="0" xfId="35" applyFont="1" applyBorder="1"/>
    <xf numFmtId="164" fontId="10" fillId="0" borderId="5" xfId="35" applyFont="1" applyBorder="1"/>
    <xf numFmtId="0" fontId="10" fillId="0" borderId="0" xfId="15" applyFont="1"/>
    <xf numFmtId="0" fontId="10" fillId="0" borderId="69" xfId="15" applyFont="1" applyBorder="1"/>
    <xf numFmtId="0" fontId="10" fillId="0" borderId="70" xfId="15" applyFont="1" applyBorder="1" applyAlignment="1">
      <alignment horizontal="center"/>
    </xf>
    <xf numFmtId="164" fontId="10" fillId="0" borderId="71" xfId="35" applyFont="1" applyBorder="1"/>
    <xf numFmtId="0" fontId="10" fillId="0" borderId="72" xfId="15" applyFont="1" applyBorder="1"/>
    <xf numFmtId="164" fontId="10" fillId="0" borderId="70" xfId="35" applyFont="1" applyBorder="1"/>
    <xf numFmtId="0" fontId="10" fillId="0" borderId="70" xfId="15" applyFont="1" applyBorder="1"/>
    <xf numFmtId="164" fontId="10" fillId="0" borderId="73" xfId="35" applyFont="1" applyBorder="1"/>
    <xf numFmtId="0" fontId="10" fillId="0" borderId="71" xfId="15" applyFont="1" applyBorder="1"/>
    <xf numFmtId="0" fontId="10" fillId="0" borderId="72" xfId="15" applyFont="1" applyBorder="1" applyAlignment="1">
      <alignment horizontal="left" wrapText="1"/>
    </xf>
    <xf numFmtId="0" fontId="10" fillId="0" borderId="70" xfId="15" applyFont="1" applyBorder="1" applyAlignment="1">
      <alignment horizontal="center" vertical="center"/>
    </xf>
    <xf numFmtId="164" fontId="10" fillId="0" borderId="70" xfId="35" applyFont="1" applyBorder="1" applyAlignment="1">
      <alignment vertical="center"/>
    </xf>
    <xf numFmtId="164" fontId="10" fillId="0" borderId="0" xfId="35" applyFont="1"/>
    <xf numFmtId="0" fontId="13" fillId="14" borderId="9" xfId="0" applyFont="1" applyFill="1" applyBorder="1" applyAlignment="1">
      <alignment horizontal="center"/>
    </xf>
    <xf numFmtId="4" fontId="12" fillId="14" borderId="28" xfId="0" applyNumberFormat="1" applyFont="1" applyFill="1" applyBorder="1" applyAlignment="1">
      <alignment horizontal="center" vertical="top"/>
    </xf>
    <xf numFmtId="4" fontId="12" fillId="14" borderId="13" xfId="0" applyNumberFormat="1" applyFont="1" applyFill="1" applyBorder="1" applyAlignment="1">
      <alignment horizontal="center" vertical="top"/>
    </xf>
    <xf numFmtId="4" fontId="12" fillId="14" borderId="21" xfId="0" applyNumberFormat="1" applyFont="1" applyFill="1" applyBorder="1" applyAlignment="1">
      <alignment horizontal="center" vertical="top"/>
    </xf>
    <xf numFmtId="4" fontId="12" fillId="14" borderId="8" xfId="0" applyNumberFormat="1" applyFont="1" applyFill="1" applyBorder="1" applyAlignment="1">
      <alignment horizontal="center" vertical="top"/>
    </xf>
    <xf numFmtId="4" fontId="12" fillId="14" borderId="0" xfId="0" applyNumberFormat="1" applyFont="1" applyFill="1" applyAlignment="1">
      <alignment horizontal="center" vertical="top"/>
    </xf>
    <xf numFmtId="164" fontId="12" fillId="14" borderId="14" xfId="35" applyFont="1" applyFill="1" applyBorder="1" applyAlignment="1">
      <alignment horizontal="right" vertical="center"/>
    </xf>
    <xf numFmtId="164" fontId="12" fillId="3" borderId="13" xfId="35" applyFont="1" applyFill="1" applyBorder="1" applyAlignment="1">
      <alignment horizontal="left" vertical="center"/>
    </xf>
    <xf numFmtId="4" fontId="12" fillId="0" borderId="15" xfId="0" applyNumberFormat="1" applyFont="1" applyFill="1" applyBorder="1" applyAlignment="1">
      <alignment horizontal="right" vertical="center"/>
    </xf>
    <xf numFmtId="4" fontId="12" fillId="14" borderId="13" xfId="0" applyNumberFormat="1" applyFont="1" applyFill="1" applyBorder="1" applyAlignment="1">
      <alignment horizontal="center"/>
    </xf>
    <xf numFmtId="4" fontId="13" fillId="14" borderId="13" xfId="0" applyNumberFormat="1" applyFont="1" applyFill="1" applyBorder="1" applyAlignment="1">
      <alignment horizontal="center" vertical="top"/>
    </xf>
    <xf numFmtId="4" fontId="13" fillId="14" borderId="21" xfId="0" applyNumberFormat="1" applyFont="1" applyFill="1" applyBorder="1" applyAlignment="1">
      <alignment horizontal="center" vertical="top"/>
    </xf>
    <xf numFmtId="4" fontId="12" fillId="14" borderId="13" xfId="0" applyNumberFormat="1" applyFont="1" applyFill="1" applyBorder="1" applyAlignment="1">
      <alignment horizontal="center" vertical="center"/>
    </xf>
    <xf numFmtId="43" fontId="54" fillId="6" borderId="0" xfId="15" applyNumberFormat="1" applyFont="1" applyFill="1"/>
    <xf numFmtId="0" fontId="10" fillId="0" borderId="12" xfId="0" applyFont="1" applyBorder="1" applyAlignment="1">
      <alignment horizontal="justify" vertical="center"/>
    </xf>
    <xf numFmtId="164" fontId="10" fillId="0" borderId="12" xfId="2" applyFont="1" applyFill="1" applyBorder="1" applyAlignment="1">
      <alignment vertical="center"/>
    </xf>
    <xf numFmtId="4" fontId="12" fillId="3" borderId="13" xfId="0" applyNumberFormat="1" applyFont="1" applyFill="1" applyBorder="1" applyAlignment="1">
      <alignment horizontal="justify" vertical="center" wrapText="1"/>
    </xf>
    <xf numFmtId="164" fontId="12" fillId="3" borderId="13" xfId="1" applyFont="1" applyFill="1" applyBorder="1" applyAlignment="1">
      <alignment horizontal="right" vertical="center"/>
    </xf>
    <xf numFmtId="4" fontId="12" fillId="3" borderId="15" xfId="0" applyNumberFormat="1" applyFont="1" applyFill="1" applyBorder="1" applyAlignment="1">
      <alignment horizontal="right" vertical="center"/>
    </xf>
    <xf numFmtId="0" fontId="10" fillId="3" borderId="12" xfId="0" applyFont="1" applyFill="1" applyBorder="1" applyAlignment="1">
      <alignment horizontal="justify" vertical="center"/>
    </xf>
    <xf numFmtId="164" fontId="10" fillId="3" borderId="12" xfId="2" applyFont="1" applyFill="1" applyBorder="1" applyAlignment="1">
      <alignment vertical="center"/>
    </xf>
    <xf numFmtId="0" fontId="13" fillId="14" borderId="9" xfId="0" applyFont="1" applyFill="1" applyBorder="1" applyAlignment="1">
      <alignment horizontal="center" vertical="center"/>
    </xf>
    <xf numFmtId="0" fontId="12" fillId="0" borderId="28" xfId="0" applyFont="1" applyBorder="1" applyAlignment="1">
      <alignment horizontal="center" vertical="center"/>
    </xf>
    <xf numFmtId="0" fontId="12" fillId="0" borderId="8" xfId="0" applyFont="1" applyBorder="1" applyAlignment="1">
      <alignment horizontal="center" vertical="center"/>
    </xf>
    <xf numFmtId="164" fontId="12" fillId="0" borderId="11" xfId="1" applyFont="1" applyFill="1" applyBorder="1" applyAlignment="1">
      <alignment horizontal="center" vertical="center"/>
    </xf>
    <xf numFmtId="2" fontId="12" fillId="0" borderId="13" xfId="2" applyNumberFormat="1" applyFont="1" applyFill="1" applyBorder="1" applyAlignment="1">
      <alignment horizontal="right" vertical="center"/>
    </xf>
    <xf numFmtId="4" fontId="12" fillId="0" borderId="15" xfId="0" applyNumberFormat="1" applyFont="1" applyFill="1" applyBorder="1" applyAlignment="1">
      <alignment horizontal="center" vertical="center" wrapText="1"/>
    </xf>
    <xf numFmtId="0" fontId="12" fillId="14" borderId="28" xfId="0" applyFont="1" applyFill="1" applyBorder="1" applyAlignment="1">
      <alignment horizontal="center" vertical="center"/>
    </xf>
    <xf numFmtId="0" fontId="12" fillId="14" borderId="13" xfId="0" applyFont="1" applyFill="1" applyBorder="1" applyAlignment="1">
      <alignment horizontal="center" vertical="center"/>
    </xf>
    <xf numFmtId="0" fontId="12" fillId="14" borderId="21" xfId="0" applyFont="1" applyFill="1" applyBorder="1" applyAlignment="1">
      <alignment horizontal="center" vertical="center"/>
    </xf>
    <xf numFmtId="0" fontId="12" fillId="14" borderId="24" xfId="0" applyFont="1" applyFill="1" applyBorder="1" applyAlignment="1">
      <alignment horizontal="center" vertical="center"/>
    </xf>
    <xf numFmtId="0" fontId="12" fillId="14" borderId="8" xfId="0" applyFont="1" applyFill="1" applyBorder="1" applyAlignment="1">
      <alignment horizontal="center" vertical="center"/>
    </xf>
    <xf numFmtId="0" fontId="12" fillId="14" borderId="0" xfId="0" applyFont="1" applyFill="1" applyAlignment="1">
      <alignment horizontal="center" vertical="center"/>
    </xf>
    <xf numFmtId="4" fontId="12" fillId="14" borderId="0" xfId="0" applyNumberFormat="1" applyFont="1" applyFill="1" applyAlignment="1">
      <alignment horizontal="center" vertical="center"/>
    </xf>
    <xf numFmtId="4" fontId="12" fillId="0" borderId="15" xfId="0" applyNumberFormat="1" applyFont="1" applyFill="1" applyBorder="1" applyAlignment="1">
      <alignment horizontal="center" vertical="center"/>
    </xf>
    <xf numFmtId="164" fontId="12" fillId="0" borderId="27" xfId="1" applyFont="1" applyFill="1" applyBorder="1" applyAlignment="1">
      <alignment horizontal="center" vertical="center"/>
    </xf>
    <xf numFmtId="0" fontId="12" fillId="0" borderId="28" xfId="0" applyFont="1" applyBorder="1" applyAlignment="1">
      <alignment horizontal="left" vertical="center" wrapText="1"/>
    </xf>
    <xf numFmtId="0" fontId="12" fillId="0" borderId="28" xfId="0" applyFont="1" applyBorder="1" applyAlignment="1">
      <alignment horizontal="center" vertical="center" wrapText="1"/>
    </xf>
    <xf numFmtId="2" fontId="12" fillId="0" borderId="28" xfId="2" applyNumberFormat="1" applyFont="1" applyFill="1" applyBorder="1" applyAlignment="1">
      <alignment horizontal="right" vertical="center"/>
    </xf>
    <xf numFmtId="164" fontId="12" fillId="0" borderId="28" xfId="1" applyFont="1" applyFill="1" applyBorder="1" applyAlignment="1">
      <alignment horizontal="right" vertical="center"/>
    </xf>
    <xf numFmtId="164" fontId="12" fillId="0" borderId="15" xfId="3" applyFont="1" applyFill="1" applyBorder="1" applyAlignment="1">
      <alignment horizontal="center" vertical="center"/>
    </xf>
    <xf numFmtId="0" fontId="10" fillId="0" borderId="13" xfId="0" applyFont="1" applyBorder="1" applyAlignment="1">
      <alignment vertical="center" wrapText="1"/>
    </xf>
    <xf numFmtId="164" fontId="12" fillId="14" borderId="13" xfId="1" applyFont="1" applyFill="1" applyBorder="1" applyAlignment="1">
      <alignment horizontal="center" vertical="center"/>
    </xf>
    <xf numFmtId="164" fontId="13" fillId="14" borderId="9" xfId="1" applyFont="1" applyFill="1" applyBorder="1" applyAlignment="1">
      <alignment horizontal="center" vertical="center"/>
    </xf>
    <xf numFmtId="164" fontId="12" fillId="14" borderId="28" xfId="1" applyFont="1" applyFill="1" applyBorder="1" applyAlignment="1">
      <alignment horizontal="center" vertical="center"/>
    </xf>
    <xf numFmtId="164" fontId="12" fillId="14" borderId="21" xfId="1" applyFont="1" applyFill="1" applyBorder="1" applyAlignment="1">
      <alignment horizontal="center" vertical="center"/>
    </xf>
    <xf numFmtId="164" fontId="12" fillId="14" borderId="24" xfId="1" applyFont="1" applyFill="1" applyBorder="1" applyAlignment="1">
      <alignment horizontal="center" vertical="center"/>
    </xf>
    <xf numFmtId="164" fontId="12" fillId="14" borderId="8" xfId="1" applyFont="1" applyFill="1" applyBorder="1" applyAlignment="1">
      <alignment horizontal="center" vertical="center"/>
    </xf>
    <xf numFmtId="164" fontId="12" fillId="14" borderId="0" xfId="1" applyFont="1" applyFill="1" applyAlignment="1">
      <alignment horizontal="center" vertical="center"/>
    </xf>
    <xf numFmtId="164" fontId="12" fillId="0" borderId="6" xfId="1" applyFont="1" applyFill="1" applyBorder="1" applyAlignment="1">
      <alignment horizontal="center" vertical="center"/>
    </xf>
    <xf numFmtId="0" fontId="13" fillId="0" borderId="8" xfId="0" applyFont="1" applyBorder="1" applyAlignment="1">
      <alignment horizontal="left" vertical="center" wrapText="1"/>
    </xf>
    <xf numFmtId="0" fontId="13" fillId="0" borderId="8" xfId="0" applyFont="1" applyBorder="1" applyAlignment="1">
      <alignment horizontal="center" vertical="center" wrapText="1"/>
    </xf>
    <xf numFmtId="2" fontId="12" fillId="0" borderId="8" xfId="2" applyNumberFormat="1" applyFont="1" applyFill="1" applyBorder="1" applyAlignment="1">
      <alignment horizontal="right" vertical="center"/>
    </xf>
    <xf numFmtId="164" fontId="12" fillId="0" borderId="8" xfId="1" applyFont="1" applyFill="1" applyBorder="1" applyAlignment="1">
      <alignment horizontal="right" vertical="center"/>
    </xf>
    <xf numFmtId="164" fontId="13" fillId="0" borderId="10" xfId="3" applyFont="1" applyFill="1" applyBorder="1" applyAlignment="1">
      <alignment horizontal="center" vertical="center"/>
    </xf>
    <xf numFmtId="4" fontId="12" fillId="0" borderId="0" xfId="0" applyNumberFormat="1" applyFont="1" applyAlignment="1">
      <alignment horizontal="right" vertical="center"/>
    </xf>
    <xf numFmtId="0" fontId="54" fillId="0" borderId="4" xfId="15" applyFont="1" applyFill="1" applyBorder="1" applyAlignment="1">
      <alignment horizontal="center" vertical="center"/>
    </xf>
    <xf numFmtId="0" fontId="54" fillId="0" borderId="0" xfId="15" applyFont="1" applyFill="1" applyBorder="1" applyAlignment="1">
      <alignment vertical="center"/>
    </xf>
    <xf numFmtId="0" fontId="54" fillId="0" borderId="0" xfId="15" applyFont="1" applyFill="1" applyAlignment="1">
      <alignment vertical="center"/>
    </xf>
    <xf numFmtId="4" fontId="12" fillId="0" borderId="8" xfId="0" applyNumberFormat="1" applyFont="1" applyBorder="1" applyAlignment="1">
      <alignment horizontal="center" vertical="center"/>
    </xf>
    <xf numFmtId="4" fontId="12" fillId="14" borderId="8" xfId="0" applyNumberFormat="1" applyFont="1" applyFill="1" applyBorder="1" applyAlignment="1">
      <alignment horizontal="center" vertical="center"/>
    </xf>
    <xf numFmtId="4" fontId="13" fillId="0" borderId="10" xfId="0" applyNumberFormat="1" applyFont="1" applyBorder="1" applyAlignment="1">
      <alignment horizontal="right" vertical="center"/>
    </xf>
    <xf numFmtId="4" fontId="13" fillId="0" borderId="0" xfId="0" applyNumberFormat="1" applyFont="1" applyAlignment="1">
      <alignment horizontal="right" vertical="center"/>
    </xf>
    <xf numFmtId="4" fontId="12" fillId="0" borderId="13" xfId="0" applyNumberFormat="1" applyFont="1" applyBorder="1" applyAlignment="1">
      <alignment horizontal="left" vertical="center" wrapText="1"/>
    </xf>
    <xf numFmtId="0" fontId="57" fillId="7" borderId="11" xfId="15" applyFont="1" applyFill="1" applyBorder="1" applyAlignment="1">
      <alignment horizontal="center"/>
    </xf>
    <xf numFmtId="0" fontId="57" fillId="7" borderId="0" xfId="15" applyFont="1" applyFill="1"/>
    <xf numFmtId="0" fontId="57" fillId="7" borderId="13" xfId="15" applyFont="1" applyFill="1" applyBorder="1" applyAlignment="1">
      <alignment horizontal="center"/>
    </xf>
    <xf numFmtId="164" fontId="57" fillId="7" borderId="13" xfId="35" applyNumberFormat="1" applyFont="1" applyFill="1" applyBorder="1"/>
    <xf numFmtId="164" fontId="57" fillId="7" borderId="13" xfId="35" applyFont="1" applyFill="1" applyBorder="1"/>
    <xf numFmtId="4" fontId="12" fillId="14" borderId="43" xfId="0" applyNumberFormat="1" applyFont="1" applyFill="1" applyBorder="1" applyAlignment="1">
      <alignment horizontal="center" vertical="center"/>
    </xf>
    <xf numFmtId="4" fontId="12" fillId="14" borderId="44" xfId="0" applyNumberFormat="1" applyFont="1" applyFill="1" applyBorder="1" applyAlignment="1">
      <alignment horizontal="center" vertical="center"/>
    </xf>
    <xf numFmtId="4" fontId="12" fillId="14" borderId="21" xfId="0" applyNumberFormat="1" applyFont="1" applyFill="1" applyBorder="1" applyAlignment="1">
      <alignment horizontal="center" vertical="center"/>
    </xf>
    <xf numFmtId="4" fontId="12" fillId="14" borderId="28" xfId="0" applyNumberFormat="1" applyFont="1" applyFill="1" applyBorder="1" applyAlignment="1">
      <alignment horizontal="center" vertical="center"/>
    </xf>
    <xf numFmtId="4" fontId="12" fillId="14" borderId="33" xfId="0" applyNumberFormat="1" applyFont="1" applyFill="1" applyBorder="1" applyAlignment="1">
      <alignment horizontal="center" vertical="center"/>
    </xf>
    <xf numFmtId="0" fontId="19" fillId="0" borderId="13" xfId="6" applyFont="1" applyBorder="1" applyAlignment="1">
      <alignment horizontal="left" vertical="top"/>
    </xf>
    <xf numFmtId="0" fontId="10" fillId="0" borderId="13" xfId="13" applyFont="1" applyBorder="1" applyAlignment="1">
      <alignment horizontal="left" vertical="top" wrapText="1"/>
    </xf>
    <xf numFmtId="0" fontId="10" fillId="0" borderId="13" xfId="14" applyFont="1" applyBorder="1" applyAlignment="1" applyProtection="1">
      <alignment horizontal="left" vertical="center" wrapText="1"/>
      <protection locked="0"/>
    </xf>
    <xf numFmtId="0" fontId="19" fillId="0" borderId="13" xfId="0" applyFont="1" applyBorder="1" applyAlignment="1">
      <alignment horizontal="left" vertical="top" wrapText="1"/>
    </xf>
    <xf numFmtId="0" fontId="58" fillId="0" borderId="21" xfId="14" applyFont="1" applyBorder="1" applyAlignment="1" applyProtection="1">
      <alignment horizontal="left" vertical="center" wrapText="1"/>
      <protection locked="0"/>
    </xf>
    <xf numFmtId="0" fontId="58" fillId="0" borderId="28" xfId="14" applyFont="1" applyBorder="1" applyAlignment="1" applyProtection="1">
      <alignment horizontal="left" vertical="center" wrapText="1"/>
      <protection locked="0"/>
    </xf>
    <xf numFmtId="0" fontId="58" fillId="0" borderId="13" xfId="14" applyFont="1" applyBorder="1" applyAlignment="1" applyProtection="1">
      <alignment horizontal="left" vertical="center" wrapText="1"/>
      <protection locked="0"/>
    </xf>
    <xf numFmtId="0" fontId="10" fillId="0" borderId="13" xfId="0" applyFont="1" applyBorder="1" applyAlignment="1">
      <alignment horizontal="left" vertical="top" wrapText="1"/>
    </xf>
    <xf numFmtId="0" fontId="10" fillId="0" borderId="13" xfId="15" applyFont="1" applyBorder="1" applyAlignment="1">
      <alignment horizontal="left" vertical="center" wrapText="1"/>
    </xf>
    <xf numFmtId="0" fontId="19" fillId="0" borderId="13" xfId="0" applyFont="1" applyBorder="1" applyAlignment="1">
      <alignment vertical="top" wrapText="1"/>
    </xf>
    <xf numFmtId="0" fontId="59" fillId="0" borderId="13" xfId="14" quotePrefix="1" applyFont="1" applyBorder="1" applyAlignment="1" applyProtection="1">
      <alignment horizontal="left" vertical="center" wrapText="1"/>
      <protection locked="0"/>
    </xf>
    <xf numFmtId="0" fontId="59" fillId="0" borderId="13" xfId="14" applyFont="1" applyBorder="1" applyAlignment="1" applyProtection="1">
      <alignment horizontal="left" vertical="center" wrapText="1"/>
      <protection locked="0"/>
    </xf>
    <xf numFmtId="0" fontId="19" fillId="0" borderId="13" xfId="0" applyFont="1" applyBorder="1" applyAlignment="1">
      <alignment horizontal="left" vertical="top"/>
    </xf>
    <xf numFmtId="0" fontId="58" fillId="0" borderId="13" xfId="0" applyFont="1" applyBorder="1" applyAlignment="1">
      <alignment horizontal="left" vertical="top" wrapText="1"/>
    </xf>
    <xf numFmtId="0" fontId="19" fillId="14" borderId="13" xfId="0" applyFont="1" applyFill="1" applyBorder="1" applyAlignment="1">
      <alignment vertical="top" wrapText="1"/>
    </xf>
    <xf numFmtId="0" fontId="12" fillId="14" borderId="13" xfId="0" applyFont="1" applyFill="1" applyBorder="1" applyAlignment="1">
      <alignment horizontal="center" vertical="center" wrapText="1"/>
    </xf>
    <xf numFmtId="4" fontId="12" fillId="14" borderId="56" xfId="0" applyNumberFormat="1" applyFont="1" applyFill="1" applyBorder="1" applyAlignment="1">
      <alignment horizontal="center" vertical="center"/>
    </xf>
    <xf numFmtId="164" fontId="12" fillId="3" borderId="14" xfId="35" applyFont="1" applyFill="1" applyBorder="1" applyAlignment="1">
      <alignment horizontal="left" vertical="center"/>
    </xf>
    <xf numFmtId="0" fontId="10" fillId="0" borderId="13" xfId="6" applyFont="1" applyBorder="1" applyAlignment="1">
      <alignment horizontal="left" vertical="top" wrapText="1"/>
    </xf>
    <xf numFmtId="0" fontId="10" fillId="0" borderId="13" xfId="6" applyFont="1" applyBorder="1" applyAlignment="1">
      <alignment vertical="top" wrapText="1"/>
    </xf>
    <xf numFmtId="0" fontId="10" fillId="0" borderId="21" xfId="6" applyFont="1" applyBorder="1" applyAlignment="1">
      <alignment horizontal="left" vertical="top" wrapText="1"/>
    </xf>
    <xf numFmtId="0" fontId="10" fillId="0" borderId="28" xfId="6" applyFont="1" applyBorder="1" applyAlignment="1">
      <alignment horizontal="left" vertical="top" wrapText="1"/>
    </xf>
    <xf numFmtId="0" fontId="10" fillId="0" borderId="13" xfId="6" applyFont="1" applyBorder="1" applyAlignment="1">
      <alignment horizontal="left" vertical="top"/>
    </xf>
    <xf numFmtId="0" fontId="10" fillId="0" borderId="13" xfId="13" applyFont="1" applyBorder="1" applyAlignment="1">
      <alignment horizontal="left" vertical="center" wrapText="1"/>
    </xf>
    <xf numFmtId="0" fontId="58" fillId="0" borderId="13" xfId="0" applyFont="1" applyBorder="1" applyAlignment="1">
      <alignment horizontal="left" vertical="center" wrapText="1"/>
    </xf>
    <xf numFmtId="0" fontId="10" fillId="0" borderId="13" xfId="6" applyFont="1" applyBorder="1" applyAlignment="1">
      <alignment horizontal="left" wrapText="1"/>
    </xf>
    <xf numFmtId="0" fontId="10" fillId="0" borderId="21" xfId="0" applyFont="1" applyBorder="1" applyAlignment="1">
      <alignment horizontal="left" vertical="top" wrapText="1"/>
    </xf>
    <xf numFmtId="0" fontId="10" fillId="0" borderId="28" xfId="0" applyFont="1" applyBorder="1" applyAlignment="1">
      <alignment horizontal="left" vertical="top" wrapText="1"/>
    </xf>
    <xf numFmtId="4" fontId="60" fillId="0" borderId="13" xfId="0" applyNumberFormat="1" applyFont="1" applyBorder="1" applyAlignment="1">
      <alignment horizontal="justify" vertical="top" wrapText="1"/>
    </xf>
    <xf numFmtId="164" fontId="13" fillId="14" borderId="9" xfId="1" applyFont="1" applyFill="1" applyBorder="1" applyAlignment="1">
      <alignment horizontal="center"/>
    </xf>
    <xf numFmtId="164" fontId="19" fillId="14" borderId="13" xfId="1" applyFont="1" applyFill="1" applyBorder="1" applyAlignment="1">
      <alignment vertical="top" wrapText="1"/>
    </xf>
    <xf numFmtId="164" fontId="12" fillId="14" borderId="13" xfId="1" applyFont="1" applyFill="1" applyBorder="1" applyAlignment="1">
      <alignment horizontal="center" vertical="center" wrapText="1"/>
    </xf>
    <xf numFmtId="164" fontId="12" fillId="14" borderId="56" xfId="1" applyFont="1" applyFill="1" applyBorder="1" applyAlignment="1">
      <alignment horizontal="center" vertical="center"/>
    </xf>
    <xf numFmtId="4" fontId="37" fillId="0" borderId="13" xfId="0" applyNumberFormat="1" applyFont="1" applyBorder="1" applyAlignment="1">
      <alignment horizontal="justify" vertical="center" wrapText="1"/>
    </xf>
    <xf numFmtId="4" fontId="25" fillId="0" borderId="28" xfId="0" applyNumberFormat="1" applyFont="1" applyBorder="1" applyAlignment="1">
      <alignment horizontal="justify" vertical="center" wrapText="1"/>
    </xf>
    <xf numFmtId="4" fontId="60" fillId="3" borderId="13" xfId="0" applyNumberFormat="1" applyFont="1" applyFill="1" applyBorder="1" applyAlignment="1">
      <alignment horizontal="justify" vertical="top" wrapText="1"/>
    </xf>
    <xf numFmtId="4" fontId="12" fillId="3" borderId="0" xfId="27" applyNumberFormat="1" applyFont="1" applyFill="1" applyAlignment="1">
      <alignment vertical="center"/>
    </xf>
    <xf numFmtId="4" fontId="12" fillId="14" borderId="13" xfId="27" applyNumberFormat="1" applyFont="1" applyFill="1" applyBorder="1" applyAlignment="1">
      <alignment horizontal="center" vertical="center"/>
    </xf>
    <xf numFmtId="4" fontId="12" fillId="14" borderId="21" xfId="27" applyNumberFormat="1" applyFont="1" applyFill="1" applyBorder="1" applyAlignment="1">
      <alignment horizontal="center" vertical="center"/>
    </xf>
    <xf numFmtId="4" fontId="35" fillId="14" borderId="13" xfId="27" applyNumberFormat="1" applyFont="1" applyFill="1" applyBorder="1" applyAlignment="1">
      <alignment horizontal="center" vertical="center"/>
    </xf>
    <xf numFmtId="0" fontId="9" fillId="3" borderId="0" xfId="33" applyFill="1"/>
    <xf numFmtId="0" fontId="9" fillId="0" borderId="0" xfId="33"/>
    <xf numFmtId="164" fontId="63" fillId="0" borderId="45" xfId="34" applyNumberFormat="1" applyFont="1" applyBorder="1"/>
    <xf numFmtId="164" fontId="62" fillId="0" borderId="45" xfId="34" applyNumberFormat="1" applyFont="1" applyBorder="1" applyAlignment="1">
      <alignment horizontal="center"/>
    </xf>
    <xf numFmtId="164" fontId="63" fillId="0" borderId="68" xfId="34" applyNumberFormat="1" applyFont="1" applyBorder="1"/>
    <xf numFmtId="164" fontId="63" fillId="0" borderId="68" xfId="34" applyNumberFormat="1" applyFont="1" applyBorder="1" applyAlignment="1">
      <alignment horizontal="left"/>
    </xf>
    <xf numFmtId="164" fontId="63" fillId="0" borderId="68" xfId="34" applyNumberFormat="1" applyFont="1" applyBorder="1" applyAlignment="1">
      <alignment horizontal="center"/>
    </xf>
    <xf numFmtId="164" fontId="62" fillId="0" borderId="68" xfId="34" applyNumberFormat="1" applyFont="1" applyBorder="1"/>
    <xf numFmtId="164" fontId="63" fillId="15" borderId="68" xfId="34" applyNumberFormat="1" applyFont="1" applyFill="1" applyBorder="1"/>
    <xf numFmtId="164" fontId="63" fillId="15" borderId="68" xfId="34" applyNumberFormat="1" applyFont="1" applyFill="1" applyBorder="1" applyAlignment="1">
      <alignment horizontal="center"/>
    </xf>
    <xf numFmtId="164" fontId="62" fillId="15" borderId="68" xfId="34" applyNumberFormat="1" applyFont="1" applyFill="1" applyBorder="1" applyAlignment="1">
      <alignment horizontal="center"/>
    </xf>
    <xf numFmtId="164" fontId="62" fillId="0" borderId="68" xfId="34" applyNumberFormat="1" applyFont="1" applyBorder="1" applyAlignment="1">
      <alignment horizontal="left"/>
    </xf>
    <xf numFmtId="164" fontId="62" fillId="0" borderId="68" xfId="34" applyNumberFormat="1" applyFont="1" applyBorder="1" applyAlignment="1">
      <alignment horizontal="center"/>
    </xf>
    <xf numFmtId="164" fontId="62" fillId="16" borderId="74" xfId="34" applyNumberFormat="1" applyFont="1" applyFill="1" applyBorder="1" applyAlignment="1">
      <alignment horizontal="center"/>
    </xf>
    <xf numFmtId="164" fontId="62" fillId="16" borderId="50" xfId="34" applyNumberFormat="1" applyFont="1" applyFill="1" applyBorder="1" applyAlignment="1">
      <alignment horizontal="center"/>
    </xf>
    <xf numFmtId="164" fontId="62" fillId="16" borderId="0" xfId="34" applyNumberFormat="1" applyFont="1" applyFill="1" applyBorder="1" applyAlignment="1">
      <alignment horizontal="center"/>
    </xf>
    <xf numFmtId="164" fontId="63" fillId="6" borderId="68" xfId="34" applyNumberFormat="1" applyFont="1" applyFill="1" applyBorder="1"/>
    <xf numFmtId="164" fontId="63" fillId="6" borderId="68" xfId="34" applyNumberFormat="1" applyFont="1" applyFill="1" applyBorder="1" applyAlignment="1">
      <alignment horizontal="center"/>
    </xf>
    <xf numFmtId="164" fontId="65" fillId="0" borderId="68" xfId="34" applyNumberFormat="1" applyFont="1" applyBorder="1"/>
    <xf numFmtId="164" fontId="63" fillId="0" borderId="68" xfId="34" applyNumberFormat="1" applyFont="1" applyFill="1" applyBorder="1"/>
    <xf numFmtId="164" fontId="63" fillId="0" borderId="68" xfId="34" applyNumberFormat="1" applyFont="1" applyFill="1" applyBorder="1" applyAlignment="1">
      <alignment horizontal="center"/>
    </xf>
    <xf numFmtId="164" fontId="63" fillId="0" borderId="68" xfId="34" applyNumberFormat="1" applyFont="1" applyBorder="1" applyAlignment="1">
      <alignment wrapText="1"/>
    </xf>
    <xf numFmtId="164" fontId="9" fillId="3" borderId="0" xfId="35" applyFont="1" applyFill="1"/>
    <xf numFmtId="164" fontId="63" fillId="0" borderId="0" xfId="34" applyNumberFormat="1" applyFont="1" applyAlignment="1">
      <alignment horizontal="left"/>
    </xf>
    <xf numFmtId="164" fontId="63" fillId="0" borderId="0" xfId="34" applyNumberFormat="1" applyFont="1" applyAlignment="1">
      <alignment horizontal="center"/>
    </xf>
    <xf numFmtId="164" fontId="63" fillId="0" borderId="12" xfId="34" applyNumberFormat="1" applyFont="1" applyBorder="1"/>
    <xf numFmtId="164" fontId="62" fillId="0" borderId="12" xfId="34" applyNumberFormat="1" applyFont="1" applyBorder="1" applyAlignment="1">
      <alignment horizontal="center"/>
    </xf>
    <xf numFmtId="164" fontId="63" fillId="0" borderId="13" xfId="34" applyNumberFormat="1" applyFont="1" applyBorder="1"/>
    <xf numFmtId="164" fontId="63" fillId="0" borderId="13" xfId="34" applyNumberFormat="1" applyFont="1" applyBorder="1" applyAlignment="1">
      <alignment horizontal="left"/>
    </xf>
    <xf numFmtId="164" fontId="63" fillId="0" borderId="13" xfId="34" applyNumberFormat="1" applyFont="1" applyBorder="1" applyAlignment="1">
      <alignment horizontal="center"/>
    </xf>
    <xf numFmtId="164" fontId="63" fillId="0" borderId="13" xfId="34" applyNumberFormat="1" applyFont="1" applyFill="1" applyBorder="1"/>
    <xf numFmtId="164" fontId="63" fillId="0" borderId="13" xfId="34" applyNumberFormat="1" applyFont="1" applyFill="1" applyBorder="1" applyAlignment="1">
      <alignment horizontal="center"/>
    </xf>
    <xf numFmtId="164" fontId="63" fillId="0" borderId="13" xfId="34" applyNumberFormat="1" applyFont="1" applyBorder="1" applyAlignment="1">
      <alignment wrapText="1"/>
    </xf>
    <xf numFmtId="164" fontId="63" fillId="0" borderId="12" xfId="34" applyNumberFormat="1" applyFont="1" applyBorder="1" applyAlignment="1">
      <alignment horizontal="center"/>
    </xf>
    <xf numFmtId="164" fontId="63" fillId="6" borderId="68" xfId="34" applyNumberFormat="1" applyFont="1" applyFill="1" applyBorder="1" applyAlignment="1">
      <alignment wrapText="1"/>
    </xf>
    <xf numFmtId="164" fontId="63" fillId="6" borderId="68" xfId="34" applyNumberFormat="1" applyFont="1" applyFill="1" applyBorder="1" applyAlignment="1">
      <alignment horizontal="left"/>
    </xf>
    <xf numFmtId="164" fontId="62" fillId="0" borderId="0" xfId="34" applyNumberFormat="1" applyFont="1" applyAlignment="1">
      <alignment horizontal="center"/>
    </xf>
    <xf numFmtId="164" fontId="62" fillId="16" borderId="60" xfId="34" applyNumberFormat="1" applyFont="1" applyFill="1" applyBorder="1" applyAlignment="1">
      <alignment horizontal="center"/>
    </xf>
    <xf numFmtId="164" fontId="62" fillId="16" borderId="75" xfId="34" applyNumberFormat="1" applyFont="1" applyFill="1" applyBorder="1" applyAlignment="1">
      <alignment horizontal="center"/>
    </xf>
    <xf numFmtId="164" fontId="62" fillId="0" borderId="26" xfId="34" applyNumberFormat="1" applyFont="1" applyBorder="1" applyAlignment="1">
      <alignment horizontal="center"/>
    </xf>
    <xf numFmtId="164" fontId="63" fillId="0" borderId="26" xfId="34" applyNumberFormat="1" applyFont="1" applyBorder="1" applyAlignment="1">
      <alignment horizontal="center"/>
    </xf>
    <xf numFmtId="164" fontId="62" fillId="0" borderId="54" xfId="34" applyNumberFormat="1" applyFont="1" applyBorder="1" applyAlignment="1">
      <alignment horizontal="center"/>
    </xf>
    <xf numFmtId="0" fontId="9" fillId="0" borderId="0" xfId="33" applyAlignment="1">
      <alignment horizontal="center"/>
    </xf>
    <xf numFmtId="164" fontId="62" fillId="16" borderId="30" xfId="34" applyNumberFormat="1" applyFont="1" applyFill="1" applyBorder="1" applyAlignment="1">
      <alignment horizontal="center"/>
    </xf>
    <xf numFmtId="164" fontId="63" fillId="0" borderId="0" xfId="34" applyNumberFormat="1" applyFont="1"/>
    <xf numFmtId="164" fontId="9" fillId="3" borderId="0" xfId="37" applyFont="1" applyFill="1"/>
    <xf numFmtId="43" fontId="9" fillId="3" borderId="0" xfId="33" applyNumberFormat="1" applyFill="1"/>
    <xf numFmtId="0" fontId="9" fillId="0" borderId="12" xfId="33" applyFont="1" applyBorder="1" applyAlignment="1">
      <alignment horizontal="center"/>
    </xf>
    <xf numFmtId="164" fontId="0" fillId="0" borderId="12" xfId="2" applyFont="1" applyBorder="1" applyAlignment="1">
      <alignment horizontal="center"/>
    </xf>
    <xf numFmtId="164" fontId="23" fillId="0" borderId="32" xfId="2" applyFont="1" applyBorder="1" applyAlignment="1">
      <alignment horizontal="center"/>
    </xf>
    <xf numFmtId="164" fontId="0" fillId="0" borderId="25" xfId="2" applyFont="1" applyBorder="1" applyAlignment="1">
      <alignment horizontal="center"/>
    </xf>
    <xf numFmtId="164" fontId="23" fillId="0" borderId="12" xfId="2" applyFont="1" applyBorder="1" applyAlignment="1">
      <alignment horizontal="center"/>
    </xf>
    <xf numFmtId="164" fontId="63" fillId="0" borderId="68" xfId="34" applyNumberFormat="1" applyFont="1" applyFill="1" applyBorder="1" applyAlignment="1">
      <alignment wrapText="1"/>
    </xf>
    <xf numFmtId="164" fontId="63" fillId="0" borderId="68" xfId="34" applyNumberFormat="1" applyFont="1" applyFill="1" applyBorder="1" applyAlignment="1">
      <alignment horizontal="left"/>
    </xf>
    <xf numFmtId="43" fontId="9" fillId="0" borderId="0" xfId="33" applyNumberFormat="1"/>
    <xf numFmtId="164" fontId="63" fillId="0" borderId="0" xfId="37" applyFont="1"/>
    <xf numFmtId="164" fontId="9" fillId="3" borderId="0" xfId="33" applyNumberFormat="1" applyFill="1"/>
    <xf numFmtId="164" fontId="62" fillId="0" borderId="45" xfId="34" applyNumberFormat="1" applyFont="1" applyBorder="1" applyAlignment="1">
      <alignment horizontal="center" vertical="center"/>
    </xf>
    <xf numFmtId="164" fontId="63" fillId="0" borderId="68" xfId="34" applyNumberFormat="1" applyFont="1" applyBorder="1" applyAlignment="1">
      <alignment horizontal="center" vertical="center"/>
    </xf>
    <xf numFmtId="164" fontId="63" fillId="0" borderId="76" xfId="34" applyNumberFormat="1" applyFont="1" applyBorder="1" applyAlignment="1">
      <alignment horizontal="center"/>
    </xf>
    <xf numFmtId="164" fontId="62" fillId="0" borderId="68" xfId="34" applyNumberFormat="1" applyFont="1" applyBorder="1" applyAlignment="1">
      <alignment horizontal="center" vertical="center"/>
    </xf>
    <xf numFmtId="164" fontId="62" fillId="16" borderId="57" xfId="34" applyNumberFormat="1" applyFont="1" applyFill="1" applyBorder="1" applyAlignment="1">
      <alignment horizontal="center"/>
    </xf>
    <xf numFmtId="164" fontId="62" fillId="0" borderId="68" xfId="34" applyNumberFormat="1" applyFont="1" applyFill="1" applyBorder="1"/>
    <xf numFmtId="164" fontId="62" fillId="16" borderId="59" xfId="34" applyNumberFormat="1" applyFont="1" applyFill="1" applyBorder="1" applyAlignment="1">
      <alignment horizontal="center"/>
    </xf>
    <xf numFmtId="164" fontId="62" fillId="16" borderId="42" xfId="34" applyNumberFormat="1" applyFont="1" applyFill="1" applyBorder="1" applyAlignment="1">
      <alignment horizontal="center"/>
    </xf>
    <xf numFmtId="164" fontId="9" fillId="0" borderId="0" xfId="37" applyFont="1" applyAlignment="1">
      <alignment horizontal="center"/>
    </xf>
    <xf numFmtId="43" fontId="9" fillId="0" borderId="0" xfId="33" applyNumberFormat="1" applyAlignment="1">
      <alignment horizontal="center"/>
    </xf>
    <xf numFmtId="164" fontId="62" fillId="16" borderId="77" xfId="34" applyNumberFormat="1" applyFont="1" applyFill="1" applyBorder="1" applyAlignment="1">
      <alignment horizontal="center"/>
    </xf>
    <xf numFmtId="164" fontId="62" fillId="16" borderId="63" xfId="34" applyNumberFormat="1" applyFont="1" applyFill="1" applyBorder="1" applyAlignment="1">
      <alignment horizontal="center"/>
    </xf>
    <xf numFmtId="164" fontId="63" fillId="17" borderId="68" xfId="34" applyNumberFormat="1" applyFont="1" applyFill="1" applyBorder="1"/>
    <xf numFmtId="164" fontId="63" fillId="17" borderId="68" xfId="34" applyNumberFormat="1" applyFont="1" applyFill="1" applyBorder="1" applyAlignment="1">
      <alignment horizontal="center"/>
    </xf>
    <xf numFmtId="164" fontId="63" fillId="17" borderId="68" xfId="34" applyNumberFormat="1" applyFont="1" applyFill="1" applyBorder="1" applyAlignment="1">
      <alignment wrapText="1"/>
    </xf>
    <xf numFmtId="164" fontId="63" fillId="0" borderId="0" xfId="34" applyNumberFormat="1" applyFont="1" applyFill="1"/>
    <xf numFmtId="164" fontId="63" fillId="3" borderId="0" xfId="34" applyNumberFormat="1" applyFont="1" applyFill="1"/>
    <xf numFmtId="164" fontId="62" fillId="3" borderId="4" xfId="34" applyNumberFormat="1" applyFont="1" applyFill="1" applyBorder="1" applyAlignment="1">
      <alignment horizontal="center"/>
    </xf>
    <xf numFmtId="164" fontId="62" fillId="3" borderId="0" xfId="34" applyNumberFormat="1" applyFont="1" applyFill="1" applyBorder="1" applyAlignment="1">
      <alignment horizontal="center"/>
    </xf>
    <xf numFmtId="0" fontId="9" fillId="3" borderId="0" xfId="33" applyFill="1" applyAlignment="1">
      <alignment horizontal="center"/>
    </xf>
    <xf numFmtId="164" fontId="63" fillId="3" borderId="68" xfId="34" applyNumberFormat="1" applyFont="1" applyFill="1" applyBorder="1"/>
    <xf numFmtId="164" fontId="63" fillId="3" borderId="68" xfId="34" applyNumberFormat="1" applyFont="1" applyFill="1" applyBorder="1" applyAlignment="1">
      <alignment horizontal="center"/>
    </xf>
    <xf numFmtId="164" fontId="0" fillId="0" borderId="0" xfId="2" applyFont="1" applyAlignment="1">
      <alignment horizontal="center"/>
    </xf>
    <xf numFmtId="169" fontId="63" fillId="0" borderId="68" xfId="34" applyNumberFormat="1" applyFont="1" applyBorder="1" applyAlignment="1">
      <alignment horizontal="center"/>
    </xf>
    <xf numFmtId="0" fontId="9" fillId="3" borderId="0" xfId="33" applyFont="1" applyFill="1"/>
    <xf numFmtId="164" fontId="62" fillId="16" borderId="61" xfId="34" applyNumberFormat="1" applyFont="1" applyFill="1" applyBorder="1" applyAlignment="1">
      <alignment horizontal="center"/>
    </xf>
    <xf numFmtId="43" fontId="62" fillId="16" borderId="61" xfId="38" applyNumberFormat="1" applyFont="1" applyFill="1" applyBorder="1"/>
    <xf numFmtId="0" fontId="1" fillId="3" borderId="0" xfId="34" applyFill="1"/>
    <xf numFmtId="164" fontId="63" fillId="3" borderId="12" xfId="34" applyNumberFormat="1" applyFont="1" applyFill="1" applyBorder="1" applyAlignment="1">
      <alignment horizontal="center"/>
    </xf>
    <xf numFmtId="164" fontId="62" fillId="0" borderId="12" xfId="34" applyNumberFormat="1" applyFont="1" applyBorder="1" applyAlignment="1">
      <alignment horizontal="center" vertical="center"/>
    </xf>
    <xf numFmtId="164" fontId="62" fillId="0" borderId="12" xfId="37" applyFont="1" applyBorder="1" applyAlignment="1">
      <alignment horizontal="center"/>
    </xf>
    <xf numFmtId="164" fontId="62" fillId="0" borderId="18" xfId="34" applyNumberFormat="1" applyFont="1" applyBorder="1" applyAlignment="1">
      <alignment horizontal="center"/>
    </xf>
    <xf numFmtId="0" fontId="1" fillId="0" borderId="0" xfId="34"/>
    <xf numFmtId="164" fontId="63" fillId="3" borderId="78" xfId="34" applyNumberFormat="1" applyFont="1" applyFill="1" applyBorder="1"/>
    <xf numFmtId="164" fontId="63" fillId="0" borderId="78" xfId="34" applyNumberFormat="1" applyFont="1" applyBorder="1" applyAlignment="1">
      <alignment horizontal="left" vertical="center"/>
    </xf>
    <xf numFmtId="164" fontId="63" fillId="0" borderId="78" xfId="37" applyFont="1" applyBorder="1"/>
    <xf numFmtId="164" fontId="63" fillId="0" borderId="78" xfId="34" applyNumberFormat="1" applyFont="1" applyBorder="1"/>
    <xf numFmtId="164" fontId="63" fillId="3" borderId="79" xfId="34" applyNumberFormat="1" applyFont="1" applyFill="1" applyBorder="1"/>
    <xf numFmtId="164" fontId="63" fillId="0" borderId="79" xfId="34" applyNumberFormat="1" applyFont="1" applyBorder="1" applyAlignment="1">
      <alignment horizontal="left" vertical="center"/>
    </xf>
    <xf numFmtId="169" fontId="63" fillId="0" borderId="79" xfId="37" applyNumberFormat="1" applyFont="1" applyBorder="1"/>
    <xf numFmtId="164" fontId="63" fillId="0" borderId="79" xfId="37" applyFont="1" applyBorder="1"/>
    <xf numFmtId="164" fontId="62" fillId="0" borderId="79" xfId="34" applyNumberFormat="1" applyFont="1" applyBorder="1"/>
    <xf numFmtId="164" fontId="63" fillId="0" borderId="79" xfId="34" applyNumberFormat="1" applyFont="1" applyBorder="1"/>
    <xf numFmtId="169" fontId="63" fillId="0" borderId="79" xfId="37" applyNumberFormat="1" applyFont="1" applyFill="1" applyBorder="1"/>
    <xf numFmtId="164" fontId="63" fillId="0" borderId="79" xfId="37" applyFont="1" applyFill="1" applyBorder="1"/>
    <xf numFmtId="164" fontId="63" fillId="0" borderId="44" xfId="34" applyNumberFormat="1" applyFont="1" applyBorder="1"/>
    <xf numFmtId="164" fontId="62" fillId="0" borderId="12" xfId="34" applyNumberFormat="1" applyFont="1" applyBorder="1"/>
    <xf numFmtId="164" fontId="62" fillId="0" borderId="13" xfId="34" applyNumberFormat="1" applyFont="1" applyBorder="1"/>
    <xf numFmtId="164" fontId="63" fillId="3" borderId="44" xfId="34" applyNumberFormat="1" applyFont="1" applyFill="1" applyBorder="1"/>
    <xf numFmtId="164" fontId="63" fillId="0" borderId="44" xfId="34" applyNumberFormat="1" applyFont="1" applyBorder="1" applyAlignment="1">
      <alignment horizontal="left" vertical="center"/>
    </xf>
    <xf numFmtId="164" fontId="63" fillId="0" borderId="44" xfId="37" applyFont="1" applyFill="1" applyBorder="1"/>
    <xf numFmtId="164" fontId="63" fillId="3" borderId="80" xfId="34" applyNumberFormat="1" applyFont="1" applyFill="1" applyBorder="1"/>
    <xf numFmtId="164" fontId="63" fillId="0" borderId="80" xfId="34" applyNumberFormat="1" applyFont="1" applyBorder="1" applyAlignment="1">
      <alignment horizontal="left" vertical="center"/>
    </xf>
    <xf numFmtId="164" fontId="63" fillId="0" borderId="80" xfId="37" applyFont="1" applyFill="1" applyBorder="1"/>
    <xf numFmtId="164" fontId="62" fillId="0" borderId="81" xfId="34" applyNumberFormat="1" applyFont="1" applyBorder="1"/>
    <xf numFmtId="164" fontId="63" fillId="0" borderId="0" xfId="34" applyNumberFormat="1" applyFont="1" applyAlignment="1">
      <alignment horizontal="left" vertical="center"/>
    </xf>
    <xf numFmtId="164" fontId="63" fillId="0" borderId="0" xfId="37" applyFont="1" applyFill="1"/>
    <xf numFmtId="164" fontId="62" fillId="3" borderId="79" xfId="34" applyNumberFormat="1" applyFont="1" applyFill="1" applyBorder="1"/>
    <xf numFmtId="164" fontId="1" fillId="0" borderId="0" xfId="34" applyNumberFormat="1"/>
    <xf numFmtId="164" fontId="62" fillId="0" borderId="81" xfId="37" applyFont="1" applyFill="1" applyBorder="1"/>
    <xf numFmtId="164" fontId="62" fillId="16" borderId="76" xfId="34" applyNumberFormat="1" applyFont="1" applyFill="1" applyBorder="1" applyAlignment="1">
      <alignment horizontal="center"/>
    </xf>
    <xf numFmtId="164" fontId="62" fillId="16" borderId="45" xfId="34" applyNumberFormat="1" applyFont="1" applyFill="1" applyBorder="1" applyAlignment="1">
      <alignment horizontal="center"/>
    </xf>
    <xf numFmtId="164" fontId="62" fillId="0" borderId="68" xfId="34" applyNumberFormat="1" applyFont="1" applyBorder="1" applyAlignment="1">
      <alignment wrapText="1"/>
    </xf>
    <xf numFmtId="164" fontId="62" fillId="0" borderId="32" xfId="37" applyFont="1" applyFill="1" applyBorder="1"/>
    <xf numFmtId="164" fontId="63" fillId="0" borderId="78" xfId="37" applyFont="1" applyFill="1" applyBorder="1"/>
    <xf numFmtId="164" fontId="67" fillId="0" borderId="0" xfId="34" applyNumberFormat="1" applyFont="1"/>
    <xf numFmtId="9" fontId="12" fillId="0" borderId="13" xfId="8" applyFont="1" applyFill="1" applyBorder="1" applyAlignment="1">
      <alignment horizontal="left" vertical="center" wrapText="1"/>
    </xf>
    <xf numFmtId="4" fontId="12" fillId="0" borderId="0" xfId="0" applyNumberFormat="1" applyFont="1" applyAlignment="1">
      <alignment horizontal="justify" vertical="center"/>
    </xf>
    <xf numFmtId="0" fontId="34" fillId="0" borderId="0" xfId="15" applyFont="1" applyAlignment="1">
      <alignment horizontal="center" vertical="center" wrapText="1"/>
    </xf>
    <xf numFmtId="0" fontId="30" fillId="0" borderId="0" xfId="15" applyFont="1" applyAlignment="1">
      <alignment horizontal="center" vertical="center" wrapText="1"/>
    </xf>
    <xf numFmtId="2" fontId="15" fillId="0" borderId="4" xfId="0" applyNumberFormat="1" applyFont="1" applyBorder="1" applyAlignment="1">
      <alignment horizontal="center"/>
    </xf>
    <xf numFmtId="2" fontId="15" fillId="0" borderId="0" xfId="0" applyNumberFormat="1" applyFont="1" applyBorder="1" applyAlignment="1">
      <alignment horizontal="center"/>
    </xf>
    <xf numFmtId="2" fontId="15" fillId="0" borderId="5" xfId="0" applyNumberFormat="1" applyFont="1" applyBorder="1" applyAlignment="1">
      <alignment horizontal="center"/>
    </xf>
    <xf numFmtId="0" fontId="54" fillId="5" borderId="57" xfId="15" applyFont="1" applyFill="1" applyBorder="1" applyAlignment="1">
      <alignment horizontal="center"/>
    </xf>
    <xf numFmtId="0" fontId="54" fillId="5" borderId="56" xfId="15" applyFont="1" applyFill="1" applyBorder="1" applyAlignment="1">
      <alignment horizontal="center"/>
    </xf>
    <xf numFmtId="0" fontId="48" fillId="6" borderId="0" xfId="33" applyFont="1" applyFill="1" applyAlignment="1">
      <alignment horizontal="center"/>
    </xf>
    <xf numFmtId="164" fontId="50" fillId="6" borderId="42" xfId="34" applyNumberFormat="1" applyFont="1" applyFill="1" applyBorder="1" applyAlignment="1">
      <alignment horizontal="left"/>
    </xf>
    <xf numFmtId="0" fontId="48" fillId="4" borderId="0" xfId="33" applyFont="1" applyFill="1" applyAlignment="1">
      <alignment horizontal="center"/>
    </xf>
    <xf numFmtId="164" fontId="50" fillId="5" borderId="42" xfId="34" applyNumberFormat="1" applyFont="1" applyFill="1" applyBorder="1" applyAlignment="1">
      <alignment horizontal="left"/>
    </xf>
    <xf numFmtId="164" fontId="52" fillId="5" borderId="18" xfId="34" applyNumberFormat="1" applyFont="1" applyFill="1" applyBorder="1" applyAlignment="1">
      <alignment horizontal="center"/>
    </xf>
    <xf numFmtId="164" fontId="52" fillId="5" borderId="57" xfId="34" applyNumberFormat="1" applyFont="1" applyFill="1" applyBorder="1" applyAlignment="1">
      <alignment horizontal="center"/>
    </xf>
    <xf numFmtId="164" fontId="52" fillId="5" borderId="58" xfId="34" applyNumberFormat="1" applyFont="1" applyFill="1" applyBorder="1" applyAlignment="1">
      <alignment horizontal="center"/>
    </xf>
    <xf numFmtId="0" fontId="54" fillId="5" borderId="0" xfId="15" applyFont="1" applyFill="1" applyBorder="1" applyAlignment="1">
      <alignment horizontal="left"/>
    </xf>
    <xf numFmtId="0" fontId="54" fillId="6" borderId="57" xfId="15" applyFont="1" applyFill="1" applyBorder="1" applyAlignment="1">
      <alignment horizontal="right"/>
    </xf>
    <xf numFmtId="0" fontId="54" fillId="6" borderId="56" xfId="15" applyFont="1" applyFill="1" applyBorder="1" applyAlignment="1">
      <alignment horizontal="right"/>
    </xf>
    <xf numFmtId="0" fontId="55" fillId="6" borderId="0" xfId="15" applyFont="1" applyFill="1" applyBorder="1" applyAlignment="1">
      <alignment horizontal="left"/>
    </xf>
    <xf numFmtId="0" fontId="54" fillId="6" borderId="57" xfId="15" applyFont="1" applyFill="1" applyBorder="1" applyAlignment="1">
      <alignment horizontal="center"/>
    </xf>
    <xf numFmtId="164" fontId="52" fillId="6" borderId="18" xfId="34" applyNumberFormat="1" applyFont="1" applyFill="1" applyBorder="1" applyAlignment="1">
      <alignment horizontal="center"/>
    </xf>
    <xf numFmtId="164" fontId="52" fillId="6" borderId="57" xfId="34" applyNumberFormat="1" applyFont="1" applyFill="1" applyBorder="1" applyAlignment="1">
      <alignment horizontal="center"/>
    </xf>
    <xf numFmtId="164" fontId="52" fillId="6" borderId="58" xfId="34" applyNumberFormat="1" applyFont="1" applyFill="1" applyBorder="1" applyAlignment="1">
      <alignment horizontal="center"/>
    </xf>
    <xf numFmtId="164" fontId="52" fillId="6" borderId="66" xfId="34" applyNumberFormat="1" applyFont="1" applyFill="1" applyBorder="1" applyAlignment="1">
      <alignment horizontal="center"/>
    </xf>
    <xf numFmtId="164" fontId="52" fillId="6" borderId="56" xfId="34" applyNumberFormat="1" applyFont="1" applyFill="1" applyBorder="1" applyAlignment="1">
      <alignment horizontal="center"/>
    </xf>
    <xf numFmtId="164" fontId="52" fillId="6" borderId="67" xfId="34" applyNumberFormat="1" applyFont="1" applyFill="1" applyBorder="1" applyAlignment="1">
      <alignment horizontal="center"/>
    </xf>
    <xf numFmtId="0" fontId="54" fillId="7" borderId="57" xfId="15" applyFont="1" applyFill="1" applyBorder="1" applyAlignment="1">
      <alignment horizontal="center"/>
    </xf>
    <xf numFmtId="0" fontId="54" fillId="7" borderId="57" xfId="15" applyFont="1" applyFill="1" applyBorder="1" applyAlignment="1">
      <alignment horizontal="right"/>
    </xf>
    <xf numFmtId="0" fontId="54" fillId="7" borderId="56" xfId="15" applyFont="1" applyFill="1" applyBorder="1" applyAlignment="1">
      <alignment horizontal="right"/>
    </xf>
    <xf numFmtId="0" fontId="54" fillId="8" borderId="0" xfId="15" applyFont="1" applyFill="1" applyBorder="1" applyAlignment="1">
      <alignment horizontal="left" wrapText="1"/>
    </xf>
    <xf numFmtId="0" fontId="54" fillId="8" borderId="5" xfId="15" applyFont="1" applyFill="1" applyBorder="1" applyAlignment="1">
      <alignment horizontal="left" wrapText="1"/>
    </xf>
    <xf numFmtId="0" fontId="54" fillId="8" borderId="57" xfId="15" applyFont="1" applyFill="1" applyBorder="1" applyAlignment="1">
      <alignment horizontal="center"/>
    </xf>
    <xf numFmtId="0" fontId="54" fillId="8" borderId="57" xfId="15" applyFont="1" applyFill="1" applyBorder="1" applyAlignment="1">
      <alignment horizontal="right"/>
    </xf>
    <xf numFmtId="0" fontId="54" fillId="8" borderId="56" xfId="15" applyFont="1" applyFill="1" applyBorder="1" applyAlignment="1">
      <alignment horizontal="right"/>
    </xf>
    <xf numFmtId="0" fontId="54" fillId="8" borderId="0" xfId="15" applyFont="1" applyFill="1" applyBorder="1" applyAlignment="1">
      <alignment horizontal="left" vertical="top" wrapText="1"/>
    </xf>
    <xf numFmtId="0" fontId="54" fillId="8" borderId="5" xfId="15" applyFont="1" applyFill="1" applyBorder="1" applyAlignment="1">
      <alignment horizontal="left" vertical="top" wrapText="1"/>
    </xf>
    <xf numFmtId="0" fontId="54" fillId="9" borderId="57" xfId="15" applyFont="1" applyFill="1" applyBorder="1" applyAlignment="1">
      <alignment horizontal="center"/>
    </xf>
    <xf numFmtId="0" fontId="54" fillId="9" borderId="57" xfId="15" applyFont="1" applyFill="1" applyBorder="1" applyAlignment="1">
      <alignment horizontal="right"/>
    </xf>
    <xf numFmtId="0" fontId="54" fillId="9" borderId="56" xfId="15" applyFont="1" applyFill="1" applyBorder="1" applyAlignment="1">
      <alignment horizontal="right"/>
    </xf>
    <xf numFmtId="0" fontId="54" fillId="9" borderId="0" xfId="15" applyFont="1" applyFill="1" applyBorder="1" applyAlignment="1">
      <alignment horizontal="left" vertical="top" wrapText="1"/>
    </xf>
    <xf numFmtId="0" fontId="54" fillId="9" borderId="5" xfId="15" applyFont="1" applyFill="1" applyBorder="1" applyAlignment="1">
      <alignment horizontal="left" vertical="top" wrapText="1"/>
    </xf>
    <xf numFmtId="0" fontId="54" fillId="10" borderId="0" xfId="15" applyFont="1" applyFill="1" applyBorder="1" applyAlignment="1">
      <alignment horizontal="left" vertical="top" wrapText="1"/>
    </xf>
    <xf numFmtId="0" fontId="54" fillId="10" borderId="57" xfId="15" applyFont="1" applyFill="1" applyBorder="1" applyAlignment="1">
      <alignment horizontal="center"/>
    </xf>
    <xf numFmtId="0" fontId="54" fillId="0" borderId="56" xfId="15" applyFont="1" applyFill="1" applyBorder="1" applyAlignment="1">
      <alignment horizontal="right"/>
    </xf>
    <xf numFmtId="0" fontId="54" fillId="0" borderId="57" xfId="15" applyFont="1" applyFill="1" applyBorder="1" applyAlignment="1">
      <alignment horizontal="center"/>
    </xf>
    <xf numFmtId="0" fontId="54" fillId="0" borderId="57" xfId="15" applyFont="1" applyFill="1" applyBorder="1" applyAlignment="1">
      <alignment horizontal="right"/>
    </xf>
    <xf numFmtId="0" fontId="54" fillId="10" borderId="57" xfId="15" applyFont="1" applyFill="1" applyBorder="1" applyAlignment="1">
      <alignment horizontal="right"/>
    </xf>
    <xf numFmtId="0" fontId="54" fillId="10" borderId="56" xfId="15" applyFont="1" applyFill="1" applyBorder="1" applyAlignment="1">
      <alignment horizontal="right"/>
    </xf>
    <xf numFmtId="0" fontId="54" fillId="0" borderId="0" xfId="15" applyFont="1" applyFill="1" applyBorder="1" applyAlignment="1">
      <alignment horizontal="left" vertical="center" wrapText="1"/>
    </xf>
    <xf numFmtId="0" fontId="54" fillId="0" borderId="5" xfId="15" applyFont="1" applyFill="1" applyBorder="1" applyAlignment="1">
      <alignment horizontal="left" vertical="center" wrapText="1"/>
    </xf>
    <xf numFmtId="0" fontId="56" fillId="11" borderId="4" xfId="15" applyFont="1" applyFill="1" applyBorder="1" applyAlignment="1">
      <alignment horizontal="center"/>
    </xf>
    <xf numFmtId="0" fontId="56" fillId="11" borderId="0" xfId="15" applyFont="1" applyFill="1" applyBorder="1" applyAlignment="1">
      <alignment horizontal="center"/>
    </xf>
    <xf numFmtId="0" fontId="56" fillId="12" borderId="0" xfId="15" applyFont="1" applyFill="1" applyBorder="1" applyAlignment="1">
      <alignment horizontal="center"/>
    </xf>
    <xf numFmtId="0" fontId="56" fillId="13" borderId="0" xfId="15" applyFont="1" applyFill="1" applyBorder="1" applyAlignment="1">
      <alignment horizontal="center"/>
    </xf>
    <xf numFmtId="0" fontId="56" fillId="13" borderId="5" xfId="15" applyFont="1" applyFill="1" applyBorder="1" applyAlignment="1">
      <alignment horizontal="center"/>
    </xf>
    <xf numFmtId="164" fontId="62" fillId="16" borderId="74" xfId="34" applyNumberFormat="1" applyFont="1" applyFill="1" applyBorder="1" applyAlignment="1">
      <alignment horizontal="center"/>
    </xf>
    <xf numFmtId="164" fontId="62" fillId="0" borderId="1" xfId="34" applyNumberFormat="1" applyFont="1" applyBorder="1" applyAlignment="1">
      <alignment horizontal="left"/>
    </xf>
    <xf numFmtId="164" fontId="62" fillId="0" borderId="2" xfId="34" applyNumberFormat="1" applyFont="1" applyBorder="1" applyAlignment="1">
      <alignment horizontal="left"/>
    </xf>
    <xf numFmtId="164" fontId="62" fillId="0" borderId="3" xfId="34" applyNumberFormat="1" applyFont="1" applyBorder="1" applyAlignment="1">
      <alignment horizontal="left"/>
    </xf>
    <xf numFmtId="164" fontId="62" fillId="0" borderId="29" xfId="34" applyNumberFormat="1" applyFont="1" applyBorder="1" applyAlignment="1">
      <alignment horizontal="left"/>
    </xf>
    <xf numFmtId="164" fontId="62" fillId="0" borderId="26" xfId="34" applyNumberFormat="1" applyFont="1" applyBorder="1" applyAlignment="1">
      <alignment horizontal="left"/>
    </xf>
    <xf numFmtId="164" fontId="62" fillId="0" borderId="30" xfId="34" applyNumberFormat="1" applyFont="1" applyBorder="1" applyAlignment="1">
      <alignment horizontal="left"/>
    </xf>
    <xf numFmtId="164" fontId="62" fillId="15" borderId="68" xfId="34" applyNumberFormat="1" applyFont="1" applyFill="1" applyBorder="1" applyAlignment="1">
      <alignment horizontal="center"/>
    </xf>
    <xf numFmtId="0" fontId="61" fillId="4" borderId="0" xfId="33" applyFont="1" applyFill="1" applyAlignment="1">
      <alignment horizontal="center"/>
    </xf>
    <xf numFmtId="164" fontId="62" fillId="16" borderId="37" xfId="34" applyNumberFormat="1" applyFont="1" applyFill="1" applyBorder="1" applyAlignment="1">
      <alignment horizontal="center"/>
    </xf>
    <xf numFmtId="164" fontId="62" fillId="0" borderId="42" xfId="34" applyNumberFormat="1" applyFont="1" applyBorder="1" applyAlignment="1">
      <alignment horizontal="left"/>
    </xf>
    <xf numFmtId="164" fontId="62" fillId="0" borderId="18" xfId="34" applyNumberFormat="1" applyFont="1" applyBorder="1" applyAlignment="1">
      <alignment horizontal="center"/>
    </xf>
    <xf numFmtId="164" fontId="62" fillId="0" borderId="57" xfId="34" applyNumberFormat="1" applyFont="1" applyBorder="1" applyAlignment="1">
      <alignment horizontal="center"/>
    </xf>
    <xf numFmtId="164" fontId="62" fillId="0" borderId="58" xfId="34" applyNumberFormat="1" applyFont="1" applyBorder="1" applyAlignment="1">
      <alignment horizontal="center"/>
    </xf>
    <xf numFmtId="164" fontId="62" fillId="16" borderId="59" xfId="34" applyNumberFormat="1" applyFont="1" applyFill="1" applyBorder="1" applyAlignment="1">
      <alignment horizontal="center"/>
    </xf>
    <xf numFmtId="164" fontId="62" fillId="16" borderId="12" xfId="34" applyNumberFormat="1" applyFont="1" applyFill="1" applyBorder="1" applyAlignment="1">
      <alignment horizontal="center"/>
    </xf>
    <xf numFmtId="164" fontId="62" fillId="16" borderId="16" xfId="34" applyNumberFormat="1" applyFont="1" applyFill="1" applyBorder="1" applyAlignment="1">
      <alignment horizontal="center"/>
    </xf>
    <xf numFmtId="164" fontId="62" fillId="16" borderId="65" xfId="34" applyNumberFormat="1" applyFont="1" applyFill="1" applyBorder="1" applyAlignment="1">
      <alignment horizontal="center"/>
    </xf>
    <xf numFmtId="164" fontId="63" fillId="0" borderId="54" xfId="34" applyNumberFormat="1" applyFont="1" applyBorder="1" applyAlignment="1">
      <alignment horizontal="center"/>
    </xf>
    <xf numFmtId="0" fontId="23" fillId="4" borderId="0" xfId="33" applyFont="1" applyFill="1" applyAlignment="1">
      <alignment horizontal="center"/>
    </xf>
    <xf numFmtId="164" fontId="62" fillId="16" borderId="63" xfId="34" applyNumberFormat="1" applyFont="1" applyFill="1" applyBorder="1" applyAlignment="1">
      <alignment horizontal="center"/>
    </xf>
    <xf numFmtId="164" fontId="62" fillId="16" borderId="57" xfId="34" applyNumberFormat="1" applyFont="1" applyFill="1" applyBorder="1" applyAlignment="1">
      <alignment horizontal="center"/>
    </xf>
    <xf numFmtId="164" fontId="62" fillId="16" borderId="64" xfId="34" applyNumberFormat="1" applyFont="1" applyFill="1" applyBorder="1" applyAlignment="1">
      <alignment horizontal="center"/>
    </xf>
    <xf numFmtId="164" fontId="62" fillId="15" borderId="4" xfId="34" applyNumberFormat="1" applyFont="1" applyFill="1" applyBorder="1" applyAlignment="1">
      <alignment horizontal="center"/>
    </xf>
    <xf numFmtId="164" fontId="62" fillId="15" borderId="0" xfId="34" applyNumberFormat="1" applyFont="1" applyFill="1" applyAlignment="1">
      <alignment horizontal="center"/>
    </xf>
    <xf numFmtId="164" fontId="62" fillId="15" borderId="5" xfId="34" applyNumberFormat="1" applyFont="1" applyFill="1" applyBorder="1" applyAlignment="1">
      <alignment horizontal="center"/>
    </xf>
    <xf numFmtId="0" fontId="23" fillId="4" borderId="0" xfId="33" applyFont="1" applyFill="1" applyAlignment="1">
      <alignment horizontal="left"/>
    </xf>
    <xf numFmtId="0" fontId="61" fillId="15" borderId="0" xfId="33" applyFont="1" applyFill="1" applyAlignment="1">
      <alignment horizontal="center"/>
    </xf>
    <xf numFmtId="0" fontId="61" fillId="5" borderId="0" xfId="33" applyFont="1" applyFill="1" applyAlignment="1">
      <alignment horizontal="center"/>
    </xf>
    <xf numFmtId="0" fontId="61" fillId="0" borderId="0" xfId="33" applyFont="1" applyAlignment="1">
      <alignment horizontal="center"/>
    </xf>
    <xf numFmtId="164" fontId="62" fillId="18" borderId="1" xfId="34" applyNumberFormat="1" applyFont="1" applyFill="1" applyBorder="1" applyAlignment="1">
      <alignment horizontal="left"/>
    </xf>
    <xf numFmtId="164" fontId="62" fillId="18" borderId="2" xfId="34" applyNumberFormat="1" applyFont="1" applyFill="1" applyBorder="1" applyAlignment="1">
      <alignment horizontal="left"/>
    </xf>
    <xf numFmtId="164" fontId="62" fillId="18" borderId="3" xfId="34" applyNumberFormat="1" applyFont="1" applyFill="1" applyBorder="1" applyAlignment="1">
      <alignment horizontal="left"/>
    </xf>
    <xf numFmtId="4" fontId="24" fillId="0" borderId="33" xfId="0" applyNumberFormat="1" applyFont="1" applyBorder="1" applyAlignment="1">
      <alignment horizontal="center" vertical="center" wrapText="1"/>
    </xf>
    <xf numFmtId="4" fontId="24" fillId="0" borderId="34" xfId="0" applyNumberFormat="1" applyFont="1" applyBorder="1" applyAlignment="1">
      <alignment horizontal="center" vertical="center" wrapText="1"/>
    </xf>
    <xf numFmtId="4" fontId="24" fillId="0" borderId="35" xfId="0" applyNumberFormat="1" applyFont="1" applyBorder="1" applyAlignment="1">
      <alignment horizontal="center" vertical="center" wrapText="1"/>
    </xf>
    <xf numFmtId="0" fontId="25" fillId="0" borderId="2" xfId="0" applyFont="1" applyBorder="1" applyAlignment="1">
      <alignment horizontal="left" vertical="top" wrapText="1"/>
    </xf>
    <xf numFmtId="0" fontId="12" fillId="0" borderId="0" xfId="0" applyFont="1" applyAlignment="1">
      <alignment horizontal="left" vertical="center" wrapText="1"/>
    </xf>
    <xf numFmtId="0" fontId="12" fillId="0" borderId="0" xfId="0" applyFont="1" applyAlignment="1">
      <alignment horizontal="left"/>
    </xf>
    <xf numFmtId="0" fontId="12" fillId="0" borderId="0" xfId="0" applyFont="1" applyAlignment="1">
      <alignment horizontal="left" vertical="top" wrapText="1"/>
    </xf>
    <xf numFmtId="0" fontId="12" fillId="0" borderId="0" xfId="0" applyFont="1" applyAlignment="1">
      <alignment wrapText="1"/>
    </xf>
    <xf numFmtId="0" fontId="12" fillId="0" borderId="0" xfId="0" applyFont="1" applyAlignment="1">
      <alignment horizontal="left" wrapText="1"/>
    </xf>
    <xf numFmtId="0" fontId="36" fillId="0" borderId="8" xfId="12" applyFont="1" applyBorder="1" applyAlignment="1">
      <alignment horizontal="center"/>
    </xf>
    <xf numFmtId="4" fontId="13" fillId="0" borderId="33" xfId="0" applyNumberFormat="1" applyFont="1" applyBorder="1" applyAlignment="1">
      <alignment horizontal="left" vertical="center" wrapText="1"/>
    </xf>
    <xf numFmtId="4" fontId="13" fillId="0" borderId="34" xfId="0" applyNumberFormat="1" applyFont="1" applyBorder="1" applyAlignment="1">
      <alignment horizontal="left" vertical="center" wrapText="1"/>
    </xf>
    <xf numFmtId="4" fontId="13" fillId="0" borderId="35" xfId="0" applyNumberFormat="1" applyFont="1" applyBorder="1" applyAlignment="1">
      <alignment horizontal="left" vertical="center" wrapText="1"/>
    </xf>
    <xf numFmtId="1" fontId="15" fillId="0" borderId="40" xfId="0" applyNumberFormat="1" applyFont="1" applyBorder="1" applyAlignment="1">
      <alignment horizontal="left" vertical="center"/>
    </xf>
    <xf numFmtId="1" fontId="15" fillId="0" borderId="39" xfId="0" applyNumberFormat="1" applyFont="1" applyBorder="1" applyAlignment="1">
      <alignment horizontal="left" vertical="center"/>
    </xf>
    <xf numFmtId="1" fontId="15" fillId="0" borderId="14" xfId="0" applyNumberFormat="1" applyFont="1" applyBorder="1" applyAlignment="1">
      <alignment horizontal="left" vertical="center"/>
    </xf>
    <xf numFmtId="1" fontId="15" fillId="0" borderId="0" xfId="0" applyNumberFormat="1" applyFont="1" applyAlignment="1">
      <alignment horizontal="left" vertical="center"/>
    </xf>
  </cellXfs>
  <cellStyles count="39">
    <cellStyle name="•W_Electrical" xfId="14" xr:uid="{00000000-0005-0000-0000-000000000000}"/>
    <cellStyle name="Comma" xfId="1" builtinId="3"/>
    <cellStyle name="Comma 2" xfId="2" xr:uid="{00000000-0005-0000-0000-000003000000}"/>
    <cellStyle name="Comma 2 2" xfId="3" xr:uid="{00000000-0005-0000-0000-000004000000}"/>
    <cellStyle name="Comma 2 2 2" xfId="5" xr:uid="{00000000-0005-0000-0000-000005000000}"/>
    <cellStyle name="Comma 2 2 2 67 2" xfId="24" xr:uid="{00000000-0005-0000-0000-000006000000}"/>
    <cellStyle name="Comma 3" xfId="7" xr:uid="{00000000-0005-0000-0000-000007000000}"/>
    <cellStyle name="Comma 3 2" xfId="38" xr:uid="{671CCD56-D5A7-4BF2-A7D5-800506C66348}"/>
    <cellStyle name="Comma 4" xfId="11" xr:uid="{00000000-0005-0000-0000-000008000000}"/>
    <cellStyle name="Comma 5" xfId="16" xr:uid="{00000000-0005-0000-0000-000009000000}"/>
    <cellStyle name="Comma 5 2" xfId="37" xr:uid="{1668D45E-50A2-41BE-9C80-D8D7FF259212}"/>
    <cellStyle name="Comma 6" xfId="23" xr:uid="{00000000-0005-0000-0000-00000A000000}"/>
    <cellStyle name="Comma 7" xfId="28" xr:uid="{00000000-0005-0000-0000-00000B000000}"/>
    <cellStyle name="Comma 8" xfId="20" xr:uid="{00000000-0005-0000-0000-00000C000000}"/>
    <cellStyle name="Comma 8 2" xfId="26" xr:uid="{00000000-0005-0000-0000-00000D000000}"/>
    <cellStyle name="Comma 9" xfId="35" xr:uid="{AF06366F-8401-4D92-9E38-957E14FD3221}"/>
    <cellStyle name="Comma_29.8.06 Proposed Ambalanthoto-price 7" xfId="30" xr:uid="{00000000-0005-0000-0000-00000E000000}"/>
    <cellStyle name="Normal" xfId="0" builtinId="0"/>
    <cellStyle name="Normal 10" xfId="15" xr:uid="{00000000-0005-0000-0000-000011000000}"/>
    <cellStyle name="Normal 12" xfId="19" xr:uid="{00000000-0005-0000-0000-000012000000}"/>
    <cellStyle name="Normal 12 2" xfId="25" xr:uid="{00000000-0005-0000-0000-000013000000}"/>
    <cellStyle name="Normal 18" xfId="32" xr:uid="{00000000-0005-0000-0000-000014000000}"/>
    <cellStyle name="Normal 2" xfId="4" xr:uid="{00000000-0005-0000-0000-000015000000}"/>
    <cellStyle name="Normal 2 10" xfId="33" xr:uid="{FAD2BDD8-6DB9-4888-AF75-F1CD8293D88E}"/>
    <cellStyle name="Normal 2 2" xfId="9" xr:uid="{00000000-0005-0000-0000-000016000000}"/>
    <cellStyle name="Normal 2 2 2" xfId="6" xr:uid="{00000000-0005-0000-0000-000017000000}"/>
    <cellStyle name="Normal 2 3" xfId="17" xr:uid="{00000000-0005-0000-0000-000018000000}"/>
    <cellStyle name="Normal 3" xfId="22" xr:uid="{00000000-0005-0000-0000-000019000000}"/>
    <cellStyle name="Normal 3 3" xfId="34" xr:uid="{6248B43C-3C13-4C22-A246-1DE67A69BB49}"/>
    <cellStyle name="Normal 7" xfId="12" xr:uid="{00000000-0005-0000-0000-00001A000000}"/>
    <cellStyle name="Normal_29.8.06 Proposed Ambalanthoto-price" xfId="29" xr:uid="{00000000-0005-0000-0000-00001B000000}"/>
    <cellStyle name="Normal_Balapitiya B.O.Q, 3 ,27--07 - 2006  Orginal" xfId="31" xr:uid="{00000000-0005-0000-0000-00001C000000}"/>
    <cellStyle name="Normal_BOC-E" xfId="13" xr:uid="{00000000-0005-0000-0000-00001D000000}"/>
    <cellStyle name="Normal_BOQ for MR &amp; Mrs  Breakout" xfId="18" xr:uid="{00000000-0005-0000-0000-00001E000000}"/>
    <cellStyle name="Normal_My one" xfId="27" xr:uid="{00000000-0005-0000-0000-000020000000}"/>
    <cellStyle name="Percent" xfId="21" builtinId="5"/>
    <cellStyle name="Percent 2" xfId="8" xr:uid="{00000000-0005-0000-0000-000023000000}"/>
    <cellStyle name="Percent 3" xfId="10" xr:uid="{00000000-0005-0000-0000-000024000000}"/>
    <cellStyle name="Percent 4" xfId="36" xr:uid="{8670710B-21B6-49DA-88FF-605F0CCEFAC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5.xml"/><Relationship Id="rId39" Type="http://schemas.openxmlformats.org/officeDocument/2006/relationships/externalLink" Target="externalLinks/externalLink18.xml"/><Relationship Id="rId21" Type="http://schemas.openxmlformats.org/officeDocument/2006/relationships/worksheet" Target="worksheets/sheet21.xml"/><Relationship Id="rId34" Type="http://schemas.openxmlformats.org/officeDocument/2006/relationships/externalLink" Target="externalLinks/externalLink13.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3.xml"/><Relationship Id="rId32" Type="http://schemas.openxmlformats.org/officeDocument/2006/relationships/externalLink" Target="externalLinks/externalLink11.xml"/><Relationship Id="rId37" Type="http://schemas.openxmlformats.org/officeDocument/2006/relationships/externalLink" Target="externalLinks/externalLink16.xml"/><Relationship Id="rId40" Type="http://schemas.openxmlformats.org/officeDocument/2006/relationships/externalLink" Target="externalLinks/externalLink19.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externalLink" Target="externalLinks/externalLink7.xml"/><Relationship Id="rId36" Type="http://schemas.openxmlformats.org/officeDocument/2006/relationships/externalLink" Target="externalLinks/externalLink1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0.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externalLink" Target="externalLinks/externalLink6.xml"/><Relationship Id="rId30" Type="http://schemas.openxmlformats.org/officeDocument/2006/relationships/externalLink" Target="externalLinks/externalLink9.xml"/><Relationship Id="rId35" Type="http://schemas.openxmlformats.org/officeDocument/2006/relationships/externalLink" Target="externalLinks/externalLink14.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33" Type="http://schemas.openxmlformats.org/officeDocument/2006/relationships/externalLink" Target="externalLinks/externalLink12.xml"/><Relationship Id="rId38"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ERVER\DATA\DataFile\O\DB9604\RevMay97\SHOPLI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angana/VFORM/Union%20Bank/BOQ%20-%20Yogur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Users\madura\Desktop\Keenk2n\Users\UDAYA\AppData\Local\Temp\RATES%20-%20200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Mkr\AFPS\Commercials\AFPs\D327\D327-afp%20blank.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Neptune\eme_tenders\Users\prashaant_s\Documents\Projects\Movenpick\Load%20Calculation.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User/Downloads/Weerakoon/Maldives%20-%20Semi%20Water%20Banglow/Semi%20W%20Banglow-BoQ.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F:\Rangana\VFORM\Union%20Bank\BOQ%20-%20Yogurt.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Access\Projects\UK\BOM%20-%20Uswetakeiyawa.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Documents%20and%20Settings\Saumya\Desktop\Kelaniya%20University%20Hostels%20Project\Kelaniya%20University%20Project\ukslboyhostel\BOM%20-%20School.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Ongoing%20Projects\KIRIELLA\BOQ\BBS\Level%20L7\IT%20slabs\ATR-SPLL-ST-DWG-IT-L7-1043\Shapooji%20Pallonji%20Lanka\BBS%20formate\Users\Sivaprasad\AppData\Local\Temp\Temp1_BBS_Format_2003.zip\My%20Documents\Barsched%208666.xlt"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Documents%20and%20Settings\Nuwan12\Desktop\Mr.%20Godfrey\Tender\Evaluation\Negotiate%20N&amp;A\N&amp;A%20new%20blank.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G:\Drive\&#160;\Drive\Aurum\Final%20Aurum%20BOQ\PROJECTS%20ON%20kanthi\Benedic\B.O.Q\PROJECTs\projects%20kanthi\Personal\UVA%20BSR%202009%20(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Users\User\Downloads\Weerakoon\Maldives%20-%20Semi%20Water%20Banglow\Semi%20W%20Banglow-BoQ.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Y:\Hasitha\IPA\3%20months%20IPA\All%20to%20gether%20-%20IPA%205%20Final\M.sheets\New%20folder\05.0%20Administration\05.1%20DCA\DCA%20Standard%20Forms\Variation%20Formats\Revised%20Template-flower%20centre.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G:\Documents%20and%20Settings\Chandika\Desktop\TRIP-Hotel%20School%20Kandy\Addendem-02\AFTER%20ADDENDUM-02\Boq\Sameera\Work\Tangalle%20Hospital\Tangalle%20-%20Maternaty%20Ward%20Complex%20WSD.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sers/User/Downloads/Users/User/Downloads/Weerakoon/Maldives%20-%20Semi%20Water%20Banglow/Semi%20W%20Banglow-BoQ.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ocuments%20and%20Settings\Nuwan12\Desktop\Mr.%20Godfrey\Tender\Evaluation\Negotiate%20N&amp;A\N&amp;A%20new%20blank.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Rangana\VFORM\Union%20Bank\BOQ%20-%20Yogurt.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ello%20Builders/Ganusha%20-%20QS/HB-000%20Estimate/HBFP%20-%20008%20-%202023.10.26%20-%20Mr.%20Rizwan%20@%20Dematagoda%20(HB)/003%20-%20BOQ/Residential%20Building%20Mr.%20Rizwan%20@%20Dematagod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ello%20Builders/Nalin%20-QS/Estimates/Mrs.Deshani%20%20BOQ%20%20-%20Proposed%20Villa%20%20at%20Galle/BOQ/Rate%20Breakdowns%20-%20Mrs.Deshani%20at%20Gal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SHOPLIST"/>
      <sheetName val="BQ"/>
      <sheetName val="BQ External"/>
      <sheetName val="Basis"/>
      <sheetName val="Notes"/>
      <sheetName val="TAS"/>
      <sheetName val="icmal"/>
      <sheetName val="#REF"/>
      <sheetName val="SubmitCal"/>
      <sheetName val="Option"/>
      <sheetName val="Cash2"/>
      <sheetName val="Z"/>
      <sheetName val="Raw Data"/>
      <sheetName val="Penthouse Apartment"/>
      <sheetName val="Chiet tinh dz22"/>
      <sheetName val="Chiet tinh dz35"/>
      <sheetName val="_______"/>
      <sheetName val="核算项目余额表"/>
      <sheetName val="Criteria"/>
      <sheetName val="Assumptions"/>
      <sheetName val="@risk rents and incentives"/>
      <sheetName val="Car park lease"/>
      <sheetName val="Net rent analysis"/>
      <sheetName val="Poz-1 "/>
      <sheetName val="차액보증"/>
      <sheetName val="StattCo yCharges"/>
      <sheetName val="GFA_HQ_Building"/>
      <sheetName val="GFA_Conference"/>
      <sheetName val="Su}}ary"/>
      <sheetName val="Lab Cum Hist"/>
      <sheetName val="D-623D"/>
      <sheetName val="ancillary"/>
      <sheetName val="Graph Data (DO NOT PRINT)"/>
      <sheetName val="1"/>
      <sheetName val="LABOUR HISTOGRAM"/>
      <sheetName val="CT Thang Mo"/>
      <sheetName val="BOQ"/>
      <sheetName val="Bill No. 2"/>
      <sheetName val="budget summary (2)"/>
      <sheetName val="Budget Analysis Summary"/>
      <sheetName val="Projet, methodes &amp; couts"/>
      <sheetName val="Macro1"/>
      <sheetName val="Planning"/>
      <sheetName val="TAHRIR"/>
      <sheetName val="Bases"/>
      <sheetName val="Risques majeurs &amp; Frais Ind."/>
      <sheetName val="Bouclage"/>
      <sheetName val="AREG_05"/>
      <sheetName val="Sheet2"/>
      <sheetName val="Customize Your Invoice"/>
      <sheetName val="B"/>
      <sheetName val="HVAC BoQ"/>
      <sheetName val="PriceSummary"/>
      <sheetName val="企业表一"/>
      <sheetName val="M-5C"/>
      <sheetName val="M-5A"/>
      <sheetName val=""/>
      <sheetName val="改加胶玻璃、室外栏杆"/>
      <sheetName val="LEVEL SHEET"/>
      <sheetName val="SPT vs PHI"/>
      <sheetName val="CASHFLOWS"/>
      <sheetName val="Sheet1"/>
      <sheetName val="FOL - Bar"/>
      <sheetName val="CT  PL"/>
      <sheetName val="Top sheet"/>
      <sheetName val="BQ_External"/>
      <sheetName val="Bill_1"/>
      <sheetName val="Bill_2"/>
      <sheetName val="Bill_3"/>
      <sheetName val="Bill_4"/>
      <sheetName val="Bill_5"/>
      <sheetName val="Bill_6"/>
      <sheetName val="Bill_7"/>
      <sheetName val="HQ-TO"/>
      <sheetName val="Body Sheet"/>
      <sheetName val="1.0 Executive Summary"/>
      <sheetName val="intr stool brkup"/>
      <sheetName val="ConferenceCentre_x0000_옰ʒ䄂ʒ鵠ʐ䄂ʒ閐̐䄂ʒ蕈̐"/>
      <sheetName val="Budget"/>
      <sheetName val="LABOUR_HISTOGRAM"/>
      <sheetName val="JAS"/>
      <sheetName val="Rate analysis"/>
      <sheetName val="ANNEXURE-A"/>
      <sheetName val="COC"/>
      <sheetName val="Data"/>
      <sheetName val="Tender Summary"/>
      <sheetName val="Insurance Ext"/>
      <sheetName val="Prelims"/>
      <sheetName val="GFA_HQ_Building1"/>
      <sheetName val="GFA_Conference1"/>
      <sheetName val="BQ_External1"/>
      <sheetName val="Penthouse_Apartment"/>
      <sheetName val="StattCo_yCharges"/>
      <sheetName val="Raw_Data"/>
      <sheetName val="@risk_rents_and_incentives"/>
      <sheetName val="Car_park_lease"/>
      <sheetName val="Net_rent_analysis"/>
      <sheetName val="Poz-1_"/>
      <sheetName val="Chiet_tinh_dz22"/>
      <sheetName val="Chiet_tinh_dz35"/>
      <sheetName val="Lab_Cum_Hist"/>
      <sheetName val="Graph_Data_(DO_NOT_PRINT)"/>
      <sheetName val="Projet,_methodes_&amp;_couts"/>
      <sheetName val="Risques_majeurs_&amp;_Frais_Ind_"/>
      <sheetName val="CT_Thang_Mo"/>
      <sheetName val="Bill_No__2"/>
      <sheetName val="SPT_vs_PHI"/>
      <sheetName val="budget_summary_(2)"/>
      <sheetName val="Budget_Analysis_Summary"/>
      <sheetName val="CT__PL"/>
      <sheetName val="LEVEL_SHEET"/>
      <sheetName val="FOL_-_Bar"/>
      <sheetName val="2 Div 14 "/>
      <sheetName val="SHOPLIST.xls"/>
      <sheetName val="List"/>
      <sheetName val="Sheet3"/>
      <sheetName val="Bill 2"/>
      <sheetName val="Ap A"/>
      <sheetName val="Currencies"/>
      <sheetName val="POWER"/>
      <sheetName val="MTP"/>
      <sheetName val="LABOUR_HISTOGRAM1"/>
      <sheetName val="Geneí¬_x0008_i_x0000__x0000__x0014__x0000_0."/>
      <sheetName val="70_x0000_,/0_x0000_s«_x0008_i_x0000_Æø_x0003_í¬_x0008_i_x0000_"/>
      <sheetName val="Inputs"/>
      <sheetName val="기계내역서"/>
      <sheetName val="Tender_Summary"/>
      <sheetName val="Insurance_Ext"/>
      <sheetName val="SAP"/>
      <sheetName val="Bill 1"/>
      <sheetName val="Bill 3"/>
      <sheetName val="Bill 4"/>
      <sheetName val="Bill 5"/>
      <sheetName val="Bill 6"/>
      <sheetName val="Bill 7"/>
      <sheetName val="ACT_SPS"/>
      <sheetName val="SPSF"/>
      <sheetName val="Invoice Summary"/>
      <sheetName val="Civil Boq"/>
      <sheetName val="RA-markate"/>
      <sheetName val="BOQ_Direct_selling cost"/>
      <sheetName val="concrete"/>
      <sheetName val="beam-reinft-IIInd floor"/>
      <sheetName val="Customize_Your_Invoice"/>
      <sheetName val="HVAC_BoQ"/>
      <sheetName val="Wall"/>
      <sheetName val="PROJECT BRIEF"/>
      <sheetName val="DATAS"/>
      <sheetName val="Rate_Analysis"/>
      <sheetName val="Dubai golf"/>
      <sheetName val="공종별_집계금액"/>
      <sheetName val="beam-reinft-machine rm"/>
      <sheetName val="girder"/>
      <sheetName val="Rocker"/>
      <sheetName val="98Price"/>
      <sheetName val="_x0000__x0000__x0000__x0000__x0000__x0000__x0000__x0000_"/>
      <sheetName val="POWER ASSUMPTIONS"/>
      <sheetName val="sal"/>
      <sheetName val="ABSTRACT"/>
      <sheetName val="DETAILED  BOQ"/>
      <sheetName val="M-Book for Conc"/>
      <sheetName val="M-Book for FW"/>
      <sheetName val="Vehicles"/>
      <sheetName val="C (3)"/>
      <sheetName val="GFA_HQ_Building2"/>
      <sheetName val="GFA_Conference2"/>
      <sheetName val="BQ_External2"/>
      <sheetName val="Penthouse_Apartment1"/>
      <sheetName val="StattCo_yCharges1"/>
      <sheetName val="Raw_Data1"/>
      <sheetName val="Bill_No__21"/>
      <sheetName val="Graph_Data_(DO_NOT_PRINT)1"/>
      <sheetName val="Chiet_tinh_dz221"/>
      <sheetName val="Chiet_tinh_dz351"/>
      <sheetName val="CT_Thang_Mo1"/>
      <sheetName val="@risk_rents_and_incentives1"/>
      <sheetName val="Car_park_lease1"/>
      <sheetName val="Net_rent_analysis1"/>
      <sheetName val="Poz-1_1"/>
      <sheetName val="Lab_Cum_Hist1"/>
      <sheetName val="FOL_-_Bar1"/>
      <sheetName val="LEVEL_SHEET1"/>
      <sheetName val="SPT_vs_PHI1"/>
      <sheetName val="budget_summary_(2)1"/>
      <sheetName val="Budget_Analysis_Summary1"/>
      <sheetName val="Projet,_methodes_&amp;_couts1"/>
      <sheetName val="Risques_majeurs_&amp;_Frais_Ind_1"/>
      <sheetName val="CT__PL1"/>
      <sheetName val="intr_stool_brkup"/>
      <sheetName val="Top_sheet"/>
      <sheetName val="Body_Sheet"/>
      <sheetName val="1_0_Executive_Summary"/>
      <sheetName val="마산월령동골조물량변경"/>
      <sheetName val="Softscape Buildup"/>
      <sheetName val="Mat'l Rate"/>
      <sheetName val="GFA_HQ_Building3"/>
      <sheetName val="GFA_Conference3"/>
      <sheetName val="StattCo_yCharges2"/>
      <sheetName val="BQ_External3"/>
      <sheetName val="Penthouse_Apartment2"/>
      <sheetName val="LABOUR_HISTOGRAM3"/>
      <sheetName val="Chiet_tinh_dz222"/>
      <sheetName val="Chiet_tinh_dz352"/>
      <sheetName val="CT_Thang_Mo2"/>
      <sheetName val="Raw_Data2"/>
      <sheetName val="@risk_rents_and_incentives2"/>
      <sheetName val="Car_park_lease2"/>
      <sheetName val="Net_rent_analysis2"/>
      <sheetName val="Poz-1_2"/>
      <sheetName val="Lab_Cum_Hist2"/>
      <sheetName val="Graph_Data_(DO_NOT_PRINT)2"/>
      <sheetName val="LEVEL_SHEET2"/>
      <sheetName val="Bill_No__22"/>
      <sheetName val="Tender_Summary2"/>
      <sheetName val="Insurance_Ext2"/>
      <sheetName val="FOL_-_Bar2"/>
      <sheetName val="SPT_vs_PHI2"/>
      <sheetName val="Customize_Your_Invoice2"/>
      <sheetName val="HVAC_BoQ2"/>
      <sheetName val="Body_Sheet1"/>
      <sheetName val="1_0_Executive_Summary1"/>
      <sheetName val="Top_sheet1"/>
      <sheetName val="intr_stool_brkup1"/>
      <sheetName val="Rate_analysis1"/>
      <sheetName val="LABOUR_HISTOGRAM2"/>
      <sheetName val="Tender_Summary1"/>
      <sheetName val="Insurance_Ext1"/>
      <sheetName val="Customize_Your_Invoice1"/>
      <sheetName val="HVAC_BoQ1"/>
      <sheetName val="GFA_HQ_Building4"/>
      <sheetName val="GFA_Conference4"/>
      <sheetName val="StattCo_yCharges3"/>
      <sheetName val="BQ_External4"/>
      <sheetName val="Penthouse_Apartment3"/>
      <sheetName val="LABOUR_HISTOGRAM4"/>
      <sheetName val="Chiet_tinh_dz223"/>
      <sheetName val="Chiet_tinh_dz353"/>
      <sheetName val="CT_Thang_Mo3"/>
      <sheetName val="Raw_Data3"/>
      <sheetName val="@risk_rents_and_incentives3"/>
      <sheetName val="Car_park_lease3"/>
      <sheetName val="Net_rent_analysis3"/>
      <sheetName val="Poz-1_3"/>
      <sheetName val="Lab_Cum_Hist3"/>
      <sheetName val="Graph_Data_(DO_NOT_PRINT)3"/>
      <sheetName val="LEVEL_SHEET3"/>
      <sheetName val="Bill_No__23"/>
      <sheetName val="Tender_Summary3"/>
      <sheetName val="Insurance_Ext3"/>
      <sheetName val="FOL_-_Bar3"/>
      <sheetName val="SPT_vs_PHI3"/>
      <sheetName val="Customize_Your_Invoice3"/>
      <sheetName val="HVAC_BoQ3"/>
      <sheetName val="budget_summary_(2)2"/>
      <sheetName val="Budget_Analysis_Summary2"/>
      <sheetName val="Body_Sheet2"/>
      <sheetName val="1_0_Executive_Summary2"/>
      <sheetName val="Projet,_methodes_&amp;_couts2"/>
      <sheetName val="Risques_majeurs_&amp;_Frais_Ind_2"/>
      <sheetName val="CT__PL2"/>
      <sheetName val="Top_sheet2"/>
      <sheetName val="intr_stool_brkup2"/>
      <sheetName val="Rate_analysis2"/>
      <sheetName val="GFA_HQ_Building5"/>
      <sheetName val="GFA_Conference5"/>
      <sheetName val="StattCo_yCharges4"/>
      <sheetName val="BQ_External5"/>
      <sheetName val="Penthouse_Apartment4"/>
      <sheetName val="LABOUR_HISTOGRAM5"/>
      <sheetName val="Chiet_tinh_dz224"/>
      <sheetName val="Chiet_tinh_dz354"/>
      <sheetName val="CT_Thang_Mo4"/>
      <sheetName val="Raw_Data4"/>
      <sheetName val="@risk_rents_and_incentives4"/>
      <sheetName val="Car_park_lease4"/>
      <sheetName val="Net_rent_analysis4"/>
      <sheetName val="Poz-1_4"/>
      <sheetName val="Lab_Cum_Hist4"/>
      <sheetName val="Graph_Data_(DO_NOT_PRINT)4"/>
      <sheetName val="LEVEL_SHEET4"/>
      <sheetName val="Bill_No__24"/>
      <sheetName val="Tender_Summary4"/>
      <sheetName val="Insurance_Ext4"/>
      <sheetName val="FOL_-_Bar4"/>
      <sheetName val="SPT_vs_PHI4"/>
      <sheetName val="Customize_Your_Invoice4"/>
      <sheetName val="HVAC_BoQ4"/>
      <sheetName val="budget_summary_(2)3"/>
      <sheetName val="Budget_Analysis_Summary3"/>
      <sheetName val="Body_Sheet3"/>
      <sheetName val="1_0_Executive_Summary3"/>
      <sheetName val="Projet,_methodes_&amp;_couts3"/>
      <sheetName val="Risques_majeurs_&amp;_Frais_Ind_3"/>
      <sheetName val="CT__PL3"/>
      <sheetName val="Top_sheet3"/>
      <sheetName val="intr_stool_brkup3"/>
      <sheetName val="Rate_analysis3"/>
      <sheetName val="Eq. Mobilization"/>
      <sheetName val="77S(O)"/>
      <sheetName val="PointNo.5"/>
      <sheetName val="11-hsd"/>
      <sheetName val="13-septic"/>
      <sheetName val="7-ug"/>
      <sheetName val="2-utility"/>
      <sheetName val="18-misc"/>
      <sheetName val="5-pipe"/>
      <sheetName val="MOS"/>
      <sheetName val="PA- Consutant "/>
      <sheetName val="upa"/>
      <sheetName val="B185-B-2"/>
      <sheetName val="B185-B-3"/>
      <sheetName val="B185-B-4"/>
      <sheetName val="B185-B-5"/>
      <sheetName val="B185-B-6"/>
      <sheetName val="B185-B-7"/>
      <sheetName val="B185-B-8"/>
      <sheetName val="B185-B-9.1"/>
      <sheetName val="B185-B-9.2"/>
      <sheetName val="d-safe DELUXE"/>
      <sheetName val="BILL COV"/>
      <sheetName val="Ra  stair"/>
      <sheetName val="GFA_HQ_Building6"/>
      <sheetName val="Geneí¬_x0008_i"/>
      <sheetName val="70"/>
      <sheetName val="WITHOUT C&amp;I PROFIT (3)"/>
      <sheetName val="Bill_21"/>
      <sheetName val="2_Div_14_"/>
      <sheetName val="Ap_A"/>
      <sheetName val="SHOPLIST_xls"/>
      <sheetName val="Geneí¬i0_"/>
      <sheetName val="70,/0s«iÆøí¬i"/>
      <sheetName val="Invoice_Summary"/>
      <sheetName val="PROJECT_BRIEF"/>
      <sheetName val="Activity List"/>
      <sheetName val="VCH-SLC"/>
      <sheetName val="Item- Compact"/>
      <sheetName val="Supplier"/>
      <sheetName val="Design"/>
      <sheetName val="Annex"/>
      <sheetName val="factors"/>
      <sheetName val="P4-B"/>
      <sheetName val="Break_Up"/>
      <sheetName val="RESULT"/>
      <sheetName val="IO LIST"/>
      <sheetName val="Formulas"/>
      <sheetName val="Material "/>
      <sheetName val="Quote Sheet"/>
      <sheetName val="foot-slab reinft"/>
      <sheetName val="Materials Cost(PCC)"/>
      <sheetName val="India F&amp;S Template"/>
      <sheetName val="CODE"/>
      <sheetName val="HIRED LABOUR CODE"/>
      <sheetName val="P&amp;L-BDMC"/>
      <sheetName val="PRECAST lightconc-II"/>
      <sheetName val="col-reinft1"/>
      <sheetName val="Voucher"/>
      <sheetName val="final abstract"/>
      <sheetName val="BLK2"/>
      <sheetName val="BLK3"/>
      <sheetName val="E &amp; R"/>
      <sheetName val="radar"/>
      <sheetName val="UG"/>
      <sheetName val="Detail"/>
      <sheetName val="p&amp;m"/>
      <sheetName val="250mm"/>
      <sheetName val="200mm"/>
      <sheetName val="160mm"/>
      <sheetName val="FITTINGS"/>
      <sheetName val="VALVE CHAMBERS"/>
      <sheetName val="Fire Hydrants"/>
      <sheetName val="B.GATE VALVE"/>
      <sheetName val="Sub G1 Fire"/>
      <sheetName val="Sub G12 Fire"/>
      <sheetName val="Bill_11"/>
      <sheetName val="Bill_31"/>
      <sheetName val="Bill_41"/>
      <sheetName val="Bill_51"/>
      <sheetName val="Bill_61"/>
      <sheetName val="Bill_71"/>
      <sheetName val="PROJECT_BRIEF1"/>
      <sheetName val="Bill_22"/>
      <sheetName val="C_(3)1"/>
      <sheetName val="Ap_A1"/>
      <sheetName val="2_Div_14_1"/>
      <sheetName val="Dubai_golf"/>
      <sheetName val="beam-reinft-IIInd_floor"/>
      <sheetName val="POWER_ASSUMPTIONS"/>
      <sheetName val="beam-reinft-machine_rm"/>
      <sheetName val="C_(3)"/>
      <sheetName val="갑지"/>
      <sheetName val="Day work"/>
      <sheetName val="CERTIFICATE"/>
      <sheetName val="Data_Summary"/>
      <sheetName val="GFA_HQ_Building7"/>
      <sheetName val="GFA_Conference6"/>
      <sheetName val="BQ_External6"/>
      <sheetName val="Projet,_methodes_&amp;_couts4"/>
      <sheetName val="Risques_majeurs_&amp;_Frais_Ind_4"/>
      <sheetName val="Penthouse_Apartment5"/>
      <sheetName val="LABOUR_HISTOGRAM6"/>
      <sheetName val="StattCo_yCharges5"/>
      <sheetName val="Chiet_tinh_dz225"/>
      <sheetName val="Chiet_tinh_dz355"/>
      <sheetName val="Raw_Data5"/>
      <sheetName val="CT_Thang_Mo5"/>
      <sheetName val="LEVEL_SHEET5"/>
      <sheetName val="SPT_vs_PHI5"/>
      <sheetName val="@risk_rents_and_incentives5"/>
      <sheetName val="Car_park_lease5"/>
      <sheetName val="Net_rent_analysis5"/>
      <sheetName val="Poz-1_5"/>
      <sheetName val="Lab_Cum_Hist5"/>
      <sheetName val="Graph_Data_(DO_NOT_PRINT)5"/>
      <sheetName val="Bill_No__25"/>
      <sheetName val="budget_summary_(2)4"/>
      <sheetName val="Budget_Analysis_Summary4"/>
      <sheetName val="Customize_Your_Invoice5"/>
      <sheetName val="HVAC_BoQ5"/>
      <sheetName val="FOL_-_Bar5"/>
      <sheetName val="Tender_Summary5"/>
      <sheetName val="Insurance_Ext5"/>
      <sheetName val="CT__PL4"/>
      <sheetName val="intr_stool_brkup4"/>
      <sheetName val="Top_sheet4"/>
      <sheetName val="Rate_analysis4"/>
      <sheetName val="PROJECT_BRIEF2"/>
      <sheetName val="Body_Sheet4"/>
      <sheetName val="1_0_Executive_Summary4"/>
      <sheetName val="Bill_23"/>
      <sheetName val="C_(3)2"/>
      <sheetName val="Ap_A2"/>
      <sheetName val="2_Div_14_2"/>
      <sheetName val="Bill_12"/>
      <sheetName val="Bill_32"/>
      <sheetName val="Bill_42"/>
      <sheetName val="Bill_52"/>
      <sheetName val="Bill_62"/>
      <sheetName val="Bill_72"/>
      <sheetName val="SHOPLIST_xls1"/>
      <sheetName val="Dubai_golf1"/>
      <sheetName val="Invoice_Summary1"/>
      <sheetName val="beam-reinft-IIInd_floor1"/>
      <sheetName val="POWER_ASSUMPTIONS1"/>
      <sheetName val="beam-reinft-machine_rm1"/>
      <sheetName val="Civil_Boq"/>
      <sheetName val="WITHOUT_C&amp;I_PROFIT_(3)"/>
      <sheetName val="Activity_List"/>
      <sheetName val="Softscape_Buildup"/>
      <sheetName val="Mat'l_Rate"/>
      <sheetName val="GFA_HQ_Building8"/>
      <sheetName val="GFA_Conference7"/>
      <sheetName val="BQ_External7"/>
      <sheetName val="Graph_Data_(DO_NOT_PRINT)6"/>
      <sheetName val="Penthouse_Apartment6"/>
      <sheetName val="Chiet_tinh_dz226"/>
      <sheetName val="Chiet_tinh_dz356"/>
      <sheetName val="StattCo_yCharges6"/>
      <sheetName val="Raw_Data6"/>
      <sheetName val="LABOUR_HISTOGRAM7"/>
      <sheetName val="@risk_rents_and_incentives6"/>
      <sheetName val="Car_park_lease6"/>
      <sheetName val="Net_rent_analysis6"/>
      <sheetName val="Poz-1_6"/>
      <sheetName val="CT_Thang_Mo6"/>
      <sheetName val="Lab_Cum_Hist6"/>
      <sheetName val="LEVEL_SHEET6"/>
      <sheetName val="Bill_No__26"/>
      <sheetName val="Tender_Summary6"/>
      <sheetName val="Insurance_Ext6"/>
      <sheetName val="FOL_-_Bar6"/>
      <sheetName val="SPT_vs_PHI6"/>
      <sheetName val="Customize_Your_Invoice6"/>
      <sheetName val="HVAC_BoQ6"/>
      <sheetName val="budget_summary_(2)5"/>
      <sheetName val="Budget_Analysis_Summary5"/>
      <sheetName val="Body_Sheet5"/>
      <sheetName val="1_0_Executive_Summary5"/>
      <sheetName val="Projet,_methodes_&amp;_couts5"/>
      <sheetName val="Risques_majeurs_&amp;_Frais_Ind_5"/>
      <sheetName val="Top_sheet5"/>
      <sheetName val="CT__PL5"/>
      <sheetName val="intr_stool_brkup5"/>
      <sheetName val="Rate_analysis5"/>
      <sheetName val="Ap_A3"/>
      <sheetName val="2_Div_14_3"/>
      <sheetName val="SHOPLIST_xls2"/>
      <sheetName val="PROJECT_BRIEF3"/>
      <sheetName val="Bill_24"/>
      <sheetName val="C_(3)3"/>
      <sheetName val="Bill_13"/>
      <sheetName val="Bill_33"/>
      <sheetName val="Bill_43"/>
      <sheetName val="Bill_53"/>
      <sheetName val="Bill_63"/>
      <sheetName val="Bill_73"/>
      <sheetName val="Dubai_golf2"/>
      <sheetName val="beam-reinft-IIInd_floor2"/>
      <sheetName val="Invoice_Summary2"/>
      <sheetName val="POWER_ASSUMPTIONS2"/>
      <sheetName val="beam-reinft-machine_rm2"/>
      <sheetName val="Civil_Boq1"/>
      <sheetName val="WITHOUT_C&amp;I_PROFIT_(3)1"/>
      <sheetName val="Activity_List1"/>
      <sheetName val="Softscape_Buildup1"/>
      <sheetName val="Mat'l_Rate1"/>
      <sheetName val="DETAILED__BOQ"/>
      <sheetName val="M-Book_for_Conc"/>
      <sheetName val="M-Book_for_FW"/>
      <sheetName val="HIRED_LABOUR_CODE"/>
      <sheetName val="PA-_Consutant_"/>
      <sheetName val="foot-slab_reinft"/>
      <sheetName val="Working for RCC"/>
      <sheetName val="Geneí¬i"/>
      <sheetName val="Div. 02"/>
      <sheetName val="Div. 03"/>
      <sheetName val="Div. 04"/>
      <sheetName val="Div. 05"/>
      <sheetName val="Div. 06"/>
      <sheetName val="Div. 07"/>
      <sheetName val="Div. 08"/>
      <sheetName val="Div. 09"/>
      <sheetName val="Div. 10"/>
      <sheetName val="Div. 11"/>
      <sheetName val="Div. 12"/>
      <sheetName val="Div.13"/>
      <sheetName val="EXTERNAL WORKS"/>
      <sheetName val="PARAMETER"/>
      <sheetName val="PRODUCTIVITY RATE"/>
      <sheetName val="U.R.A - MASONRY"/>
      <sheetName val="U.R.A - PLASTERING"/>
      <sheetName val="U.R.A - TILING"/>
      <sheetName val="U.R.A - GRANITE"/>
      <sheetName val="V.C 2 - EARTHWORK"/>
      <sheetName val="V.C 9 - CERAMIC"/>
      <sheetName val="V.C 9 - FINISHES"/>
      <sheetName val="Dropdown"/>
      <sheetName val="Elemental Buildup"/>
      <sheetName val="Toolbox"/>
      <sheetName val="INSTR"/>
      <sheetName val="ConferenceCentre?옰ʒ䄂ʒ鵠ʐ䄂ʒ閐̐䄂ʒ蕈̐"/>
      <sheetName val="COLUMN"/>
      <sheetName val="w't table"/>
      <sheetName val="cp-e1"/>
      <sheetName val="bill nb2-Plumbing &amp; Drainag"/>
      <sheetName val="Pl &amp; Dr B"/>
      <sheetName val="Pl &amp; Dr G"/>
      <sheetName val="Pl &amp; Dr M"/>
      <sheetName val="Pl &amp; Dr 1"/>
      <sheetName val="Pl &amp; Dr 2"/>
      <sheetName val="Pl &amp; Dr 3"/>
      <sheetName val="Pl &amp; Dr 4"/>
      <sheetName val="Pl &amp; Dr 5"/>
      <sheetName val="Pl &amp; Dr 6"/>
      <sheetName val="Pl &amp; Dr 7"/>
      <sheetName val="Pl &amp; Dr 8"/>
      <sheetName val="Pl &amp; Dr R"/>
      <sheetName val="FF B"/>
      <sheetName val="FF G"/>
      <sheetName val="FF M"/>
      <sheetName val="FF 1"/>
      <sheetName val="FF 2 "/>
      <sheetName val="FF 3"/>
      <sheetName val="FF 4"/>
      <sheetName val="FF 5"/>
      <sheetName val="FF 6 "/>
      <sheetName val="FF 7"/>
      <sheetName val="FF 8"/>
      <sheetName val="FF R"/>
      <sheetName val="bill nb3-FF"/>
      <sheetName val="HVAC B"/>
      <sheetName val="HVAC G"/>
      <sheetName val="HVAC M"/>
      <sheetName val="HVAC 1"/>
      <sheetName val="HVAC 2"/>
      <sheetName val="HVAC 3"/>
      <sheetName val="HVAC 4"/>
      <sheetName val="HVAC 5"/>
      <sheetName val="HVAC 6"/>
      <sheetName val="HVAC 7"/>
      <sheetName val="HVAC 8"/>
      <sheetName val="HVAC R"/>
      <sheetName val="bill nb4-HVAC"/>
      <sheetName val="Pre"/>
      <sheetName val="SC B"/>
      <sheetName val="SC G"/>
      <sheetName val="SC M"/>
      <sheetName val="SC 1"/>
      <sheetName val="SC 2"/>
      <sheetName val="SC 3"/>
      <sheetName val="SC 4"/>
      <sheetName val="SC 5"/>
      <sheetName val="SC 6"/>
      <sheetName val="SC 7"/>
      <sheetName val="SC 8"/>
      <sheetName val="SC R"/>
      <sheetName val="6-SC"/>
      <sheetName val="AV B"/>
      <sheetName val="AV G"/>
      <sheetName val="AV M"/>
      <sheetName val="AV 1"/>
      <sheetName val="AV 2"/>
      <sheetName val="AV 3"/>
      <sheetName val="AV 4"/>
      <sheetName val="AV 5"/>
      <sheetName val="AV 6"/>
      <sheetName val="AV 7"/>
      <sheetName val="AV 8"/>
      <sheetName val="7-AV"/>
      <sheetName val="EL B"/>
      <sheetName val="ELG"/>
      <sheetName val="EL M"/>
      <sheetName val="EL 1"/>
      <sheetName val="EL 2"/>
      <sheetName val="EL 3"/>
      <sheetName val="EL 4"/>
      <sheetName val="EL 5"/>
      <sheetName val="EL 6"/>
      <sheetName val="EL 7"/>
      <sheetName val="EL 8"/>
      <sheetName val="EL R"/>
      <sheetName val="EL TR"/>
      <sheetName val="8- EL"/>
      <sheetName val="FA B"/>
      <sheetName val="FA G"/>
      <sheetName val="FA M"/>
      <sheetName val="FA 1"/>
      <sheetName val="FA 2"/>
      <sheetName val="FA 3"/>
      <sheetName val="FA 4"/>
      <sheetName val="FA 5"/>
      <sheetName val="FA 6"/>
      <sheetName val="FA 7"/>
      <sheetName val="FA 8"/>
      <sheetName val="FA R"/>
      <sheetName val="9- FA"/>
      <sheetName val="CHART OF ACCOUNTS"/>
      <sheetName val="15-MECH"/>
      <sheetName val="Material List "/>
      <sheetName val="E-Bill No.6 A-O"/>
      <sheetName val="GFA_HQ_Building9"/>
      <sheetName val="GFA_Conference8"/>
      <sheetName val="BQ_External8"/>
      <sheetName val="Graph_Data_(DO_NOT_PRINT)7"/>
      <sheetName val="Penthouse_Apartment7"/>
      <sheetName val="Chiet_tinh_dz227"/>
      <sheetName val="Chiet_tinh_dz357"/>
      <sheetName val="StattCo_yCharges7"/>
      <sheetName val="Raw_Data7"/>
      <sheetName val="LABOUR_HISTOGRAM8"/>
      <sheetName val="@risk_rents_and_incentives7"/>
      <sheetName val="Car_park_lease7"/>
      <sheetName val="Net_rent_analysis7"/>
      <sheetName val="Poz-1_7"/>
      <sheetName val="CT_Thang_Mo7"/>
      <sheetName val="Lab_Cum_Hist7"/>
      <sheetName val="LEVEL_SHEET7"/>
      <sheetName val="Bill_No__27"/>
      <sheetName val="Tender_Summary7"/>
      <sheetName val="Insurance_Ext7"/>
      <sheetName val="FOL_-_Bar7"/>
      <sheetName val="SPT_vs_PHI7"/>
      <sheetName val="Customize_Your_Invoice7"/>
      <sheetName val="HVAC_BoQ7"/>
      <sheetName val="budget_summary_(2)6"/>
      <sheetName val="Budget_Analysis_Summary6"/>
      <sheetName val="Body_Sheet6"/>
      <sheetName val="1_0_Executive_Summary6"/>
      <sheetName val="Projet,_methodes_&amp;_couts6"/>
      <sheetName val="Risques_majeurs_&amp;_Frais_Ind_6"/>
      <sheetName val="Top_sheet6"/>
      <sheetName val="CT__PL6"/>
      <sheetName val="intr_stool_brkup6"/>
      <sheetName val="Rate_analysis6"/>
      <sheetName val="Day_work"/>
      <sheetName val="BILL_COV"/>
      <sheetName val="GFA_HQ_Building10"/>
      <sheetName val="GFA_Conference9"/>
      <sheetName val="BQ_External9"/>
      <sheetName val="Graph_Data_(DO_NOT_PRINT)8"/>
      <sheetName val="Penthouse_Apartment8"/>
      <sheetName val="Chiet_tinh_dz228"/>
      <sheetName val="Chiet_tinh_dz358"/>
      <sheetName val="StattCo_yCharges8"/>
      <sheetName val="Raw_Data8"/>
      <sheetName val="LABOUR_HISTOGRAM9"/>
      <sheetName val="@risk_rents_and_incentives8"/>
      <sheetName val="Car_park_lease8"/>
      <sheetName val="Net_rent_analysis8"/>
      <sheetName val="Poz-1_8"/>
      <sheetName val="CT_Thang_Mo8"/>
      <sheetName val="Lab_Cum_Hist8"/>
      <sheetName val="LEVEL_SHEET8"/>
      <sheetName val="Bill_No__28"/>
      <sheetName val="Tender_Summary8"/>
      <sheetName val="Insurance_Ext8"/>
      <sheetName val="FOL_-_Bar8"/>
      <sheetName val="SPT_vs_PHI8"/>
      <sheetName val="Customize_Your_Invoice8"/>
      <sheetName val="HVAC_BoQ8"/>
      <sheetName val="budget_summary_(2)7"/>
      <sheetName val="Budget_Analysis_Summary7"/>
      <sheetName val="Body_Sheet7"/>
      <sheetName val="1_0_Executive_Summary7"/>
      <sheetName val="Projet,_methodes_&amp;_couts7"/>
      <sheetName val="Risques_majeurs_&amp;_Frais_Ind_7"/>
      <sheetName val="Top_sheet7"/>
      <sheetName val="CT__PL7"/>
      <sheetName val="intr_stool_brkup7"/>
      <sheetName val="Rate_analysis7"/>
      <sheetName val="Dubai_golf3"/>
      <sheetName val="SHOPLIST_xls3"/>
      <sheetName val="Bill_14"/>
      <sheetName val="Bill_34"/>
      <sheetName val="Bill_44"/>
      <sheetName val="Bill_54"/>
      <sheetName val="Bill_64"/>
      <sheetName val="Bill_74"/>
      <sheetName val="beam-reinft-IIInd_floor3"/>
      <sheetName val="Invoice_Summary3"/>
      <sheetName val="POWER_ASSUMPTIONS3"/>
      <sheetName val="beam-reinft-machine_rm3"/>
      <sheetName val="Day_work1"/>
      <sheetName val="BILL_COV1"/>
      <sheetName val="Gra¦_x0004_)_x0000__x0000__x0000_VW_x0000__x0000__x0000__x0000__x0000__x0000__x0000__x0000__x0000_ U"/>
      <sheetName val="/VW_x0000_VU_x0000_)_x0000__x0000__x0000_)_x0000__x0000__x0000__x0001__x0000__x0000__x0000_tÏØ0_x0009__x0008__x0000__x0000__x0009__x0008_"/>
      <sheetName val="/VW_x0000_VU_x0000_)_x0000__x0000__x0000_)_x0000__x0000__x0000__x0001__x0000__x0000__x0000_tÏØ0 _x0008__x0000__x0000_ _x0008_"/>
      <sheetName val="房屋及建筑物"/>
      <sheetName val="XL4Poppy"/>
      <sheetName val="Ap_A4"/>
      <sheetName val="2_Div_14_4"/>
      <sheetName val="PROJECT_BRIEF4"/>
      <sheetName val="Bill_25"/>
      <sheetName val="C_(3)4"/>
      <sheetName val="Civil_Boq2"/>
      <sheetName val="WITHOUT_C&amp;I_PROFIT_(3)2"/>
      <sheetName val="Activity_List2"/>
      <sheetName val="Softscape_Buildup2"/>
      <sheetName val="Mat'l_Rate2"/>
      <sheetName val="Ra__stair"/>
      <sheetName val="Ap_A5"/>
      <sheetName val="2_Div_14_5"/>
      <sheetName val="SHOPLIST_xls4"/>
      <sheetName val="PROJECT_BRIEF5"/>
      <sheetName val="Bill_26"/>
      <sheetName val="C_(3)5"/>
      <sheetName val="Bill_15"/>
      <sheetName val="Bill_35"/>
      <sheetName val="Bill_45"/>
      <sheetName val="Bill_55"/>
      <sheetName val="Bill_65"/>
      <sheetName val="Bill_75"/>
      <sheetName val="Dubai_golf4"/>
      <sheetName val="beam-reinft-IIInd_floor4"/>
      <sheetName val="Invoice_Summary4"/>
      <sheetName val="POWER_ASSUMPTIONS4"/>
      <sheetName val="beam-reinft-machine_rm4"/>
      <sheetName val="Civil_Boq3"/>
      <sheetName val="WITHOUT_C&amp;I_PROFIT_(3)3"/>
      <sheetName val="Activity_List3"/>
      <sheetName val="Softscape_Buildup3"/>
      <sheetName val="Mat'l_Rate3"/>
      <sheetName val="HIRED_LABOUR_CODE1"/>
      <sheetName val="PA-_Consutant_1"/>
      <sheetName val="foot-slab_reinft1"/>
      <sheetName val="DETAILED__BOQ1"/>
      <sheetName val="M-Book_for_Conc1"/>
      <sheetName val="M-Book_for_FW1"/>
      <sheetName val="Ra__stair1"/>
      <sheetName val="B03"/>
      <sheetName val="B09.1"/>
      <sheetName val="Division 2"/>
      <sheetName val="Division3"/>
      <sheetName val="Division 4"/>
      <sheetName val="Division 5"/>
      <sheetName val="Division 6"/>
      <sheetName val="Division 7"/>
      <sheetName val="Division 8"/>
      <sheetName val="Division 9"/>
      <sheetName val="Division 10"/>
      <sheetName val="Division11"/>
      <sheetName val="Division 12"/>
      <sheetName val="Division 14"/>
      <sheetName val="Division 21"/>
      <sheetName val="Division 22"/>
      <sheetName val="Division 23"/>
      <sheetName val="Division 26"/>
      <sheetName val="Division 27"/>
      <sheetName val="Division 28"/>
      <sheetName val="Division 31"/>
      <sheetName val="Division 32"/>
      <sheetName val="Division 33"/>
      <sheetName val="SUM"/>
      <sheetName val="VALVE_CHAMBERS"/>
      <sheetName val="Fire_Hydrants"/>
      <sheetName val="B_GATE_VALVE"/>
      <sheetName val="Sub_G1_Fire"/>
      <sheetName val="Sub_G12_Fire"/>
      <sheetName val="VALVE_CHAMBERS1"/>
      <sheetName val="Fire_Hydrants1"/>
      <sheetName val="B_GATE_VALVE1"/>
      <sheetName val="Sub_G1_Fire1"/>
      <sheetName val="Sub_G12_Fire1"/>
      <sheetName val="DETAILED__BOQ2"/>
      <sheetName val="M-Book_for_Conc2"/>
      <sheetName val="M-Book_for_FW2"/>
      <sheetName val="HIRED_LABOUR_CODE2"/>
      <sheetName val="PA-_Consutant_2"/>
      <sheetName val="foot-slab_reinft2"/>
      <sheetName val="GFA_HQ_Building11"/>
      <sheetName val="GFA_Conference10"/>
      <sheetName val="StattCo_yCharges9"/>
      <sheetName val="BQ_External10"/>
      <sheetName val="Penthouse_Apartment9"/>
      <sheetName val="LABOUR_HISTOGRAM10"/>
      <sheetName val="Chiet_tinh_dz229"/>
      <sheetName val="Chiet_tinh_dz359"/>
      <sheetName val="CT_Thang_Mo9"/>
      <sheetName val="Raw_Data9"/>
      <sheetName val="@risk_rents_and_incentives9"/>
      <sheetName val="Car_park_lease9"/>
      <sheetName val="Net_rent_analysis9"/>
      <sheetName val="Poz-1_9"/>
      <sheetName val="Lab_Cum_Hist9"/>
      <sheetName val="Graph_Data_(DO_NOT_PRINT)9"/>
      <sheetName val="LEVEL_SHEET9"/>
      <sheetName val="SPT_vs_PHI9"/>
      <sheetName val="Bill_No__29"/>
      <sheetName val="Tender_Summary9"/>
      <sheetName val="Insurance_Ext9"/>
      <sheetName val="FOL_-_Bar9"/>
      <sheetName val="Customize_Your_Invoice9"/>
      <sheetName val="HVAC_BoQ9"/>
      <sheetName val="budget_summary_(2)8"/>
      <sheetName val="Budget_Analysis_Summary8"/>
      <sheetName val="Projet,_methodes_&amp;_couts8"/>
      <sheetName val="Risques_majeurs_&amp;_Frais_Ind_8"/>
      <sheetName val="Body_Sheet8"/>
      <sheetName val="1_0_Executive_Summary8"/>
      <sheetName val="Top_sheet8"/>
      <sheetName val="Rate_analysis8"/>
      <sheetName val="intr_stool_brkup8"/>
      <sheetName val="CT__PL8"/>
      <sheetName val="Ap_A6"/>
      <sheetName val="2_Div_14_6"/>
      <sheetName val="SHOPLIST_xls5"/>
      <sheetName val="PROJECT_BRIEF6"/>
      <sheetName val="Bill_27"/>
      <sheetName val="C_(3)6"/>
      <sheetName val="Bill_16"/>
      <sheetName val="Bill_36"/>
      <sheetName val="Bill_46"/>
      <sheetName val="Bill_56"/>
      <sheetName val="Bill_66"/>
      <sheetName val="Bill_76"/>
      <sheetName val="Dubai_golf5"/>
      <sheetName val="beam-reinft-IIInd_floor5"/>
      <sheetName val="Invoice_Summary5"/>
      <sheetName val="POWER_ASSUMPTIONS5"/>
      <sheetName val="beam-reinft-machine_rm5"/>
      <sheetName val="Civil_Boq4"/>
      <sheetName val="WITHOUT_C&amp;I_PROFIT_(3)4"/>
      <sheetName val="Activity_List4"/>
      <sheetName val="Softscape_Buildup4"/>
      <sheetName val="Mat'l_Rate4"/>
      <sheetName val="BILL_COV2"/>
      <sheetName val="Ra__stair2"/>
      <sheetName val="Materials_Cost(PCC)"/>
      <sheetName val="India_F&amp;S_Template"/>
      <sheetName val="IO_LIST"/>
      <sheetName val="Material_"/>
      <sheetName val="Quote_Sheet"/>
      <sheetName val="Eq__Mobilization"/>
      <sheetName val="Working_for_RCC"/>
      <sheetName val="B185-B-9_1"/>
      <sheetName val="B185-B-9_2"/>
      <sheetName val="BOQ_Direct_selling_cost"/>
      <sheetName val="CHART_OF_ACCOUNTS"/>
      <sheetName val="E-Bill_No_6_A-O"/>
      <sheetName val="B09_1"/>
      <sheetName val="집계표(OPTION)"/>
      <sheetName val="PMWeb data"/>
      <sheetName val="PMWeb_data"/>
      <sheetName val="SS_MH"/>
      <sheetName val="SS MH"/>
      <sheetName val="BS"/>
      <sheetName val="HIRED_LABOUR_CODE3"/>
      <sheetName val="PA-_Consutant_3"/>
      <sheetName val="foot-slab_reinft3"/>
      <sheetName val="DETAILED__BOQ3"/>
      <sheetName val="M-Book_for_Conc3"/>
      <sheetName val="M-Book_for_FW3"/>
      <sheetName val="VALVE_CHAMBERS2"/>
      <sheetName val="Fire_Hydrants2"/>
      <sheetName val="B_GATE_VALVE2"/>
      <sheetName val="Sub_G1_Fire2"/>
      <sheetName val="Sub_G12_Fire2"/>
      <sheetName val="Div__02"/>
      <sheetName val="Div__03"/>
      <sheetName val="Div__04"/>
      <sheetName val="Div__05"/>
      <sheetName val="Div__06"/>
      <sheetName val="Div__07"/>
      <sheetName val="Div__08"/>
      <sheetName val="Div__09"/>
      <sheetName val="Div__10"/>
      <sheetName val="Div__11"/>
      <sheetName val="Div__12"/>
      <sheetName val="Div_13"/>
      <sheetName val="EXTERNAL_WORKS"/>
      <sheetName val="PRODUCTIVITY_RATE"/>
      <sheetName val="U_R_A_-_MASONRY"/>
      <sheetName val="U_R_A_-_PLASTERING"/>
      <sheetName val="U_R_A_-_TILING"/>
      <sheetName val="U_R_A_-_GRANITE"/>
      <sheetName val="V_C_2_-_EARTHWORK"/>
      <sheetName val="V_C_9_-_CERAMIC"/>
      <sheetName val="V_C_9_-_FINISHES"/>
      <sheetName val="w't_table"/>
      <sheetName val="bill_nb2-Plumbing_&amp;_Drainag"/>
      <sheetName val="Pl_&amp;_Dr_B"/>
      <sheetName val="Pl_&amp;_Dr_G"/>
      <sheetName val="Pl_&amp;_Dr_M"/>
      <sheetName val="Pl_&amp;_Dr_1"/>
      <sheetName val="Pl_&amp;_Dr_2"/>
      <sheetName val="Pl_&amp;_Dr_3"/>
      <sheetName val="Pl_&amp;_Dr_4"/>
      <sheetName val="Pl_&amp;_Dr_5"/>
      <sheetName val="Pl_&amp;_Dr_6"/>
      <sheetName val="Pl_&amp;_Dr_7"/>
      <sheetName val="Pl_&amp;_Dr_8"/>
      <sheetName val="Pl_&amp;_Dr_R"/>
      <sheetName val="FF_B"/>
      <sheetName val="FF_G"/>
      <sheetName val="FF_M"/>
      <sheetName val="FF_1"/>
      <sheetName val="FF_2_"/>
      <sheetName val="FF_3"/>
      <sheetName val="FF_4"/>
      <sheetName val="FF_5"/>
      <sheetName val="FF_6_"/>
      <sheetName val="FF_7"/>
      <sheetName val="FF_8"/>
      <sheetName val="FF_R"/>
      <sheetName val="bill_nb3-FF"/>
      <sheetName val="HVAC_B"/>
      <sheetName val="HVAC_G"/>
      <sheetName val="HVAC_M"/>
      <sheetName val="HVAC_1"/>
      <sheetName val="HVAC_2"/>
      <sheetName val="HVAC_3"/>
      <sheetName val="HVAC_4"/>
      <sheetName val="HVAC_5"/>
      <sheetName val="HVAC_6"/>
      <sheetName val="HVAC_7"/>
      <sheetName val="HVAC_8"/>
      <sheetName val="HVAC_R"/>
      <sheetName val="bill_nb4-HVAC"/>
      <sheetName val="SC_B"/>
      <sheetName val="SC_G"/>
      <sheetName val="SC_M"/>
      <sheetName val="SC_1"/>
      <sheetName val="SC_2"/>
      <sheetName val="SC_3"/>
      <sheetName val="SC_4"/>
      <sheetName val="SC_5"/>
      <sheetName val="SC_6"/>
      <sheetName val="SC_7"/>
      <sheetName val="SC_8"/>
      <sheetName val="SC_R"/>
      <sheetName val="AV_B"/>
      <sheetName val="AV_G"/>
      <sheetName val="AV_M"/>
      <sheetName val="AV_1"/>
      <sheetName val="AV_2"/>
      <sheetName val="AV_3"/>
      <sheetName val="AV_4"/>
      <sheetName val="AV_5"/>
      <sheetName val="AV_6"/>
      <sheetName val="AV_7"/>
      <sheetName val="AV_8"/>
      <sheetName val="EL_B"/>
      <sheetName val="EL_M"/>
      <sheetName val="EL_1"/>
      <sheetName val="EL_2"/>
      <sheetName val="EL_3"/>
      <sheetName val="EL_4"/>
      <sheetName val="EL_5"/>
      <sheetName val="EL_6"/>
      <sheetName val="EL_7"/>
      <sheetName val="EL_8"/>
      <sheetName val="EL_R"/>
      <sheetName val="EL_TR"/>
      <sheetName val="8-_EL"/>
      <sheetName val="FA_B"/>
      <sheetName val="FA_G"/>
      <sheetName val="FA_M"/>
      <sheetName val="FA_1"/>
      <sheetName val="FA_2"/>
      <sheetName val="FA_3"/>
      <sheetName val="FA_4"/>
      <sheetName val="FA_5"/>
      <sheetName val="FA_6"/>
      <sheetName val="FA_7"/>
      <sheetName val="FA_8"/>
      <sheetName val="FA_R"/>
      <sheetName val="9-_FA"/>
      <sheetName val="2.2)Revised Cash Flow"/>
      <sheetName val="Materials_Cost(PCC)1"/>
      <sheetName val="India_F&amp;S_Template1"/>
      <sheetName val="IO_LIST1"/>
      <sheetName val="Material_1"/>
      <sheetName val="Quote_Sheet1"/>
      <sheetName val="Div__021"/>
      <sheetName val="Div__031"/>
      <sheetName val="Div__041"/>
      <sheetName val="Div__051"/>
      <sheetName val="Div__061"/>
      <sheetName val="Div__071"/>
      <sheetName val="Div__081"/>
      <sheetName val="Div__091"/>
      <sheetName val="Div__101"/>
      <sheetName val="Div__111"/>
      <sheetName val="Div__121"/>
      <sheetName val="Div_131"/>
      <sheetName val="EXTERNAL_WORKS1"/>
      <sheetName val="PRODUCTIVITY_RATE1"/>
      <sheetName val="U_R_A_-_MASONRY1"/>
      <sheetName val="U_R_A_-_PLASTERING1"/>
      <sheetName val="U_R_A_-_TILING1"/>
      <sheetName val="U_R_A_-_GRANITE1"/>
      <sheetName val="V_C_2_-_EARTHWORK1"/>
      <sheetName val="V_C_9_-_CERAMIC1"/>
      <sheetName val="V_C_9_-_FINISHES1"/>
      <sheetName val="Gra¦_x0004_)"/>
      <sheetName val="/VW"/>
      <sheetName val="ConferenceCentre_x005f_x0000_옰ʒ䄂ʒ鵠ʐ䄂ʒ"/>
      <sheetName val="Geneí¬_x005f_x0008_i_x005f_x0000__x005f_x0000__x0"/>
      <sheetName val="70_x005f_x0000_,_0_x005f_x0000_s«_x005f_x0008_i_x"/>
      <sheetName val="Geneí¬_x005f_x0008_i"/>
      <sheetName val="입찰내역 발주처 양식"/>
      <sheetName val="Day_work2"/>
      <sheetName val="Gra¦)VW_U"/>
      <sheetName val="/VWVU))tÏØ0  "/>
      <sheetName val="/VWVU))tÏØ0__"/>
      <sheetName val="LIST DO NOT REMOVE"/>
      <sheetName val="Index List"/>
      <sheetName val="Type List"/>
      <sheetName val="File Types"/>
      <sheetName val="Chiet t"/>
      <sheetName val="Staffing and Rates IA"/>
      <sheetName val="SStaff-Sept2013"/>
      <sheetName val="Summary of Work"/>
      <sheetName val="_x005f_x0000__x005f_x0000__x005f_x0000__x005f_x0000__x0"/>
      <sheetName val="Staff Acco."/>
      <sheetName val="TBAL9697 -group wise  sdpl"/>
      <sheetName val="2_2)Revised_Cash_Flow"/>
      <sheetName val="Lists"/>
      <sheetName val="escalation"/>
      <sheetName val="ANAL"/>
      <sheetName val="Quantity"/>
      <sheetName val="??-BLDG"/>
      <sheetName val="PNT-QUOT-#3"/>
      <sheetName val="COAT&amp;WRAP-QIOT-#3"/>
      <sheetName val="ml"/>
      <sheetName val="Employee List"/>
      <sheetName val="SIEMENS"/>
      <sheetName val="Earthwork"/>
      <sheetName val="GIAVLIEU"/>
      <sheetName val="Project Cost Breakdown"/>
      <sheetName val="Materials_Cost(PCC)2"/>
      <sheetName val="India_F&amp;S_Template2"/>
      <sheetName val="IO_LIST2"/>
      <sheetName val="Material_2"/>
      <sheetName val="Quote_Sheet2"/>
      <sheetName val="Div__022"/>
      <sheetName val="Div__032"/>
      <sheetName val="Div__042"/>
      <sheetName val="Div__052"/>
      <sheetName val="Div__062"/>
      <sheetName val="Div__072"/>
      <sheetName val="Div__082"/>
      <sheetName val="Div__092"/>
      <sheetName val="Div__102"/>
      <sheetName val="Div__112"/>
      <sheetName val="Div__122"/>
      <sheetName val="Div_132"/>
      <sheetName val="EXTERNAL_WORKS2"/>
      <sheetName val="PRODUCTIVITY_RATE2"/>
      <sheetName val="U_R_A_-_MASONRY2"/>
      <sheetName val="U_R_A_-_PLASTERING2"/>
      <sheetName val="U_R_A_-_TILING2"/>
      <sheetName val="U_R_A_-_GRANITE2"/>
      <sheetName val="V_C_2_-_EARTHWORK2"/>
      <sheetName val="V_C_9_-_CERAMIC2"/>
      <sheetName val="V_C_9_-_FINISHES2"/>
      <sheetName val="GRSummary"/>
      <sheetName val="B6.2 "/>
      <sheetName val="PointNo_5"/>
      <sheetName val="Elemental_Buildup"/>
      <sheetName val="Demand"/>
      <sheetName val="Occ"/>
      <sheetName val="Old"/>
      <sheetName val="GFA_HQ_Building12"/>
      <sheetName val="GFA_Conference11"/>
      <sheetName val="BQ_External11"/>
      <sheetName val="Projet,_methodes_&amp;_couts9"/>
      <sheetName val="Risques_majeurs_&amp;_Frais_Ind_9"/>
      <sheetName val="Penthouse_Apartment10"/>
      <sheetName val="LABOUR_HISTOGRAM11"/>
      <sheetName val="StattCo_yCharges10"/>
      <sheetName val="Chiet_tinh_dz2210"/>
      <sheetName val="Chiet_tinh_dz3510"/>
      <sheetName val="Raw_Data10"/>
      <sheetName val="CT_Thang_Mo10"/>
      <sheetName val="LEVEL_SHEET10"/>
      <sheetName val="SPT_vs_PHI10"/>
      <sheetName val="@risk_rents_and_incentives10"/>
      <sheetName val="Car_park_lease10"/>
      <sheetName val="Net_rent_analysis10"/>
      <sheetName val="Poz-1_10"/>
      <sheetName val="Lab_Cum_Hist10"/>
      <sheetName val="Graph_Data_(DO_NOT_PRINT)10"/>
      <sheetName val="Bill_No__210"/>
      <sheetName val="budget_summary_(2)9"/>
      <sheetName val="Budget_Analysis_Summary9"/>
      <sheetName val="Customize_Your_Invoice10"/>
      <sheetName val="HVAC_BoQ10"/>
      <sheetName val="FOL_-_Bar10"/>
      <sheetName val="Tender_Summary10"/>
      <sheetName val="Insurance_Ext10"/>
      <sheetName val="CT__PL9"/>
      <sheetName val="intr_stool_brkup9"/>
      <sheetName val="Top_sheet9"/>
      <sheetName val="Rate_analysis9"/>
      <sheetName val="PROJECT_BRIEF7"/>
      <sheetName val="Body_Sheet9"/>
      <sheetName val="1_0_Executive_Summary9"/>
      <sheetName val="C_(3)7"/>
      <sheetName val="Bill_28"/>
      <sheetName val="Ap_A7"/>
      <sheetName val="2_Div_14_7"/>
      <sheetName val="Bill_17"/>
      <sheetName val="Bill_37"/>
      <sheetName val="Bill_47"/>
      <sheetName val="Bill_57"/>
      <sheetName val="Bill_67"/>
      <sheetName val="Bill_77"/>
      <sheetName val="SHOPLIST_xls6"/>
      <sheetName val="Dubai_golf6"/>
      <sheetName val="beam-reinft-IIInd_floor6"/>
      <sheetName val="Invoice_Summary6"/>
      <sheetName val="POWER_ASSUMPTIONS6"/>
      <sheetName val="beam-reinft-machine_rm6"/>
      <sheetName val="WITHOUT_C&amp;I_PROFIT_(3)5"/>
      <sheetName val="Civil_Boq5"/>
      <sheetName val="Activity_List5"/>
      <sheetName val="Softscape_Buildup5"/>
      <sheetName val="Mat'l_Rate5"/>
      <sheetName val="HIRED_LABOUR_CODE4"/>
      <sheetName val="PA-_Consutant_4"/>
      <sheetName val="foot-slab_reinft4"/>
      <sheetName val="DETAILED__BOQ4"/>
      <sheetName val="M-Book_for_Conc4"/>
      <sheetName val="M-Book_for_FW4"/>
      <sheetName val="BILL_COV3"/>
      <sheetName val="Ra__stair3"/>
      <sheetName val="VALVE_CHAMBERS3"/>
      <sheetName val="Fire_Hydrants3"/>
      <sheetName val="B_GATE_VALVE3"/>
      <sheetName val="Sub_G1_Fire3"/>
      <sheetName val="Sub_G12_Fire3"/>
      <sheetName val="Eq__Mobilization1"/>
      <sheetName val="Working_for_RCC1"/>
      <sheetName val="B185-B-9_11"/>
      <sheetName val="B185-B-9_21"/>
      <sheetName val="BOQ_Direct_selling_cost1"/>
      <sheetName val="CHART_OF_ACCOUNTS1"/>
      <sheetName val="E-Bill_No_6_A-O1"/>
      <sheetName val="B09_11"/>
      <sheetName val="bill_nb2-Plumbing_&amp;_Drainag1"/>
      <sheetName val="Pl_&amp;_Dr_B1"/>
      <sheetName val="Pl_&amp;_Dr_G1"/>
      <sheetName val="Pl_&amp;_Dr_M1"/>
      <sheetName val="Pl_&amp;_Dr_11"/>
      <sheetName val="Pl_&amp;_Dr_21"/>
      <sheetName val="Pl_&amp;_Dr_31"/>
      <sheetName val="Pl_&amp;_Dr_41"/>
      <sheetName val="Pl_&amp;_Dr_51"/>
      <sheetName val="Pl_&amp;_Dr_61"/>
      <sheetName val="Pl_&amp;_Dr_71"/>
      <sheetName val="Pl_&amp;_Dr_81"/>
      <sheetName val="Pl_&amp;_Dr_R1"/>
      <sheetName val="FF_B1"/>
      <sheetName val="FF_G1"/>
      <sheetName val="FF_M1"/>
      <sheetName val="FF_11"/>
      <sheetName val="FF_2_1"/>
      <sheetName val="FF_31"/>
      <sheetName val="FF_41"/>
      <sheetName val="FF_51"/>
      <sheetName val="FF_6_1"/>
      <sheetName val="FF_71"/>
      <sheetName val="FF_81"/>
      <sheetName val="FF_R1"/>
      <sheetName val="bill_nb3-FF1"/>
      <sheetName val="HVAC_B1"/>
      <sheetName val="HVAC_G1"/>
      <sheetName val="HVAC_M1"/>
      <sheetName val="HVAC_11"/>
      <sheetName val="HVAC_21"/>
      <sheetName val="HVAC_31"/>
      <sheetName val="HVAC_41"/>
      <sheetName val="HVAC_51"/>
      <sheetName val="HVAC_61"/>
      <sheetName val="HVAC_71"/>
      <sheetName val="HVAC_81"/>
      <sheetName val="HVAC_R1"/>
      <sheetName val="bill_nb4-HVAC1"/>
      <sheetName val="SC_B1"/>
      <sheetName val="SC_G1"/>
      <sheetName val="SC_M1"/>
      <sheetName val="SC_11"/>
      <sheetName val="SC_21"/>
      <sheetName val="SC_31"/>
      <sheetName val="SC_41"/>
      <sheetName val="SC_51"/>
      <sheetName val="SC_61"/>
      <sheetName val="SC_71"/>
      <sheetName val="SC_81"/>
      <sheetName val="SC_R1"/>
      <sheetName val="AV_B1"/>
      <sheetName val="AV_G1"/>
      <sheetName val="AV_M1"/>
      <sheetName val="AV_11"/>
      <sheetName val="AV_21"/>
      <sheetName val="AV_31"/>
      <sheetName val="AV_41"/>
      <sheetName val="AV_51"/>
      <sheetName val="AV_61"/>
      <sheetName val="AV_71"/>
      <sheetName val="AV_81"/>
      <sheetName val="EL_B1"/>
      <sheetName val="EL_M1"/>
      <sheetName val="EL_11"/>
      <sheetName val="EL_21"/>
      <sheetName val="EL_31"/>
      <sheetName val="EL_41"/>
      <sheetName val="EL_51"/>
      <sheetName val="EL_61"/>
      <sheetName val="EL_71"/>
      <sheetName val="EL_81"/>
      <sheetName val="EL_R1"/>
      <sheetName val="EL_TR1"/>
      <sheetName val="8-_EL1"/>
      <sheetName val="FA_B1"/>
      <sheetName val="FA_G1"/>
      <sheetName val="FA_M1"/>
      <sheetName val="FA_11"/>
      <sheetName val="FA_21"/>
      <sheetName val="FA_31"/>
      <sheetName val="FA_41"/>
      <sheetName val="FA_51"/>
      <sheetName val="FA_61"/>
      <sheetName val="FA_71"/>
      <sheetName val="FA_81"/>
      <sheetName val="FA_R1"/>
      <sheetName val="9-_FA1"/>
      <sheetName val="PMWeb_data1"/>
      <sheetName val="w't_table1"/>
      <sheetName val="SS_MH1"/>
      <sheetName val="Chiet_t"/>
      <sheetName val="Staffing_and_Rates_IA"/>
      <sheetName val="Index_List"/>
      <sheetName val="Type_List"/>
      <sheetName val="File_Types"/>
      <sheetName val="Gra¦)"/>
      <sheetName val="입찰내역_발주처_양식"/>
      <sheetName val="Material_List_"/>
      <sheetName val="Elemental_Buildup1"/>
      <sheetName val="PointNo_51"/>
      <sheetName val="B6_2_"/>
      <sheetName val="LIST_DO_NOT_REMOVE"/>
      <sheetName val="Рабочий лист"/>
      <sheetName val="ФМ"/>
      <sheetName val="Сравнение"/>
      <sheetName val="Table"/>
      <sheetName val="SITE WORK"/>
      <sheetName val="Sub_G1_Five"/>
      <sheetName val="Annex 1 Sect 3a"/>
      <sheetName val="Annex 1 Sect 3a.1"/>
      <sheetName val="Annex 1 Sect 3b"/>
      <sheetName val="Annex 1 Sect 3c"/>
      <sheetName val="HOURLY RATES"/>
      <sheetName val="Division_2"/>
      <sheetName val="Division_4"/>
      <sheetName val="Division_5"/>
      <sheetName val="Division_6"/>
      <sheetName val="Division_7"/>
      <sheetName val="Division_8"/>
      <sheetName val="Division_9"/>
      <sheetName val="Division_10"/>
      <sheetName val="Division_12"/>
      <sheetName val="Division_14"/>
      <sheetName val="Division_21"/>
      <sheetName val="Division_22"/>
      <sheetName val="Division_23"/>
      <sheetName val="Division_26"/>
      <sheetName val="Division_27"/>
      <sheetName val="Division_28"/>
      <sheetName val="Division_31"/>
      <sheetName val="Division_32"/>
      <sheetName val="Division_33"/>
      <sheetName val="Prices"/>
      <sheetName val="Rate summary"/>
      <sheetName val="#REF!"/>
      <sheetName val="SW-TEO"/>
      <sheetName val="科目余额表正式"/>
      <sheetName val="%"/>
      <sheetName val="BG"/>
      <sheetName val="RAB AR&amp;STR"/>
      <sheetName val="70_x005f_x0000_,/0_x005f_x0000_s«_x005f_x0008_i_x"/>
      <sheetName val="Back up"/>
      <sheetName val="PT 141- Site A Landscape"/>
      <sheetName val="XV10017"/>
      <sheetName val="Geneí¬ i_x0000__x0000_ _x0000_0."/>
      <sheetName val="70_x0000_,/0_x0000_s« i_x0000_Æø í¬ i_x0000_"/>
      <sheetName val="Summary_of_Work"/>
      <sheetName val="Employee_List"/>
      <sheetName val="train cash"/>
      <sheetName val="accom cash"/>
      <sheetName val="ConferenceCentre_x0000_옰ʒ䄂ʒ鵠ʐ䄂ʒ"/>
      <sheetName val="Geneí¬_x0008_i_x0000__x0000__x0"/>
      <sheetName val="70_x0000_,_0_x0000_s«_x0008_i_x"/>
      <sheetName val="_x0000__x0000__x0000__x0000__x0"/>
      <sheetName val="INDIGINEOUS ITEMS "/>
      <sheetName val="office"/>
      <sheetName val="Lab"/>
      <sheetName val="Duct Accesories"/>
      <sheetName val="COSTING"/>
      <sheetName val="PRJDATA"/>
      <sheetName val="Master"/>
      <sheetName val="合成単価作成表-BLDG"/>
      <sheetName val="BASE_APR17_HISTOGRAMS"/>
      <sheetName val="PRECAST_lightconc-II"/>
      <sheetName val="final_abstract"/>
      <sheetName val="MA"/>
      <sheetName val="Rebars"/>
      <sheetName val="Mall waterproofing"/>
      <sheetName val="MSCP waterproofing"/>
      <sheetName val="-----------------"/>
      <sheetName val="70,_0s«iÆøí¬i"/>
      <sheetName val="ConferenceCentre_옰ʒ䄂ʒ鵠ʐ䄂ʒ閐̐䄂ʒ蕈̐"/>
      <sheetName val="GFA_HQ_Building13"/>
      <sheetName val="GFA_Conference12"/>
      <sheetName val="BQ_External12"/>
      <sheetName val="Raw_Data11"/>
      <sheetName val="Penthouse_Apartment11"/>
      <sheetName val="StattCo_yCharges11"/>
      <sheetName val="@risk_rents_and_incentives11"/>
      <sheetName val="Car_park_lease11"/>
      <sheetName val="Net_rent_analysis11"/>
      <sheetName val="Poz-1_11"/>
      <sheetName val="Chiet_tinh_dz2211"/>
      <sheetName val="Chiet_tinh_dz3511"/>
      <sheetName val="LEVEL_SHEET11"/>
      <sheetName val="LABOUR_HISTOGRAM12"/>
      <sheetName val="Lab_Cum_Hist11"/>
      <sheetName val="Graph_Data_(DO_NOT_PRINT)11"/>
      <sheetName val="Body_Sheet10"/>
      <sheetName val="1_0_Executive_Summary10"/>
      <sheetName val="CT_Thang_Mo11"/>
      <sheetName val="Customize_Your_Invoice11"/>
      <sheetName val="HVAC_BoQ11"/>
      <sheetName val="Bill_No__211"/>
      <sheetName val="budget_summary_(2)10"/>
      <sheetName val="Budget_Analysis_Summary10"/>
      <sheetName val="Projet,_methodes_&amp;_couts10"/>
      <sheetName val="Risques_majeurs_&amp;_Frais_Ind_10"/>
      <sheetName val="SPT_vs_PHI11"/>
      <sheetName val="CT__PL10"/>
      <sheetName val="FOL_-_Bar11"/>
      <sheetName val="Tender_Summary11"/>
      <sheetName val="Insurance_Ext11"/>
      <sheetName val="Top_sheet10"/>
      <sheetName val="intr_stool_brkup10"/>
      <sheetName val="2_Div_14_8"/>
      <sheetName val="SHOPLIST_xls7"/>
      <sheetName val="Bill_29"/>
      <sheetName val="Ap_A8"/>
      <sheetName val="Bill_18"/>
      <sheetName val="Bill_38"/>
      <sheetName val="Bill_48"/>
      <sheetName val="Bill_58"/>
      <sheetName val="Bill_68"/>
      <sheetName val="Bill_78"/>
      <sheetName val="Invoice_Summary7"/>
      <sheetName val="beam-reinft-IIInd_floor7"/>
      <sheetName val="beam-reinft-machine_rm7"/>
      <sheetName val="PROJECT_BRIEF8"/>
      <sheetName val="C_(3)8"/>
      <sheetName val="POWER_ASSUMPTIONS7"/>
      <sheetName val="Dubai_golf7"/>
      <sheetName val="WITHOUT_C&amp;I_PROFIT_(3)6"/>
      <sheetName val="Civil_Boq6"/>
      <sheetName val="Activity_List6"/>
      <sheetName val="BILL_COV4"/>
      <sheetName val="Ra__stair4"/>
      <sheetName val="Softscape_Buildup6"/>
      <sheetName val="Mat'l_Rate6"/>
      <sheetName val="Day_work3"/>
      <sheetName val="BOQ_Direct_selling_cost2"/>
      <sheetName val="Eq__Mobilization2"/>
      <sheetName val="Working_for_RCC2"/>
      <sheetName val="B185-B-9_12"/>
      <sheetName val="B185-B-9_22"/>
      <sheetName val="CHART_OF_ACCOUNTS2"/>
      <sheetName val="E-Bill_No_6_A-O2"/>
      <sheetName val="B09_12"/>
      <sheetName val="PMWeb_data2"/>
      <sheetName val="Index_List1"/>
      <sheetName val="Type_List1"/>
      <sheetName val="File_Types1"/>
      <sheetName val="Chiet_t1"/>
      <sheetName val="Staffing_and_Rates_IA1"/>
      <sheetName val="입찰내역_발주처_양식1"/>
      <sheetName val="Material_List_1"/>
      <sheetName val="SS_MH2"/>
      <sheetName val="PRECAST_lightconc-II1"/>
      <sheetName val="final_abstract1"/>
      <sheetName val="Division_24"/>
      <sheetName val="Division_41"/>
      <sheetName val="Division_51"/>
      <sheetName val="Division_61"/>
      <sheetName val="Division_71"/>
      <sheetName val="Division_81"/>
      <sheetName val="Division_91"/>
      <sheetName val="Division_101"/>
      <sheetName val="Division_121"/>
      <sheetName val="Division_141"/>
      <sheetName val="Division_211"/>
      <sheetName val="Division_221"/>
      <sheetName val="Division_231"/>
      <sheetName val="Division_261"/>
      <sheetName val="Division_271"/>
      <sheetName val="Division_281"/>
      <sheetName val="Division_311"/>
      <sheetName val="Division_321"/>
      <sheetName val="Division_331"/>
      <sheetName val="2_2)Revised_Cash_Flow1"/>
      <sheetName val="/VWVU))tÏØ0__1"/>
      <sheetName val="/VWVU))tÏØ0__2"/>
      <sheetName val="GFA_HQ_Building14"/>
      <sheetName val="GFA_Conference13"/>
      <sheetName val="BQ_External13"/>
      <sheetName val="Raw_Data12"/>
      <sheetName val="Penthouse_Apartment12"/>
      <sheetName val="StattCo_yCharges12"/>
      <sheetName val="@risk_rents_and_incentives12"/>
      <sheetName val="Car_park_lease12"/>
      <sheetName val="Net_rent_analysis12"/>
      <sheetName val="Poz-1_12"/>
      <sheetName val="Chiet_tinh_dz2212"/>
      <sheetName val="Chiet_tinh_dz3512"/>
      <sheetName val="LEVEL_SHEET12"/>
      <sheetName val="LABOUR_HISTOGRAM13"/>
      <sheetName val="Lab_Cum_Hist12"/>
      <sheetName val="Graph_Data_(DO_NOT_PRINT)12"/>
      <sheetName val="Body_Sheet11"/>
      <sheetName val="1_0_Executive_Summary11"/>
      <sheetName val="CT_Thang_Mo12"/>
      <sheetName val="Customize_Your_Invoice12"/>
      <sheetName val="HVAC_BoQ12"/>
      <sheetName val="Projet,_methodes_&amp;_couts11"/>
      <sheetName val="Risques_majeurs_&amp;_Frais_Ind_11"/>
      <sheetName val="SPT_vs_PHI12"/>
      <sheetName val="CT__PL11"/>
      <sheetName val="intr_stool_brkup11"/>
      <sheetName val="Bill_No__212"/>
      <sheetName val="budget_summary_(2)11"/>
      <sheetName val="Budget_Analysis_Summary11"/>
      <sheetName val="FOL_-_Bar12"/>
      <sheetName val="Top_sheet11"/>
      <sheetName val="Tender_Summary12"/>
      <sheetName val="Insurance_Ext12"/>
      <sheetName val="2_Div_14_9"/>
      <sheetName val="SHOPLIST_xls8"/>
      <sheetName val="Bill_210"/>
      <sheetName val="Ap_A9"/>
      <sheetName val="Ra__stair5"/>
      <sheetName val="Bill_19"/>
      <sheetName val="Bill_39"/>
      <sheetName val="Bill_49"/>
      <sheetName val="Bill_59"/>
      <sheetName val="Bill_69"/>
      <sheetName val="Bill_79"/>
      <sheetName val="beam-reinft-IIInd_floor8"/>
      <sheetName val="Invoice_Summary8"/>
      <sheetName val="beam-reinft-machine_rm8"/>
      <sheetName val="PROJECT_BRIEF9"/>
      <sheetName val="C_(3)9"/>
      <sheetName val="POWER_ASSUMPTIONS8"/>
      <sheetName val="Dubai_golf8"/>
      <sheetName val="WITHOUT_C&amp;I_PROFIT_(3)7"/>
      <sheetName val="Civil_Boq7"/>
      <sheetName val="HIRED_LABOUR_CODE5"/>
      <sheetName val="PA-_Consutant_5"/>
      <sheetName val="foot-slab_reinft5"/>
      <sheetName val="BILL_COV5"/>
      <sheetName val="Activity_List7"/>
      <sheetName val="DETAILED__BOQ5"/>
      <sheetName val="M-Book_for_Conc5"/>
      <sheetName val="M-Book_for_FW5"/>
      <sheetName val="Softscape_Buildup7"/>
      <sheetName val="Mat'l_Rate7"/>
      <sheetName val="VALVE_CHAMBERS4"/>
      <sheetName val="Fire_Hydrants4"/>
      <sheetName val="B_GATE_VALVE4"/>
      <sheetName val="Sub_G1_Fire4"/>
      <sheetName val="Sub_G12_Fire4"/>
      <sheetName val="Materials_Cost(PCC)3"/>
      <sheetName val="India_F&amp;S_Template3"/>
      <sheetName val="IO_LIST3"/>
      <sheetName val="Material_3"/>
      <sheetName val="Quote_Sheet3"/>
      <sheetName val="Day_work4"/>
      <sheetName val="bill_nb2-Plumbing_&amp;_Drainag2"/>
      <sheetName val="Pl_&amp;_Dr_B2"/>
      <sheetName val="Pl_&amp;_Dr_G2"/>
      <sheetName val="Pl_&amp;_Dr_M2"/>
      <sheetName val="Pl_&amp;_Dr_12"/>
      <sheetName val="Pl_&amp;_Dr_22"/>
      <sheetName val="Pl_&amp;_Dr_32"/>
      <sheetName val="Pl_&amp;_Dr_42"/>
      <sheetName val="Pl_&amp;_Dr_52"/>
      <sheetName val="Pl_&amp;_Dr_62"/>
      <sheetName val="Pl_&amp;_Dr_72"/>
      <sheetName val="Pl_&amp;_Dr_82"/>
      <sheetName val="Pl_&amp;_Dr_R2"/>
      <sheetName val="FF_B2"/>
      <sheetName val="FF_G2"/>
      <sheetName val="FF_M2"/>
      <sheetName val="FF_12"/>
      <sheetName val="FF_2_2"/>
      <sheetName val="FF_32"/>
      <sheetName val="FF_42"/>
      <sheetName val="FF_52"/>
      <sheetName val="FF_6_2"/>
      <sheetName val="FF_72"/>
      <sheetName val="FF_82"/>
      <sheetName val="FF_R2"/>
      <sheetName val="bill_nb3-FF2"/>
      <sheetName val="HVAC_B2"/>
      <sheetName val="HVAC_G2"/>
      <sheetName val="HVAC_M2"/>
      <sheetName val="HVAC_12"/>
      <sheetName val="HVAC_22"/>
      <sheetName val="HVAC_32"/>
      <sheetName val="HVAC_42"/>
      <sheetName val="HVAC_52"/>
      <sheetName val="HVAC_62"/>
      <sheetName val="HVAC_72"/>
      <sheetName val="HVAC_82"/>
      <sheetName val="HVAC_R2"/>
      <sheetName val="bill_nb4-HVAC2"/>
      <sheetName val="SC_B2"/>
      <sheetName val="SC_G2"/>
      <sheetName val="SC_M2"/>
      <sheetName val="SC_12"/>
      <sheetName val="SC_22"/>
      <sheetName val="SC_32"/>
      <sheetName val="SC_42"/>
      <sheetName val="SC_52"/>
      <sheetName val="SC_62"/>
      <sheetName val="SC_72"/>
      <sheetName val="SC_82"/>
      <sheetName val="SC_R2"/>
      <sheetName val="AV_B2"/>
      <sheetName val="AV_G2"/>
      <sheetName val="AV_M2"/>
      <sheetName val="AV_12"/>
      <sheetName val="AV_22"/>
      <sheetName val="AV_32"/>
      <sheetName val="AV_42"/>
      <sheetName val="AV_52"/>
      <sheetName val="AV_62"/>
      <sheetName val="AV_72"/>
      <sheetName val="AV_82"/>
      <sheetName val="EL_B2"/>
      <sheetName val="EL_M2"/>
      <sheetName val="EL_12"/>
      <sheetName val="EL_22"/>
      <sheetName val="EL_32"/>
      <sheetName val="EL_42"/>
      <sheetName val="EL_52"/>
      <sheetName val="EL_62"/>
      <sheetName val="EL_72"/>
      <sheetName val="EL_82"/>
      <sheetName val="EL_R2"/>
      <sheetName val="EL_TR2"/>
      <sheetName val="8-_EL2"/>
      <sheetName val="FA_B2"/>
      <sheetName val="FA_G2"/>
      <sheetName val="FA_M2"/>
      <sheetName val="FA_12"/>
      <sheetName val="FA_22"/>
      <sheetName val="FA_32"/>
      <sheetName val="FA_42"/>
      <sheetName val="FA_52"/>
      <sheetName val="FA_62"/>
      <sheetName val="FA_72"/>
      <sheetName val="FA_82"/>
      <sheetName val="FA_R2"/>
      <sheetName val="9-_FA2"/>
      <sheetName val="CHART_OF_ACCOUNTS3"/>
      <sheetName val="E-Bill_No_6_A-O3"/>
      <sheetName val="Eq__Mobilization3"/>
      <sheetName val="Div__023"/>
      <sheetName val="Div__033"/>
      <sheetName val="Div__043"/>
      <sheetName val="Div__053"/>
      <sheetName val="Div__063"/>
      <sheetName val="Div__073"/>
      <sheetName val="Div__083"/>
      <sheetName val="Div__093"/>
      <sheetName val="Div__103"/>
      <sheetName val="Div__113"/>
      <sheetName val="Div__123"/>
      <sheetName val="Div_133"/>
      <sheetName val="EXTERNAL_WORKS3"/>
      <sheetName val="PRODUCTIVITY_RATE3"/>
      <sheetName val="U_R_A_-_MASONRY3"/>
      <sheetName val="U_R_A_-_PLASTERING3"/>
      <sheetName val="U_R_A_-_TILING3"/>
      <sheetName val="U_R_A_-_GRANITE3"/>
      <sheetName val="V_C_2_-_EARTHWORK3"/>
      <sheetName val="V_C_9_-_CERAMIC3"/>
      <sheetName val="V_C_9_-_FINISHES3"/>
      <sheetName val="BOQ_Direct_selling_cost3"/>
      <sheetName val="PointNo_52"/>
      <sheetName val="Elemental_Buildup2"/>
      <sheetName val="Working_for_RCC3"/>
      <sheetName val="B185-B-9_13"/>
      <sheetName val="B185-B-9_23"/>
      <sheetName val="B09_13"/>
      <sheetName val="w't_table2"/>
      <sheetName val="PMWeb_data3"/>
      <sheetName val="Index_List2"/>
      <sheetName val="Type_List2"/>
      <sheetName val="File_Types2"/>
      <sheetName val="Chiet_t2"/>
      <sheetName val="Staffing_and_Rates_IA2"/>
      <sheetName val="입찰내역_발주처_양식2"/>
      <sheetName val="Material_List_2"/>
      <sheetName val="SS_MH3"/>
      <sheetName val="PRECAST_lightconc-II2"/>
      <sheetName val="final_abstract2"/>
      <sheetName val="Division_25"/>
      <sheetName val="Division_42"/>
      <sheetName val="Division_52"/>
      <sheetName val="Division_62"/>
      <sheetName val="Division_72"/>
      <sheetName val="Division_82"/>
      <sheetName val="Division_92"/>
      <sheetName val="Division_102"/>
      <sheetName val="Division_122"/>
      <sheetName val="Division_142"/>
      <sheetName val="Division_212"/>
      <sheetName val="Division_222"/>
      <sheetName val="Division_232"/>
      <sheetName val="Division_262"/>
      <sheetName val="Division_272"/>
      <sheetName val="Division_282"/>
      <sheetName val="Division_312"/>
      <sheetName val="Division_322"/>
      <sheetName val="Division_332"/>
      <sheetName val="2_2)Revised_Cash_Flow2"/>
      <sheetName val="???? ??? ??"/>
      <sheetName val="200205C"/>
      <sheetName val="Headings"/>
      <sheetName val="References"/>
      <sheetName val="Map"/>
      <sheetName val="Labour &amp; Plant"/>
      <sheetName val="E_&amp;_R"/>
      <sheetName val="Geneí¬_x0008_i??_x0014_?0."/>
      <sheetName val="70?,/0?s«_x0008_i?Æø_x0003_í¬_x0008_i?"/>
      <sheetName val="????????"/>
      <sheetName val="Geneí¬_x0008_i___x0014__0."/>
      <sheetName val="70_,_0_s«_x0008_i_Æø_x0003_í¬_x0008_i_"/>
      <sheetName val="________"/>
      <sheetName val="Ave.wtd.rates"/>
      <sheetName val="Debits as on 12.04.08"/>
      <sheetName val="PRECAST_lightconc-II3"/>
      <sheetName val="final_abstract3"/>
      <sheetName val="Materials_Cost(PCC)4"/>
      <sheetName val="India_F&amp;S_Template4"/>
      <sheetName val="IO_LIST4"/>
      <sheetName val="Material_4"/>
      <sheetName val="Quote_Sheet4"/>
      <sheetName val="PRECAST_lightconc-II4"/>
      <sheetName val="BOQ_Direct_selling_cost4"/>
      <sheetName val="final_abstract4"/>
      <sheetName val="ABS"/>
      <sheetName val="STAFFSCHED "/>
      <sheetName val="Progress"/>
      <sheetName val="R20_R30_work"/>
      <sheetName val="FORM7"/>
      <sheetName val="TRIAL BALANCE"/>
      <sheetName val="Intro"/>
      <sheetName val="[SHOPLIST.xls][SHOPLIST.xls]70_x0000_"/>
      <sheetName val="[SHOPLIST.xls][SHOPLIST.xls]70,"/>
      <sheetName val="GPL Revenu Update"/>
      <sheetName val="DO NOT TOUCH"/>
      <sheetName val="Work Type"/>
      <sheetName val="Common Variables"/>
      <sheetName val="Rate_analysis10"/>
      <sheetName val="Staff_Acco_"/>
      <sheetName val="TBAL9697_-group_wise__sdpl"/>
      <sheetName val="[SHOPLIST.xls]70_x0000_,/0_x0000_s«_x0008_i_x0000_Æø_x0003_í¬"/>
      <sheetName val="[SHOPLIST.xls]70,/0s«iÆøí¬i"/>
      <sheetName val="ConferenceCentre?옰ʒ䄂ʒ鵠ʐ䄂ʒ閐̐脭め_x0005__x0000_"/>
      <sheetName val="UOM"/>
      <sheetName val="PROJECT BRIEF(EX.NEW)"/>
      <sheetName val="TESİSAT"/>
      <sheetName val="Definitions"/>
      <sheetName val="MEP"/>
      <sheetName val="IRR"/>
      <sheetName val="[SHOPLIST.xls]70_x0000_,/0_x0000_s« i_x0000_Æø í¬"/>
      <sheetName val="Selections"/>
      <sheetName val="Sheet7"/>
      <sheetName val="AREA OF APPLICATION"/>
      <sheetName val="Steel"/>
      <sheetName val="PE"/>
      <sheetName val="Coding"/>
      <sheetName val="Рабочий_лист"/>
      <sheetName val="LIST_DO_NOT_REMOVE1"/>
      <sheetName val="Project_Cost_Breakdown"/>
      <sheetName val="B6_2_1"/>
      <sheetName val="Annex_1_Sect_3a"/>
      <sheetName val="Annex_1_Sect_3a_1"/>
      <sheetName val="Annex_1_Sect_3b"/>
      <sheetName val="Annex_1_Sect_3c"/>
      <sheetName val="HOURLY_RATES"/>
      <sheetName val="Item-_Compact"/>
      <sheetName val="Source"/>
      <sheetName val="ConferenceCentre_x005f_x005f_x005f_x0000_옰ʒ"/>
      <sheetName val="Geneí¬_x005f_x005f_x005f_x0008_i_x005f_x005f_x000"/>
      <sheetName val="70_x005f_x005f_x005f_x0000_,_0_x005f_x005f_x005f_x0000_"/>
      <sheetName val="Geneí¬_x005f_x005f_x005f_x0008_i"/>
      <sheetName val="ConferenceCentre_x005f_x005f_x005f_x005f_x0"/>
      <sheetName val="Geneí¬_x005f_x005f_x005f_x005f_x005f_x005f_x005f_x0008_"/>
      <sheetName val="70_x005f_x005f_x005f_x005f_x005f_x005f_x005f_x0000_,_0_"/>
      <sheetName val="Risk Breakdown Structure"/>
      <sheetName val="Header"/>
      <sheetName val="Lookup"/>
      <sheetName val="PTS-1"/>
      <sheetName val="Geneí¬ i"/>
      <sheetName val="GFA_HQ_Building15"/>
      <sheetName val="GFA_Conference14"/>
      <sheetName val="BQ_External14"/>
      <sheetName val="Raw_Data13"/>
      <sheetName val="Penthouse_Apartment13"/>
      <sheetName val="StattCo_yCharges13"/>
      <sheetName val="LABOUR_HISTOGRAM14"/>
      <sheetName val="Graph_Data_(DO_NOT_PRINT)13"/>
      <sheetName val="Chiet_tinh_dz2213"/>
      <sheetName val="Chiet_tinh_dz3513"/>
      <sheetName val="@risk_rents_and_incentives13"/>
      <sheetName val="Car_park_lease13"/>
      <sheetName val="Net_rent_analysis13"/>
      <sheetName val="Poz-1_13"/>
      <sheetName val="Lab_Cum_Hist13"/>
      <sheetName val="FOL_-_Bar13"/>
      <sheetName val="budget_summary_(2)12"/>
      <sheetName val="Budget_Analysis_Summary12"/>
      <sheetName val="CT_Thang_Mo13"/>
      <sheetName val="CT__PL12"/>
      <sheetName val="LEVEL_SHEET13"/>
      <sheetName val="SPT_vs_PHI13"/>
      <sheetName val="Bill_No__213"/>
      <sheetName val="Tender_Summary13"/>
      <sheetName val="Insurance_Ext13"/>
      <sheetName val="Customize_Your_Invoice13"/>
      <sheetName val="HVAC_BoQ13"/>
      <sheetName val="Projet,_methodes_&amp;_couts12"/>
      <sheetName val="Risques_majeurs_&amp;_Frais_Ind_12"/>
      <sheetName val="Top_sheet12"/>
      <sheetName val="intr_stool_brkup12"/>
      <sheetName val="Body_Sheet12"/>
      <sheetName val="1_0_Executive_Summary12"/>
      <sheetName val="Ap_A10"/>
      <sheetName val="Bill_110"/>
      <sheetName val="Bill_211"/>
      <sheetName val="Bill_310"/>
      <sheetName val="Bill_410"/>
      <sheetName val="Bill_510"/>
      <sheetName val="Bill_610"/>
      <sheetName val="Bill_710"/>
      <sheetName val="SHOPLIST_xls9"/>
      <sheetName val="Invoice_Summary9"/>
      <sheetName val="2_Div_14_10"/>
      <sheetName val="PROJECT_BRIEF10"/>
      <sheetName val="beam-reinft-IIInd_floor9"/>
      <sheetName val="POWER_ASSUMPTIONS9"/>
      <sheetName val="Softscape_Buildup8"/>
      <sheetName val="Mat'l_Rate8"/>
      <sheetName val="Dubai_golf9"/>
      <sheetName val="beam-reinft-machine_rm9"/>
      <sheetName val="C_(3)10"/>
      <sheetName val="PA-_Consutant_6"/>
      <sheetName val="BILL_COV6"/>
      <sheetName val="Ra__stair6"/>
      <sheetName val="WITHOUT_C&amp;I_PROFIT_(3)8"/>
      <sheetName val="Civil_Boq8"/>
      <sheetName val="Activity_List8"/>
      <sheetName val="HIRED_LABOUR_CODE6"/>
      <sheetName val="foot-slab_reinft6"/>
      <sheetName val="DETAILED__BOQ6"/>
      <sheetName val="M-Book_for_Conc6"/>
      <sheetName val="M-Book_for_FW6"/>
      <sheetName val="VALVE_CHAMBERS5"/>
      <sheetName val="Fire_Hydrants5"/>
      <sheetName val="B_GATE_VALVE5"/>
      <sheetName val="Sub_G1_Fire5"/>
      <sheetName val="Sub_G12_Fire5"/>
      <sheetName val="B185-B-9_14"/>
      <sheetName val="B185-B-9_24"/>
      <sheetName val="Day_work5"/>
      <sheetName val="Div__024"/>
      <sheetName val="Div__034"/>
      <sheetName val="Div__044"/>
      <sheetName val="Div__054"/>
      <sheetName val="Div__064"/>
      <sheetName val="Div__074"/>
      <sheetName val="Div__084"/>
      <sheetName val="Div__094"/>
      <sheetName val="Div__104"/>
      <sheetName val="Div__114"/>
      <sheetName val="Div__124"/>
      <sheetName val="Div_134"/>
      <sheetName val="EXTERNAL_WORKS4"/>
      <sheetName val="PRODUCTIVITY_RATE4"/>
      <sheetName val="U_R_A_-_MASONRY4"/>
      <sheetName val="U_R_A_-_PLASTERING4"/>
      <sheetName val="U_R_A_-_TILING4"/>
      <sheetName val="U_R_A_-_GRANITE4"/>
      <sheetName val="V_C_2_-_EARTHWORK4"/>
      <sheetName val="V_C_9_-_CERAMIC4"/>
      <sheetName val="V_C_9_-_FINISHES4"/>
      <sheetName val="Working_for_RCC4"/>
      <sheetName val="Elemental_Buildup3"/>
      <sheetName val="CHART_OF_ACCOUNTS4"/>
      <sheetName val="E-Bill_No_6_A-O4"/>
      <sheetName val="PMWeb_data4"/>
      <sheetName val="SS_MH4"/>
      <sheetName val="Eq__Mobilization4"/>
      <sheetName val="w't_table3"/>
      <sheetName val="B09_14"/>
      <sheetName val="bill_nb2-Plumbing_&amp;_Drainag3"/>
      <sheetName val="Pl_&amp;_Dr_B3"/>
      <sheetName val="Pl_&amp;_Dr_G3"/>
      <sheetName val="Pl_&amp;_Dr_M3"/>
      <sheetName val="Pl_&amp;_Dr_13"/>
      <sheetName val="Pl_&amp;_Dr_23"/>
      <sheetName val="Pl_&amp;_Dr_33"/>
      <sheetName val="Pl_&amp;_Dr_43"/>
      <sheetName val="Pl_&amp;_Dr_53"/>
      <sheetName val="Pl_&amp;_Dr_63"/>
      <sheetName val="Pl_&amp;_Dr_73"/>
      <sheetName val="Pl_&amp;_Dr_83"/>
      <sheetName val="Pl_&amp;_Dr_R3"/>
      <sheetName val="FF_B3"/>
      <sheetName val="FF_G3"/>
      <sheetName val="FF_M3"/>
      <sheetName val="FF_13"/>
      <sheetName val="FF_2_3"/>
      <sheetName val="FF_33"/>
      <sheetName val="FF_43"/>
      <sheetName val="FF_53"/>
      <sheetName val="FF_6_3"/>
      <sheetName val="FF_73"/>
      <sheetName val="FF_83"/>
      <sheetName val="FF_R3"/>
      <sheetName val="bill_nb3-FF3"/>
      <sheetName val="HVAC_B3"/>
      <sheetName val="HVAC_G3"/>
      <sheetName val="HVAC_M3"/>
      <sheetName val="HVAC_13"/>
      <sheetName val="HVAC_23"/>
      <sheetName val="HVAC_33"/>
      <sheetName val="HVAC_43"/>
      <sheetName val="HVAC_53"/>
      <sheetName val="HVAC_63"/>
      <sheetName val="HVAC_73"/>
      <sheetName val="HVAC_83"/>
      <sheetName val="HVAC_R3"/>
      <sheetName val="bill_nb4-HVAC3"/>
      <sheetName val="SC_B3"/>
      <sheetName val="SC_G3"/>
      <sheetName val="SC_M3"/>
      <sheetName val="SC_13"/>
      <sheetName val="SC_23"/>
      <sheetName val="SC_33"/>
      <sheetName val="SC_43"/>
      <sheetName val="SC_53"/>
      <sheetName val="SC_63"/>
      <sheetName val="SC_73"/>
      <sheetName val="SC_83"/>
      <sheetName val="SC_R3"/>
      <sheetName val="AV_B3"/>
      <sheetName val="AV_G3"/>
      <sheetName val="AV_M3"/>
      <sheetName val="AV_13"/>
      <sheetName val="AV_23"/>
      <sheetName val="AV_33"/>
      <sheetName val="AV_43"/>
      <sheetName val="AV_53"/>
      <sheetName val="AV_63"/>
      <sheetName val="AV_73"/>
      <sheetName val="AV_83"/>
      <sheetName val="EL_B3"/>
      <sheetName val="EL_M3"/>
      <sheetName val="EL_13"/>
      <sheetName val="EL_23"/>
      <sheetName val="EL_33"/>
      <sheetName val="EL_43"/>
      <sheetName val="EL_53"/>
      <sheetName val="EL_63"/>
      <sheetName val="EL_73"/>
      <sheetName val="EL_83"/>
      <sheetName val="EL_R3"/>
      <sheetName val="EL_TR3"/>
      <sheetName val="8-_EL3"/>
      <sheetName val="FA_B3"/>
      <sheetName val="FA_G3"/>
      <sheetName val="FA_M3"/>
      <sheetName val="FA_13"/>
      <sheetName val="FA_23"/>
      <sheetName val="FA_33"/>
      <sheetName val="FA_43"/>
      <sheetName val="FA_53"/>
      <sheetName val="FA_63"/>
      <sheetName val="FA_73"/>
      <sheetName val="FA_83"/>
      <sheetName val="FA_R3"/>
      <sheetName val="9-_FA3"/>
      <sheetName val="PointNo_53"/>
      <sheetName val="Index_List3"/>
      <sheetName val="Type_List3"/>
      <sheetName val="File_Types3"/>
      <sheetName val="Division_29"/>
      <sheetName val="Division_43"/>
      <sheetName val="Division_53"/>
      <sheetName val="Division_63"/>
      <sheetName val="Division_73"/>
      <sheetName val="Division_83"/>
      <sheetName val="Division_93"/>
      <sheetName val="Division_103"/>
      <sheetName val="Division_123"/>
      <sheetName val="Division_143"/>
      <sheetName val="Division_213"/>
      <sheetName val="Division_223"/>
      <sheetName val="Division_233"/>
      <sheetName val="Division_263"/>
      <sheetName val="Division_273"/>
      <sheetName val="Division_283"/>
      <sheetName val="Division_313"/>
      <sheetName val="Division_323"/>
      <sheetName val="Division_333"/>
      <sheetName val="2_2)Revised_Cash_Flow3"/>
      <sheetName val="Material_List_3"/>
      <sheetName val="Employee_List1"/>
      <sheetName val="입찰내역_발주처_양식3"/>
      <sheetName val="Chiet_t3"/>
      <sheetName val="Staffing_and_Rates_IA3"/>
      <sheetName val="Summary_of_Work1"/>
      <sheetName val="/VWVU))tÏØ0__3"/>
      <sheetName val="PT_141-_Site_A_Landscape"/>
      <sheetName val="Geneí¬_i_0_"/>
      <sheetName val="70,/0s«_iÆø_í¬_i"/>
      <sheetName val="d-safe_DELUXE"/>
      <sheetName val="Rate_summary"/>
      <sheetName val="SITE_WORK"/>
      <sheetName val="RAB_AR&amp;STR"/>
      <sheetName val="Back_up"/>
      <sheetName val="INDIGINEOUS_ITEMS_"/>
      <sheetName val="Mall_waterproofing"/>
      <sheetName val="MSCP_waterproofing"/>
      <sheetName val="Duct_Accesories"/>
      <sheetName val="????_???_??"/>
      <sheetName val="Geneí¬i???0_"/>
      <sheetName val="70?,/0?s«i?Æøí¬i?"/>
      <sheetName val="train_cash"/>
      <sheetName val="accom_cash"/>
      <sheetName val="Geneí¬i_x0"/>
      <sheetName val="70,_0s«i_x"/>
      <sheetName val="_x0"/>
      <sheetName val="LIST_DO_NOT_REMOVE2"/>
      <sheetName val="B6_2_2"/>
      <sheetName val="Staff_Acco_1"/>
      <sheetName val="TBAL9697_-group_wise__sdpl1"/>
      <sheetName val="Item-_Compact1"/>
      <sheetName val="E_&amp;_R1"/>
      <sheetName val="Project_Cost_Breakdown1"/>
      <sheetName val="Annex_1_Sect_3a1"/>
      <sheetName val="Annex_1_Sect_3a_11"/>
      <sheetName val="Annex_1_Sect_3b1"/>
      <sheetName val="Annex_1_Sect_3c1"/>
      <sheetName val="HOURLY_RATES1"/>
      <sheetName val="PNTEXT"/>
      <sheetName val="steel total"/>
      <sheetName val="ELE BOQ"/>
      <sheetName val="Materials_Cost(PCC)5"/>
      <sheetName val="India_F&amp;S_Template5"/>
      <sheetName val="IO_LIST5"/>
      <sheetName val="Material_5"/>
      <sheetName val="Quote_Sheet5"/>
      <sheetName val="BOQ_Direct_selling_cost5"/>
      <sheetName val="PRECAST_lightconc-II5"/>
      <sheetName val="final_abstract5"/>
      <sheetName val="Labour_&amp;_Plant"/>
      <sheetName val="Geneí¬i___0_"/>
      <sheetName val="70_,_0_s«i_Æøí¬i_"/>
      <sheetName val="Ave_wtd_rates"/>
      <sheetName val="Debits_as_on_12_04_08"/>
      <sheetName val="STAFFSCHED_"/>
      <sheetName val="TRIAL_BALANCE"/>
      <sheetName val="[SHOPLIST_xls][SHOPLIST_xls]70"/>
      <sheetName val="[SHOPLIST_xls][SHOPLIST_xls]70,"/>
      <sheetName val="Common_Variables"/>
      <sheetName val="[SHOPLIST_xls]70,/0s«iÆøí¬"/>
      <sheetName val="[SHOPLIST_xls]70,/0s«iÆøí¬i"/>
      <sheetName val="GPL_Revenu_Update"/>
      <sheetName val="DO_NOT_TOUCH"/>
      <sheetName val="Work_Type"/>
      <sheetName val="ConferenceCentre?옰ʒ䄂ʒ鵠ʐ䄂ʒ閐̐脭め"/>
      <sheetName val="PROJECT_BRIEF(EX_NEW)"/>
      <sheetName val="ￒlￒmￒnￒaￒSￒmￒaￒy"/>
      <sheetName val="CostPlan"/>
      <sheetName val="Database"/>
      <sheetName val="GFA_HQ_Building16"/>
      <sheetName val="GFA_Conference15"/>
      <sheetName val="BQ_External15"/>
      <sheetName val="StattCo_yCharges14"/>
      <sheetName val="Graph_Data_(DO_NOT_PRINT)14"/>
      <sheetName val="Penthouse_Apartment14"/>
      <sheetName val="Chiet_tinh_dz2214"/>
      <sheetName val="Chiet_tinh_dz3514"/>
      <sheetName val="@risk_rents_and_incentives14"/>
      <sheetName val="Car_park_lease14"/>
      <sheetName val="Net_rent_analysis14"/>
      <sheetName val="Poz-1_14"/>
      <sheetName val="Lab_Cum_Hist14"/>
      <sheetName val="Raw_Data14"/>
      <sheetName val="LABOUR_HISTOGRAM15"/>
      <sheetName val="Bill_No__214"/>
      <sheetName val="FOL_-_Bar14"/>
      <sheetName val="CT_Thang_Mo14"/>
      <sheetName val="LEVEL_SHEET14"/>
      <sheetName val="SPT_vs_PHI14"/>
      <sheetName val="budget_summary_(2)13"/>
      <sheetName val="Budget_Analysis_Summary13"/>
      <sheetName val="Projet,_methodes_&amp;_couts13"/>
      <sheetName val="Risques_majeurs_&amp;_Frais_Ind_13"/>
      <sheetName val="Customize_Your_Invoice14"/>
      <sheetName val="HVAC_BoQ14"/>
      <sheetName val="CT__PL13"/>
      <sheetName val="Tender_Summary14"/>
      <sheetName val="Insurance_Ext14"/>
      <sheetName val="Top_sheet13"/>
      <sheetName val="intr_stool_brkup13"/>
      <sheetName val="Body_Sheet13"/>
      <sheetName val="1_0_Executive_Summary13"/>
      <sheetName val="Bill_212"/>
      <sheetName val="Ap_A11"/>
      <sheetName val="SHOPLIST_xls10"/>
      <sheetName val="Invoice_Summary10"/>
      <sheetName val="Bill_111"/>
      <sheetName val="Bill_311"/>
      <sheetName val="Bill_411"/>
      <sheetName val="Bill_511"/>
      <sheetName val="Bill_611"/>
      <sheetName val="Bill_711"/>
      <sheetName val="POWER_ASSUMPTIONS10"/>
      <sheetName val="PROJECT_BRIEF11"/>
      <sheetName val="beam-reinft-IIInd_floor10"/>
      <sheetName val="C_(3)11"/>
      <sheetName val="2_Div_14_11"/>
      <sheetName val="Dubai_golf10"/>
      <sheetName val="Activity_List9"/>
      <sheetName val="beam-reinft-machine_rm10"/>
      <sheetName val="Civil_Boq9"/>
      <sheetName val="Softscape_Buildup9"/>
      <sheetName val="Mat'l_Rate9"/>
      <sheetName val="PA-_Consutant_7"/>
      <sheetName val="WITHOUT_C&amp;I_PROFIT_(3)9"/>
      <sheetName val="DETAILED__BOQ7"/>
      <sheetName val="M-Book_for_Conc7"/>
      <sheetName val="M-Book_for_FW7"/>
      <sheetName val="HIRED_LABOUR_CODE7"/>
      <sheetName val="foot-slab_reinft7"/>
      <sheetName val="BILL_COV7"/>
      <sheetName val="Ra__stair7"/>
      <sheetName val="Materials_Cost(PCC)6"/>
      <sheetName val="India_F&amp;S_Template6"/>
      <sheetName val="IO_LIST6"/>
      <sheetName val="Material_6"/>
      <sheetName val="Quote_Sheet6"/>
      <sheetName val="Day_work6"/>
      <sheetName val="VALVE_CHAMBERS6"/>
      <sheetName val="Fire_Hydrants6"/>
      <sheetName val="B_GATE_VALVE6"/>
      <sheetName val="Sub_G1_Fire6"/>
      <sheetName val="Sub_G12_Fire6"/>
      <sheetName val="CHART_OF_ACCOUNTS5"/>
      <sheetName val="E-Bill_No_6_A-O5"/>
      <sheetName val="B185-B-9_15"/>
      <sheetName val="B185-B-9_25"/>
      <sheetName val="B09_15"/>
      <sheetName val="BOQ_Direct_selling_cost6"/>
      <sheetName val="PMWeb_data5"/>
      <sheetName val="SS_MH5"/>
      <sheetName val="Eq__Mobilization5"/>
      <sheetName val="w't_table4"/>
      <sheetName val="Div__025"/>
      <sheetName val="Div__035"/>
      <sheetName val="Div__045"/>
      <sheetName val="Div__055"/>
      <sheetName val="Div__065"/>
      <sheetName val="Div__075"/>
      <sheetName val="Div__085"/>
      <sheetName val="Div__095"/>
      <sheetName val="Div__105"/>
      <sheetName val="Div__115"/>
      <sheetName val="Div__125"/>
      <sheetName val="Div_135"/>
      <sheetName val="EXTERNAL_WORKS5"/>
      <sheetName val="PRODUCTIVITY_RATE5"/>
      <sheetName val="U_R_A_-_MASONRY5"/>
      <sheetName val="U_R_A_-_PLASTERING5"/>
      <sheetName val="U_R_A_-_TILING5"/>
      <sheetName val="U_R_A_-_GRANITE5"/>
      <sheetName val="V_C_2_-_EARTHWORK5"/>
      <sheetName val="V_C_9_-_CERAMIC5"/>
      <sheetName val="V_C_9_-_FINISHES5"/>
      <sheetName val="Elemental_Buildup4"/>
      <sheetName val="bill_nb2-Plumbing_&amp;_Drainag4"/>
      <sheetName val="Pl_&amp;_Dr_B4"/>
      <sheetName val="Pl_&amp;_Dr_G4"/>
      <sheetName val="Pl_&amp;_Dr_M4"/>
      <sheetName val="Pl_&amp;_Dr_14"/>
      <sheetName val="Pl_&amp;_Dr_24"/>
      <sheetName val="Pl_&amp;_Dr_34"/>
      <sheetName val="Pl_&amp;_Dr_44"/>
      <sheetName val="Pl_&amp;_Dr_54"/>
      <sheetName val="Pl_&amp;_Dr_64"/>
      <sheetName val="Pl_&amp;_Dr_74"/>
      <sheetName val="Pl_&amp;_Dr_84"/>
      <sheetName val="Pl_&amp;_Dr_R4"/>
      <sheetName val="FF_B4"/>
      <sheetName val="FF_G4"/>
      <sheetName val="FF_M4"/>
      <sheetName val="FF_14"/>
      <sheetName val="FF_2_4"/>
      <sheetName val="FF_34"/>
      <sheetName val="FF_44"/>
      <sheetName val="FF_54"/>
      <sheetName val="FF_6_4"/>
      <sheetName val="FF_74"/>
      <sheetName val="FF_84"/>
      <sheetName val="FF_R4"/>
      <sheetName val="bill_nb3-FF4"/>
      <sheetName val="HVAC_B4"/>
      <sheetName val="HVAC_G4"/>
      <sheetName val="HVAC_M4"/>
      <sheetName val="HVAC_14"/>
      <sheetName val="HVAC_24"/>
      <sheetName val="HVAC_34"/>
      <sheetName val="HVAC_44"/>
      <sheetName val="HVAC_54"/>
      <sheetName val="HVAC_64"/>
      <sheetName val="HVAC_74"/>
      <sheetName val="HVAC_84"/>
      <sheetName val="HVAC_R4"/>
      <sheetName val="bill_nb4-HVAC4"/>
      <sheetName val="SC_B4"/>
      <sheetName val="SC_G4"/>
      <sheetName val="SC_M4"/>
      <sheetName val="SC_14"/>
      <sheetName val="SC_24"/>
      <sheetName val="SC_34"/>
      <sheetName val="SC_44"/>
      <sheetName val="SC_54"/>
      <sheetName val="SC_64"/>
      <sheetName val="SC_74"/>
      <sheetName val="SC_84"/>
      <sheetName val="SC_R4"/>
      <sheetName val="AV_B4"/>
      <sheetName val="AV_G4"/>
      <sheetName val="AV_M4"/>
      <sheetName val="AV_14"/>
      <sheetName val="AV_24"/>
      <sheetName val="AV_34"/>
      <sheetName val="AV_44"/>
      <sheetName val="AV_54"/>
      <sheetName val="AV_64"/>
      <sheetName val="AV_74"/>
      <sheetName val="AV_84"/>
      <sheetName val="EL_B4"/>
      <sheetName val="EL_M4"/>
      <sheetName val="EL_14"/>
      <sheetName val="EL_24"/>
      <sheetName val="EL_34"/>
      <sheetName val="EL_44"/>
      <sheetName val="EL_54"/>
      <sheetName val="EL_64"/>
      <sheetName val="EL_74"/>
      <sheetName val="EL_84"/>
      <sheetName val="EL_R4"/>
      <sheetName val="EL_TR4"/>
      <sheetName val="8-_EL4"/>
      <sheetName val="FA_B4"/>
      <sheetName val="FA_G4"/>
      <sheetName val="FA_M4"/>
      <sheetName val="FA_14"/>
      <sheetName val="FA_24"/>
      <sheetName val="FA_34"/>
      <sheetName val="FA_44"/>
      <sheetName val="FA_54"/>
      <sheetName val="FA_64"/>
      <sheetName val="FA_74"/>
      <sheetName val="FA_84"/>
      <sheetName val="FA_R4"/>
      <sheetName val="9-_FA4"/>
      <sheetName val="Working_for_RCC5"/>
      <sheetName val="2_2)Revised_Cash_Flow4"/>
      <sheetName val="PointNo_54"/>
      <sheetName val="Division_210"/>
      <sheetName val="Division_44"/>
      <sheetName val="Division_54"/>
      <sheetName val="Division_64"/>
      <sheetName val="Division_74"/>
      <sheetName val="Division_84"/>
      <sheetName val="Division_94"/>
      <sheetName val="Division_104"/>
      <sheetName val="Division_124"/>
      <sheetName val="Division_144"/>
      <sheetName val="Division_214"/>
      <sheetName val="Division_224"/>
      <sheetName val="Division_234"/>
      <sheetName val="Division_264"/>
      <sheetName val="Division_274"/>
      <sheetName val="Division_284"/>
      <sheetName val="Division_314"/>
      <sheetName val="Division_324"/>
      <sheetName val="Division_334"/>
      <sheetName val="입찰내역_발주처_양식4"/>
      <sheetName val="Material_List_4"/>
      <sheetName val="/VWVU))tÏØ0__4"/>
      <sheetName val="Index_List4"/>
      <sheetName val="Type_List4"/>
      <sheetName val="File_Types4"/>
      <sheetName val="Chiet_t4"/>
      <sheetName val="Staffing_and_Rates_IA4"/>
      <sheetName val="Summary_of_Work2"/>
      <sheetName val="PRECAST_lightconc-II6"/>
      <sheetName val="final_abstract6"/>
      <sheetName val="Staff_Acco_2"/>
      <sheetName val="TBAL9697_-group_wise__sdpl2"/>
      <sheetName val="SITE_WORK1"/>
      <sheetName val="Рабочий_лист1"/>
      <sheetName val="Employee_List2"/>
      <sheetName val="E_&amp;_R2"/>
      <sheetName val="Rate_summary1"/>
      <sheetName val="d-safe_DELUXE1"/>
      <sheetName val="Back_up1"/>
      <sheetName val="PT_141-_Site_A_Landscape1"/>
      <sheetName val="RAB_AR&amp;STR1"/>
      <sheetName val="INDIGINEOUS_ITEMS_1"/>
      <sheetName val="train_cash1"/>
      <sheetName val="accom_cash1"/>
      <sheetName val="Duct_Accesories1"/>
      <sheetName val="Mall_waterproofing1"/>
      <sheetName val="MSCP_waterproofing1"/>
      <sheetName val="????_???_??1"/>
      <sheetName val="Common_Variables1"/>
      <sheetName val="[SHOPLIST_xls]70,/0s«iÆøí¬i1"/>
      <sheetName val="GPL_Revenu_Update1"/>
      <sheetName val="DO_NOT_TOUCH1"/>
      <sheetName val="Work_Type1"/>
      <sheetName val="Labour_&amp;_Plant1"/>
      <sheetName val="Ave_wtd_rates1"/>
      <sheetName val="Debits_as_on_12_04_081"/>
      <sheetName val="STAFFSCHED_1"/>
      <sheetName val="TRIAL_BALANCE1"/>
      <sheetName val="[SHOPLIST_xls][SHOPLIST_xls]701"/>
      <sheetName val="PROJECT_BRIEF(EX_NEW)1"/>
      <sheetName val="[SHOPLIST_xls]70,/0s«_iÆø_í¬"/>
      <sheetName val="Risk_Breakdown_Structure"/>
      <sheetName val="AREA_OF_APPLICATION"/>
      <sheetName val="Z- GENERAL PRICE SUMMARY"/>
      <sheetName val="INDEX"/>
      <sheetName val="mw"/>
      <sheetName val="GFA_HQ_Building17"/>
      <sheetName val="GFA_Conference16"/>
      <sheetName val="BQ_External16"/>
      <sheetName val="Graph_Data_(DO_NOT_PRINT)15"/>
      <sheetName val="StattCo_yCharges15"/>
      <sheetName val="Penthouse_Apartment15"/>
      <sheetName val="LABOUR_HISTOGRAM16"/>
      <sheetName val="Chiet_tinh_dz2215"/>
      <sheetName val="Chiet_tinh_dz3515"/>
      <sheetName val="@risk_rents_and_incentives15"/>
      <sheetName val="Car_park_lease15"/>
      <sheetName val="Net_rent_analysis15"/>
      <sheetName val="Poz-1_15"/>
      <sheetName val="Lab_Cum_Hist15"/>
      <sheetName val="Raw_Data15"/>
      <sheetName val="Bill_No__215"/>
      <sheetName val="CT_Thang_Mo15"/>
      <sheetName val="budget_summary_(2)14"/>
      <sheetName val="Budget_Analysis_Summary14"/>
      <sheetName val="LEVEL_SHEET15"/>
      <sheetName val="SPT_vs_PHI15"/>
      <sheetName val="CT__PL14"/>
      <sheetName val="Projet,_methodes_&amp;_couts14"/>
      <sheetName val="Risques_majeurs_&amp;_Frais_Ind_14"/>
      <sheetName val="FOL_-_Bar15"/>
      <sheetName val="intr_stool_brkup14"/>
      <sheetName val="Tender_Summary15"/>
      <sheetName val="Insurance_Ext15"/>
      <sheetName val="Customize_Your_Invoice15"/>
      <sheetName val="HVAC_BoQ15"/>
      <sheetName val="Body_Sheet14"/>
      <sheetName val="1_0_Executive_Summary14"/>
      <sheetName val="Top_sheet14"/>
      <sheetName val="Ap_A12"/>
      <sheetName val="SHOPLIST_xls11"/>
      <sheetName val="Bill_213"/>
      <sheetName val="2_Div_14_12"/>
      <sheetName val="beam-reinft-IIInd_floor11"/>
      <sheetName val="beam-reinft-machine_rm11"/>
      <sheetName val="Bill_112"/>
      <sheetName val="Bill_312"/>
      <sheetName val="Bill_412"/>
      <sheetName val="Bill_512"/>
      <sheetName val="Bill_612"/>
      <sheetName val="Bill_712"/>
      <sheetName val="POWER_ASSUMPTIONS11"/>
      <sheetName val="Invoice_Summary11"/>
      <sheetName val="PROJECT_BRIEF12"/>
      <sheetName val="Civil_Boq10"/>
      <sheetName val="C_(3)12"/>
      <sheetName val="Dubai_golf11"/>
      <sheetName val="WITHOUT_C&amp;I_PROFIT_(3)10"/>
      <sheetName val="HIRED_LABOUR_CODE8"/>
      <sheetName val="PA-_Consutant_8"/>
      <sheetName val="foot-slab_reinft8"/>
      <sheetName val="Softscape_Buildup10"/>
      <sheetName val="Mat'l_Rate10"/>
      <sheetName val="VALVE_CHAMBERS7"/>
      <sheetName val="Fire_Hydrants7"/>
      <sheetName val="B_GATE_VALVE7"/>
      <sheetName val="Sub_G1_Fire7"/>
      <sheetName val="Sub_G12_Fire7"/>
      <sheetName val="Activity_List10"/>
      <sheetName val="BILL_COV8"/>
      <sheetName val="Ra__stair8"/>
      <sheetName val="DETAILED__BOQ8"/>
      <sheetName val="M-Book_for_Conc8"/>
      <sheetName val="M-Book_for_FW8"/>
      <sheetName val="Materials_Cost(PCC)7"/>
      <sheetName val="India_F&amp;S_Template7"/>
      <sheetName val="IO_LIST7"/>
      <sheetName val="Material_7"/>
      <sheetName val="Quote_Sheet7"/>
      <sheetName val="Day_work7"/>
      <sheetName val="Working_for_RCC6"/>
      <sheetName val="Div__026"/>
      <sheetName val="Div__036"/>
      <sheetName val="Div__046"/>
      <sheetName val="Div__056"/>
      <sheetName val="Div__066"/>
      <sheetName val="Div__076"/>
      <sheetName val="Div__086"/>
      <sheetName val="Div__096"/>
      <sheetName val="Div__106"/>
      <sheetName val="Div__116"/>
      <sheetName val="Div__126"/>
      <sheetName val="Div_136"/>
      <sheetName val="EXTERNAL_WORKS6"/>
      <sheetName val="PRODUCTIVITY_RATE6"/>
      <sheetName val="U_R_A_-_MASONRY6"/>
      <sheetName val="U_R_A_-_PLASTERING6"/>
      <sheetName val="U_R_A_-_TILING6"/>
      <sheetName val="U_R_A_-_GRANITE6"/>
      <sheetName val="V_C_2_-_EARTHWORK6"/>
      <sheetName val="V_C_9_-_CERAMIC6"/>
      <sheetName val="V_C_9_-_FINISHES6"/>
      <sheetName val="Eq__Mobilization6"/>
      <sheetName val="w't_table5"/>
      <sheetName val="B185-B-9_16"/>
      <sheetName val="B185-B-9_26"/>
      <sheetName val="CHART_OF_ACCOUNTS6"/>
      <sheetName val="BOQ_Direct_selling_cost7"/>
      <sheetName val="Elemental_Buildup5"/>
      <sheetName val="PointNo_55"/>
      <sheetName val="Index_List5"/>
      <sheetName val="Type_List5"/>
      <sheetName val="File_Types5"/>
      <sheetName val="E-Bill_No_6_A-O6"/>
      <sheetName val="PMWeb_data6"/>
      <sheetName val="SS_MH6"/>
      <sheetName val="Material_List_5"/>
      <sheetName val="2_2)Revised_Cash_Flow5"/>
      <sheetName val="bill_nb2-Plumbing_&amp;_Drainag5"/>
      <sheetName val="Pl_&amp;_Dr_B5"/>
      <sheetName val="Pl_&amp;_Dr_G5"/>
      <sheetName val="Pl_&amp;_Dr_M5"/>
      <sheetName val="Pl_&amp;_Dr_15"/>
      <sheetName val="Pl_&amp;_Dr_25"/>
      <sheetName val="Pl_&amp;_Dr_35"/>
      <sheetName val="Pl_&amp;_Dr_45"/>
      <sheetName val="Pl_&amp;_Dr_55"/>
      <sheetName val="Pl_&amp;_Dr_65"/>
      <sheetName val="Pl_&amp;_Dr_75"/>
      <sheetName val="Pl_&amp;_Dr_85"/>
      <sheetName val="Pl_&amp;_Dr_R5"/>
      <sheetName val="FF_B5"/>
      <sheetName val="FF_G5"/>
      <sheetName val="FF_M5"/>
      <sheetName val="FF_15"/>
      <sheetName val="FF_2_5"/>
      <sheetName val="FF_35"/>
      <sheetName val="FF_45"/>
      <sheetName val="FF_55"/>
      <sheetName val="FF_6_5"/>
      <sheetName val="FF_75"/>
      <sheetName val="FF_85"/>
      <sheetName val="FF_R5"/>
      <sheetName val="bill_nb3-FF5"/>
      <sheetName val="HVAC_B5"/>
      <sheetName val="HVAC_G5"/>
      <sheetName val="HVAC_M5"/>
      <sheetName val="HVAC_15"/>
      <sheetName val="HVAC_25"/>
      <sheetName val="HVAC_35"/>
      <sheetName val="HVAC_45"/>
      <sheetName val="HVAC_55"/>
      <sheetName val="HVAC_65"/>
      <sheetName val="HVAC_75"/>
      <sheetName val="HVAC_85"/>
      <sheetName val="HVAC_R5"/>
      <sheetName val="bill_nb4-HVAC5"/>
      <sheetName val="SC_B5"/>
      <sheetName val="SC_G5"/>
      <sheetName val="SC_M5"/>
      <sheetName val="SC_15"/>
      <sheetName val="SC_25"/>
      <sheetName val="SC_35"/>
      <sheetName val="SC_45"/>
      <sheetName val="SC_55"/>
      <sheetName val="SC_65"/>
      <sheetName val="SC_75"/>
      <sheetName val="SC_85"/>
      <sheetName val="SC_R5"/>
      <sheetName val="AV_B5"/>
      <sheetName val="AV_G5"/>
      <sheetName val="AV_M5"/>
      <sheetName val="AV_15"/>
      <sheetName val="AV_25"/>
      <sheetName val="AV_35"/>
      <sheetName val="AV_45"/>
      <sheetName val="AV_55"/>
      <sheetName val="AV_65"/>
      <sheetName val="AV_75"/>
      <sheetName val="AV_85"/>
      <sheetName val="EL_B5"/>
      <sheetName val="EL_M5"/>
      <sheetName val="EL_15"/>
      <sheetName val="EL_25"/>
      <sheetName val="EL_35"/>
      <sheetName val="EL_45"/>
      <sheetName val="EL_55"/>
      <sheetName val="EL_65"/>
      <sheetName val="EL_75"/>
      <sheetName val="EL_85"/>
      <sheetName val="EL_R5"/>
      <sheetName val="EL_TR5"/>
      <sheetName val="8-_EL5"/>
      <sheetName val="FA_B5"/>
      <sheetName val="FA_G5"/>
      <sheetName val="FA_M5"/>
      <sheetName val="FA_15"/>
      <sheetName val="FA_25"/>
      <sheetName val="FA_35"/>
      <sheetName val="FA_45"/>
      <sheetName val="FA_55"/>
      <sheetName val="FA_65"/>
      <sheetName val="FA_75"/>
      <sheetName val="FA_85"/>
      <sheetName val="FA_R5"/>
      <sheetName val="9-_FA5"/>
      <sheetName val="B09_16"/>
      <sheetName val="Project_Cost_Breakdown3"/>
      <sheetName val="입찰내역_발주처_양식5"/>
      <sheetName val="Division_215"/>
      <sheetName val="Division_45"/>
      <sheetName val="Division_55"/>
      <sheetName val="Division_65"/>
      <sheetName val="Division_75"/>
      <sheetName val="Division_85"/>
      <sheetName val="Division_95"/>
      <sheetName val="Division_105"/>
      <sheetName val="Division_125"/>
      <sheetName val="Division_145"/>
      <sheetName val="Division_216"/>
      <sheetName val="Division_225"/>
      <sheetName val="Division_235"/>
      <sheetName val="Division_265"/>
      <sheetName val="Division_275"/>
      <sheetName val="Division_285"/>
      <sheetName val="Division_315"/>
      <sheetName val="Division_325"/>
      <sheetName val="Division_335"/>
      <sheetName val="LIST_DO_NOT_REMOVE4"/>
      <sheetName val="PRECAST_lightconc-II7"/>
      <sheetName val="final_abstract7"/>
      <sheetName val="Staff_Acco_3"/>
      <sheetName val="TBAL9697_-group_wise__sdpl3"/>
      <sheetName val="/VWVU))tÏØ0__5"/>
      <sheetName val="Chiet_t5"/>
      <sheetName val="Staffing_and_Rates_IA5"/>
      <sheetName val="Summary_of_Work3"/>
      <sheetName val="Employee_List3"/>
      <sheetName val="Рабочий_лист2"/>
      <sheetName val="B6_2_4"/>
      <sheetName val="Item-_Compact3"/>
      <sheetName val="E_&amp;_R3"/>
      <sheetName val="Annex_1_Sect_3a3"/>
      <sheetName val="Annex_1_Sect_3a_13"/>
      <sheetName val="Annex_1_Sect_3b3"/>
      <sheetName val="Annex_1_Sect_3c3"/>
      <sheetName val="HOURLY_RATES3"/>
      <sheetName val="SITE_WORK2"/>
      <sheetName val="d-safe_DELUXE2"/>
      <sheetName val="PT_141-_Site_A_Landscape2"/>
      <sheetName val="Rate_summary2"/>
      <sheetName val="RAB_AR&amp;STR2"/>
      <sheetName val="Back_up2"/>
      <sheetName val="train_cash2"/>
      <sheetName val="accom_cash2"/>
      <sheetName val="INDIGINEOUS_ITEMS_2"/>
      <sheetName val="Duct_Accesories2"/>
      <sheetName val="Mall_waterproofing2"/>
      <sheetName val="MSCP_waterproofing2"/>
      <sheetName val="Common_Variables2"/>
      <sheetName val="????_???_??2"/>
      <sheetName val="[SHOPLIST_xls]70,/0s«iÆøí¬i2"/>
      <sheetName val="GPL_Revenu_Update2"/>
      <sheetName val="DO_NOT_TOUCH2"/>
      <sheetName val="Work_Type2"/>
      <sheetName val="Labour_&amp;_Plant2"/>
      <sheetName val="Ave_wtd_rates2"/>
      <sheetName val="Debits_as_on_12_04_082"/>
      <sheetName val="STAFFSCHED_2"/>
      <sheetName val="TRIAL_BALANCE2"/>
      <sheetName val="[SHOPLIST_xls][SHOPLIST_xls]702"/>
      <sheetName val="PROJECT_BRIEF(EX_NEW)2"/>
      <sheetName val="AREA_OF_APPLICATION1"/>
      <sheetName val="Risk_Breakdown_Structure1"/>
      <sheetName val="Geneí¬_i1"/>
      <sheetName val="steel_total1"/>
      <sheetName val="ELE_BOQ1"/>
      <sheetName val="Project_Cost_Breakdown2"/>
      <sheetName val="LIST_DO_NOT_REMOVE3"/>
      <sheetName val="B6_2_3"/>
      <sheetName val="Item-_Compact2"/>
      <sheetName val="Annex_1_Sect_3a2"/>
      <sheetName val="Annex_1_Sect_3a_12"/>
      <sheetName val="Annex_1_Sect_3b2"/>
      <sheetName val="Annex_1_Sect_3c2"/>
      <sheetName val="HOURLY_RATES2"/>
      <sheetName val="Geneí¬_i"/>
      <sheetName val="steel_total"/>
      <sheetName val="ELE_BOQ"/>
      <sheetName val="1-G1"/>
      <sheetName val="instructions"/>
      <sheetName val="Summ"/>
      <sheetName val="Architect"/>
      <sheetName val="Resumo Empreitadas"/>
      <sheetName val="Payment"/>
      <sheetName val="Input"/>
      <sheetName val="GFA_HQ_Building18"/>
      <sheetName val="GFA_Conference17"/>
      <sheetName val="BQ_External17"/>
      <sheetName val="Graph_Data_(DO_NOT_PRINT)16"/>
      <sheetName val="StattCo_yCharges16"/>
      <sheetName val="Penthouse_Apartment16"/>
      <sheetName val="LABOUR_HISTOGRAM17"/>
      <sheetName val="Chiet_tinh_dz2216"/>
      <sheetName val="Chiet_tinh_dz3516"/>
      <sheetName val="@risk_rents_and_incentives16"/>
      <sheetName val="Car_park_lease16"/>
      <sheetName val="Net_rent_analysis16"/>
      <sheetName val="Poz-1_16"/>
      <sheetName val="Lab_Cum_Hist16"/>
      <sheetName val="Raw_Data16"/>
      <sheetName val="Bill_No__216"/>
      <sheetName val="CT_Thang_Mo16"/>
      <sheetName val="budget_summary_(2)15"/>
      <sheetName val="Budget_Analysis_Summary15"/>
      <sheetName val="LEVEL_SHEET16"/>
      <sheetName val="SPT_vs_PHI16"/>
      <sheetName val="CT__PL15"/>
      <sheetName val="Projet,_methodes_&amp;_couts15"/>
      <sheetName val="Risques_majeurs_&amp;_Frais_Ind_15"/>
      <sheetName val="FOL_-_Bar16"/>
      <sheetName val="intr_stool_brkup15"/>
      <sheetName val="Tender_Summary16"/>
      <sheetName val="Insurance_Ext16"/>
      <sheetName val="Customize_Your_Invoice16"/>
      <sheetName val="HVAC_BoQ16"/>
      <sheetName val="Body_Sheet15"/>
      <sheetName val="1_0_Executive_Summary15"/>
      <sheetName val="Top_sheet15"/>
      <sheetName val="Ap_A13"/>
      <sheetName val="SHOPLIST_xls12"/>
      <sheetName val="Bill_214"/>
      <sheetName val="2_Div_14_13"/>
      <sheetName val="beam-reinft-IIInd_floor12"/>
      <sheetName val="beam-reinft-machine_rm12"/>
      <sheetName val="Bill_113"/>
      <sheetName val="Bill_313"/>
      <sheetName val="Bill_413"/>
      <sheetName val="Bill_513"/>
      <sheetName val="Bill_613"/>
      <sheetName val="Bill_713"/>
      <sheetName val="POWER_ASSUMPTIONS12"/>
      <sheetName val="Invoice_Summary12"/>
      <sheetName val="PROJECT_BRIEF13"/>
      <sheetName val="Civil_Boq11"/>
      <sheetName val="C_(3)13"/>
      <sheetName val="Dubai_golf12"/>
      <sheetName val="WITHOUT_C&amp;I_PROFIT_(3)11"/>
      <sheetName val="HIRED_LABOUR_CODE9"/>
      <sheetName val="PA-_Consutant_9"/>
      <sheetName val="foot-slab_reinft9"/>
      <sheetName val="Softscape_Buildup11"/>
      <sheetName val="Mat'l_Rate11"/>
      <sheetName val="VALVE_CHAMBERS8"/>
      <sheetName val="Fire_Hydrants8"/>
      <sheetName val="B_GATE_VALVE8"/>
      <sheetName val="Sub_G1_Fire8"/>
      <sheetName val="Sub_G12_Fire8"/>
      <sheetName val="Activity_List11"/>
      <sheetName val="BILL_COV9"/>
      <sheetName val="Ra__stair9"/>
      <sheetName val="DETAILED__BOQ9"/>
      <sheetName val="M-Book_for_Conc9"/>
      <sheetName val="M-Book_for_FW9"/>
      <sheetName val="Materials_Cost(PCC)8"/>
      <sheetName val="India_F&amp;S_Template8"/>
      <sheetName val="IO_LIST8"/>
      <sheetName val="Material_8"/>
      <sheetName val="Quote_Sheet8"/>
      <sheetName val="Day_work8"/>
      <sheetName val="Working_for_RCC7"/>
      <sheetName val="Div__027"/>
      <sheetName val="Div__037"/>
      <sheetName val="Div__047"/>
      <sheetName val="Div__057"/>
      <sheetName val="Div__067"/>
      <sheetName val="Div__077"/>
      <sheetName val="Div__087"/>
      <sheetName val="Div__097"/>
      <sheetName val="Div__107"/>
      <sheetName val="Div__117"/>
      <sheetName val="Div__127"/>
      <sheetName val="Div_137"/>
      <sheetName val="EXTERNAL_WORKS7"/>
      <sheetName val="PRODUCTIVITY_RATE7"/>
      <sheetName val="U_R_A_-_MASONRY7"/>
      <sheetName val="U_R_A_-_PLASTERING7"/>
      <sheetName val="U_R_A_-_TILING7"/>
      <sheetName val="U_R_A_-_GRANITE7"/>
      <sheetName val="V_C_2_-_EARTHWORK7"/>
      <sheetName val="V_C_9_-_CERAMIC7"/>
      <sheetName val="V_C_9_-_FINISHES7"/>
      <sheetName val="Elemental_Buildup6"/>
      <sheetName val="Eq__Mobilization7"/>
      <sheetName val="w't_table6"/>
      <sheetName val="bill_nb2-Plumbing_&amp;_Drainag6"/>
      <sheetName val="Pl_&amp;_Dr_B6"/>
      <sheetName val="Pl_&amp;_Dr_G6"/>
      <sheetName val="Pl_&amp;_Dr_M6"/>
      <sheetName val="Pl_&amp;_Dr_16"/>
      <sheetName val="Pl_&amp;_Dr_26"/>
      <sheetName val="Pl_&amp;_Dr_36"/>
      <sheetName val="Pl_&amp;_Dr_46"/>
      <sheetName val="Pl_&amp;_Dr_56"/>
      <sheetName val="Pl_&amp;_Dr_66"/>
      <sheetName val="Pl_&amp;_Dr_76"/>
      <sheetName val="Pl_&amp;_Dr_86"/>
      <sheetName val="Pl_&amp;_Dr_R6"/>
      <sheetName val="FF_B6"/>
      <sheetName val="FF_G6"/>
      <sheetName val="FF_M6"/>
      <sheetName val="FF_16"/>
      <sheetName val="FF_2_6"/>
      <sheetName val="FF_36"/>
      <sheetName val="FF_46"/>
      <sheetName val="FF_56"/>
      <sheetName val="FF_6_6"/>
      <sheetName val="FF_76"/>
      <sheetName val="FF_86"/>
      <sheetName val="FF_R6"/>
      <sheetName val="bill_nb3-FF6"/>
      <sheetName val="HVAC_B6"/>
      <sheetName val="HVAC_G6"/>
      <sheetName val="HVAC_M6"/>
      <sheetName val="HVAC_16"/>
      <sheetName val="HVAC_26"/>
      <sheetName val="HVAC_36"/>
      <sheetName val="HVAC_46"/>
      <sheetName val="HVAC_56"/>
      <sheetName val="HVAC_66"/>
      <sheetName val="HVAC_76"/>
      <sheetName val="HVAC_86"/>
      <sheetName val="HVAC_R6"/>
      <sheetName val="bill_nb4-HVAC6"/>
      <sheetName val="SC_B6"/>
      <sheetName val="SC_G6"/>
      <sheetName val="SC_M6"/>
      <sheetName val="SC_16"/>
      <sheetName val="SC_26"/>
      <sheetName val="SC_36"/>
      <sheetName val="SC_46"/>
      <sheetName val="SC_56"/>
      <sheetName val="SC_66"/>
      <sheetName val="SC_76"/>
      <sheetName val="SC_86"/>
      <sheetName val="SC_R6"/>
      <sheetName val="AV_B6"/>
      <sheetName val="AV_G6"/>
      <sheetName val="AV_M6"/>
      <sheetName val="AV_16"/>
      <sheetName val="AV_26"/>
      <sheetName val="AV_36"/>
      <sheetName val="AV_46"/>
      <sheetName val="AV_56"/>
      <sheetName val="AV_66"/>
      <sheetName val="AV_76"/>
      <sheetName val="AV_86"/>
      <sheetName val="EL_B6"/>
      <sheetName val="EL_M6"/>
      <sheetName val="EL_16"/>
      <sheetName val="EL_26"/>
      <sheetName val="EL_36"/>
      <sheetName val="EL_46"/>
      <sheetName val="EL_56"/>
      <sheetName val="EL_66"/>
      <sheetName val="EL_76"/>
      <sheetName val="EL_86"/>
      <sheetName val="EL_R6"/>
      <sheetName val="EL_TR6"/>
      <sheetName val="8-_EL6"/>
      <sheetName val="FA_B6"/>
      <sheetName val="FA_G6"/>
      <sheetName val="FA_M6"/>
      <sheetName val="FA_16"/>
      <sheetName val="FA_26"/>
      <sheetName val="FA_36"/>
      <sheetName val="FA_46"/>
      <sheetName val="FA_56"/>
      <sheetName val="FA_66"/>
      <sheetName val="FA_76"/>
      <sheetName val="FA_86"/>
      <sheetName val="FA_R6"/>
      <sheetName val="9-_FA6"/>
      <sheetName val="BOQ_Direct_selling_cost8"/>
      <sheetName val="CHART_OF_ACCOUNTS7"/>
      <sheetName val="B185-B-9_17"/>
      <sheetName val="B185-B-9_27"/>
      <sheetName val="Material_List_6"/>
      <sheetName val="E-Bill_No_6_A-O7"/>
      <sheetName val="B09_17"/>
      <sheetName val="Division_217"/>
      <sheetName val="Division_46"/>
      <sheetName val="Division_56"/>
      <sheetName val="Division_66"/>
      <sheetName val="Division_76"/>
      <sheetName val="Division_86"/>
      <sheetName val="Division_96"/>
      <sheetName val="Division_106"/>
      <sheetName val="Division_126"/>
      <sheetName val="Division_146"/>
      <sheetName val="Division_218"/>
      <sheetName val="Division_226"/>
      <sheetName val="Division_236"/>
      <sheetName val="Division_266"/>
      <sheetName val="Division_276"/>
      <sheetName val="Division_286"/>
      <sheetName val="Division_316"/>
      <sheetName val="Division_326"/>
      <sheetName val="Division_336"/>
      <sheetName val="PMWeb_data7"/>
      <sheetName val="PointNo_56"/>
      <sheetName val="SS_MH7"/>
      <sheetName val="2_2)Revised_Cash_Flow6"/>
      <sheetName val="입찰내역_발주처_양식6"/>
      <sheetName val="/VWVU))tÏØ0__6"/>
      <sheetName val="LIST_DO_NOT_REMOVE5"/>
      <sheetName val="Index_List6"/>
      <sheetName val="Type_List6"/>
      <sheetName val="File_Types6"/>
      <sheetName val="Chiet_t6"/>
      <sheetName val="Staffing_and_Rates_IA6"/>
      <sheetName val="B6_2_5"/>
      <sheetName val="PRECAST_lightconc-II8"/>
      <sheetName val="final_abstract8"/>
      <sheetName val="Summary_of_Work4"/>
      <sheetName val="Staff_Acco_4"/>
      <sheetName val="TBAL9697_-group_wise__sdpl4"/>
      <sheetName val="Employee_List4"/>
      <sheetName val="Project_Cost_Breakdown4"/>
      <sheetName val="Item-_Compact4"/>
      <sheetName val="E_&amp;_R4"/>
      <sheetName val="Рабочий_лист3"/>
      <sheetName val="SITE_WORK3"/>
      <sheetName val="Annex_1_Sect_3a4"/>
      <sheetName val="Annex_1_Sect_3a_14"/>
      <sheetName val="Annex_1_Sect_3b4"/>
      <sheetName val="Annex_1_Sect_3c4"/>
      <sheetName val="HOURLY_RATES4"/>
      <sheetName val="Rate_summary3"/>
      <sheetName val="PT_141-_Site_A_Landscape3"/>
      <sheetName val="RAB_AR&amp;STR3"/>
      <sheetName val="d-safe_DELUXE3"/>
      <sheetName val="Back_up3"/>
      <sheetName val="train_cash3"/>
      <sheetName val="accom_cash3"/>
      <sheetName val="INDIGINEOUS_ITEMS_3"/>
      <sheetName val="Duct_Accesories3"/>
      <sheetName val="Mall_waterproofing3"/>
      <sheetName val="MSCP_waterproofing3"/>
      <sheetName val="????_???_??3"/>
      <sheetName val="Common_Variables3"/>
      <sheetName val="[SHOPLIST_xls]70,/0s«iÆøí¬i3"/>
      <sheetName val="GPL_Revenu_Update3"/>
      <sheetName val="DO_NOT_TOUCH3"/>
      <sheetName val="Work_Type3"/>
      <sheetName val="Labour_&amp;_Plant3"/>
      <sheetName val="Ave_wtd_rates3"/>
      <sheetName val="Debits_as_on_12_04_083"/>
      <sheetName val="STAFFSCHED_3"/>
      <sheetName val="TRIAL_BALANCE3"/>
      <sheetName val="[SHOPLIST_xls][SHOPLIST_xls]703"/>
      <sheetName val="PROJECT_BRIEF(EX_NEW)3"/>
      <sheetName val="AREA_OF_APPLICATION2"/>
      <sheetName val="Risk_Breakdown_Structure2"/>
      <sheetName val="Geneí¬_i2"/>
      <sheetName val="steel_total2"/>
      <sheetName val="ELE_BOQ2"/>
      <sheetName val="PRJ_DATA"/>
      <sheetName val="gen"/>
      <sheetName val="% prog figs -u5 and total"/>
      <sheetName val="rc01"/>
      <sheetName val="ConferenceCentre_x005f_x0000_옰ʒ"/>
      <sheetName val="70_x005f_x0000_,_0_x005f_x0000_"/>
      <sheetName val="Gra¦_x0004_)_x0000__x0000__x0"/>
      <sheetName val="_VW_x0000_VU_x0000_)_x0000__x"/>
      <sheetName val="_VW"/>
      <sheetName val="_VWVU))tÏØ0  "/>
      <sheetName val="_VWVU))tÏØ0__"/>
      <sheetName val="__-BLDG"/>
      <sheetName val="_x005f_x0000__x005f_x0000__x005"/>
      <sheetName val="Geneí¬_x005f_x0008_i_x000"/>
      <sheetName val="BaseWeight"/>
      <sheetName val="VIABILITY"/>
      <sheetName val="calculation_LC"/>
      <sheetName val="금융비용"/>
      <sheetName val="Home"/>
      <sheetName val="Floor Box "/>
      <sheetName val="PPA Summary"/>
      <sheetName val="Interior"/>
      <sheetName val="Mix Design"/>
      <sheetName val="std-rates"/>
      <sheetName val="[SHOPLIST.xls]/VW"/>
      <sheetName val="[SHOPLIST.xls]/VWVU))tÏØ0  "/>
      <sheetName val="[SHOPLIST.xls]/VWVU))tÏØ0__"/>
      <sheetName val="Vendors"/>
      <sheetName val="analysis"/>
      <sheetName val="Equipment Rates"/>
      <sheetName val="Food"/>
      <sheetName val="GFA_HQ_Building19"/>
      <sheetName val="GFA_Conference18"/>
      <sheetName val="BQ_External18"/>
      <sheetName val="Penthouse_Apartment17"/>
      <sheetName val="Raw_Data17"/>
      <sheetName val="StattCo_yCharges17"/>
      <sheetName val="LEVEL_SHEET17"/>
      <sheetName val="SPT_vs_PHI17"/>
      <sheetName val="LABOUR_HISTOGRAM18"/>
      <sheetName val="Chiet_tinh_dz2217"/>
      <sheetName val="Chiet_tinh_dz3517"/>
      <sheetName val="@risk_rents_and_incentives17"/>
      <sheetName val="Car_park_lease17"/>
      <sheetName val="Net_rent_analysis17"/>
      <sheetName val="Poz-1_17"/>
      <sheetName val="Graph_Data_(DO_NOT_PRINT)17"/>
      <sheetName val="Bill_No__217"/>
      <sheetName val="CT_Thang_Mo17"/>
      <sheetName val="Lab_Cum_Hist17"/>
      <sheetName val="CT__PL16"/>
      <sheetName val="Projet,_methodes_&amp;_couts16"/>
      <sheetName val="Risques_majeurs_&amp;_Frais_Ind_16"/>
      <sheetName val="FOL_-_Bar17"/>
      <sheetName val="budget_summary_(2)16"/>
      <sheetName val="Budget_Analysis_Summary16"/>
      <sheetName val="intr_stool_brkup16"/>
      <sheetName val="Tender_Summary17"/>
      <sheetName val="Insurance_Ext17"/>
      <sheetName val="Customize_Your_Invoice17"/>
      <sheetName val="HVAC_BoQ17"/>
      <sheetName val="Body_Sheet16"/>
      <sheetName val="1_0_Executive_Summary16"/>
      <sheetName val="Top_sheet16"/>
      <sheetName val="Bill_215"/>
      <sheetName val="Ap_A14"/>
      <sheetName val="2_Div_14_14"/>
      <sheetName val="SHOPLIST_xls13"/>
      <sheetName val="beam-reinft-IIInd_floor13"/>
      <sheetName val="beam-reinft-machine_rm13"/>
      <sheetName val="Bill_114"/>
      <sheetName val="Bill_314"/>
      <sheetName val="Bill_414"/>
      <sheetName val="Bill_514"/>
      <sheetName val="Bill_614"/>
      <sheetName val="Bill_714"/>
      <sheetName val="POWER_ASSUMPTIONS13"/>
      <sheetName val="Civil_Boq12"/>
      <sheetName val="PROJECT_BRIEF14"/>
      <sheetName val="Invoice_Summary13"/>
      <sheetName val="C_(3)14"/>
      <sheetName val="Dubai_golf13"/>
      <sheetName val="Softscape_Buildup12"/>
      <sheetName val="Mat'l_Rate12"/>
      <sheetName val="WITHOUT_C&amp;I_PROFIT_(3)12"/>
      <sheetName val="Activity_List12"/>
      <sheetName val="HIRED_LABOUR_CODE10"/>
      <sheetName val="PA-_Consutant_10"/>
      <sheetName val="foot-slab_reinft10"/>
      <sheetName val="DETAILED__BOQ10"/>
      <sheetName val="M-Book_for_Conc10"/>
      <sheetName val="M-Book_for_FW10"/>
      <sheetName val="BILL_COV10"/>
      <sheetName val="Ra__stair10"/>
      <sheetName val="VALVE_CHAMBERS9"/>
      <sheetName val="Fire_Hydrants9"/>
      <sheetName val="B_GATE_VALVE9"/>
      <sheetName val="Sub_G1_Fire9"/>
      <sheetName val="Sub_G12_Fire9"/>
      <sheetName val="Eq__Mobilization8"/>
      <sheetName val="w't_table7"/>
      <sheetName val="Materials_Cost(PCC)9"/>
      <sheetName val="India_F&amp;S_Template9"/>
      <sheetName val="IO_LIST9"/>
      <sheetName val="Material_9"/>
      <sheetName val="Quote_Sheet9"/>
      <sheetName val="Day_work9"/>
      <sheetName val="bill_nb2-Plumbing_&amp;_Drainag7"/>
      <sheetName val="Pl_&amp;_Dr_B7"/>
      <sheetName val="Pl_&amp;_Dr_G7"/>
      <sheetName val="Pl_&amp;_Dr_M7"/>
      <sheetName val="Pl_&amp;_Dr_17"/>
      <sheetName val="Pl_&amp;_Dr_27"/>
      <sheetName val="Pl_&amp;_Dr_37"/>
      <sheetName val="Pl_&amp;_Dr_47"/>
      <sheetName val="Pl_&amp;_Dr_57"/>
      <sheetName val="Pl_&amp;_Dr_67"/>
      <sheetName val="Pl_&amp;_Dr_77"/>
      <sheetName val="Pl_&amp;_Dr_87"/>
      <sheetName val="Pl_&amp;_Dr_R7"/>
      <sheetName val="FF_B7"/>
      <sheetName val="FF_G7"/>
      <sheetName val="FF_M7"/>
      <sheetName val="FF_17"/>
      <sheetName val="FF_2_7"/>
      <sheetName val="FF_37"/>
      <sheetName val="FF_47"/>
      <sheetName val="FF_57"/>
      <sheetName val="FF_6_7"/>
      <sheetName val="FF_77"/>
      <sheetName val="FF_87"/>
      <sheetName val="FF_R7"/>
      <sheetName val="bill_nb3-FF7"/>
      <sheetName val="HVAC_B7"/>
      <sheetName val="HVAC_G7"/>
      <sheetName val="HVAC_M7"/>
      <sheetName val="HVAC_17"/>
      <sheetName val="HVAC_27"/>
      <sheetName val="HVAC_37"/>
      <sheetName val="HVAC_47"/>
      <sheetName val="HVAC_57"/>
      <sheetName val="HVAC_67"/>
      <sheetName val="HVAC_77"/>
      <sheetName val="HVAC_87"/>
      <sheetName val="HVAC_R7"/>
      <sheetName val="bill_nb4-HVAC7"/>
      <sheetName val="SC_B7"/>
      <sheetName val="SC_G7"/>
      <sheetName val="SC_M7"/>
      <sheetName val="SC_17"/>
      <sheetName val="SC_27"/>
      <sheetName val="SC_37"/>
      <sheetName val="SC_47"/>
      <sheetName val="SC_57"/>
      <sheetName val="SC_67"/>
      <sheetName val="SC_77"/>
      <sheetName val="SC_87"/>
      <sheetName val="SC_R7"/>
      <sheetName val="AV_B7"/>
      <sheetName val="AV_G7"/>
      <sheetName val="AV_M7"/>
      <sheetName val="AV_17"/>
      <sheetName val="AV_27"/>
      <sheetName val="AV_37"/>
      <sheetName val="AV_47"/>
      <sheetName val="AV_57"/>
      <sheetName val="AV_67"/>
      <sheetName val="AV_77"/>
      <sheetName val="AV_87"/>
      <sheetName val="EL_B7"/>
      <sheetName val="EL_M7"/>
      <sheetName val="EL_17"/>
      <sheetName val="EL_27"/>
      <sheetName val="EL_37"/>
      <sheetName val="EL_47"/>
      <sheetName val="EL_57"/>
      <sheetName val="EL_67"/>
      <sheetName val="EL_77"/>
      <sheetName val="EL_87"/>
      <sheetName val="EL_R7"/>
      <sheetName val="EL_TR7"/>
      <sheetName val="8-_EL7"/>
      <sheetName val="FA_B7"/>
      <sheetName val="FA_G7"/>
      <sheetName val="FA_M7"/>
      <sheetName val="FA_17"/>
      <sheetName val="FA_27"/>
      <sheetName val="FA_37"/>
      <sheetName val="FA_47"/>
      <sheetName val="FA_57"/>
      <sheetName val="FA_67"/>
      <sheetName val="FA_77"/>
      <sheetName val="FA_87"/>
      <sheetName val="FA_R7"/>
      <sheetName val="9-_FA7"/>
      <sheetName val="B09_18"/>
      <sheetName val="BOQ_Direct_selling_cost9"/>
      <sheetName val="CHART_OF_ACCOUNTS8"/>
      <sheetName val="Working_for_RCC8"/>
      <sheetName val="B185-B-9_18"/>
      <sheetName val="B185-B-9_28"/>
      <sheetName val="E-Bill_No_6_A-O8"/>
      <sheetName val="Div__028"/>
      <sheetName val="Div__038"/>
      <sheetName val="Div__048"/>
      <sheetName val="Div__058"/>
      <sheetName val="Div__068"/>
      <sheetName val="Div__078"/>
      <sheetName val="Div__088"/>
      <sheetName val="Div__098"/>
      <sheetName val="Div__108"/>
      <sheetName val="Div__118"/>
      <sheetName val="Div__128"/>
      <sheetName val="Div_138"/>
      <sheetName val="EXTERNAL_WORKS8"/>
      <sheetName val="PRODUCTIVITY_RATE8"/>
      <sheetName val="U_R_A_-_MASONRY8"/>
      <sheetName val="U_R_A_-_PLASTERING8"/>
      <sheetName val="U_R_A_-_TILING8"/>
      <sheetName val="U_R_A_-_GRANITE8"/>
      <sheetName val="V_C_2_-_EARTHWORK8"/>
      <sheetName val="V_C_9_-_CERAMIC8"/>
      <sheetName val="V_C_9_-_FINISHES8"/>
      <sheetName val="Division_219"/>
      <sheetName val="Division_47"/>
      <sheetName val="Division_57"/>
      <sheetName val="Division_67"/>
      <sheetName val="Division_77"/>
      <sheetName val="Division_87"/>
      <sheetName val="Division_97"/>
      <sheetName val="Division_107"/>
      <sheetName val="Division_127"/>
      <sheetName val="Division_147"/>
      <sheetName val="Division_2110"/>
      <sheetName val="Division_227"/>
      <sheetName val="Division_237"/>
      <sheetName val="Division_267"/>
      <sheetName val="Division_277"/>
      <sheetName val="Division_287"/>
      <sheetName val="Division_317"/>
      <sheetName val="Division_327"/>
      <sheetName val="Division_337"/>
      <sheetName val="PMWeb_data8"/>
      <sheetName val="Elemental_Buildup7"/>
      <sheetName val="PointNo_57"/>
      <sheetName val="2_2)Revised_Cash_Flow7"/>
      <sheetName val="SS_MH8"/>
      <sheetName val="입찰내역_발주처_양식7"/>
      <sheetName val="Material_List_7"/>
      <sheetName val="/VWVU))tÏØ0__7"/>
      <sheetName val="LIST_DO_NOT_REMOVE6"/>
      <sheetName val="Index_List7"/>
      <sheetName val="Type_List7"/>
      <sheetName val="File_Types7"/>
      <sheetName val="Chiet_t7"/>
      <sheetName val="Staffing_and_Rates_IA7"/>
      <sheetName val="Project_Cost_Breakdown5"/>
      <sheetName val="PRECAST_lightconc-II9"/>
      <sheetName val="final_abstract9"/>
      <sheetName val="Staff_Acco_5"/>
      <sheetName val="TBAL9697_-group_wise__sdpl5"/>
      <sheetName val="Summary_of_Work5"/>
      <sheetName val="Employee_List5"/>
      <sheetName val="Рабочий_лист4"/>
      <sheetName val="B6_2_6"/>
      <sheetName val="Item-_Compact5"/>
      <sheetName val="E_&amp;_R5"/>
      <sheetName val="Annex_1_Sect_3a5"/>
      <sheetName val="Annex_1_Sect_3a_15"/>
      <sheetName val="Annex_1_Sect_3b5"/>
      <sheetName val="Annex_1_Sect_3c5"/>
      <sheetName val="HOURLY_RATES5"/>
      <sheetName val="SITE_WORK4"/>
      <sheetName val="d-safe_DELUXE4"/>
      <sheetName val="PT_141-_Site_A_Landscape4"/>
      <sheetName val="Rate_summary4"/>
      <sheetName val="RAB_AR&amp;STR4"/>
      <sheetName val="Back_up4"/>
      <sheetName val="train_cash4"/>
      <sheetName val="accom_cash4"/>
      <sheetName val="INDIGINEOUS_ITEMS_4"/>
      <sheetName val="Duct_Accesories4"/>
      <sheetName val="Mall_waterproofing4"/>
      <sheetName val="MSCP_waterproofing4"/>
      <sheetName val="????_???_??4"/>
      <sheetName val="Labour_&amp;_Plant4"/>
      <sheetName val="Ave_wtd_rates4"/>
      <sheetName val="Debits_as_on_12_04_084"/>
      <sheetName val="STAFFSCHED_4"/>
      <sheetName val="TRIAL_BALANCE4"/>
      <sheetName val="[SHOPLIST_xls][SHOPLIST_xls]704"/>
      <sheetName val="[SHOPLIST_xls]70,/0s«iÆøí¬i4"/>
      <sheetName val="Common_Variables4"/>
      <sheetName val="GPL_Revenu_Update4"/>
      <sheetName val="DO_NOT_TOUCH4"/>
      <sheetName val="Work_Type4"/>
      <sheetName val="PROJECT_BRIEF(EX_NEW)4"/>
      <sheetName val="AREA_OF_APPLICATION3"/>
      <sheetName val="Risk_Breakdown_Structure3"/>
      <sheetName val="Geneí¬_i3"/>
      <sheetName val="steel_total3"/>
      <sheetName val="ELE_BOQ3"/>
      <sheetName val="Z-_GENERAL_PRICE_SUMMARY"/>
      <sheetName val="Resumo_Empreitadas"/>
      <sheetName val="PPA_Summary"/>
      <sheetName val="Mix_Design"/>
      <sheetName val="%_prog_figs_-u5_and_total"/>
      <sheetName val="Gra¦)_x0"/>
      <sheetName val="_VWVU)_x"/>
      <sheetName val="_VWVU))tÏØ0__1"/>
      <sheetName val="Floor_Box_"/>
      <sheetName val="Cashflow projection"/>
      <sheetName val="dv_info"/>
      <sheetName val="Floor_Box_1"/>
      <sheetName val="[SHOPLIST.xls]/VW_x0000_VU_x0000_)_x0000__x0000__x0000_)_x0000__x0000__x0000_"/>
      <sheetName val="[SHOPLIST.xls][SHOPLIST.xls][SH"/>
      <sheetName val="FORM5"/>
      <sheetName val="E H - H. W.P."/>
      <sheetName val="E. H. Treatment for pile cap"/>
      <sheetName val="SRC-B3U2"/>
      <sheetName val="Equip"/>
      <sheetName val="[SHOPLIST.xls][SHOPLIST.xls]70_"/>
      <sheetName val="Internet"/>
      <sheetName val="superseded"/>
      <sheetName val="Confidential"/>
      <sheetName val="Form 6"/>
      <sheetName val="Agenda"/>
      <sheetName val="Risks&amp;issues"/>
      <sheetName val="IMS_RiskAssess"/>
      <sheetName val="Risk Register"/>
      <sheetName val="ROAE"/>
      <sheetName val="Revised Front Page"/>
      <sheetName val="Diff Run01&amp;Run02"/>
      <sheetName val="ProvSums"/>
      <sheetName val="CCS Summary"/>
      <sheetName val="1 Carillion Staff"/>
      <sheetName val=" 2 Staff &amp; Gen labour"/>
      <sheetName val="3 Offices"/>
      <sheetName val="4 TempServ"/>
      <sheetName val="  5 Temp Wks"/>
      <sheetName val=" 6 Addn Plant"/>
      <sheetName val=" 7  Transport"/>
      <sheetName val=" 8 Testing"/>
      <sheetName val="9  Miscellaneous"/>
      <sheetName val="10  Design"/>
      <sheetName val=" 11 Insurances"/>
      <sheetName val=" 12 Client Req."/>
      <sheetName val="Risk List"/>
      <sheetName val="Track of Changes"/>
      <sheetName val="Bill 8 Doors &amp; Windows"/>
      <sheetName val="Bill 9 Finishes "/>
      <sheetName val="Bill 10 Specialities"/>
      <sheetName val="AC"/>
      <sheetName val="C1ㅇ"/>
      <sheetName val="Dash board"/>
      <sheetName val="ACC"/>
      <sheetName val="70,"/>
      <sheetName val="ConferenceCentre?옰ʒ䄂ʒ鵠ʐ䄂ʒ閐̐脭め_x0005_"/>
      <sheetName val="[SHOPLIST.xls]70"/>
      <sheetName val="[SHOPLIST.xls]70,"/>
      <sheetName val="Rates"/>
      <sheetName val="Final"/>
      <sheetName val="Base BM-rebar"/>
      <sheetName val="Materials "/>
      <sheetName val="Labour"/>
      <sheetName val="MAchinery(R1)"/>
      <sheetName val="Site Dev BOQ"/>
      <sheetName val="Labour Costs"/>
      <sheetName val="opstat"/>
      <sheetName val="costs"/>
      <sheetName val="Data Sheet"/>
      <sheetName val="allowances"/>
      <sheetName val="tender allowances"/>
      <sheetName val=" Summary BKG 034"/>
      <sheetName val="BILL 3R"/>
      <sheetName val="anti-termite"/>
      <sheetName val="Auswahl"/>
      <sheetName val="Areas_with_SF"/>
      <sheetName val="Area Breakdown PER LEVEL_LINK"/>
      <sheetName val="Lagerhalle"/>
      <sheetName val="Basisdaten"/>
      <sheetName val="CF Input"/>
      <sheetName val="Certificates"/>
      <sheetName val="DATA INPUT"/>
      <sheetName val="Vordruck-Nr. 7.1.3_D"/>
      <sheetName val="Ersatzteile"/>
      <sheetName val="A"/>
      <sheetName val="C"/>
      <sheetName val="D"/>
      <sheetName val="E"/>
      <sheetName val="G"/>
      <sheetName val="H"/>
      <sheetName val="I"/>
      <sheetName val="K"/>
      <sheetName val="L"/>
      <sheetName val="M"/>
      <sheetName val="N"/>
      <sheetName val="O"/>
      <sheetName val="T"/>
      <sheetName val="U"/>
      <sheetName val="M&amp;A D"/>
      <sheetName val="M&amp;A E"/>
      <sheetName val="M&amp;A G"/>
      <sheetName val="Projects"/>
      <sheetName val="1.2 Staff Schedule"/>
      <sheetName val="Bill.10"/>
      <sheetName val="[SHOPLIST.xls]/VWVU))tÏØ0__1"/>
      <sheetName val="[SHOPLIST.xls]/VWVU))tÏØ0__2"/>
      <sheetName val="[SHOPLIST.xls]/VWVU))tÏØ0__3"/>
      <sheetName val="[SHOPLIST.xls]70,/0s«_iÆø_í¬_i"/>
      <sheetName val="[SHOPLIST.xls]70?,/0?s«i?Æøí¬i?"/>
      <sheetName val="CSC"/>
      <sheetName val="BLOCK-A (MEA.SHEET)"/>
      <sheetName val="1_2_Staff_Schedule"/>
      <sheetName val="GFA_HQ_Building20"/>
      <sheetName val="GFA_Conference19"/>
      <sheetName val="BQ_External19"/>
      <sheetName val="Graph_Data_(DO_NOT_PRINT)18"/>
      <sheetName val="StattCo_yCharges18"/>
      <sheetName val="Penthouse_Apartment18"/>
      <sheetName val="LABOUR_HISTOGRAM19"/>
      <sheetName val="Chiet_tinh_dz2218"/>
      <sheetName val="Chiet_tinh_dz3518"/>
      <sheetName val="@risk_rents_and_incentives18"/>
      <sheetName val="Car_park_lease18"/>
      <sheetName val="Net_rent_analysis18"/>
      <sheetName val="Poz-1_18"/>
      <sheetName val="Lab_Cum_Hist18"/>
      <sheetName val="Raw_Data18"/>
      <sheetName val="Bill_No__218"/>
      <sheetName val="CT_Thang_Mo18"/>
      <sheetName val="budget_summary_(2)17"/>
      <sheetName val="Budget_Analysis_Summary17"/>
      <sheetName val="LEVEL_SHEET18"/>
      <sheetName val="SPT_vs_PHI18"/>
      <sheetName val="CT__PL17"/>
      <sheetName val="Projet,_methodes_&amp;_couts17"/>
      <sheetName val="Risques_majeurs_&amp;_Frais_Ind_17"/>
      <sheetName val="FOL_-_Bar18"/>
      <sheetName val="intr_stool_brkup17"/>
      <sheetName val="Tender_Summary18"/>
      <sheetName val="Insurance_Ext18"/>
      <sheetName val="Customize_Your_Invoice18"/>
      <sheetName val="HVAC_BoQ18"/>
      <sheetName val="Body_Sheet17"/>
      <sheetName val="1_0_Executive_Summary17"/>
      <sheetName val="Top_sheet17"/>
      <sheetName val="Ap_A15"/>
      <sheetName val="SHOPLIST_xls14"/>
      <sheetName val="Bill_216"/>
      <sheetName val="2_Div_14_15"/>
      <sheetName val="beam-reinft-IIInd_floor14"/>
      <sheetName val="beam-reinft-machine_rm14"/>
      <sheetName val="Bill_115"/>
      <sheetName val="Bill_315"/>
      <sheetName val="Bill_415"/>
      <sheetName val="Bill_515"/>
      <sheetName val="Bill_615"/>
      <sheetName val="Bill_715"/>
      <sheetName val="POWER_ASSUMPTIONS14"/>
      <sheetName val="Invoice_Summary14"/>
      <sheetName val="PROJECT_BRIEF15"/>
      <sheetName val="Civil_Boq13"/>
      <sheetName val="C_(3)15"/>
      <sheetName val="Dubai_golf14"/>
      <sheetName val="WITHOUT_C&amp;I_PROFIT_(3)13"/>
      <sheetName val="HIRED_LABOUR_CODE11"/>
      <sheetName val="PA-_Consutant_11"/>
      <sheetName val="foot-slab_reinft11"/>
      <sheetName val="Softscape_Buildup13"/>
      <sheetName val="Mat'l_Rate13"/>
      <sheetName val="VALVE_CHAMBERS10"/>
      <sheetName val="Fire_Hydrants10"/>
      <sheetName val="B_GATE_VALVE10"/>
      <sheetName val="Sub_G1_Fire10"/>
      <sheetName val="Sub_G12_Fire10"/>
      <sheetName val="Activity_List13"/>
      <sheetName val="BILL_COV11"/>
      <sheetName val="Ra__stair11"/>
      <sheetName val="DETAILED__BOQ11"/>
      <sheetName val="M-Book_for_Conc11"/>
      <sheetName val="M-Book_for_FW11"/>
      <sheetName val="Materials_Cost(PCC)10"/>
      <sheetName val="India_F&amp;S_Template10"/>
      <sheetName val="IO_LIST10"/>
      <sheetName val="Material_10"/>
      <sheetName val="Quote_Sheet10"/>
      <sheetName val="Day_work10"/>
      <sheetName val="Working_for_RCC9"/>
      <sheetName val="Div__029"/>
      <sheetName val="Div__039"/>
      <sheetName val="Div__049"/>
      <sheetName val="Div__059"/>
      <sheetName val="Div__069"/>
      <sheetName val="Div__079"/>
      <sheetName val="Div__089"/>
      <sheetName val="Div__099"/>
      <sheetName val="Div__109"/>
      <sheetName val="Div__119"/>
      <sheetName val="Div__129"/>
      <sheetName val="Div_139"/>
      <sheetName val="EXTERNAL_WORKS9"/>
      <sheetName val="PRODUCTIVITY_RATE9"/>
      <sheetName val="U_R_A_-_MASONRY9"/>
      <sheetName val="U_R_A_-_PLASTERING9"/>
      <sheetName val="U_R_A_-_TILING9"/>
      <sheetName val="U_R_A_-_GRANITE9"/>
      <sheetName val="V_C_2_-_EARTHWORK9"/>
      <sheetName val="V_C_9_-_CERAMIC9"/>
      <sheetName val="V_C_9_-_FINISHES9"/>
      <sheetName val="Elemental_Buildup8"/>
      <sheetName val="Eq__Mobilization9"/>
      <sheetName val="w't_table8"/>
      <sheetName val="bill_nb2-Plumbing_&amp;_Drainag8"/>
      <sheetName val="Pl_&amp;_Dr_B8"/>
      <sheetName val="Pl_&amp;_Dr_G8"/>
      <sheetName val="Pl_&amp;_Dr_M8"/>
      <sheetName val="Pl_&amp;_Dr_18"/>
      <sheetName val="Pl_&amp;_Dr_28"/>
      <sheetName val="Pl_&amp;_Dr_38"/>
      <sheetName val="Pl_&amp;_Dr_48"/>
      <sheetName val="Pl_&amp;_Dr_58"/>
      <sheetName val="Pl_&amp;_Dr_68"/>
      <sheetName val="Pl_&amp;_Dr_78"/>
      <sheetName val="Pl_&amp;_Dr_88"/>
      <sheetName val="Pl_&amp;_Dr_R8"/>
      <sheetName val="FF_B8"/>
      <sheetName val="FF_G8"/>
      <sheetName val="FF_M8"/>
      <sheetName val="FF_18"/>
      <sheetName val="FF_2_8"/>
      <sheetName val="FF_38"/>
      <sheetName val="FF_48"/>
      <sheetName val="FF_58"/>
      <sheetName val="FF_6_8"/>
      <sheetName val="FF_78"/>
      <sheetName val="FF_88"/>
      <sheetName val="FF_R8"/>
      <sheetName val="bill_nb3-FF8"/>
      <sheetName val="HVAC_B8"/>
      <sheetName val="HVAC_G8"/>
      <sheetName val="HVAC_M8"/>
      <sheetName val="HVAC_18"/>
      <sheetName val="HVAC_28"/>
      <sheetName val="HVAC_38"/>
      <sheetName val="HVAC_48"/>
      <sheetName val="HVAC_58"/>
      <sheetName val="HVAC_68"/>
      <sheetName val="HVAC_78"/>
      <sheetName val="HVAC_88"/>
      <sheetName val="HVAC_R8"/>
      <sheetName val="bill_nb4-HVAC8"/>
      <sheetName val="SC_B8"/>
      <sheetName val="SC_G8"/>
      <sheetName val="SC_M8"/>
      <sheetName val="SC_18"/>
      <sheetName val="SC_28"/>
      <sheetName val="SC_38"/>
      <sheetName val="SC_48"/>
      <sheetName val="SC_58"/>
      <sheetName val="SC_68"/>
      <sheetName val="SC_78"/>
      <sheetName val="SC_88"/>
      <sheetName val="SC_R8"/>
      <sheetName val="AV_B8"/>
      <sheetName val="AV_G8"/>
      <sheetName val="AV_M8"/>
      <sheetName val="AV_18"/>
      <sheetName val="AV_28"/>
      <sheetName val="AV_38"/>
      <sheetName val="AV_48"/>
      <sheetName val="AV_58"/>
      <sheetName val="AV_68"/>
      <sheetName val="AV_78"/>
      <sheetName val="AV_88"/>
      <sheetName val="EL_B8"/>
      <sheetName val="EL_M8"/>
      <sheetName val="EL_18"/>
      <sheetName val="EL_28"/>
      <sheetName val="EL_38"/>
      <sheetName val="EL_48"/>
      <sheetName val="EL_58"/>
      <sheetName val="EL_68"/>
      <sheetName val="EL_78"/>
      <sheetName val="EL_88"/>
      <sheetName val="EL_R8"/>
      <sheetName val="EL_TR8"/>
      <sheetName val="8-_EL8"/>
      <sheetName val="FA_B8"/>
      <sheetName val="FA_G8"/>
      <sheetName val="FA_M8"/>
      <sheetName val="FA_18"/>
      <sheetName val="FA_28"/>
      <sheetName val="FA_38"/>
      <sheetName val="FA_48"/>
      <sheetName val="FA_58"/>
      <sheetName val="FA_68"/>
      <sheetName val="FA_78"/>
      <sheetName val="FA_88"/>
      <sheetName val="FA_R8"/>
      <sheetName val="9-_FA8"/>
      <sheetName val="BOQ_Direct_selling_cost10"/>
      <sheetName val="CHART_OF_ACCOUNTS9"/>
      <sheetName val="B185-B-9_19"/>
      <sheetName val="B185-B-9_29"/>
      <sheetName val="Material_List_8"/>
      <sheetName val="E-Bill_No_6_A-O9"/>
      <sheetName val="B09_19"/>
      <sheetName val="Division_220"/>
      <sheetName val="Division_48"/>
      <sheetName val="Division_58"/>
      <sheetName val="Division_68"/>
      <sheetName val="Division_78"/>
      <sheetName val="Division_88"/>
      <sheetName val="Division_98"/>
      <sheetName val="Division_108"/>
      <sheetName val="Division_128"/>
      <sheetName val="Division_148"/>
      <sheetName val="Division_2111"/>
      <sheetName val="Division_228"/>
      <sheetName val="Division_238"/>
      <sheetName val="Division_268"/>
      <sheetName val="Division_278"/>
      <sheetName val="Division_288"/>
      <sheetName val="Division_318"/>
      <sheetName val="Division_328"/>
      <sheetName val="Division_338"/>
      <sheetName val="PMWeb_data9"/>
      <sheetName val="PointNo_58"/>
      <sheetName val="SS_MH9"/>
      <sheetName val="2_2)Revised_Cash_Flow8"/>
      <sheetName val="입찰내역_발주처_양식8"/>
      <sheetName val="/VWVU))tÏØ0__8"/>
      <sheetName val="LIST_DO_NOT_REMOVE7"/>
      <sheetName val="Index_List8"/>
      <sheetName val="Type_List8"/>
      <sheetName val="File_Types8"/>
      <sheetName val="Chiet_t8"/>
      <sheetName val="Staffing_and_Rates_IA8"/>
      <sheetName val="B6_2_7"/>
      <sheetName val="PRECAST_lightconc-II10"/>
      <sheetName val="final_abstract10"/>
      <sheetName val="Summary_of_Work6"/>
      <sheetName val="Staff_Acco_6"/>
      <sheetName val="TBAL9697_-group_wise__sdpl6"/>
      <sheetName val="Employee_List6"/>
      <sheetName val="Project_Cost_Breakdown6"/>
      <sheetName val="Item-_Compact6"/>
      <sheetName val="E_&amp;_R6"/>
      <sheetName val="Рабочий_лист5"/>
      <sheetName val="SITE_WORK5"/>
      <sheetName val="Rate_summary5"/>
      <sheetName val="d-safe_DELUXE5"/>
      <sheetName val="Back_up5"/>
      <sheetName val="PT_141-_Site_A_Landscape5"/>
      <sheetName val="Annex_1_Sect_3a6"/>
      <sheetName val="Annex_1_Sect_3a_16"/>
      <sheetName val="Annex_1_Sect_3b6"/>
      <sheetName val="Annex_1_Sect_3c6"/>
      <sheetName val="HOURLY_RATES6"/>
      <sheetName val="RAB_AR&amp;STR5"/>
      <sheetName val="INDIGINEOUS_ITEMS_5"/>
      <sheetName val="train_cash5"/>
      <sheetName val="accom_cash5"/>
      <sheetName val="Duct_Accesories5"/>
      <sheetName val="Mall_waterproofing5"/>
      <sheetName val="MSCP_waterproofing5"/>
      <sheetName val="????_???_??5"/>
      <sheetName val="Common_Variables5"/>
      <sheetName val="[SHOPLIST_xls]70,/0s«iÆøí¬i5"/>
      <sheetName val="GPL_Revenu_Update5"/>
      <sheetName val="DO_NOT_TOUCH5"/>
      <sheetName val="Work_Type5"/>
      <sheetName val="Labour_&amp;_Plant5"/>
      <sheetName val="Ave_wtd_rates5"/>
      <sheetName val="Debits_as_on_12_04_085"/>
      <sheetName val="STAFFSCHED_5"/>
      <sheetName val="TRIAL_BALANCE5"/>
      <sheetName val="[SHOPLIST_xls][SHOPLIST_xls]705"/>
      <sheetName val="PROJECT_BRIEF(EX_NEW)5"/>
      <sheetName val="Risk_Breakdown_Structure4"/>
      <sheetName val="AREA_OF_APPLICATION4"/>
      <sheetName val="Geneí¬_i4"/>
      <sheetName val="steel_total4"/>
      <sheetName val="ELE_BOQ4"/>
      <sheetName val="Z-_GENERAL_PRICE_SUMMARY1"/>
      <sheetName val="Resumo_Empreitadas1"/>
      <sheetName val="PPA_Summary1"/>
      <sheetName val="Mix_Design1"/>
      <sheetName val="%_prog_figs_-u5_and_total1"/>
      <sheetName val="_VWVU))tÏØ0__2"/>
      <sheetName val="Floor_Box_2"/>
      <sheetName val="[SHOPLIST_xls]/VW"/>
      <sheetName val="[SHOPLIST_xls]/VWVU))tÏØ0__"/>
      <sheetName val="[SHOPLIST_xls]/VWVU))tÏØ0__1"/>
      <sheetName val="Equipment_Rates"/>
      <sheetName val="Cashflow_projection"/>
      <sheetName val="[SHOPLIST_xls][SHOPLIST_xls]70_"/>
      <sheetName val="[SHOPLIST_xls]/VWVU))"/>
      <sheetName val="E_H_-_H__W_P_"/>
      <sheetName val="E__H__Treatment_for_pile_cap"/>
      <sheetName val="[SHOPLIST_xls][SHOPLIST_xls][SH"/>
      <sheetName val="Site_Dev_BOQ"/>
      <sheetName val="Form_6"/>
      <sheetName val="Risk_Register"/>
      <sheetName val="Revised_Front_Page"/>
      <sheetName val="Diff_Run01&amp;Run02"/>
      <sheetName val="CCS_Summary"/>
      <sheetName val="1_Carillion_Staff"/>
      <sheetName val="_2_Staff_&amp;_Gen_labour"/>
      <sheetName val="3_Offices"/>
      <sheetName val="4_TempServ"/>
      <sheetName val="__5_Temp_Wks"/>
      <sheetName val="_6_Addn_Plant"/>
      <sheetName val="_7__Transport"/>
      <sheetName val="_8_Testing"/>
      <sheetName val="9__Miscellaneous"/>
      <sheetName val="10__Design"/>
      <sheetName val="_11_Insurances"/>
      <sheetName val="_12_Client_Req_"/>
      <sheetName val="Risk_List"/>
      <sheetName val="Track_of_Changes"/>
      <sheetName val="Bill_8_Doors_&amp;_Windows"/>
      <sheetName val="Bill_9_Finishes_"/>
      <sheetName val="Bill_10_Specialities"/>
      <sheetName val="Dash_board"/>
      <sheetName val="[SHOPLIST_xls]70"/>
      <sheetName val="[SHOPLIST_xls]70,"/>
      <sheetName val="Base_BM-rebar"/>
      <sheetName val="Materials_"/>
      <sheetName val="Data_Sheet"/>
      <sheetName val="tender_allowances"/>
      <sheetName val="_Summary_BKG_034"/>
      <sheetName val="BILL_3R"/>
      <sheetName val="Area_Breakdown_PER_LEVEL_LINK"/>
      <sheetName val="CF_Input"/>
      <sheetName val="DATA_INPUT"/>
      <sheetName val="Vordruck-Nr__7_1_3_D"/>
      <sheetName val="M&amp;A_D"/>
      <sheetName val="M&amp;A_E"/>
      <sheetName val="M&amp;A_G"/>
      <sheetName val="1_2_Staff_Schedule1"/>
      <sheetName val="Bill_10"/>
      <sheetName val="[SHOPLIST_xls]/VWVU))tÏØ0__11"/>
      <sheetName val="[SHOPLIST_xls]/VWVU))tÏØ0__2"/>
      <sheetName val="[SHOPLIST_xls]/VWVU))tÏØ0__3"/>
      <sheetName val="[SHOPLIST_xls]70,/0s«_iÆø_í¬_i"/>
      <sheetName val="[SHOPLIST_xls]70?,/0?s«i?Æøí¬i?"/>
      <sheetName val="Labour_Costs"/>
      <sheetName val="BLOCK-A_(MEA_SHEET)"/>
      <sheetName val="/VWVU))tÏØ0__9"/>
      <sheetName val="Cost Heading"/>
      <sheetName val="D &amp; W sizes"/>
      <sheetName val="DetEst"/>
      <sheetName val="SOPMA DD"/>
      <sheetName val="Project"/>
      <sheetName val="PRICE INFO"/>
      <sheetName val="RC SUMMARY"/>
      <sheetName val="LABOUR PRODUCTIVITY-TAV"/>
      <sheetName val="MATERIAL PRICES"/>
      <sheetName val="Base_Data"/>
      <sheetName val="P-100.MRF.DB.R1"/>
      <sheetName val="Rate_analysis11"/>
      <sheetName val="Contract Division"/>
      <sheetName val="SubContract Type"/>
      <sheetName val="Service Type"/>
      <sheetName val="RMOPS"/>
      <sheetName val="SubS2"/>
      <sheetName val="LMP"/>
      <sheetName val="PC"/>
      <sheetName val="Dropdowns"/>
      <sheetName val="Attach 4-18"/>
      <sheetName val="TTL"/>
      <sheetName val="做法表"/>
      <sheetName val="_SHOPLIST.xls_70"/>
      <sheetName val="_SHOPLIST.xls_70,_0s«iÆøí¬i"/>
      <sheetName val="door"/>
      <sheetName val="window"/>
      <sheetName val="Material&amp;equipment"/>
      <sheetName val="A1-Continuous"/>
      <sheetName val="sheet6"/>
      <sheetName val="Ewaan Show Kitchen (2)"/>
      <sheetName val="Cash Flow Working"/>
      <sheetName val="MN T.B."/>
      <sheetName val="COMPLEXALL"/>
      <sheetName val="AREAS"/>
      <sheetName val="Labour Rate "/>
      <sheetName val="(M+L)"/>
      <sheetName val="Names&amp;Cases"/>
      <sheetName val="Data I (2)"/>
      <sheetName val="rEFERENCES "/>
      <sheetName val="DIV2"/>
      <sheetName val="DIV3"/>
      <sheetName val="DIV4"/>
      <sheetName val="DIV7"/>
      <sheetName val="DIV9"/>
      <sheetName val="KAP-2_C1_ALBAHA_GRID_POINT_NGL"/>
      <sheetName val="SO"/>
      <sheetName val="Qtys ZamZam (Del. before)"/>
      <sheetName val="Qtys Relocation (Del before)"/>
      <sheetName val=" Qtys Sub &amp; Tents (Del. before)"/>
      <sheetName val="Qtys  Signages (Del. before)"/>
      <sheetName val="Qtys Temporary Passages (Del)"/>
      <sheetName val=" Qtys Ser. Rooms (Del before)"/>
      <sheetName val="GFA_HQ_Building21"/>
      <sheetName val="GFA_Conference20"/>
      <sheetName val="BQ_External20"/>
      <sheetName val="Graph_Data_(DO_NOT_PRINT)19"/>
      <sheetName val="StattCo_yCharges19"/>
      <sheetName val="Penthouse_Apartment19"/>
      <sheetName val="LABOUR_HISTOGRAM20"/>
      <sheetName val="Chiet_tinh_dz2219"/>
      <sheetName val="Chiet_tinh_dz3519"/>
      <sheetName val="@risk_rents_and_incentives19"/>
      <sheetName val="Car_park_lease19"/>
      <sheetName val="Net_rent_analysis19"/>
      <sheetName val="Poz-1_19"/>
      <sheetName val="Lab_Cum_Hist19"/>
      <sheetName val="Raw_Data19"/>
      <sheetName val="Bill_No__219"/>
      <sheetName val="CT_Thang_Mo19"/>
      <sheetName val="budget_summary_(2)18"/>
      <sheetName val="Budget_Analysis_Summary18"/>
      <sheetName val="LEVEL_SHEET19"/>
      <sheetName val="SPT_vs_PHI19"/>
      <sheetName val="CT__PL18"/>
      <sheetName val="Projet,_methodes_&amp;_couts18"/>
      <sheetName val="Risques_majeurs_&amp;_Frais_Ind_18"/>
      <sheetName val="FOL_-_Bar19"/>
      <sheetName val="intr_stool_brkup18"/>
      <sheetName val="Tender_Summary19"/>
      <sheetName val="Insurance_Ext19"/>
      <sheetName val="Customize_Your_Invoice19"/>
      <sheetName val="HVAC_BoQ19"/>
      <sheetName val="Body_Sheet18"/>
      <sheetName val="1_0_Executive_Summary18"/>
      <sheetName val="Top_sheet18"/>
      <sheetName val="Ap_A16"/>
      <sheetName val="SHOPLIST_xls15"/>
      <sheetName val="Bill_217"/>
      <sheetName val="2_Div_14_16"/>
      <sheetName val="beam-reinft-IIInd_floor15"/>
      <sheetName val="beam-reinft-machine_rm15"/>
      <sheetName val="Bill_116"/>
      <sheetName val="Bill_316"/>
      <sheetName val="Bill_416"/>
      <sheetName val="Bill_516"/>
      <sheetName val="Bill_616"/>
      <sheetName val="Bill_716"/>
      <sheetName val="POWER_ASSUMPTIONS15"/>
      <sheetName val="Invoice_Summary15"/>
      <sheetName val="PROJECT_BRIEF16"/>
      <sheetName val="Civil_Boq14"/>
      <sheetName val="C_(3)16"/>
      <sheetName val="Dubai_golf15"/>
      <sheetName val="WITHOUT_C&amp;I_PROFIT_(3)14"/>
      <sheetName val="HIRED_LABOUR_CODE12"/>
      <sheetName val="PA-_Consutant_12"/>
      <sheetName val="foot-slab_reinft12"/>
      <sheetName val="Softscape_Buildup14"/>
      <sheetName val="Mat'l_Rate14"/>
      <sheetName val="VALVE_CHAMBERS11"/>
      <sheetName val="Fire_Hydrants11"/>
      <sheetName val="B_GATE_VALVE11"/>
      <sheetName val="Sub_G1_Fire11"/>
      <sheetName val="Sub_G12_Fire11"/>
      <sheetName val="Activity_List14"/>
      <sheetName val="BILL_COV12"/>
      <sheetName val="Ra__stair12"/>
      <sheetName val="DETAILED__BOQ12"/>
      <sheetName val="M-Book_for_Conc12"/>
      <sheetName val="M-Book_for_FW12"/>
      <sheetName val="Materials_Cost(PCC)11"/>
      <sheetName val="India_F&amp;S_Template11"/>
      <sheetName val="IO_LIST11"/>
      <sheetName val="Material_11"/>
      <sheetName val="Quote_Sheet11"/>
      <sheetName val="Day_work11"/>
      <sheetName val="Working_for_RCC10"/>
      <sheetName val="Div__0210"/>
      <sheetName val="Div__0310"/>
      <sheetName val="Div__0410"/>
      <sheetName val="Div__0510"/>
      <sheetName val="Div__0610"/>
      <sheetName val="Div__0710"/>
      <sheetName val="Div__0810"/>
      <sheetName val="Div__0910"/>
      <sheetName val="Div__1010"/>
      <sheetName val="Div__1110"/>
      <sheetName val="Div__1210"/>
      <sheetName val="Div_1310"/>
      <sheetName val="EXTERNAL_WORKS10"/>
      <sheetName val="PRODUCTIVITY_RATE10"/>
      <sheetName val="U_R_A_-_MASONRY10"/>
      <sheetName val="U_R_A_-_PLASTERING10"/>
      <sheetName val="U_R_A_-_TILING10"/>
      <sheetName val="U_R_A_-_GRANITE10"/>
      <sheetName val="V_C_2_-_EARTHWORK10"/>
      <sheetName val="V_C_9_-_CERAMIC10"/>
      <sheetName val="V_C_9_-_FINISHES10"/>
      <sheetName val="Elemental_Buildup9"/>
      <sheetName val="BOQ_Direct_selling_cost11"/>
      <sheetName val="Eq__Mobilization10"/>
      <sheetName val="PointNo_59"/>
      <sheetName val="w't_table9"/>
      <sheetName val="bill_nb2-Plumbing_&amp;_Drainag9"/>
      <sheetName val="Pl_&amp;_Dr_B9"/>
      <sheetName val="Pl_&amp;_Dr_G9"/>
      <sheetName val="Pl_&amp;_Dr_M9"/>
      <sheetName val="Pl_&amp;_Dr_19"/>
      <sheetName val="Pl_&amp;_Dr_29"/>
      <sheetName val="Pl_&amp;_Dr_39"/>
      <sheetName val="Pl_&amp;_Dr_49"/>
      <sheetName val="Pl_&amp;_Dr_59"/>
      <sheetName val="Pl_&amp;_Dr_69"/>
      <sheetName val="Pl_&amp;_Dr_79"/>
      <sheetName val="Pl_&amp;_Dr_89"/>
      <sheetName val="Pl_&amp;_Dr_R9"/>
      <sheetName val="FF_B9"/>
      <sheetName val="FF_G9"/>
      <sheetName val="FF_M9"/>
      <sheetName val="FF_19"/>
      <sheetName val="FF_2_9"/>
      <sheetName val="FF_39"/>
      <sheetName val="FF_49"/>
      <sheetName val="FF_59"/>
      <sheetName val="FF_6_9"/>
      <sheetName val="FF_79"/>
      <sheetName val="FF_89"/>
      <sheetName val="FF_R9"/>
      <sheetName val="bill_nb3-FF9"/>
      <sheetName val="HVAC_B9"/>
      <sheetName val="HVAC_G9"/>
      <sheetName val="HVAC_M9"/>
      <sheetName val="HVAC_19"/>
      <sheetName val="HVAC_29"/>
      <sheetName val="HVAC_39"/>
      <sheetName val="HVAC_49"/>
      <sheetName val="HVAC_59"/>
      <sheetName val="HVAC_69"/>
      <sheetName val="HVAC_79"/>
      <sheetName val="HVAC_89"/>
      <sheetName val="HVAC_R9"/>
      <sheetName val="bill_nb4-HVAC9"/>
      <sheetName val="SC_B9"/>
      <sheetName val="SC_G9"/>
      <sheetName val="SC_M9"/>
      <sheetName val="SC_19"/>
      <sheetName val="SC_29"/>
      <sheetName val="SC_39"/>
      <sheetName val="SC_49"/>
      <sheetName val="SC_59"/>
      <sheetName val="SC_69"/>
      <sheetName val="SC_79"/>
      <sheetName val="SC_89"/>
      <sheetName val="SC_R9"/>
      <sheetName val="AV_B9"/>
      <sheetName val="AV_G9"/>
      <sheetName val="AV_M9"/>
      <sheetName val="AV_19"/>
      <sheetName val="AV_29"/>
      <sheetName val="AV_39"/>
      <sheetName val="AV_49"/>
      <sheetName val="AV_59"/>
      <sheetName val="AV_69"/>
      <sheetName val="AV_79"/>
      <sheetName val="AV_89"/>
      <sheetName val="EL_B9"/>
      <sheetName val="EL_M9"/>
      <sheetName val="EL_19"/>
      <sheetName val="EL_29"/>
      <sheetName val="EL_39"/>
      <sheetName val="EL_49"/>
      <sheetName val="EL_59"/>
      <sheetName val="EL_69"/>
      <sheetName val="EL_79"/>
      <sheetName val="EL_89"/>
      <sheetName val="EL_R9"/>
      <sheetName val="EL_TR9"/>
      <sheetName val="8-_EL9"/>
      <sheetName val="FA_B9"/>
      <sheetName val="FA_G9"/>
      <sheetName val="FA_M9"/>
      <sheetName val="FA_19"/>
      <sheetName val="FA_29"/>
      <sheetName val="FA_39"/>
      <sheetName val="FA_49"/>
      <sheetName val="FA_59"/>
      <sheetName val="FA_69"/>
      <sheetName val="FA_79"/>
      <sheetName val="FA_89"/>
      <sheetName val="FA_R9"/>
      <sheetName val="9-_FA9"/>
      <sheetName val="B185-B-9_110"/>
      <sheetName val="B185-B-9_210"/>
      <sheetName val="CHART_OF_ACCOUNTS10"/>
      <sheetName val="Index_List9"/>
      <sheetName val="Type_List9"/>
      <sheetName val="File_Types9"/>
      <sheetName val="E-Bill_No_6_A-O10"/>
      <sheetName val="PMWeb_data10"/>
      <sheetName val="SS_MH10"/>
      <sheetName val="Material_List_9"/>
      <sheetName val="2_2)Revised_Cash_Flow9"/>
      <sheetName val="B09_110"/>
      <sheetName val="Project_Cost_Breakdown7"/>
      <sheetName val="입찰내역_발주처_양식9"/>
      <sheetName val="Division_229"/>
      <sheetName val="Division_49"/>
      <sheetName val="Division_59"/>
      <sheetName val="Division_69"/>
      <sheetName val="Division_79"/>
      <sheetName val="Division_89"/>
      <sheetName val="Division_99"/>
      <sheetName val="Division_109"/>
      <sheetName val="Division_129"/>
      <sheetName val="Division_149"/>
      <sheetName val="Division_2112"/>
      <sheetName val="Division_2210"/>
      <sheetName val="Division_239"/>
      <sheetName val="Division_269"/>
      <sheetName val="Division_279"/>
      <sheetName val="Division_289"/>
      <sheetName val="Division_319"/>
      <sheetName val="Division_329"/>
      <sheetName val="Division_339"/>
      <sheetName val="LIST_DO_NOT_REMOVE8"/>
      <sheetName val="PRECAST_lightconc-II11"/>
      <sheetName val="final_abstract11"/>
      <sheetName val="Staff_Acco_7"/>
      <sheetName val="TBAL9697_-group_wise__sdpl7"/>
      <sheetName val="Chiet_t9"/>
      <sheetName val="Staffing_and_Rates_IA9"/>
      <sheetName val="B6_2_8"/>
      <sheetName val="Summary_of_Work7"/>
      <sheetName val="Employee_List7"/>
      <sheetName val="Item-_Compact7"/>
      <sheetName val="E_&amp;_R7"/>
      <sheetName val="Рабочий_лист6"/>
      <sheetName val="SITE_WORK6"/>
      <sheetName val="Rate_summary6"/>
      <sheetName val="RAB_AR&amp;STR6"/>
      <sheetName val="d-safe_DELUXE6"/>
      <sheetName val="Back_up6"/>
      <sheetName val="PT_141-_Site_A_Landscape6"/>
      <sheetName val="Annex_1_Sect_3a7"/>
      <sheetName val="Annex_1_Sect_3a_17"/>
      <sheetName val="Annex_1_Sect_3b7"/>
      <sheetName val="Annex_1_Sect_3c7"/>
      <sheetName val="HOURLY_RATES7"/>
      <sheetName val="train_cash6"/>
      <sheetName val="accom_cash6"/>
      <sheetName val="INDIGINEOUS_ITEMS_6"/>
      <sheetName val="Duct_Accesories6"/>
      <sheetName val="Mall_waterproofing6"/>
      <sheetName val="MSCP_waterproofing6"/>
      <sheetName val="????_???_??6"/>
      <sheetName val="Common_Variables6"/>
      <sheetName val="[SHOPLIST_xls]70,/0s«iÆøí¬i6"/>
      <sheetName val="GPL_Revenu_Update6"/>
      <sheetName val="DO_NOT_TOUCH6"/>
      <sheetName val="Work_Type6"/>
      <sheetName val="Labour_&amp;_Plant6"/>
      <sheetName val="Ave_wtd_rates6"/>
      <sheetName val="Debits_as_on_12_04_086"/>
      <sheetName val="STAFFSCHED_6"/>
      <sheetName val="TRIAL_BALANCE6"/>
      <sheetName val="[SHOPLIST_xls][SHOPLIST_xls]706"/>
      <sheetName val="PROJECT_BRIEF(EX_NEW)6"/>
      <sheetName val="AREA_OF_APPLICATION5"/>
      <sheetName val="Risk_Breakdown_Structure5"/>
      <sheetName val="Geneí¬_i5"/>
      <sheetName val="steel_total5"/>
      <sheetName val="ELE_BOQ5"/>
      <sheetName val="Z-_GENERAL_PRICE_SUMMARY2"/>
      <sheetName val="Resumo_Empreitadas2"/>
      <sheetName val="PPA_Summary2"/>
      <sheetName val="Mix_Design2"/>
      <sheetName val="%_prog_figs_-u5_and_total2"/>
      <sheetName val="_VWVU))tÏØ0__3"/>
      <sheetName val="Floor_Box_3"/>
      <sheetName val="[SHOPLIST_xls]/VW1"/>
      <sheetName val="Equipment_Rates1"/>
      <sheetName val="Cashflow_projection1"/>
      <sheetName val="[SHOPLIST_xls][SHOPLIST_xls][S1"/>
      <sheetName val="E_H_-_H__W_P_1"/>
      <sheetName val="E__H__Treatment_for_pile_cap1"/>
      <sheetName val="[SHOPLIST_xls][SHOPLIST_xls]707"/>
      <sheetName val="Materials_1"/>
      <sheetName val="Hic_150EOffice"/>
      <sheetName val="Results"/>
      <sheetName val="BOQp4"/>
      <sheetName val="GFA_HQ_Building22"/>
      <sheetName val="GFA_Conference21"/>
      <sheetName val="BQ_External21"/>
      <sheetName val="Penthouse_Apartment20"/>
      <sheetName val="StattCo_yCharges20"/>
      <sheetName val="LABOUR_HISTOGRAM21"/>
      <sheetName val="Raw_Data20"/>
      <sheetName val="Chiet_tinh_dz2220"/>
      <sheetName val="Chiet_tinh_dz3520"/>
      <sheetName val="@risk_rents_and_incentives20"/>
      <sheetName val="Car_park_lease20"/>
      <sheetName val="Net_rent_analysis20"/>
      <sheetName val="Poz-1_20"/>
      <sheetName val="CT_Thang_Mo20"/>
      <sheetName val="Lab_Cum_Hist20"/>
      <sheetName val="Graph_Data_(DO_NOT_PRINT)20"/>
      <sheetName val="Bill_No__220"/>
      <sheetName val="budget_summary_(2)19"/>
      <sheetName val="Budget_Analysis_Summary19"/>
      <sheetName val="CT__PL19"/>
      <sheetName val="FOL_-_Bar20"/>
      <sheetName val="LEVEL_SHEET20"/>
      <sheetName val="SPT_vs_PHI20"/>
      <sheetName val="Tender_Summary20"/>
      <sheetName val="Insurance_Ext20"/>
      <sheetName val="Projet,_methodes_&amp;_couts19"/>
      <sheetName val="Risques_majeurs_&amp;_Frais_Ind_19"/>
      <sheetName val="Customize_Your_Invoice20"/>
      <sheetName val="HVAC_BoQ20"/>
      <sheetName val="Top_sheet19"/>
      <sheetName val="intr_stool_brkup19"/>
      <sheetName val="Body_Sheet19"/>
      <sheetName val="1_0_Executive_Summary19"/>
      <sheetName val="2_Div_14_17"/>
      <sheetName val="Bill_218"/>
      <sheetName val="Invoice_Summary16"/>
      <sheetName val="SHOPLIST_xls16"/>
      <sheetName val="Ap_A17"/>
      <sheetName val="PROJECT_BRIEF17"/>
      <sheetName val="Bill_117"/>
      <sheetName val="Bill_317"/>
      <sheetName val="Bill_417"/>
      <sheetName val="Bill_517"/>
      <sheetName val="Bill_617"/>
      <sheetName val="Bill_717"/>
      <sheetName val="beam-reinft-IIInd_floor16"/>
      <sheetName val="POWER_ASSUMPTIONS16"/>
      <sheetName val="Dubai_golf16"/>
      <sheetName val="beam-reinft-machine_rm16"/>
      <sheetName val="C_(3)17"/>
      <sheetName val="Softscape_Buildup15"/>
      <sheetName val="Mat'l_Rate15"/>
      <sheetName val="Civil_Boq15"/>
      <sheetName val="HIRED_LABOUR_CODE13"/>
      <sheetName val="PA-_Consutant_13"/>
      <sheetName val="foot-slab_reinft13"/>
      <sheetName val="Activity_List15"/>
      <sheetName val="Day_work12"/>
      <sheetName val="Div__0211"/>
      <sheetName val="Div__0311"/>
      <sheetName val="Div__0411"/>
      <sheetName val="Div__0511"/>
      <sheetName val="Div__0611"/>
      <sheetName val="Div__0711"/>
      <sheetName val="Div__0811"/>
      <sheetName val="Div__0911"/>
      <sheetName val="Div__1011"/>
      <sheetName val="Div__1111"/>
      <sheetName val="Div__1211"/>
      <sheetName val="Div_1311"/>
      <sheetName val="EXTERNAL_WORKS11"/>
      <sheetName val="PRODUCTIVITY_RATE11"/>
      <sheetName val="U_R_A_-_MASONRY11"/>
      <sheetName val="U_R_A_-_PLASTERING11"/>
      <sheetName val="U_R_A_-_TILING11"/>
      <sheetName val="U_R_A_-_GRANITE11"/>
      <sheetName val="V_C_2_-_EARTHWORK11"/>
      <sheetName val="V_C_9_-_CERAMIC11"/>
      <sheetName val="V_C_9_-_FINISHES11"/>
      <sheetName val="WITHOUT_C&amp;I_PROFIT_(3)15"/>
      <sheetName val="BILL_COV13"/>
      <sheetName val="DETAILED__BOQ13"/>
      <sheetName val="M-Book_for_Conc13"/>
      <sheetName val="M-Book_for_FW13"/>
      <sheetName val="Ra__stair13"/>
      <sheetName val="Materials_Cost(PCC)12"/>
      <sheetName val="India_F&amp;S_Template12"/>
      <sheetName val="IO_LIST12"/>
      <sheetName val="Material_12"/>
      <sheetName val="Quote_Sheet12"/>
      <sheetName val="VALVE_CHAMBERS12"/>
      <sheetName val="Fire_Hydrants12"/>
      <sheetName val="B_GATE_VALVE12"/>
      <sheetName val="Sub_G1_Fire12"/>
      <sheetName val="Sub_G12_Fire12"/>
      <sheetName val="Elemental_Buildup10"/>
      <sheetName val="Working_for_RCC11"/>
      <sheetName val="BOQ_Direct_selling_cost12"/>
      <sheetName val="Eq__Mobilization11"/>
      <sheetName val="PointNo_510"/>
      <sheetName val="w't_table10"/>
      <sheetName val="bill_nb2-Plumbing_&amp;_Drainag10"/>
      <sheetName val="Pl_&amp;_Dr_B10"/>
      <sheetName val="Pl_&amp;_Dr_G10"/>
      <sheetName val="Pl_&amp;_Dr_M10"/>
      <sheetName val="Pl_&amp;_Dr_110"/>
      <sheetName val="Pl_&amp;_Dr_210"/>
      <sheetName val="Pl_&amp;_Dr_310"/>
      <sheetName val="Pl_&amp;_Dr_410"/>
      <sheetName val="Pl_&amp;_Dr_510"/>
      <sheetName val="Pl_&amp;_Dr_610"/>
      <sheetName val="Pl_&amp;_Dr_710"/>
      <sheetName val="Pl_&amp;_Dr_810"/>
      <sheetName val="Pl_&amp;_Dr_R10"/>
      <sheetName val="FF_B10"/>
      <sheetName val="FF_G10"/>
      <sheetName val="FF_M10"/>
      <sheetName val="FF_110"/>
      <sheetName val="FF_2_10"/>
      <sheetName val="FF_310"/>
      <sheetName val="FF_410"/>
      <sheetName val="FF_510"/>
      <sheetName val="FF_6_10"/>
      <sheetName val="FF_710"/>
      <sheetName val="FF_810"/>
      <sheetName val="FF_R10"/>
      <sheetName val="bill_nb3-FF10"/>
      <sheetName val="HVAC_B10"/>
      <sheetName val="HVAC_G10"/>
      <sheetName val="HVAC_M10"/>
      <sheetName val="HVAC_110"/>
      <sheetName val="HVAC_210"/>
      <sheetName val="HVAC_310"/>
      <sheetName val="HVAC_410"/>
      <sheetName val="HVAC_510"/>
      <sheetName val="HVAC_610"/>
      <sheetName val="HVAC_710"/>
      <sheetName val="HVAC_810"/>
      <sheetName val="HVAC_R10"/>
      <sheetName val="bill_nb4-HVAC10"/>
      <sheetName val="SC_B10"/>
      <sheetName val="SC_G10"/>
      <sheetName val="SC_M10"/>
      <sheetName val="SC_110"/>
      <sheetName val="SC_210"/>
      <sheetName val="SC_310"/>
      <sheetName val="SC_410"/>
      <sheetName val="SC_510"/>
      <sheetName val="SC_610"/>
      <sheetName val="SC_710"/>
      <sheetName val="SC_810"/>
      <sheetName val="SC_R10"/>
      <sheetName val="AV_B10"/>
      <sheetName val="AV_G10"/>
      <sheetName val="AV_M10"/>
      <sheetName val="AV_110"/>
      <sheetName val="AV_210"/>
      <sheetName val="AV_310"/>
      <sheetName val="AV_410"/>
      <sheetName val="AV_510"/>
      <sheetName val="AV_610"/>
      <sheetName val="AV_710"/>
      <sheetName val="AV_810"/>
      <sheetName val="EL_B10"/>
      <sheetName val="EL_M10"/>
      <sheetName val="EL_110"/>
      <sheetName val="EL_210"/>
      <sheetName val="EL_310"/>
      <sheetName val="EL_410"/>
      <sheetName val="EL_510"/>
      <sheetName val="EL_610"/>
      <sheetName val="EL_710"/>
      <sheetName val="EL_810"/>
      <sheetName val="EL_R10"/>
      <sheetName val="EL_TR10"/>
      <sheetName val="8-_EL10"/>
      <sheetName val="FA_B10"/>
      <sheetName val="FA_G10"/>
      <sheetName val="FA_M10"/>
      <sheetName val="FA_110"/>
      <sheetName val="FA_210"/>
      <sheetName val="FA_310"/>
      <sheetName val="FA_410"/>
      <sheetName val="FA_510"/>
      <sheetName val="FA_610"/>
      <sheetName val="FA_710"/>
      <sheetName val="FA_810"/>
      <sheetName val="FA_R10"/>
      <sheetName val="9-_FA10"/>
      <sheetName val="B185-B-9_111"/>
      <sheetName val="B185-B-9_211"/>
      <sheetName val="CHART_OF_ACCOUNTS11"/>
      <sheetName val="Index_List10"/>
      <sheetName val="Type_List10"/>
      <sheetName val="File_Types10"/>
      <sheetName val="E-Bill_No_6_A-O11"/>
      <sheetName val="PMWeb_data11"/>
      <sheetName val="SS_MH11"/>
      <sheetName val="Material_List_10"/>
      <sheetName val="2_2)Revised_Cash_Flow10"/>
      <sheetName val="B09_111"/>
      <sheetName val="Project_Cost_Breakdown8"/>
      <sheetName val="입찰내역_발주처_양식10"/>
      <sheetName val="Division_230"/>
      <sheetName val="Division_410"/>
      <sheetName val="Division_510"/>
      <sheetName val="Division_610"/>
      <sheetName val="Division_710"/>
      <sheetName val="Division_810"/>
      <sheetName val="Division_910"/>
      <sheetName val="Division_1010"/>
      <sheetName val="Division_1210"/>
      <sheetName val="Division_1410"/>
      <sheetName val="Division_2113"/>
      <sheetName val="Division_2211"/>
      <sheetName val="Division_2310"/>
      <sheetName val="Division_2610"/>
      <sheetName val="Division_2710"/>
      <sheetName val="Division_2810"/>
      <sheetName val="Division_3110"/>
      <sheetName val="Division_3210"/>
      <sheetName val="Division_3310"/>
      <sheetName val="LIST_DO_NOT_REMOVE9"/>
      <sheetName val="PRECAST_lightconc-II12"/>
      <sheetName val="final_abstract12"/>
      <sheetName val="Staff_Acco_8"/>
      <sheetName val="TBAL9697_-group_wise__sdpl8"/>
      <sheetName val="/VWVU))tÏØ0__10"/>
      <sheetName val="Chiet_t10"/>
      <sheetName val="Staffing_and_Rates_IA10"/>
      <sheetName val="B6_2_9"/>
      <sheetName val="Summary_of_Work8"/>
      <sheetName val="Employee_List8"/>
      <sheetName val="Item-_Compact8"/>
      <sheetName val="E_&amp;_R8"/>
      <sheetName val="Рабочий_лист7"/>
      <sheetName val="SITE_WORK7"/>
      <sheetName val="Rate_summary7"/>
      <sheetName val="RAB_AR&amp;STR7"/>
      <sheetName val="d-safe_DELUXE7"/>
      <sheetName val="Back_up7"/>
      <sheetName val="PT_141-_Site_A_Landscape7"/>
      <sheetName val="Annex_1_Sect_3a8"/>
      <sheetName val="Annex_1_Sect_3a_18"/>
      <sheetName val="Annex_1_Sect_3b8"/>
      <sheetName val="Annex_1_Sect_3c8"/>
      <sheetName val="HOURLY_RATES8"/>
      <sheetName val="train_cash7"/>
      <sheetName val="accom_cash7"/>
      <sheetName val="INDIGINEOUS_ITEMS_7"/>
      <sheetName val="Duct_Accesories7"/>
      <sheetName val="Mall_waterproofing7"/>
      <sheetName val="MSCP_waterproofing7"/>
      <sheetName val="????_???_??7"/>
      <sheetName val="Common_Variables7"/>
      <sheetName val="[SHOPLIST_xls]70,/0s«iÆøí¬i7"/>
      <sheetName val="GPL_Revenu_Update7"/>
      <sheetName val="DO_NOT_TOUCH7"/>
      <sheetName val="Work_Type7"/>
      <sheetName val="Labour_&amp;_Plant7"/>
      <sheetName val="Ave_wtd_rates7"/>
      <sheetName val="Debits_as_on_12_04_087"/>
      <sheetName val="STAFFSCHED_7"/>
      <sheetName val="TRIAL_BALANCE7"/>
      <sheetName val="[SHOPLIST_xls][SHOPLIST_xls]708"/>
      <sheetName val="PROJECT_BRIEF(EX_NEW)7"/>
      <sheetName val="AREA_OF_APPLICATION6"/>
      <sheetName val="Risk_Breakdown_Structure6"/>
      <sheetName val="Geneí¬_i6"/>
      <sheetName val="steel_total6"/>
      <sheetName val="ELE_BOQ6"/>
      <sheetName val="Z-_GENERAL_PRICE_SUMMARY3"/>
      <sheetName val="Resumo_Empreitadas3"/>
      <sheetName val="PPA_Summary3"/>
      <sheetName val="Mix_Design3"/>
      <sheetName val="%_prog_figs_-u5_and_total3"/>
      <sheetName val="_VWVU))tÏØ0__4"/>
      <sheetName val="Floor_Box_4"/>
      <sheetName val="[SHOPLIST_xls]/VW2"/>
      <sheetName val="[SHOPLIST_xls]/VWVU))tÏØ0__4"/>
      <sheetName val="[SHOPLIST_xls]/VWVU))tÏØ0__5"/>
      <sheetName val="Equipment_Rates2"/>
      <sheetName val="Cashflow_projection2"/>
      <sheetName val="[SHOPLIST_xls][SHOPLIST_xls][S2"/>
      <sheetName val="E_H_-_H__W_P_2"/>
      <sheetName val="E__H__Treatment_for_pile_cap2"/>
      <sheetName val="[SHOPLIST_xls][SHOPLIST_xls]709"/>
      <sheetName val="Materials_2"/>
      <sheetName val="BLOCK-A_(MEA_SHEET)1"/>
      <sheetName val="1_2_Staff_Schedule2"/>
      <sheetName val="Site_Dev_BOQ1"/>
      <sheetName val="[SHOPLIST_xls]701"/>
      <sheetName val="[SHOPLIST_xls]70,1"/>
      <sheetName val="Labour_Costs1"/>
      <sheetName val="Form_61"/>
      <sheetName val="Risk_Register1"/>
      <sheetName val="Revised_Front_Page1"/>
      <sheetName val="Diff_Run01&amp;Run021"/>
      <sheetName val="CCS_Summary1"/>
      <sheetName val="1_Carillion_Staff1"/>
      <sheetName val="_2_Staff_&amp;_Gen_labour1"/>
      <sheetName val="3_Offices1"/>
      <sheetName val="4_TempServ1"/>
      <sheetName val="__5_Temp_Wks1"/>
      <sheetName val="_6_Addn_Plant1"/>
      <sheetName val="_7__Transport1"/>
      <sheetName val="_8_Testing1"/>
      <sheetName val="9__Miscellaneous1"/>
      <sheetName val="10__Design1"/>
      <sheetName val="_11_Insurances1"/>
      <sheetName val="_12_Client_Req_1"/>
      <sheetName val="Risk_List1"/>
      <sheetName val="Track_of_Changes1"/>
      <sheetName val="Bill_8_Doors_&amp;_Windows1"/>
      <sheetName val="Bill_9_Finishes_1"/>
      <sheetName val="Bill_10_Specialities1"/>
      <sheetName val="Dash_board1"/>
      <sheetName val="Base_BM-rebar1"/>
      <sheetName val="Data_Sheet1"/>
      <sheetName val="tender_allowances1"/>
      <sheetName val="_Summary_BKG_0341"/>
      <sheetName val="BILL_3R1"/>
      <sheetName val="Area_Breakdown_PER_LEVEL_LINK1"/>
      <sheetName val="CF_Input1"/>
      <sheetName val="DATA_INPUT1"/>
      <sheetName val="Vordruck-Nr__7_1_3_D1"/>
      <sheetName val="M&amp;A_D1"/>
      <sheetName val="M&amp;A_E1"/>
      <sheetName val="M&amp;A_G1"/>
      <sheetName val="Bill_101"/>
      <sheetName val="[SHOPLIST_xls]/VWVU))tÏØ0__12"/>
      <sheetName val="[SHOPLIST_xls]/VWVU))tÏØ0__21"/>
      <sheetName val="[SHOPLIST_xls]/VWVU))tÏØ0__31"/>
      <sheetName val="[SHOPLIST_xls]70,/0s«_iÆø_í¬_i1"/>
      <sheetName val="[SHOPLIST_xls]70?,/0?s«i?Æøí¬i1"/>
      <sheetName val="Contract_Division"/>
      <sheetName val="SubContract_Type"/>
      <sheetName val="Service_Type"/>
      <sheetName val="2F 회의실견적(5_14 일대)"/>
      <sheetName val=" HIT-&gt;HMC 견적(3900)"/>
      <sheetName val="DATI_CONS"/>
      <sheetName val="STAIR-A"/>
      <sheetName val="B1"/>
      <sheetName val="Appendix B"/>
      <sheetName val="/VWVU))tÏØ0__11"/>
      <sheetName val="[SHOPLIST_xls]/VWVU))tÏØ0__6"/>
      <sheetName val="[SHOPLIST_xls]/VWVU))tÏØ0__7"/>
      <sheetName val="Form_62"/>
      <sheetName val="Risk_Register2"/>
      <sheetName val="Revised_Front_Page2"/>
      <sheetName val="Diff_Run01&amp;Run022"/>
      <sheetName val="CCS_Summary2"/>
      <sheetName val="1_Carillion_Staff2"/>
      <sheetName val="_2_Staff_&amp;_Gen_labour2"/>
      <sheetName val="3_Offices2"/>
      <sheetName val="4_TempServ2"/>
      <sheetName val="__5_Temp_Wks2"/>
      <sheetName val="_6_Addn_Plant2"/>
      <sheetName val="_7__Transport2"/>
      <sheetName val="_8_Testing2"/>
      <sheetName val="9__Miscellaneous2"/>
      <sheetName val="10__Design2"/>
      <sheetName val="_11_Insurances2"/>
      <sheetName val="_12_Client_Req_2"/>
      <sheetName val="Risk_List2"/>
      <sheetName val="Track_of_Changes2"/>
      <sheetName val="Bill_8_Doors_&amp;_Windows2"/>
      <sheetName val="Bill_9_Finishes_2"/>
      <sheetName val="Bill_10_Specialities2"/>
      <sheetName val="Dash_board2"/>
      <sheetName val="[SHOPLIST_xls]702"/>
      <sheetName val="[SHOPLIST_xls]70,2"/>
      <sheetName val="Base_BM-rebar2"/>
      <sheetName val="Site_Dev_BOQ2"/>
      <sheetName val="Data_Sheet2"/>
      <sheetName val="tender_allowances2"/>
      <sheetName val="_Summary_BKG_0342"/>
      <sheetName val="BILL_3R2"/>
      <sheetName val="Area_Breakdown_PER_LEVEL_LINK2"/>
      <sheetName val="CF_Input2"/>
      <sheetName val="DATA_INPUT2"/>
      <sheetName val="Vordruck-Nr__7_1_3_D2"/>
      <sheetName val="M&amp;A_D2"/>
      <sheetName val="M&amp;A_E2"/>
      <sheetName val="M&amp;A_G2"/>
      <sheetName val="1_2_Staff_Schedule3"/>
      <sheetName val="Bill_102"/>
      <sheetName val="[SHOPLIST_xls]/VWVU))tÏØ0__13"/>
      <sheetName val="[SHOPLIST_xls]/VWVU))tÏØ0__22"/>
      <sheetName val="[SHOPLIST_xls]/VWVU))tÏØ0__32"/>
      <sheetName val="[SHOPLIST_xls]70,/0s«_iÆø_í¬_i2"/>
      <sheetName val="[SHOPLIST_xls]70?,/0?s«i?Æøí¬i2"/>
      <sheetName val="Labour_Costs2"/>
      <sheetName val="BLOCK-A_(MEA_SHEET)2"/>
      <sheetName val="Config-C"/>
      <sheetName val="Service"/>
      <sheetName val="Detbal"/>
      <sheetName val="Harewood"/>
      <sheetName val="BOQ (2)"/>
      <sheetName val="Names"/>
      <sheetName val="LABOUR RATE"/>
      <sheetName val="Material Rate"/>
      <sheetName val="Labor abs-PW"/>
      <sheetName val="Labor abs-NMR"/>
      <sheetName val="grid"/>
      <sheetName val="para"/>
      <sheetName val="kppl pl"/>
      <sheetName val="Basic Rate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hist&amp;proj"/>
      <sheetName val="Package-2"/>
      <sheetName val="Combined Results "/>
      <sheetName val="Cashflow"/>
      <sheetName val="RA"/>
      <sheetName val="Balance Sheet"/>
      <sheetName val="Flight-1"/>
      <sheetName val="Estimation"/>
      <sheetName val="Finansal tamamlanma Eğrisi"/>
      <sheetName val="2 Plex"/>
      <sheetName val="Sheet1 (2)"/>
      <sheetName val="4 Plex"/>
      <sheetName val="6 Plex "/>
      <sheetName val="Detailed Summary"/>
      <sheetName val="Sheet1 (3)"/>
      <sheetName val="Sheet1 (4)"/>
      <sheetName val="Print"/>
      <sheetName val="May 05"/>
      <sheetName val="April 05"/>
      <sheetName val="Aug 05"/>
      <sheetName val="July 05"/>
      <sheetName val="June 05"/>
      <sheetName val="Nov 05"/>
      <sheetName val="Oct 05"/>
      <sheetName val="Sep 05"/>
      <sheetName val="工程量"/>
      <sheetName val="11"/>
      <sheetName val="Div.07 Thermal &amp; Moisture"/>
      <sheetName val="[SHOPLIST.xls][SHOPLIST.xls]/VW"/>
      <sheetName val="Calculations"/>
      <sheetName val="Bill-1"/>
      <sheetName val="precast RC element"/>
      <sheetName val="pile Fabrication"/>
      <sheetName val="BHANDUP"/>
      <sheetName val="AOP Summary-2"/>
      <sheetName val="02"/>
      <sheetName val="03"/>
      <sheetName val="04"/>
      <sheetName val="01"/>
      <sheetName val="钢筋"/>
      <sheetName val="PLT-SUM"/>
      <sheetName val="Data Validation"/>
      <sheetName val="TOSHIBA-Structure"/>
      <sheetName val="NKC6"/>
      <sheetName val="Div26 - Elect"/>
      <sheetName val="CHUNG CU CARRILON"/>
      <sheetName val="/VWVU))tÏØ0__12"/>
      <sheetName val="GFA_HQ_Building23"/>
      <sheetName val="GFA_Conference22"/>
      <sheetName val="BQ_External22"/>
      <sheetName val="Penthouse_Apartment21"/>
      <sheetName val="Raw_Data21"/>
      <sheetName val="StattCo_yCharges21"/>
      <sheetName val="LEVEL_SHEET21"/>
      <sheetName val="SPT_vs_PHI21"/>
      <sheetName val="LABOUR_HISTOGRAM22"/>
      <sheetName val="Chiet_tinh_dz2221"/>
      <sheetName val="Chiet_tinh_dz3521"/>
      <sheetName val="@risk_rents_and_incentives21"/>
      <sheetName val="Car_park_lease21"/>
      <sheetName val="Net_rent_analysis21"/>
      <sheetName val="Poz-1_21"/>
      <sheetName val="Graph_Data_(DO_NOT_PRINT)21"/>
      <sheetName val="Bill_No__221"/>
      <sheetName val="CT_Thang_Mo21"/>
      <sheetName val="Lab_Cum_Hist21"/>
      <sheetName val="CT__PL20"/>
      <sheetName val="Projet,_methodes_&amp;_couts20"/>
      <sheetName val="Risques_majeurs_&amp;_Frais_Ind_20"/>
      <sheetName val="FOL_-_Bar21"/>
      <sheetName val="budget_summary_(2)20"/>
      <sheetName val="Budget_Analysis_Summary20"/>
      <sheetName val="intr_stool_brkup20"/>
      <sheetName val="Tender_Summary21"/>
      <sheetName val="Insurance_Ext21"/>
      <sheetName val="Customize_Your_Invoice21"/>
      <sheetName val="HVAC_BoQ21"/>
      <sheetName val="Body_Sheet20"/>
      <sheetName val="1_0_Executive_Summary20"/>
      <sheetName val="Rate_analysis12"/>
      <sheetName val="Top_sheet20"/>
      <sheetName val="Bill_219"/>
      <sheetName val="Ap_A18"/>
      <sheetName val="2_Div_14_18"/>
      <sheetName val="SHOPLIST_xls17"/>
      <sheetName val="beam-reinft-IIInd_floor17"/>
      <sheetName val="beam-reinft-machine_rm17"/>
      <sheetName val="Bill_118"/>
      <sheetName val="Bill_318"/>
      <sheetName val="Bill_418"/>
      <sheetName val="Bill_518"/>
      <sheetName val="Bill_618"/>
      <sheetName val="Bill_718"/>
      <sheetName val="POWER_ASSUMPTIONS17"/>
      <sheetName val="Civil_Boq16"/>
      <sheetName val="PROJECT_BRIEF18"/>
      <sheetName val="Invoice_Summary17"/>
      <sheetName val="C_(3)18"/>
      <sheetName val="Dubai_golf17"/>
      <sheetName val="Softscape_Buildup16"/>
      <sheetName val="Mat'l_Rate16"/>
      <sheetName val="WITHOUT_C&amp;I_PROFIT_(3)16"/>
      <sheetName val="Activity_List16"/>
      <sheetName val="HIRED_LABOUR_CODE14"/>
      <sheetName val="PA-_Consutant_14"/>
      <sheetName val="foot-slab_reinft14"/>
      <sheetName val="DETAILED__BOQ14"/>
      <sheetName val="M-Book_for_Conc14"/>
      <sheetName val="M-Book_for_FW14"/>
      <sheetName val="BILL_COV14"/>
      <sheetName val="Ra__stair14"/>
      <sheetName val="VALVE_CHAMBERS13"/>
      <sheetName val="Fire_Hydrants13"/>
      <sheetName val="B_GATE_VALVE13"/>
      <sheetName val="Sub_G1_Fire13"/>
      <sheetName val="Sub_G12_Fire13"/>
      <sheetName val="Eq__Mobilization12"/>
      <sheetName val="w't_table11"/>
      <sheetName val="Materials_Cost(PCC)13"/>
      <sheetName val="India_F&amp;S_Template13"/>
      <sheetName val="IO_LIST13"/>
      <sheetName val="Material_13"/>
      <sheetName val="Quote_Sheet13"/>
      <sheetName val="Day_work13"/>
      <sheetName val="bill_nb2-Plumbing_&amp;_Drainag11"/>
      <sheetName val="Pl_&amp;_Dr_B11"/>
      <sheetName val="Pl_&amp;_Dr_G11"/>
      <sheetName val="Pl_&amp;_Dr_M11"/>
      <sheetName val="Pl_&amp;_Dr_111"/>
      <sheetName val="Pl_&amp;_Dr_211"/>
      <sheetName val="Pl_&amp;_Dr_311"/>
      <sheetName val="Pl_&amp;_Dr_411"/>
      <sheetName val="Pl_&amp;_Dr_511"/>
      <sheetName val="Pl_&amp;_Dr_611"/>
      <sheetName val="Pl_&amp;_Dr_711"/>
      <sheetName val="Pl_&amp;_Dr_811"/>
      <sheetName val="Pl_&amp;_Dr_R11"/>
      <sheetName val="FF_B11"/>
      <sheetName val="FF_G11"/>
      <sheetName val="FF_M11"/>
      <sheetName val="FF_111"/>
      <sheetName val="FF_2_11"/>
      <sheetName val="FF_311"/>
      <sheetName val="FF_411"/>
      <sheetName val="FF_511"/>
      <sheetName val="FF_6_11"/>
      <sheetName val="FF_711"/>
      <sheetName val="FF_811"/>
      <sheetName val="FF_R11"/>
      <sheetName val="bill_nb3-FF11"/>
      <sheetName val="HVAC_B11"/>
      <sheetName val="HVAC_G11"/>
      <sheetName val="HVAC_M11"/>
      <sheetName val="HVAC_111"/>
      <sheetName val="HVAC_211"/>
      <sheetName val="HVAC_311"/>
      <sheetName val="HVAC_411"/>
      <sheetName val="HVAC_511"/>
      <sheetName val="HVAC_611"/>
      <sheetName val="HVAC_711"/>
      <sheetName val="HVAC_811"/>
      <sheetName val="HVAC_R11"/>
      <sheetName val="bill_nb4-HVAC11"/>
      <sheetName val="SC_B11"/>
      <sheetName val="SC_G11"/>
      <sheetName val="SC_M11"/>
      <sheetName val="SC_111"/>
      <sheetName val="SC_211"/>
      <sheetName val="SC_311"/>
      <sheetName val="SC_411"/>
      <sheetName val="SC_511"/>
      <sheetName val="SC_611"/>
      <sheetName val="SC_711"/>
      <sheetName val="SC_811"/>
      <sheetName val="SC_R11"/>
      <sheetName val="AV_B11"/>
      <sheetName val="AV_G11"/>
      <sheetName val="AV_M11"/>
      <sheetName val="AV_111"/>
      <sheetName val="AV_211"/>
      <sheetName val="AV_311"/>
      <sheetName val="AV_411"/>
      <sheetName val="AV_511"/>
      <sheetName val="AV_611"/>
      <sheetName val="AV_711"/>
      <sheetName val="AV_811"/>
      <sheetName val="EL_B11"/>
      <sheetName val="EL_M11"/>
      <sheetName val="EL_111"/>
      <sheetName val="EL_211"/>
      <sheetName val="EL_311"/>
      <sheetName val="EL_411"/>
      <sheetName val="EL_511"/>
      <sheetName val="EL_611"/>
      <sheetName val="EL_711"/>
      <sheetName val="EL_811"/>
      <sheetName val="EL_R11"/>
      <sheetName val="EL_TR11"/>
      <sheetName val="8-_EL11"/>
      <sheetName val="FA_B11"/>
      <sheetName val="FA_G11"/>
      <sheetName val="FA_M11"/>
      <sheetName val="FA_111"/>
      <sheetName val="FA_211"/>
      <sheetName val="FA_311"/>
      <sheetName val="FA_411"/>
      <sheetName val="FA_511"/>
      <sheetName val="FA_611"/>
      <sheetName val="FA_711"/>
      <sheetName val="FA_811"/>
      <sheetName val="FA_R11"/>
      <sheetName val="9-_FA11"/>
      <sheetName val="B09_112"/>
      <sheetName val="BOQ_Direct_selling_cost13"/>
      <sheetName val="CHART_OF_ACCOUNTS12"/>
      <sheetName val="Working_for_RCC12"/>
      <sheetName val="B185-B-9_112"/>
      <sheetName val="B185-B-9_212"/>
      <sheetName val="E-Bill_No_6_A-O12"/>
      <sheetName val="Div__0212"/>
      <sheetName val="Div__0312"/>
      <sheetName val="Div__0412"/>
      <sheetName val="Div__0512"/>
      <sheetName val="Div__0612"/>
      <sheetName val="Div__0712"/>
      <sheetName val="Div__0812"/>
      <sheetName val="Div__0912"/>
      <sheetName val="Div__1012"/>
      <sheetName val="Div__1112"/>
      <sheetName val="Div__1212"/>
      <sheetName val="Div_1312"/>
      <sheetName val="EXTERNAL_WORKS12"/>
      <sheetName val="PRODUCTIVITY_RATE12"/>
      <sheetName val="U_R_A_-_MASONRY12"/>
      <sheetName val="U_R_A_-_PLASTERING12"/>
      <sheetName val="U_R_A_-_TILING12"/>
      <sheetName val="U_R_A_-_GRANITE12"/>
      <sheetName val="V_C_2_-_EARTHWORK12"/>
      <sheetName val="V_C_9_-_CERAMIC12"/>
      <sheetName val="V_C_9_-_FINISHES12"/>
      <sheetName val="Division_240"/>
      <sheetName val="Division_411"/>
      <sheetName val="Division_511"/>
      <sheetName val="Division_611"/>
      <sheetName val="Division_711"/>
      <sheetName val="Division_811"/>
      <sheetName val="Division_911"/>
      <sheetName val="Division_1011"/>
      <sheetName val="Division_1211"/>
      <sheetName val="Division_1411"/>
      <sheetName val="Division_2114"/>
      <sheetName val="Division_2212"/>
      <sheetName val="Division_2311"/>
      <sheetName val="Division_2611"/>
      <sheetName val="Division_2711"/>
      <sheetName val="Division_2811"/>
      <sheetName val="Division_3111"/>
      <sheetName val="Division_3211"/>
      <sheetName val="Division_3311"/>
      <sheetName val="PMWeb_data12"/>
      <sheetName val="Elemental_Buildup11"/>
      <sheetName val="PointNo_511"/>
      <sheetName val="2_2)Revised_Cash_Flow11"/>
      <sheetName val="SS_MH12"/>
      <sheetName val="입찰내역_발주처_양식11"/>
      <sheetName val="Material_List_11"/>
      <sheetName val="LIST_DO_NOT_REMOVE10"/>
      <sheetName val="Index_List11"/>
      <sheetName val="Type_List11"/>
      <sheetName val="File_Types11"/>
      <sheetName val="Chiet_t11"/>
      <sheetName val="Staffing_and_Rates_IA11"/>
      <sheetName val="Project_Cost_Breakdown9"/>
      <sheetName val="PRECAST_lightconc-II13"/>
      <sheetName val="final_abstract13"/>
      <sheetName val="Staff_Acco_9"/>
      <sheetName val="TBAL9697_-group_wise__sdpl9"/>
      <sheetName val="Summary_of_Work9"/>
      <sheetName val="Employee_List9"/>
      <sheetName val="Рабочий_лист8"/>
      <sheetName val="B6_2_10"/>
      <sheetName val="Item-_Compact9"/>
      <sheetName val="E_&amp;_R9"/>
      <sheetName val="Annex_1_Sect_3a9"/>
      <sheetName val="Annex_1_Sect_3a_19"/>
      <sheetName val="Annex_1_Sect_3b9"/>
      <sheetName val="Annex_1_Sect_3c9"/>
      <sheetName val="HOURLY_RATES9"/>
      <sheetName val="SITE_WORK8"/>
      <sheetName val="d-safe_DELUXE8"/>
      <sheetName val="PT_141-_Site_A_Landscape8"/>
      <sheetName val="Rate_summary8"/>
      <sheetName val="RAB_AR&amp;STR8"/>
      <sheetName val="Back_up8"/>
      <sheetName val="train_cash8"/>
      <sheetName val="accom_cash8"/>
      <sheetName val="INDIGINEOUS_ITEMS_8"/>
      <sheetName val="Duct_Accesories8"/>
      <sheetName val="Mall_waterproofing8"/>
      <sheetName val="MSCP_waterproofing8"/>
      <sheetName val="????_???_??8"/>
      <sheetName val="Labour_&amp;_Plant8"/>
      <sheetName val="Ave_wtd_rates8"/>
      <sheetName val="Debits_as_on_12_04_088"/>
      <sheetName val="STAFFSCHED_8"/>
      <sheetName val="TRIAL_BALANCE8"/>
      <sheetName val="[SHOPLIST_xls][SHOPLIST_xls]710"/>
      <sheetName val="[SHOPLIST_xls]70,/0s«iÆøí¬i8"/>
      <sheetName val="Common_Variables8"/>
      <sheetName val="GPL_Revenu_Update8"/>
      <sheetName val="DO_NOT_TOUCH8"/>
      <sheetName val="Work_Type8"/>
      <sheetName val="PROJECT_BRIEF(EX_NEW)8"/>
      <sheetName val="AREA_OF_APPLICATION7"/>
      <sheetName val="Risk_Breakdown_Structure7"/>
      <sheetName val="Geneí¬_i7"/>
      <sheetName val="steel_total7"/>
      <sheetName val="ELE_BOQ7"/>
      <sheetName val="Z-_GENERAL_PRICE_SUMMARY4"/>
      <sheetName val="Resumo_Empreitadas4"/>
      <sheetName val="PPA_Summary4"/>
      <sheetName val="Mix_Design4"/>
      <sheetName val="%_prog_figs_-u5_and_total4"/>
      <sheetName val="_VWVU))tÏØ0__5"/>
      <sheetName val="Floor_Box_5"/>
      <sheetName val="Equipment_Rates3"/>
      <sheetName val="[SHOPLIST_xls]/VW3"/>
      <sheetName val="[SHOPLIST_xls]/VWVU))tÏØ0__8"/>
      <sheetName val="[SHOPLIST_xls]/VWVU))tÏØ0__9"/>
      <sheetName val="Cashflow_projection3"/>
      <sheetName val="[SHOPLIST_xls][SHOPLIST_xls]711"/>
      <sheetName val="E_H_-_H__W_P_3"/>
      <sheetName val="E__H__Treatment_for_pile_cap3"/>
      <sheetName val="[SHOPLIST_xls][SHOPLIST_xls][S3"/>
      <sheetName val="Form_63"/>
      <sheetName val="Risk_Register3"/>
      <sheetName val="Revised_Front_Page3"/>
      <sheetName val="Diff_Run01&amp;Run023"/>
      <sheetName val="CCS_Summary3"/>
      <sheetName val="1_Carillion_Staff3"/>
      <sheetName val="_2_Staff_&amp;_Gen_labour3"/>
      <sheetName val="3_Offices3"/>
      <sheetName val="4_TempServ3"/>
      <sheetName val="__5_Temp_Wks3"/>
      <sheetName val="_6_Addn_Plant3"/>
      <sheetName val="_7__Transport3"/>
      <sheetName val="_8_Testing3"/>
      <sheetName val="9__Miscellaneous3"/>
      <sheetName val="10__Design3"/>
      <sheetName val="_11_Insurances3"/>
      <sheetName val="_12_Client_Req_3"/>
      <sheetName val="Risk_List3"/>
      <sheetName val="Track_of_Changes3"/>
      <sheetName val="Bill_8_Doors_&amp;_Windows3"/>
      <sheetName val="Bill_9_Finishes_3"/>
      <sheetName val="Bill_10_Specialities3"/>
      <sheetName val="Dash_board3"/>
      <sheetName val="[SHOPLIST_xls]703"/>
      <sheetName val="[SHOPLIST_xls]70,3"/>
      <sheetName val="Base_BM-rebar3"/>
      <sheetName val="Materials_3"/>
      <sheetName val="Site_Dev_BOQ3"/>
      <sheetName val="Data_Sheet3"/>
      <sheetName val="tender_allowances3"/>
      <sheetName val="_Summary_BKG_0343"/>
      <sheetName val="BILL_3R3"/>
      <sheetName val="Area_Breakdown_PER_LEVEL_LINK3"/>
      <sheetName val="CF_Input3"/>
      <sheetName val="DATA_INPUT3"/>
      <sheetName val="Vordruck-Nr__7_1_3_D3"/>
      <sheetName val="M&amp;A_D3"/>
      <sheetName val="M&amp;A_E3"/>
      <sheetName val="M&amp;A_G3"/>
      <sheetName val="1_2_Staff_Schedule4"/>
      <sheetName val="Bill_103"/>
      <sheetName val="[SHOPLIST_xls]/VWVU))tÏØ0__14"/>
      <sheetName val="[SHOPLIST_xls]/VWVU))tÏØ0__23"/>
      <sheetName val="[SHOPLIST_xls]/VWVU))tÏØ0__33"/>
      <sheetName val="[SHOPLIST_xls]70,/0s«_iÆø_í¬_i3"/>
      <sheetName val="[SHOPLIST_xls]70?,/0?s«i?Æøí¬i3"/>
      <sheetName val="Labour_Costs3"/>
      <sheetName val="BLOCK-A_(MEA_SHEET)3"/>
      <sheetName val="Contract_Division1"/>
      <sheetName val="SubContract_Type1"/>
      <sheetName val="Service_Type1"/>
      <sheetName val="Cost_Heading"/>
      <sheetName val="D_&amp;_W_sizes"/>
      <sheetName val="SOPMA_DD"/>
      <sheetName val="PRICE_INFO"/>
      <sheetName val="RC_SUMMARY"/>
      <sheetName val="LABOUR_PRODUCTIVITY-TAV"/>
      <sheetName val="MATERIAL_PRICES"/>
      <sheetName val="P-100_MRF_DB_R1"/>
      <sheetName val="Attach_4-18"/>
      <sheetName val="_SHOPLIST_xls_70"/>
      <sheetName val="_SHOPLIST_xls_70,_0s«iÆøí¬i"/>
      <sheetName val="Ewaan_Show_Kitchen_(2)"/>
      <sheetName val="Cash_Flow_Working"/>
      <sheetName val="MN_T_B_"/>
      <sheetName val="Data_I_(2)"/>
      <sheetName val="rEFERENCES_"/>
      <sheetName val="Qtys_ZamZam_(Del__before)"/>
      <sheetName val="Qtys_Relocation_(Del_before)"/>
      <sheetName val="_Qtys_Sub_&amp;_Tents_(Del__before)"/>
      <sheetName val="Qtys__Signages_(Del__before)"/>
      <sheetName val="Qtys_Temporary_Passages_(Del)"/>
      <sheetName val="_Qtys_Ser__Rooms_(Del_before)"/>
      <sheetName val="Labour_Rate_"/>
      <sheetName val="2F_회의실견적(5_14_일대)"/>
      <sheetName val="_HIT-&gt;HMC_견적(3900)"/>
      <sheetName val="Appendix_B"/>
      <sheetName val="/VWVU))tÏØ0__17"/>
      <sheetName val="GFA_HQ_Building28"/>
      <sheetName val="GFA_Conference27"/>
      <sheetName val="BQ_External27"/>
      <sheetName val="Penthouse_Apartment26"/>
      <sheetName val="Raw_Data26"/>
      <sheetName val="StattCo_yCharges26"/>
      <sheetName val="LEVEL_SHEET26"/>
      <sheetName val="SPT_vs_PHI26"/>
      <sheetName val="LABOUR_HISTOGRAM27"/>
      <sheetName val="Chiet_tinh_dz2226"/>
      <sheetName val="Chiet_tinh_dz3526"/>
      <sheetName val="@risk_rents_and_incentives26"/>
      <sheetName val="Car_park_lease26"/>
      <sheetName val="Net_rent_analysis26"/>
      <sheetName val="Poz-1_26"/>
      <sheetName val="Graph_Data_(DO_NOT_PRINT)26"/>
      <sheetName val="Bill_No__226"/>
      <sheetName val="CT_Thang_Mo26"/>
      <sheetName val="Lab_Cum_Hist26"/>
      <sheetName val="CT__PL25"/>
      <sheetName val="Projet,_methodes_&amp;_couts25"/>
      <sheetName val="Risques_majeurs_&amp;_Frais_Ind_25"/>
      <sheetName val="FOL_-_Bar26"/>
      <sheetName val="budget_summary_(2)25"/>
      <sheetName val="Budget_Analysis_Summary25"/>
      <sheetName val="intr_stool_brkup25"/>
      <sheetName val="Tender_Summary26"/>
      <sheetName val="Insurance_Ext26"/>
      <sheetName val="Customize_Your_Invoice26"/>
      <sheetName val="HVAC_BoQ26"/>
      <sheetName val="Body_Sheet25"/>
      <sheetName val="1_0_Executive_Summary25"/>
      <sheetName val="Rate_analysis14"/>
      <sheetName val="Top_sheet25"/>
      <sheetName val="Bill_224"/>
      <sheetName val="Ap_A23"/>
      <sheetName val="2_Div_14_23"/>
      <sheetName val="SHOPLIST_xls22"/>
      <sheetName val="beam-reinft-IIInd_floor22"/>
      <sheetName val="beam-reinft-machine_rm22"/>
      <sheetName val="Bill_123"/>
      <sheetName val="Bill_323"/>
      <sheetName val="Bill_423"/>
      <sheetName val="Bill_523"/>
      <sheetName val="Bill_623"/>
      <sheetName val="Bill_723"/>
      <sheetName val="POWER_ASSUMPTIONS22"/>
      <sheetName val="Civil_Boq21"/>
      <sheetName val="PROJECT_BRIEF23"/>
      <sheetName val="Invoice_Summary22"/>
      <sheetName val="C_(3)23"/>
      <sheetName val="Dubai_golf22"/>
      <sheetName val="Softscape_Buildup21"/>
      <sheetName val="Mat'l_Rate21"/>
      <sheetName val="WITHOUT_C&amp;I_PROFIT_(3)21"/>
      <sheetName val="Activity_List21"/>
      <sheetName val="HIRED_LABOUR_CODE19"/>
      <sheetName val="PA-_Consutant_19"/>
      <sheetName val="foot-slab_reinft19"/>
      <sheetName val="DETAILED__BOQ19"/>
      <sheetName val="M-Book_for_Conc19"/>
      <sheetName val="M-Book_for_FW19"/>
      <sheetName val="BILL_COV19"/>
      <sheetName val="Ra__stair19"/>
      <sheetName val="VALVE_CHAMBERS18"/>
      <sheetName val="Fire_Hydrants18"/>
      <sheetName val="B_GATE_VALVE18"/>
      <sheetName val="Sub_G1_Fire18"/>
      <sheetName val="Sub_G12_Fire18"/>
      <sheetName val="Eq__Mobilization17"/>
      <sheetName val="w't_table16"/>
      <sheetName val="Materials_Cost(PCC)18"/>
      <sheetName val="India_F&amp;S_Template18"/>
      <sheetName val="IO_LIST18"/>
      <sheetName val="Material_18"/>
      <sheetName val="Quote_Sheet18"/>
      <sheetName val="Day_work18"/>
      <sheetName val="bill_nb2-Plumbing_&amp;_Drainag16"/>
      <sheetName val="Pl_&amp;_Dr_B16"/>
      <sheetName val="Pl_&amp;_Dr_G16"/>
      <sheetName val="Pl_&amp;_Dr_M16"/>
      <sheetName val="Pl_&amp;_Dr_116"/>
      <sheetName val="Pl_&amp;_Dr_216"/>
      <sheetName val="Pl_&amp;_Dr_316"/>
      <sheetName val="Pl_&amp;_Dr_416"/>
      <sheetName val="Pl_&amp;_Dr_516"/>
      <sheetName val="Pl_&amp;_Dr_616"/>
      <sheetName val="Pl_&amp;_Dr_716"/>
      <sheetName val="Pl_&amp;_Dr_816"/>
      <sheetName val="Pl_&amp;_Dr_R16"/>
      <sheetName val="FF_B16"/>
      <sheetName val="FF_G16"/>
      <sheetName val="FF_M16"/>
      <sheetName val="FF_116"/>
      <sheetName val="FF_2_16"/>
      <sheetName val="FF_316"/>
      <sheetName val="FF_416"/>
      <sheetName val="FF_516"/>
      <sheetName val="FF_6_16"/>
      <sheetName val="FF_716"/>
      <sheetName val="FF_816"/>
      <sheetName val="FF_R16"/>
      <sheetName val="bill_nb3-FF16"/>
      <sheetName val="HVAC_B16"/>
      <sheetName val="HVAC_G16"/>
      <sheetName val="HVAC_M16"/>
      <sheetName val="HVAC_116"/>
      <sheetName val="HVAC_216"/>
      <sheetName val="HVAC_316"/>
      <sheetName val="HVAC_416"/>
      <sheetName val="HVAC_516"/>
      <sheetName val="HVAC_616"/>
      <sheetName val="HVAC_716"/>
      <sheetName val="HVAC_816"/>
      <sheetName val="HVAC_R16"/>
      <sheetName val="bill_nb4-HVAC16"/>
      <sheetName val="SC_B16"/>
      <sheetName val="SC_G16"/>
      <sheetName val="SC_M16"/>
      <sheetName val="SC_116"/>
      <sheetName val="SC_216"/>
      <sheetName val="SC_316"/>
      <sheetName val="SC_416"/>
      <sheetName val="SC_516"/>
      <sheetName val="SC_616"/>
      <sheetName val="SC_716"/>
      <sheetName val="SC_816"/>
      <sheetName val="SC_R16"/>
      <sheetName val="AV_B16"/>
      <sheetName val="AV_G16"/>
      <sheetName val="AV_M16"/>
      <sheetName val="AV_116"/>
      <sheetName val="AV_216"/>
      <sheetName val="AV_316"/>
      <sheetName val="AV_416"/>
      <sheetName val="AV_516"/>
      <sheetName val="AV_616"/>
      <sheetName val="AV_716"/>
      <sheetName val="AV_816"/>
      <sheetName val="EL_B16"/>
      <sheetName val="EL_M16"/>
      <sheetName val="EL_116"/>
      <sheetName val="EL_216"/>
      <sheetName val="EL_316"/>
      <sheetName val="EL_416"/>
      <sheetName val="EL_516"/>
      <sheetName val="EL_616"/>
      <sheetName val="EL_716"/>
      <sheetName val="EL_816"/>
      <sheetName val="EL_R16"/>
      <sheetName val="EL_TR16"/>
      <sheetName val="8-_EL16"/>
      <sheetName val="FA_B16"/>
      <sheetName val="FA_G16"/>
      <sheetName val="FA_M16"/>
      <sheetName val="FA_116"/>
      <sheetName val="FA_216"/>
      <sheetName val="FA_316"/>
      <sheetName val="FA_416"/>
      <sheetName val="FA_516"/>
      <sheetName val="FA_616"/>
      <sheetName val="FA_716"/>
      <sheetName val="FA_816"/>
      <sheetName val="FA_R16"/>
      <sheetName val="9-_FA16"/>
      <sheetName val="B09_117"/>
      <sheetName val="BOQ_Direct_selling_cost18"/>
      <sheetName val="CHART_OF_ACCOUNTS17"/>
      <sheetName val="Working_for_RCC17"/>
      <sheetName val="B185-B-9_117"/>
      <sheetName val="B185-B-9_217"/>
      <sheetName val="E-Bill_No_6_A-O17"/>
      <sheetName val="Div__0217"/>
      <sheetName val="Div__0317"/>
      <sheetName val="Div__0417"/>
      <sheetName val="Div__0517"/>
      <sheetName val="Div__0617"/>
      <sheetName val="Div__0717"/>
      <sheetName val="Div__0817"/>
      <sheetName val="Div__0917"/>
      <sheetName val="Div__1017"/>
      <sheetName val="Div__1117"/>
      <sheetName val="Div__1217"/>
      <sheetName val="Div_1317"/>
      <sheetName val="EXTERNAL_WORKS17"/>
      <sheetName val="PRODUCTIVITY_RATE17"/>
      <sheetName val="U_R_A_-_MASONRY17"/>
      <sheetName val="U_R_A_-_PLASTERING17"/>
      <sheetName val="U_R_A_-_TILING17"/>
      <sheetName val="U_R_A_-_GRANITE17"/>
      <sheetName val="V_C_2_-_EARTHWORK17"/>
      <sheetName val="V_C_9_-_CERAMIC17"/>
      <sheetName val="V_C_9_-_FINISHES17"/>
      <sheetName val="Division_245"/>
      <sheetName val="Division_416"/>
      <sheetName val="Division_516"/>
      <sheetName val="Division_616"/>
      <sheetName val="Division_716"/>
      <sheetName val="Division_816"/>
      <sheetName val="Division_916"/>
      <sheetName val="Division_1016"/>
      <sheetName val="Division_1216"/>
      <sheetName val="Division_1416"/>
      <sheetName val="Division_2119"/>
      <sheetName val="Division_2217"/>
      <sheetName val="Division_2316"/>
      <sheetName val="Division_2616"/>
      <sheetName val="Division_2716"/>
      <sheetName val="Division_2816"/>
      <sheetName val="Division_3116"/>
      <sheetName val="Division_3216"/>
      <sheetName val="Division_3316"/>
      <sheetName val="PMWeb_data17"/>
      <sheetName val="Elemental_Buildup16"/>
      <sheetName val="PointNo_516"/>
      <sheetName val="2_2)Revised_Cash_Flow16"/>
      <sheetName val="SS_MH17"/>
      <sheetName val="입찰내역_발주처_양식16"/>
      <sheetName val="Material_List_16"/>
      <sheetName val="LIST_DO_NOT_REMOVE15"/>
      <sheetName val="Index_List16"/>
      <sheetName val="Type_List16"/>
      <sheetName val="File_Types16"/>
      <sheetName val="Chiet_t16"/>
      <sheetName val="Staffing_and_Rates_IA16"/>
      <sheetName val="Project_Cost_Breakdown14"/>
      <sheetName val="PRECAST_lightconc-II18"/>
      <sheetName val="final_abstract18"/>
      <sheetName val="Staff_Acco_14"/>
      <sheetName val="TBAL9697_-group_wise__sdpl14"/>
      <sheetName val="Summary_of_Work14"/>
      <sheetName val="Employee_List14"/>
      <sheetName val="Рабочий_лист13"/>
      <sheetName val="B6_2_15"/>
      <sheetName val="Item-_Compact14"/>
      <sheetName val="E_&amp;_R14"/>
      <sheetName val="Annex_1_Sect_3a14"/>
      <sheetName val="Annex_1_Sect_3a_114"/>
      <sheetName val="Annex_1_Sect_3b14"/>
      <sheetName val="Annex_1_Sect_3c14"/>
      <sheetName val="HOURLY_RATES14"/>
      <sheetName val="SITE_WORK13"/>
      <sheetName val="d-safe_DELUXE13"/>
      <sheetName val="PT_141-_Site_A_Landscape13"/>
      <sheetName val="Rate_summary13"/>
      <sheetName val="RAB_AR&amp;STR13"/>
      <sheetName val="Back_up13"/>
      <sheetName val="train_cash13"/>
      <sheetName val="accom_cash13"/>
      <sheetName val="INDIGINEOUS_ITEMS_13"/>
      <sheetName val="Duct_Accesories13"/>
      <sheetName val="Mall_waterproofing13"/>
      <sheetName val="MSCP_waterproofing13"/>
      <sheetName val="????_???_??13"/>
      <sheetName val="Labour_&amp;_Plant13"/>
      <sheetName val="Ave_wtd_rates13"/>
      <sheetName val="Debits_as_on_12_04_0813"/>
      <sheetName val="STAFFSCHED_13"/>
      <sheetName val="TRIAL_BALANCE13"/>
      <sheetName val="[SHOPLIST_xls][SHOPLIST_xls]720"/>
      <sheetName val="[SHOPLIST_xls]70,/0s«iÆøí¬i13"/>
      <sheetName val="Common_Variables13"/>
      <sheetName val="GPL_Revenu_Update13"/>
      <sheetName val="DO_NOT_TOUCH13"/>
      <sheetName val="Work_Type13"/>
      <sheetName val="PROJECT_BRIEF(EX_NEW)13"/>
      <sheetName val="AREA_OF_APPLICATION12"/>
      <sheetName val="Risk_Breakdown_Structure12"/>
      <sheetName val="Geneí¬_i12"/>
      <sheetName val="steel_total12"/>
      <sheetName val="ELE_BOQ12"/>
      <sheetName val="Z-_GENERAL_PRICE_SUMMARY9"/>
      <sheetName val="Resumo_Empreitadas9"/>
      <sheetName val="PPA_Summary9"/>
      <sheetName val="Mix_Design9"/>
      <sheetName val="%_prog_figs_-u5_and_total9"/>
      <sheetName val="_VWVU))tÏØ0__10"/>
      <sheetName val="Floor_Box_10"/>
      <sheetName val="Equipment_Rates8"/>
      <sheetName val="[SHOPLIST_xls]/VW8"/>
      <sheetName val="[SHOPLIST_xls]/VWVU))tÏØ0__40"/>
      <sheetName val="[SHOPLIST_xls]/VWVU))tÏØ0__41"/>
      <sheetName val="Cashflow_projection8"/>
      <sheetName val="[SHOPLIST_xls][SHOPLIST_xls]721"/>
      <sheetName val="E_H_-_H__W_P_8"/>
      <sheetName val="E__H__Treatment_for_pile_cap8"/>
      <sheetName val="[SHOPLIST_xls][SHOPLIST_xls][S8"/>
      <sheetName val="Form_68"/>
      <sheetName val="Risk_Register8"/>
      <sheetName val="Revised_Front_Page8"/>
      <sheetName val="Diff_Run01&amp;Run028"/>
      <sheetName val="CCS_Summary8"/>
      <sheetName val="1_Carillion_Staff8"/>
      <sheetName val="_2_Staff_&amp;_Gen_labour8"/>
      <sheetName val="3_Offices8"/>
      <sheetName val="4_TempServ8"/>
      <sheetName val="__5_Temp_Wks8"/>
      <sheetName val="_6_Addn_Plant8"/>
      <sheetName val="_7__Transport8"/>
      <sheetName val="_8_Testing8"/>
      <sheetName val="9__Miscellaneous8"/>
      <sheetName val="10__Design8"/>
      <sheetName val="_11_Insurances8"/>
      <sheetName val="_12_Client_Req_8"/>
      <sheetName val="Risk_List8"/>
      <sheetName val="Track_of_Changes8"/>
      <sheetName val="Bill_8_Doors_&amp;_Windows8"/>
      <sheetName val="Bill_9_Finishes_8"/>
      <sheetName val="Bill_10_Specialities8"/>
      <sheetName val="Dash_board8"/>
      <sheetName val="[SHOPLIST_xls]708"/>
      <sheetName val="[SHOPLIST_xls]70,8"/>
      <sheetName val="Base_BM-rebar8"/>
      <sheetName val="Materials_8"/>
      <sheetName val="Site_Dev_BOQ8"/>
      <sheetName val="Data_Sheet8"/>
      <sheetName val="tender_allowances8"/>
      <sheetName val="_Summary_BKG_0348"/>
      <sheetName val="BILL_3R8"/>
      <sheetName val="Area_Breakdown_PER_LEVEL_LINK8"/>
      <sheetName val="CF_Input8"/>
      <sheetName val="DATA_INPUT8"/>
      <sheetName val="Vordruck-Nr__7_1_3_D8"/>
      <sheetName val="M&amp;A_D8"/>
      <sheetName val="M&amp;A_E8"/>
      <sheetName val="M&amp;A_G8"/>
      <sheetName val="1_2_Staff_Schedule9"/>
      <sheetName val="Bill_108"/>
      <sheetName val="[SHOPLIST_xls]/VWVU))tÏØ0__42"/>
      <sheetName val="[SHOPLIST_xls]/VWVU))tÏØ0__43"/>
      <sheetName val="[SHOPLIST_xls]/VWVU))tÏØ0__44"/>
      <sheetName val="[SHOPLIST_xls]70,/0s«_iÆø_í¬_i8"/>
      <sheetName val="[SHOPLIST_xls]70?,/0?s«i?Æøí¬i8"/>
      <sheetName val="Labour_Costs8"/>
      <sheetName val="BLOCK-A_(MEA_SHEET)8"/>
      <sheetName val="Contract_Division6"/>
      <sheetName val="SubContract_Type6"/>
      <sheetName val="Service_Type6"/>
      <sheetName val="Cost_Heading5"/>
      <sheetName val="D_&amp;_W_sizes5"/>
      <sheetName val="SOPMA_DD5"/>
      <sheetName val="PRICE_INFO5"/>
      <sheetName val="RC_SUMMARY5"/>
      <sheetName val="LABOUR_PRODUCTIVITY-TAV5"/>
      <sheetName val="MATERIAL_PRICES5"/>
      <sheetName val="P-100_MRF_DB_R15"/>
      <sheetName val="Attach_4-185"/>
      <sheetName val="_SHOPLIST_xls_705"/>
      <sheetName val="_SHOPLIST_xls_70,_0s«iÆøí¬i5"/>
      <sheetName val="Ewaan_Show_Kitchen_(2)5"/>
      <sheetName val="Cash_Flow_Working5"/>
      <sheetName val="MN_T_B_5"/>
      <sheetName val="Data_I_(2)5"/>
      <sheetName val="rEFERENCES_5"/>
      <sheetName val="Qtys_ZamZam_(Del__before)5"/>
      <sheetName val="Qtys_Relocation_(Del_before)5"/>
      <sheetName val="_Qtys_Sub_&amp;_Tents_(Del__before5"/>
      <sheetName val="Qtys__Signages_(Del__before)5"/>
      <sheetName val="Qtys_Temporary_Passages_(Del)5"/>
      <sheetName val="_Qtys_Ser__Rooms_(Del_before)5"/>
      <sheetName val="Labour_Rate_5"/>
      <sheetName val="2F_회의실견적(5_14_일대)1"/>
      <sheetName val="_HIT-&gt;HMC_견적(3900)1"/>
      <sheetName val="Appendix_B1"/>
      <sheetName val="GFA_HQ_Building25"/>
      <sheetName val="GFA_Conference24"/>
      <sheetName val="BQ_External24"/>
      <sheetName val="Penthouse_Apartment23"/>
      <sheetName val="Raw_Data23"/>
      <sheetName val="StattCo_yCharges23"/>
      <sheetName val="LEVEL_SHEET23"/>
      <sheetName val="SPT_vs_PHI23"/>
      <sheetName val="LABOUR_HISTOGRAM24"/>
      <sheetName val="Chiet_tinh_dz2223"/>
      <sheetName val="Chiet_tinh_dz3523"/>
      <sheetName val="@risk_rents_and_incentives23"/>
      <sheetName val="Car_park_lease23"/>
      <sheetName val="Net_rent_analysis23"/>
      <sheetName val="Poz-1_23"/>
      <sheetName val="Graph_Data_(DO_NOT_PRINT)23"/>
      <sheetName val="Bill_No__223"/>
      <sheetName val="CT_Thang_Mo23"/>
      <sheetName val="Lab_Cum_Hist23"/>
      <sheetName val="CT__PL22"/>
      <sheetName val="Projet,_methodes_&amp;_couts22"/>
      <sheetName val="Risques_majeurs_&amp;_Frais_Ind_22"/>
      <sheetName val="FOL_-_Bar23"/>
      <sheetName val="budget_summary_(2)22"/>
      <sheetName val="Budget_Analysis_Summary22"/>
      <sheetName val="intr_stool_brkup22"/>
      <sheetName val="Tender_Summary23"/>
      <sheetName val="Insurance_Ext23"/>
      <sheetName val="Customize_Your_Invoice23"/>
      <sheetName val="HVAC_BoQ23"/>
      <sheetName val="Body_Sheet22"/>
      <sheetName val="1_0_Executive_Summary22"/>
      <sheetName val="Top_sheet22"/>
      <sheetName val="Bill_221"/>
      <sheetName val="Ap_A20"/>
      <sheetName val="2_Div_14_20"/>
      <sheetName val="SHOPLIST_xls19"/>
      <sheetName val="beam-reinft-IIInd_floor19"/>
      <sheetName val="beam-reinft-machine_rm19"/>
      <sheetName val="Bill_120"/>
      <sheetName val="Bill_320"/>
      <sheetName val="Bill_420"/>
      <sheetName val="Bill_520"/>
      <sheetName val="Bill_620"/>
      <sheetName val="Bill_720"/>
      <sheetName val="POWER_ASSUMPTIONS19"/>
      <sheetName val="Civil_Boq18"/>
      <sheetName val="PROJECT_BRIEF20"/>
      <sheetName val="Invoice_Summary19"/>
      <sheetName val="C_(3)20"/>
      <sheetName val="Dubai_golf19"/>
      <sheetName val="Softscape_Buildup18"/>
      <sheetName val="Mat'l_Rate18"/>
      <sheetName val="WITHOUT_C&amp;I_PROFIT_(3)18"/>
      <sheetName val="Activity_List18"/>
      <sheetName val="HIRED_LABOUR_CODE16"/>
      <sheetName val="PA-_Consutant_16"/>
      <sheetName val="foot-slab_reinft16"/>
      <sheetName val="DETAILED__BOQ16"/>
      <sheetName val="M-Book_for_Conc16"/>
      <sheetName val="M-Book_for_FW16"/>
      <sheetName val="BILL_COV16"/>
      <sheetName val="Ra__stair16"/>
      <sheetName val="VALVE_CHAMBERS15"/>
      <sheetName val="Fire_Hydrants15"/>
      <sheetName val="B_GATE_VALVE15"/>
      <sheetName val="Sub_G1_Fire15"/>
      <sheetName val="Sub_G12_Fire15"/>
      <sheetName val="Eq__Mobilization14"/>
      <sheetName val="w't_table13"/>
      <sheetName val="Materials_Cost(PCC)15"/>
      <sheetName val="India_F&amp;S_Template15"/>
      <sheetName val="IO_LIST15"/>
      <sheetName val="Material_15"/>
      <sheetName val="Quote_Sheet15"/>
      <sheetName val="Day_work15"/>
      <sheetName val="bill_nb2-Plumbing_&amp;_Drainag13"/>
      <sheetName val="Pl_&amp;_Dr_B13"/>
      <sheetName val="Pl_&amp;_Dr_G13"/>
      <sheetName val="Pl_&amp;_Dr_M13"/>
      <sheetName val="Pl_&amp;_Dr_113"/>
      <sheetName val="Pl_&amp;_Dr_213"/>
      <sheetName val="Pl_&amp;_Dr_313"/>
      <sheetName val="Pl_&amp;_Dr_413"/>
      <sheetName val="Pl_&amp;_Dr_513"/>
      <sheetName val="Pl_&amp;_Dr_613"/>
      <sheetName val="Pl_&amp;_Dr_713"/>
      <sheetName val="Pl_&amp;_Dr_813"/>
      <sheetName val="Pl_&amp;_Dr_R13"/>
      <sheetName val="FF_B13"/>
      <sheetName val="FF_G13"/>
      <sheetName val="FF_M13"/>
      <sheetName val="FF_113"/>
      <sheetName val="FF_2_13"/>
      <sheetName val="FF_313"/>
      <sheetName val="FF_413"/>
      <sheetName val="FF_513"/>
      <sheetName val="FF_6_13"/>
      <sheetName val="FF_713"/>
      <sheetName val="FF_813"/>
      <sheetName val="FF_R13"/>
      <sheetName val="bill_nb3-FF13"/>
      <sheetName val="HVAC_B13"/>
      <sheetName val="HVAC_G13"/>
      <sheetName val="HVAC_M13"/>
      <sheetName val="HVAC_113"/>
      <sheetName val="HVAC_213"/>
      <sheetName val="HVAC_313"/>
      <sheetName val="HVAC_413"/>
      <sheetName val="HVAC_513"/>
      <sheetName val="HVAC_613"/>
      <sheetName val="HVAC_713"/>
      <sheetName val="HVAC_813"/>
      <sheetName val="HVAC_R13"/>
      <sheetName val="bill_nb4-HVAC13"/>
      <sheetName val="SC_B13"/>
      <sheetName val="SC_G13"/>
      <sheetName val="SC_M13"/>
      <sheetName val="SC_113"/>
      <sheetName val="SC_213"/>
      <sheetName val="SC_313"/>
      <sheetName val="SC_413"/>
      <sheetName val="SC_513"/>
      <sheetName val="SC_613"/>
      <sheetName val="SC_713"/>
      <sheetName val="SC_813"/>
      <sheetName val="SC_R13"/>
      <sheetName val="AV_B13"/>
      <sheetName val="AV_G13"/>
      <sheetName val="AV_M13"/>
      <sheetName val="AV_113"/>
      <sheetName val="AV_213"/>
      <sheetName val="AV_313"/>
      <sheetName val="AV_413"/>
      <sheetName val="AV_513"/>
      <sheetName val="AV_613"/>
      <sheetName val="AV_713"/>
      <sheetName val="AV_813"/>
      <sheetName val="EL_B13"/>
      <sheetName val="EL_M13"/>
      <sheetName val="EL_113"/>
      <sheetName val="EL_213"/>
      <sheetName val="EL_313"/>
      <sheetName val="EL_413"/>
      <sheetName val="EL_513"/>
      <sheetName val="EL_613"/>
      <sheetName val="EL_713"/>
      <sheetName val="EL_813"/>
      <sheetName val="EL_R13"/>
      <sheetName val="EL_TR13"/>
      <sheetName val="8-_EL13"/>
      <sheetName val="FA_B13"/>
      <sheetName val="FA_G13"/>
      <sheetName val="FA_M13"/>
      <sheetName val="FA_113"/>
      <sheetName val="FA_213"/>
      <sheetName val="FA_313"/>
      <sheetName val="FA_413"/>
      <sheetName val="FA_513"/>
      <sheetName val="FA_613"/>
      <sheetName val="FA_713"/>
      <sheetName val="FA_813"/>
      <sheetName val="FA_R13"/>
      <sheetName val="9-_FA13"/>
      <sheetName val="Div__0214"/>
      <sheetName val="Div__0314"/>
      <sheetName val="Div__0414"/>
      <sheetName val="Div__0514"/>
      <sheetName val="Div__0614"/>
      <sheetName val="Div__0714"/>
      <sheetName val="Div__0814"/>
      <sheetName val="Div__0914"/>
      <sheetName val="Div__1014"/>
      <sheetName val="Div__1114"/>
      <sheetName val="Div__1214"/>
      <sheetName val="Div_1314"/>
      <sheetName val="EXTERNAL_WORKS14"/>
      <sheetName val="PRODUCTIVITY_RATE14"/>
      <sheetName val="U_R_A_-_MASONRY14"/>
      <sheetName val="U_R_A_-_PLASTERING14"/>
      <sheetName val="U_R_A_-_TILING14"/>
      <sheetName val="U_R_A_-_GRANITE14"/>
      <sheetName val="V_C_2_-_EARTHWORK14"/>
      <sheetName val="V_C_9_-_CERAMIC14"/>
      <sheetName val="V_C_9_-_FINISHES14"/>
      <sheetName val="B09_114"/>
      <sheetName val="BOQ_Direct_selling_cost15"/>
      <sheetName val="Working_for_RCC14"/>
      <sheetName val="B185-B-9_114"/>
      <sheetName val="B185-B-9_214"/>
      <sheetName val="CHART_OF_ACCOUNTS14"/>
      <sheetName val="E-Bill_No_6_A-O14"/>
      <sheetName val="/VWVU))tÏØ0__16"/>
      <sheetName val="Elemental_Buildup13"/>
      <sheetName val="Division_242"/>
      <sheetName val="Division_413"/>
      <sheetName val="Division_513"/>
      <sheetName val="Division_613"/>
      <sheetName val="Division_713"/>
      <sheetName val="Division_813"/>
      <sheetName val="Division_913"/>
      <sheetName val="Division_1013"/>
      <sheetName val="Division_1213"/>
      <sheetName val="Division_1413"/>
      <sheetName val="Division_2116"/>
      <sheetName val="Division_2214"/>
      <sheetName val="Division_2313"/>
      <sheetName val="Division_2613"/>
      <sheetName val="Division_2713"/>
      <sheetName val="Division_2813"/>
      <sheetName val="Division_3113"/>
      <sheetName val="Division_3213"/>
      <sheetName val="Division_3313"/>
      <sheetName val="PMWeb_data14"/>
      <sheetName val="PointNo_513"/>
      <sheetName val="2_2)Revised_Cash_Flow13"/>
      <sheetName val="Employee_List11"/>
      <sheetName val="SS_MH14"/>
      <sheetName val="Index_List13"/>
      <sheetName val="Type_List13"/>
      <sheetName val="File_Types13"/>
      <sheetName val="Chiet_t13"/>
      <sheetName val="Staffing_and_Rates_IA13"/>
      <sheetName val="입찰내역_발주처_양식13"/>
      <sheetName val="Summary_of_Work11"/>
      <sheetName val="/VWVU))tÏØ0__14"/>
      <sheetName val="LIST_DO_NOT_REMOVE12"/>
      <sheetName val="Material_List_13"/>
      <sheetName val="PRECAST_lightconc-II15"/>
      <sheetName val="final_abstract15"/>
      <sheetName val="B6_2_12"/>
      <sheetName val="Staff_Acco_11"/>
      <sheetName val="TBAL9697_-group_wise__sdpl11"/>
      <sheetName val="Project_Cost_Breakdown11"/>
      <sheetName val="Item-_Compact11"/>
      <sheetName val="E_&amp;_R11"/>
      <sheetName val="Рабочий_лист10"/>
      <sheetName val="Annex_1_Sect_3a11"/>
      <sheetName val="Annex_1_Sect_3a_111"/>
      <sheetName val="Annex_1_Sect_3b11"/>
      <sheetName val="Annex_1_Sect_3c11"/>
      <sheetName val="HOURLY_RATES11"/>
      <sheetName val="PT_141-_Site_A_Landscape10"/>
      <sheetName val="SITE_WORK10"/>
      <sheetName val="Rate_summary10"/>
      <sheetName val="d-safe_DELUXE10"/>
      <sheetName val="Back_up10"/>
      <sheetName val="RAB_AR&amp;STR10"/>
      <sheetName val="Duct_Accesories10"/>
      <sheetName val="train_cash10"/>
      <sheetName val="accom_cash10"/>
      <sheetName val="INDIGINEOUS_ITEMS_10"/>
      <sheetName val="Common_Variables10"/>
      <sheetName val="Mall_waterproofing10"/>
      <sheetName val="MSCP_waterproofing10"/>
      <sheetName val="[SHOPLIST_xls]70,/0s«iÆøí¬i10"/>
      <sheetName val="GPL_Revenu_Update10"/>
      <sheetName val="DO_NOT_TOUCH10"/>
      <sheetName val="Work_Type10"/>
      <sheetName val="????_???_??10"/>
      <sheetName val="Labour_&amp;_Plant10"/>
      <sheetName val="Ave_wtd_rates10"/>
      <sheetName val="Debits_as_on_12_04_0810"/>
      <sheetName val="STAFFSCHED_10"/>
      <sheetName val="TRIAL_BALANCE10"/>
      <sheetName val="[SHOPLIST_xls][SHOPLIST_xls]714"/>
      <sheetName val="PROJECT_BRIEF(EX_NEW)10"/>
      <sheetName val="PPA_Summary6"/>
      <sheetName val="Mix_Design6"/>
      <sheetName val="AREA_OF_APPLICATION9"/>
      <sheetName val="Risk_Breakdown_Structure9"/>
      <sheetName val="Geneí¬_i9"/>
      <sheetName val="steel_total9"/>
      <sheetName val="ELE_BOQ9"/>
      <sheetName val="Z-_GENERAL_PRICE_SUMMARY6"/>
      <sheetName val="Resumo_Empreitadas6"/>
      <sheetName val="%_prog_figs_-u5_and_total6"/>
      <sheetName val="_VWVU))tÏØ0__7"/>
      <sheetName val="Floor_Box_7"/>
      <sheetName val="[SHOPLIST_xls]/VW5"/>
      <sheetName val="[SHOPLIST_xls]/VWVU))tÏØ0__17"/>
      <sheetName val="[SHOPLIST_xls]/VWVU))tÏØ0__18"/>
      <sheetName val="Equipment_Rates5"/>
      <sheetName val="Cashflow_projection5"/>
      <sheetName val="[SHOPLIST_xls][SHOPLIST_xls]715"/>
      <sheetName val="E_H_-_H__W_P_5"/>
      <sheetName val="E__H__Treatment_for_pile_cap5"/>
      <sheetName val="[SHOPLIST_xls][SHOPLIST_xls][S5"/>
      <sheetName val="Materials_5"/>
      <sheetName val="Form_65"/>
      <sheetName val="Risk_Register5"/>
      <sheetName val="Revised_Front_Page5"/>
      <sheetName val="Diff_Run01&amp;Run025"/>
      <sheetName val="CCS_Summary5"/>
      <sheetName val="1_Carillion_Staff5"/>
      <sheetName val="_2_Staff_&amp;_Gen_labour5"/>
      <sheetName val="3_Offices5"/>
      <sheetName val="4_TempServ5"/>
      <sheetName val="__5_Temp_Wks5"/>
      <sheetName val="_6_Addn_Plant5"/>
      <sheetName val="_7__Transport5"/>
      <sheetName val="_8_Testing5"/>
      <sheetName val="9__Miscellaneous5"/>
      <sheetName val="10__Design5"/>
      <sheetName val="_11_Insurances5"/>
      <sheetName val="_12_Client_Req_5"/>
      <sheetName val="Risk_List5"/>
      <sheetName val="Track_of_Changes5"/>
      <sheetName val="Bill_8_Doors_&amp;_Windows5"/>
      <sheetName val="Bill_9_Finishes_5"/>
      <sheetName val="Bill_10_Specialities5"/>
      <sheetName val="Dash_board5"/>
      <sheetName val="[SHOPLIST_xls]705"/>
      <sheetName val="[SHOPLIST_xls]70,5"/>
      <sheetName val="Site_Dev_BOQ5"/>
      <sheetName val="1_2_Staff_Schedule6"/>
      <sheetName val="[SHOPLIST_xls]/VWVU))tÏØ0__19"/>
      <sheetName val="[SHOPLIST_xls]/VWVU))tÏØ0__25"/>
      <sheetName val="Cost_Heading2"/>
      <sheetName val="D_&amp;_W_sizes2"/>
      <sheetName val="SOPMA_DD2"/>
      <sheetName val="PRICE_INFO2"/>
      <sheetName val="RC_SUMMARY2"/>
      <sheetName val="LABOUR_PRODUCTIVITY-TAV2"/>
      <sheetName val="MATERIAL_PRICES2"/>
      <sheetName val="P-100_MRF_DB_R12"/>
      <sheetName val="Base_BM-rebar5"/>
      <sheetName val="Contract_Division3"/>
      <sheetName val="SubContract_Type3"/>
      <sheetName val="Service_Type3"/>
      <sheetName val="Attach_4-182"/>
      <sheetName val="Area_Breakdown_PER_LEVEL_LINK5"/>
      <sheetName val="CF_Input5"/>
      <sheetName val="DATA_INPUT5"/>
      <sheetName val="Vordruck-Nr__7_1_3_D5"/>
      <sheetName val="M&amp;A_D5"/>
      <sheetName val="M&amp;A_E5"/>
      <sheetName val="M&amp;A_G5"/>
      <sheetName val="_SHOPLIST_xls_702"/>
      <sheetName val="_SHOPLIST_xls_70,_0s«iÆøí¬i2"/>
      <sheetName val="Data_Sheet5"/>
      <sheetName val="tender_allowances5"/>
      <sheetName val="_Summary_BKG_0345"/>
      <sheetName val="BILL_3R5"/>
      <sheetName val="BLOCK-A_(MEA_SHEET)5"/>
      <sheetName val="Bill_105"/>
      <sheetName val="Labour_Costs5"/>
      <sheetName val="Ewaan_Show_Kitchen_(2)2"/>
      <sheetName val="Cash_Flow_Working2"/>
      <sheetName val="MN_T_B_2"/>
      <sheetName val="Data_I_(2)2"/>
      <sheetName val="rEFERENCES_2"/>
      <sheetName val="Qtys_ZamZam_(Del__before)2"/>
      <sheetName val="Qtys_Relocation_(Del_before)2"/>
      <sheetName val="_Qtys_Sub_&amp;_Tents_(Del__before2"/>
      <sheetName val="Qtys__Signages_(Del__before)2"/>
      <sheetName val="Qtys_Temporary_Passages_(Del)2"/>
      <sheetName val="_Qtys_Ser__Rooms_(Del_before)2"/>
      <sheetName val="Labour_Rate_2"/>
      <sheetName val="[SHOPLIST_xls]/VWVU))tÏØ0__35"/>
      <sheetName val="[SHOPLIST_xls]70,/0s«_iÆø_í¬_i5"/>
      <sheetName val="[SHOPLIST_xls]70?,/0?s«i?Æøí¬i5"/>
      <sheetName val="GFA_HQ_Building24"/>
      <sheetName val="GFA_Conference23"/>
      <sheetName val="BQ_External23"/>
      <sheetName val="Penthouse_Apartment22"/>
      <sheetName val="Raw_Data22"/>
      <sheetName val="StattCo_yCharges22"/>
      <sheetName val="LEVEL_SHEET22"/>
      <sheetName val="SPT_vs_PHI22"/>
      <sheetName val="LABOUR_HISTOGRAM23"/>
      <sheetName val="Chiet_tinh_dz2222"/>
      <sheetName val="Chiet_tinh_dz3522"/>
      <sheetName val="@risk_rents_and_incentives22"/>
      <sheetName val="Car_park_lease22"/>
      <sheetName val="Net_rent_analysis22"/>
      <sheetName val="Poz-1_22"/>
      <sheetName val="Graph_Data_(DO_NOT_PRINT)22"/>
      <sheetName val="Bill_No__222"/>
      <sheetName val="CT_Thang_Mo22"/>
      <sheetName val="Lab_Cum_Hist22"/>
      <sheetName val="CT__PL21"/>
      <sheetName val="Projet,_methodes_&amp;_couts21"/>
      <sheetName val="Risques_majeurs_&amp;_Frais_Ind_21"/>
      <sheetName val="FOL_-_Bar22"/>
      <sheetName val="budget_summary_(2)21"/>
      <sheetName val="Budget_Analysis_Summary21"/>
      <sheetName val="intr_stool_brkup21"/>
      <sheetName val="Tender_Summary22"/>
      <sheetName val="Insurance_Ext22"/>
      <sheetName val="Customize_Your_Invoice22"/>
      <sheetName val="HVAC_BoQ22"/>
      <sheetName val="Body_Sheet21"/>
      <sheetName val="1_0_Executive_Summary21"/>
      <sheetName val="Top_sheet21"/>
      <sheetName val="Bill_220"/>
      <sheetName val="Ap_A19"/>
      <sheetName val="2_Div_14_19"/>
      <sheetName val="SHOPLIST_xls18"/>
      <sheetName val="beam-reinft-IIInd_floor18"/>
      <sheetName val="beam-reinft-machine_rm18"/>
      <sheetName val="Bill_119"/>
      <sheetName val="Bill_319"/>
      <sheetName val="Bill_419"/>
      <sheetName val="Bill_519"/>
      <sheetName val="Bill_619"/>
      <sheetName val="Bill_719"/>
      <sheetName val="POWER_ASSUMPTIONS18"/>
      <sheetName val="Civil_Boq17"/>
      <sheetName val="PROJECT_BRIEF19"/>
      <sheetName val="Invoice_Summary18"/>
      <sheetName val="C_(3)19"/>
      <sheetName val="Dubai_golf18"/>
      <sheetName val="Softscape_Buildup17"/>
      <sheetName val="Mat'l_Rate17"/>
      <sheetName val="WITHOUT_C&amp;I_PROFIT_(3)17"/>
      <sheetName val="Activity_List17"/>
      <sheetName val="HIRED_LABOUR_CODE15"/>
      <sheetName val="PA-_Consutant_15"/>
      <sheetName val="foot-slab_reinft15"/>
      <sheetName val="DETAILED__BOQ15"/>
      <sheetName val="M-Book_for_Conc15"/>
      <sheetName val="M-Book_for_FW15"/>
      <sheetName val="BILL_COV15"/>
      <sheetName val="Ra__stair15"/>
      <sheetName val="VALVE_CHAMBERS14"/>
      <sheetName val="Fire_Hydrants14"/>
      <sheetName val="B_GATE_VALVE14"/>
      <sheetName val="Sub_G1_Fire14"/>
      <sheetName val="Sub_G12_Fire14"/>
      <sheetName val="Eq__Mobilization13"/>
      <sheetName val="w't_table12"/>
      <sheetName val="Materials_Cost(PCC)14"/>
      <sheetName val="India_F&amp;S_Template14"/>
      <sheetName val="IO_LIST14"/>
      <sheetName val="Material_14"/>
      <sheetName val="Quote_Sheet14"/>
      <sheetName val="Day_work14"/>
      <sheetName val="bill_nb2-Plumbing_&amp;_Drainag12"/>
      <sheetName val="Pl_&amp;_Dr_B12"/>
      <sheetName val="Pl_&amp;_Dr_G12"/>
      <sheetName val="Pl_&amp;_Dr_M12"/>
      <sheetName val="Pl_&amp;_Dr_112"/>
      <sheetName val="Pl_&amp;_Dr_212"/>
      <sheetName val="Pl_&amp;_Dr_312"/>
      <sheetName val="Pl_&amp;_Dr_412"/>
      <sheetName val="Pl_&amp;_Dr_512"/>
      <sheetName val="Pl_&amp;_Dr_612"/>
      <sheetName val="Pl_&amp;_Dr_712"/>
      <sheetName val="Pl_&amp;_Dr_812"/>
      <sheetName val="Pl_&amp;_Dr_R12"/>
      <sheetName val="FF_B12"/>
      <sheetName val="FF_G12"/>
      <sheetName val="FF_M12"/>
      <sheetName val="FF_112"/>
      <sheetName val="FF_2_12"/>
      <sheetName val="FF_312"/>
      <sheetName val="FF_412"/>
      <sheetName val="FF_512"/>
      <sheetName val="FF_6_12"/>
      <sheetName val="FF_712"/>
      <sheetName val="FF_812"/>
      <sheetName val="FF_R12"/>
      <sheetName val="bill_nb3-FF12"/>
      <sheetName val="HVAC_B12"/>
      <sheetName val="HVAC_G12"/>
      <sheetName val="HVAC_M12"/>
      <sheetName val="HVAC_112"/>
      <sheetName val="HVAC_212"/>
      <sheetName val="HVAC_312"/>
      <sheetName val="HVAC_412"/>
      <sheetName val="HVAC_512"/>
      <sheetName val="HVAC_612"/>
      <sheetName val="HVAC_712"/>
      <sheetName val="HVAC_812"/>
      <sheetName val="HVAC_R12"/>
      <sheetName val="bill_nb4-HVAC12"/>
      <sheetName val="SC_B12"/>
      <sheetName val="SC_G12"/>
      <sheetName val="SC_M12"/>
      <sheetName val="SC_112"/>
      <sheetName val="SC_212"/>
      <sheetName val="SC_312"/>
      <sheetName val="SC_412"/>
      <sheetName val="SC_512"/>
      <sheetName val="SC_612"/>
      <sheetName val="SC_712"/>
      <sheetName val="SC_812"/>
      <sheetName val="SC_R12"/>
      <sheetName val="AV_B12"/>
      <sheetName val="AV_G12"/>
      <sheetName val="AV_M12"/>
      <sheetName val="AV_112"/>
      <sheetName val="AV_212"/>
      <sheetName val="AV_312"/>
      <sheetName val="AV_412"/>
      <sheetName val="AV_512"/>
      <sheetName val="AV_612"/>
      <sheetName val="AV_712"/>
      <sheetName val="AV_812"/>
      <sheetName val="EL_B12"/>
      <sheetName val="EL_M12"/>
      <sheetName val="EL_112"/>
      <sheetName val="EL_212"/>
      <sheetName val="EL_312"/>
      <sheetName val="EL_412"/>
      <sheetName val="EL_512"/>
      <sheetName val="EL_612"/>
      <sheetName val="EL_712"/>
      <sheetName val="EL_812"/>
      <sheetName val="EL_R12"/>
      <sheetName val="EL_TR12"/>
      <sheetName val="8-_EL12"/>
      <sheetName val="FA_B12"/>
      <sheetName val="FA_G12"/>
      <sheetName val="FA_M12"/>
      <sheetName val="FA_112"/>
      <sheetName val="FA_212"/>
      <sheetName val="FA_312"/>
      <sheetName val="FA_412"/>
      <sheetName val="FA_512"/>
      <sheetName val="FA_612"/>
      <sheetName val="FA_712"/>
      <sheetName val="FA_812"/>
      <sheetName val="FA_R12"/>
      <sheetName val="9-_FA12"/>
      <sheetName val="Div__0213"/>
      <sheetName val="Div__0313"/>
      <sheetName val="Div__0413"/>
      <sheetName val="Div__0513"/>
      <sheetName val="Div__0613"/>
      <sheetName val="Div__0713"/>
      <sheetName val="Div__0813"/>
      <sheetName val="Div__0913"/>
      <sheetName val="Div__1013"/>
      <sheetName val="Div__1113"/>
      <sheetName val="Div__1213"/>
      <sheetName val="Div_1313"/>
      <sheetName val="EXTERNAL_WORKS13"/>
      <sheetName val="PRODUCTIVITY_RATE13"/>
      <sheetName val="U_R_A_-_MASONRY13"/>
      <sheetName val="U_R_A_-_PLASTERING13"/>
      <sheetName val="U_R_A_-_TILING13"/>
      <sheetName val="U_R_A_-_GRANITE13"/>
      <sheetName val="V_C_2_-_EARTHWORK13"/>
      <sheetName val="V_C_9_-_CERAMIC13"/>
      <sheetName val="V_C_9_-_FINISHES13"/>
      <sheetName val="B09_113"/>
      <sheetName val="BOQ_Direct_selling_cost14"/>
      <sheetName val="Working_for_RCC13"/>
      <sheetName val="B185-B-9_113"/>
      <sheetName val="B185-B-9_213"/>
      <sheetName val="CHART_OF_ACCOUNTS13"/>
      <sheetName val="E-Bill_No_6_A-O13"/>
      <sheetName val="Elemental_Buildup12"/>
      <sheetName val="Division_241"/>
      <sheetName val="Division_412"/>
      <sheetName val="Division_512"/>
      <sheetName val="Division_612"/>
      <sheetName val="Division_712"/>
      <sheetName val="Division_812"/>
      <sheetName val="Division_912"/>
      <sheetName val="Division_1012"/>
      <sheetName val="Division_1212"/>
      <sheetName val="Division_1412"/>
      <sheetName val="Division_2115"/>
      <sheetName val="Division_2213"/>
      <sheetName val="Division_2312"/>
      <sheetName val="Division_2612"/>
      <sheetName val="Division_2712"/>
      <sheetName val="Division_2812"/>
      <sheetName val="Division_3112"/>
      <sheetName val="Division_3212"/>
      <sheetName val="Division_3312"/>
      <sheetName val="PMWeb_data13"/>
      <sheetName val="PointNo_512"/>
      <sheetName val="2_2)Revised_Cash_Flow12"/>
      <sheetName val="Employee_List10"/>
      <sheetName val="SS_MH13"/>
      <sheetName val="Index_List12"/>
      <sheetName val="Type_List12"/>
      <sheetName val="File_Types12"/>
      <sheetName val="Chiet_t12"/>
      <sheetName val="Staffing_and_Rates_IA12"/>
      <sheetName val="입찰내역_발주처_양식12"/>
      <sheetName val="Summary_of_Work10"/>
      <sheetName val="/VWVU))tÏØ0__13"/>
      <sheetName val="LIST_DO_NOT_REMOVE11"/>
      <sheetName val="Material_List_12"/>
      <sheetName val="PRECAST_lightconc-II14"/>
      <sheetName val="final_abstract14"/>
      <sheetName val="B6_2_11"/>
      <sheetName val="Staff_Acco_10"/>
      <sheetName val="TBAL9697_-group_wise__sdpl10"/>
      <sheetName val="Project_Cost_Breakdown10"/>
      <sheetName val="Item-_Compact10"/>
      <sheetName val="E_&amp;_R10"/>
      <sheetName val="Рабочий_лист9"/>
      <sheetName val="Annex_1_Sect_3a10"/>
      <sheetName val="Annex_1_Sect_3a_110"/>
      <sheetName val="Annex_1_Sect_3b10"/>
      <sheetName val="Annex_1_Sect_3c10"/>
      <sheetName val="HOURLY_RATES10"/>
      <sheetName val="PT_141-_Site_A_Landscape9"/>
      <sheetName val="SITE_WORK9"/>
      <sheetName val="Rate_summary9"/>
      <sheetName val="d-safe_DELUXE9"/>
      <sheetName val="Back_up9"/>
      <sheetName val="RAB_AR&amp;STR9"/>
      <sheetName val="Duct_Accesories9"/>
      <sheetName val="train_cash9"/>
      <sheetName val="accom_cash9"/>
      <sheetName val="INDIGINEOUS_ITEMS_9"/>
      <sheetName val="Common_Variables9"/>
      <sheetName val="Mall_waterproofing9"/>
      <sheetName val="MSCP_waterproofing9"/>
      <sheetName val="[SHOPLIST_xls]70,/0s«iÆøí¬i9"/>
      <sheetName val="GPL_Revenu_Update9"/>
      <sheetName val="DO_NOT_TOUCH9"/>
      <sheetName val="Work_Type9"/>
      <sheetName val="????_???_??9"/>
      <sheetName val="Labour_&amp;_Plant9"/>
      <sheetName val="Ave_wtd_rates9"/>
      <sheetName val="Debits_as_on_12_04_089"/>
      <sheetName val="STAFFSCHED_9"/>
      <sheetName val="TRIAL_BALANCE9"/>
      <sheetName val="[SHOPLIST_xls][SHOPLIST_xls]712"/>
      <sheetName val="PROJECT_BRIEF(EX_NEW)9"/>
      <sheetName val="PPA_Summary5"/>
      <sheetName val="Mix_Design5"/>
      <sheetName val="AREA_OF_APPLICATION8"/>
      <sheetName val="Risk_Breakdown_Structure8"/>
      <sheetName val="Geneí¬_i8"/>
      <sheetName val="steel_total8"/>
      <sheetName val="ELE_BOQ8"/>
      <sheetName val="Z-_GENERAL_PRICE_SUMMARY5"/>
      <sheetName val="Resumo_Empreitadas5"/>
      <sheetName val="%_prog_figs_-u5_and_total5"/>
      <sheetName val="_VWVU))tÏØ0__6"/>
      <sheetName val="Floor_Box_6"/>
      <sheetName val="[SHOPLIST_xls]/VW4"/>
      <sheetName val="[SHOPLIST_xls]/VWVU))tÏØ0__10"/>
      <sheetName val="[SHOPLIST_xls]/VWVU))tÏØ0__15"/>
      <sheetName val="Equipment_Rates4"/>
      <sheetName val="Cashflow_projection4"/>
      <sheetName val="[SHOPLIST_xls][SHOPLIST_xls]713"/>
      <sheetName val="E_H_-_H__W_P_4"/>
      <sheetName val="E__H__Treatment_for_pile_cap4"/>
      <sheetName val="[SHOPLIST_xls][SHOPLIST_xls][S4"/>
      <sheetName val="Materials_4"/>
      <sheetName val="Form_64"/>
      <sheetName val="Risk_Register4"/>
      <sheetName val="Revised_Front_Page4"/>
      <sheetName val="Diff_Run01&amp;Run024"/>
      <sheetName val="CCS_Summary4"/>
      <sheetName val="1_Carillion_Staff4"/>
      <sheetName val="_2_Staff_&amp;_Gen_labour4"/>
      <sheetName val="3_Offices4"/>
      <sheetName val="4_TempServ4"/>
      <sheetName val="__5_Temp_Wks4"/>
      <sheetName val="_6_Addn_Plant4"/>
      <sheetName val="_7__Transport4"/>
      <sheetName val="_8_Testing4"/>
      <sheetName val="9__Miscellaneous4"/>
      <sheetName val="10__Design4"/>
      <sheetName val="_11_Insurances4"/>
      <sheetName val="_12_Client_Req_4"/>
      <sheetName val="Risk_List4"/>
      <sheetName val="Track_of_Changes4"/>
      <sheetName val="Bill_8_Doors_&amp;_Windows4"/>
      <sheetName val="Bill_9_Finishes_4"/>
      <sheetName val="Bill_10_Specialities4"/>
      <sheetName val="Dash_board4"/>
      <sheetName val="[SHOPLIST_xls]704"/>
      <sheetName val="[SHOPLIST_xls]70,4"/>
      <sheetName val="Site_Dev_BOQ4"/>
      <sheetName val="1_2_Staff_Schedule5"/>
      <sheetName val="[SHOPLIST_xls]/VWVU))tÏØ0__16"/>
      <sheetName val="[SHOPLIST_xls]/VWVU))tÏØ0__24"/>
      <sheetName val="Cost_Heading1"/>
      <sheetName val="D_&amp;_W_sizes1"/>
      <sheetName val="SOPMA_DD1"/>
      <sheetName val="PRICE_INFO1"/>
      <sheetName val="RC_SUMMARY1"/>
      <sheetName val="LABOUR_PRODUCTIVITY-TAV1"/>
      <sheetName val="MATERIAL_PRICES1"/>
      <sheetName val="P-100_MRF_DB_R11"/>
      <sheetName val="Base_BM-rebar4"/>
      <sheetName val="Contract_Division2"/>
      <sheetName val="SubContract_Type2"/>
      <sheetName val="Service_Type2"/>
      <sheetName val="Attach_4-181"/>
      <sheetName val="Area_Breakdown_PER_LEVEL_LINK4"/>
      <sheetName val="CF_Input4"/>
      <sheetName val="DATA_INPUT4"/>
      <sheetName val="Vordruck-Nr__7_1_3_D4"/>
      <sheetName val="M&amp;A_D4"/>
      <sheetName val="M&amp;A_E4"/>
      <sheetName val="M&amp;A_G4"/>
      <sheetName val="_SHOPLIST_xls_701"/>
      <sheetName val="_SHOPLIST_xls_70,_0s«iÆøí¬i1"/>
      <sheetName val="Data_Sheet4"/>
      <sheetName val="tender_allowances4"/>
      <sheetName val="_Summary_BKG_0344"/>
      <sheetName val="BILL_3R4"/>
      <sheetName val="BLOCK-A_(MEA_SHEET)4"/>
      <sheetName val="Bill_104"/>
      <sheetName val="Labour_Costs4"/>
      <sheetName val="Ewaan_Show_Kitchen_(2)1"/>
      <sheetName val="Cash_Flow_Working1"/>
      <sheetName val="MN_T_B_1"/>
      <sheetName val="Data_I_(2)1"/>
      <sheetName val="rEFERENCES_1"/>
      <sheetName val="Qtys_ZamZam_(Del__before)1"/>
      <sheetName val="Qtys_Relocation_(Del_before)1"/>
      <sheetName val="_Qtys_Sub_&amp;_Tents_(Del__before1"/>
      <sheetName val="Qtys__Signages_(Del__before)1"/>
      <sheetName val="Qtys_Temporary_Passages_(Del)1"/>
      <sheetName val="_Qtys_Ser__Rooms_(Del_before)1"/>
      <sheetName val="Labour_Rate_1"/>
      <sheetName val="[SHOPLIST_xls]/VWVU))tÏØ0__34"/>
      <sheetName val="[SHOPLIST_xls]70,/0s«_iÆø_í¬_i4"/>
      <sheetName val="[SHOPLIST_xls]70?,/0?s«i?Æøí¬i4"/>
      <sheetName val="GFA_HQ_Building27"/>
      <sheetName val="GFA_Conference26"/>
      <sheetName val="BQ_External26"/>
      <sheetName val="Penthouse_Apartment25"/>
      <sheetName val="Raw_Data25"/>
      <sheetName val="StattCo_yCharges25"/>
      <sheetName val="LEVEL_SHEET25"/>
      <sheetName val="SPT_vs_PHI25"/>
      <sheetName val="LABOUR_HISTOGRAM26"/>
      <sheetName val="Chiet_tinh_dz2225"/>
      <sheetName val="Chiet_tinh_dz3525"/>
      <sheetName val="@risk_rents_and_incentives25"/>
      <sheetName val="Car_park_lease25"/>
      <sheetName val="Net_rent_analysis25"/>
      <sheetName val="Poz-1_25"/>
      <sheetName val="Graph_Data_(DO_NOT_PRINT)25"/>
      <sheetName val="Bill_No__225"/>
      <sheetName val="CT_Thang_Mo25"/>
      <sheetName val="Lab_Cum_Hist25"/>
      <sheetName val="CT__PL24"/>
      <sheetName val="Projet,_methodes_&amp;_couts24"/>
      <sheetName val="Risques_majeurs_&amp;_Frais_Ind_24"/>
      <sheetName val="FOL_-_Bar25"/>
      <sheetName val="budget_summary_(2)24"/>
      <sheetName val="Budget_Analysis_Summary24"/>
      <sheetName val="intr_stool_brkup24"/>
      <sheetName val="Tender_Summary25"/>
      <sheetName val="Insurance_Ext25"/>
      <sheetName val="Customize_Your_Invoice25"/>
      <sheetName val="HVAC_BoQ25"/>
      <sheetName val="Body_Sheet24"/>
      <sheetName val="1_0_Executive_Summary24"/>
      <sheetName val="Rate_analysis13"/>
      <sheetName val="Top_sheet24"/>
      <sheetName val="Bill_223"/>
      <sheetName val="Ap_A22"/>
      <sheetName val="2_Div_14_22"/>
      <sheetName val="SHOPLIST_xls21"/>
      <sheetName val="beam-reinft-IIInd_floor21"/>
      <sheetName val="beam-reinft-machine_rm21"/>
      <sheetName val="Bill_122"/>
      <sheetName val="Bill_322"/>
      <sheetName val="Bill_422"/>
      <sheetName val="Bill_522"/>
      <sheetName val="Bill_622"/>
      <sheetName val="Bill_722"/>
      <sheetName val="POWER_ASSUMPTIONS21"/>
      <sheetName val="Civil_Boq20"/>
      <sheetName val="PROJECT_BRIEF22"/>
      <sheetName val="Invoice_Summary21"/>
      <sheetName val="C_(3)22"/>
      <sheetName val="Dubai_golf21"/>
      <sheetName val="Softscape_Buildup20"/>
      <sheetName val="Mat'l_Rate20"/>
      <sheetName val="WITHOUT_C&amp;I_PROFIT_(3)20"/>
      <sheetName val="Activity_List20"/>
      <sheetName val="HIRED_LABOUR_CODE18"/>
      <sheetName val="PA-_Consutant_18"/>
      <sheetName val="foot-slab_reinft18"/>
      <sheetName val="DETAILED__BOQ18"/>
      <sheetName val="M-Book_for_Conc18"/>
      <sheetName val="M-Book_for_FW18"/>
      <sheetName val="BILL_COV18"/>
      <sheetName val="Ra__stair18"/>
      <sheetName val="VALVE_CHAMBERS17"/>
      <sheetName val="Fire_Hydrants17"/>
      <sheetName val="B_GATE_VALVE17"/>
      <sheetName val="Sub_G1_Fire17"/>
      <sheetName val="Sub_G12_Fire17"/>
      <sheetName val="Eq__Mobilization16"/>
      <sheetName val="w't_table15"/>
      <sheetName val="Materials_Cost(PCC)17"/>
      <sheetName val="India_F&amp;S_Template17"/>
      <sheetName val="IO_LIST17"/>
      <sheetName val="Material_17"/>
      <sheetName val="Quote_Sheet17"/>
      <sheetName val="Day_work17"/>
      <sheetName val="bill_nb2-Plumbing_&amp;_Drainag15"/>
      <sheetName val="Pl_&amp;_Dr_B15"/>
      <sheetName val="Pl_&amp;_Dr_G15"/>
      <sheetName val="Pl_&amp;_Dr_M15"/>
      <sheetName val="Pl_&amp;_Dr_115"/>
      <sheetName val="Pl_&amp;_Dr_215"/>
      <sheetName val="Pl_&amp;_Dr_315"/>
      <sheetName val="Pl_&amp;_Dr_415"/>
      <sheetName val="Pl_&amp;_Dr_515"/>
      <sheetName val="Pl_&amp;_Dr_615"/>
      <sheetName val="Pl_&amp;_Dr_715"/>
      <sheetName val="Pl_&amp;_Dr_815"/>
      <sheetName val="Pl_&amp;_Dr_R15"/>
      <sheetName val="FF_B15"/>
      <sheetName val="FF_G15"/>
      <sheetName val="FF_M15"/>
      <sheetName val="FF_115"/>
      <sheetName val="FF_2_15"/>
      <sheetName val="FF_315"/>
      <sheetName val="FF_415"/>
      <sheetName val="FF_515"/>
      <sheetName val="FF_6_15"/>
      <sheetName val="FF_715"/>
      <sheetName val="FF_815"/>
      <sheetName val="FF_R15"/>
      <sheetName val="bill_nb3-FF15"/>
      <sheetName val="HVAC_B15"/>
      <sheetName val="HVAC_G15"/>
      <sheetName val="HVAC_M15"/>
      <sheetName val="HVAC_115"/>
      <sheetName val="HVAC_215"/>
      <sheetName val="HVAC_315"/>
      <sheetName val="HVAC_415"/>
      <sheetName val="HVAC_515"/>
      <sheetName val="HVAC_615"/>
      <sheetName val="HVAC_715"/>
      <sheetName val="HVAC_815"/>
      <sheetName val="HVAC_R15"/>
      <sheetName val="bill_nb4-HVAC15"/>
      <sheetName val="SC_B15"/>
      <sheetName val="SC_G15"/>
      <sheetName val="SC_M15"/>
      <sheetName val="SC_115"/>
      <sheetName val="SC_215"/>
      <sheetName val="SC_315"/>
      <sheetName val="SC_415"/>
      <sheetName val="SC_515"/>
      <sheetName val="SC_615"/>
      <sheetName val="SC_715"/>
      <sheetName val="SC_815"/>
      <sheetName val="SC_R15"/>
      <sheetName val="AV_B15"/>
      <sheetName val="AV_G15"/>
      <sheetName val="AV_M15"/>
      <sheetName val="AV_115"/>
      <sheetName val="AV_215"/>
      <sheetName val="AV_315"/>
      <sheetName val="AV_415"/>
      <sheetName val="AV_515"/>
      <sheetName val="AV_615"/>
      <sheetName val="AV_715"/>
      <sheetName val="AV_815"/>
      <sheetName val="EL_B15"/>
      <sheetName val="EL_M15"/>
      <sheetName val="EL_115"/>
      <sheetName val="EL_215"/>
      <sheetName val="EL_315"/>
      <sheetName val="EL_415"/>
      <sheetName val="EL_515"/>
      <sheetName val="EL_615"/>
      <sheetName val="EL_715"/>
      <sheetName val="EL_815"/>
      <sheetName val="EL_R15"/>
      <sheetName val="EL_TR15"/>
      <sheetName val="8-_EL15"/>
      <sheetName val="FA_B15"/>
      <sheetName val="FA_G15"/>
      <sheetName val="FA_M15"/>
      <sheetName val="FA_115"/>
      <sheetName val="FA_215"/>
      <sheetName val="FA_315"/>
      <sheetName val="FA_415"/>
      <sheetName val="FA_515"/>
      <sheetName val="FA_615"/>
      <sheetName val="FA_715"/>
      <sheetName val="FA_815"/>
      <sheetName val="FA_R15"/>
      <sheetName val="9-_FA15"/>
      <sheetName val="Div__0216"/>
      <sheetName val="Div__0316"/>
      <sheetName val="Div__0416"/>
      <sheetName val="Div__0516"/>
      <sheetName val="Div__0616"/>
      <sheetName val="Div__0716"/>
      <sheetName val="Div__0816"/>
      <sheetName val="Div__0916"/>
      <sheetName val="Div__1016"/>
      <sheetName val="Div__1116"/>
      <sheetName val="Div__1216"/>
      <sheetName val="Div_1316"/>
      <sheetName val="EXTERNAL_WORKS16"/>
      <sheetName val="PRODUCTIVITY_RATE16"/>
      <sheetName val="U_R_A_-_MASONRY16"/>
      <sheetName val="U_R_A_-_PLASTERING16"/>
      <sheetName val="U_R_A_-_TILING16"/>
      <sheetName val="U_R_A_-_GRANITE16"/>
      <sheetName val="V_C_2_-_EARTHWORK16"/>
      <sheetName val="V_C_9_-_CERAMIC16"/>
      <sheetName val="V_C_9_-_FINISHES16"/>
      <sheetName val="B09_116"/>
      <sheetName val="BOQ_Direct_selling_cost17"/>
      <sheetName val="Working_for_RCC16"/>
      <sheetName val="B185-B-9_116"/>
      <sheetName val="B185-B-9_216"/>
      <sheetName val="CHART_OF_ACCOUNTS16"/>
      <sheetName val="E-Bill_No_6_A-O16"/>
      <sheetName val="Elemental_Buildup15"/>
      <sheetName val="Division_244"/>
      <sheetName val="Division_415"/>
      <sheetName val="Division_515"/>
      <sheetName val="Division_615"/>
      <sheetName val="Division_715"/>
      <sheetName val="Division_815"/>
      <sheetName val="Division_915"/>
      <sheetName val="Division_1015"/>
      <sheetName val="Division_1215"/>
      <sheetName val="Division_1415"/>
      <sheetName val="Division_2118"/>
      <sheetName val="Division_2216"/>
      <sheetName val="Division_2315"/>
      <sheetName val="Division_2615"/>
      <sheetName val="Division_2715"/>
      <sheetName val="Division_2815"/>
      <sheetName val="Division_3115"/>
      <sheetName val="Division_3215"/>
      <sheetName val="Division_3315"/>
      <sheetName val="PMWeb_data16"/>
      <sheetName val="PointNo_515"/>
      <sheetName val="2_2)Revised_Cash_Flow15"/>
      <sheetName val="Employee_List13"/>
      <sheetName val="SS_MH16"/>
      <sheetName val="Index_List15"/>
      <sheetName val="Type_List15"/>
      <sheetName val="File_Types15"/>
      <sheetName val="Chiet_t15"/>
      <sheetName val="Staffing_and_Rates_IA15"/>
      <sheetName val="입찰내역_발주처_양식15"/>
      <sheetName val="Summary_of_Work13"/>
      <sheetName val="LIST_DO_NOT_REMOVE14"/>
      <sheetName val="Material_List_15"/>
      <sheetName val="PRECAST_lightconc-II17"/>
      <sheetName val="final_abstract17"/>
      <sheetName val="B6_2_14"/>
      <sheetName val="Staff_Acco_13"/>
      <sheetName val="TBAL9697_-group_wise__sdpl13"/>
      <sheetName val="Project_Cost_Breakdown13"/>
      <sheetName val="Item-_Compact13"/>
      <sheetName val="E_&amp;_R13"/>
      <sheetName val="Рабочий_лист12"/>
      <sheetName val="Annex_1_Sect_3a13"/>
      <sheetName val="Annex_1_Sect_3a_113"/>
      <sheetName val="Annex_1_Sect_3b13"/>
      <sheetName val="Annex_1_Sect_3c13"/>
      <sheetName val="HOURLY_RATES13"/>
      <sheetName val="PT_141-_Site_A_Landscape12"/>
      <sheetName val="SITE_WORK12"/>
      <sheetName val="Rate_summary12"/>
      <sheetName val="d-safe_DELUXE12"/>
      <sheetName val="Back_up12"/>
      <sheetName val="RAB_AR&amp;STR12"/>
      <sheetName val="Duct_Accesories12"/>
      <sheetName val="train_cash12"/>
      <sheetName val="accom_cash12"/>
      <sheetName val="INDIGINEOUS_ITEMS_12"/>
      <sheetName val="Common_Variables12"/>
      <sheetName val="Mall_waterproofing12"/>
      <sheetName val="MSCP_waterproofing12"/>
      <sheetName val="[SHOPLIST_xls]70,/0s«iÆøí¬i12"/>
      <sheetName val="GPL_Revenu_Update12"/>
      <sheetName val="DO_NOT_TOUCH12"/>
      <sheetName val="Work_Type12"/>
      <sheetName val="????_???_??12"/>
      <sheetName val="Labour_&amp;_Plant12"/>
      <sheetName val="Ave_wtd_rates12"/>
      <sheetName val="Debits_as_on_12_04_0812"/>
      <sheetName val="STAFFSCHED_12"/>
      <sheetName val="TRIAL_BALANCE12"/>
      <sheetName val="[SHOPLIST_xls][SHOPLIST_xls]718"/>
      <sheetName val="PROJECT_BRIEF(EX_NEW)12"/>
      <sheetName val="PPA_Summary8"/>
      <sheetName val="Mix_Design8"/>
      <sheetName val="AREA_OF_APPLICATION11"/>
      <sheetName val="Risk_Breakdown_Structure11"/>
      <sheetName val="Geneí¬_i11"/>
      <sheetName val="steel_total11"/>
      <sheetName val="ELE_BOQ11"/>
      <sheetName val="Z-_GENERAL_PRICE_SUMMARY8"/>
      <sheetName val="Resumo_Empreitadas8"/>
      <sheetName val="%_prog_figs_-u5_and_total8"/>
      <sheetName val="_VWVU))tÏØ0__9"/>
      <sheetName val="Floor_Box_9"/>
      <sheetName val="[SHOPLIST_xls]/VW7"/>
      <sheetName val="[SHOPLIST_xls]/VWVU))tÏØ0__29"/>
      <sheetName val="[SHOPLIST_xls]/VWVU))tÏØ0__30"/>
      <sheetName val="Equipment_Rates7"/>
      <sheetName val="Cashflow_projection7"/>
      <sheetName val="[SHOPLIST_xls][SHOPLIST_xls]719"/>
      <sheetName val="E_H_-_H__W_P_7"/>
      <sheetName val="E__H__Treatment_for_pile_cap7"/>
      <sheetName val="[SHOPLIST_xls][SHOPLIST_xls][S7"/>
      <sheetName val="Materials_7"/>
      <sheetName val="Form_67"/>
      <sheetName val="Risk_Register7"/>
      <sheetName val="Revised_Front_Page7"/>
      <sheetName val="Diff_Run01&amp;Run027"/>
      <sheetName val="CCS_Summary7"/>
      <sheetName val="1_Carillion_Staff7"/>
      <sheetName val="_2_Staff_&amp;_Gen_labour7"/>
      <sheetName val="3_Offices7"/>
      <sheetName val="4_TempServ7"/>
      <sheetName val="__5_Temp_Wks7"/>
      <sheetName val="_6_Addn_Plant7"/>
      <sheetName val="_7__Transport7"/>
      <sheetName val="_8_Testing7"/>
      <sheetName val="9__Miscellaneous7"/>
      <sheetName val="10__Design7"/>
      <sheetName val="_11_Insurances7"/>
      <sheetName val="_12_Client_Req_7"/>
      <sheetName val="Risk_List7"/>
      <sheetName val="Track_of_Changes7"/>
      <sheetName val="Bill_8_Doors_&amp;_Windows7"/>
      <sheetName val="Bill_9_Finishes_7"/>
      <sheetName val="Bill_10_Specialities7"/>
      <sheetName val="Dash_board7"/>
      <sheetName val="[SHOPLIST_xls]707"/>
      <sheetName val="[SHOPLIST_xls]70,7"/>
      <sheetName val="Site_Dev_BOQ7"/>
      <sheetName val="1_2_Staff_Schedule8"/>
      <sheetName val="[SHOPLIST_xls]/VWVU))tÏØ0__37"/>
      <sheetName val="[SHOPLIST_xls]/VWVU))tÏØ0__38"/>
      <sheetName val="Cost_Heading4"/>
      <sheetName val="D_&amp;_W_sizes4"/>
      <sheetName val="SOPMA_DD4"/>
      <sheetName val="PRICE_INFO4"/>
      <sheetName val="RC_SUMMARY4"/>
      <sheetName val="LABOUR_PRODUCTIVITY-TAV4"/>
      <sheetName val="MATERIAL_PRICES4"/>
      <sheetName val="P-100_MRF_DB_R14"/>
      <sheetName val="Base_BM-rebar7"/>
      <sheetName val="Contract_Division5"/>
      <sheetName val="SubContract_Type5"/>
      <sheetName val="Service_Type5"/>
      <sheetName val="Attach_4-184"/>
      <sheetName val="Area_Breakdown_PER_LEVEL_LINK7"/>
      <sheetName val="CF_Input7"/>
      <sheetName val="DATA_INPUT7"/>
      <sheetName val="Vordruck-Nr__7_1_3_D7"/>
      <sheetName val="M&amp;A_D7"/>
      <sheetName val="M&amp;A_E7"/>
      <sheetName val="M&amp;A_G7"/>
      <sheetName val="_SHOPLIST_xls_704"/>
      <sheetName val="_SHOPLIST_xls_70,_0s«iÆøí¬i4"/>
      <sheetName val="Data_Sheet7"/>
      <sheetName val="tender_allowances7"/>
      <sheetName val="_Summary_BKG_0347"/>
      <sheetName val="BILL_3R7"/>
      <sheetName val="BLOCK-A_(MEA_SHEET)7"/>
      <sheetName val="Bill_107"/>
      <sheetName val="Labour_Costs7"/>
      <sheetName val="Ewaan_Show_Kitchen_(2)4"/>
      <sheetName val="Cash_Flow_Working4"/>
      <sheetName val="MN_T_B_4"/>
      <sheetName val="Data_I_(2)4"/>
      <sheetName val="rEFERENCES_4"/>
      <sheetName val="Qtys_ZamZam_(Del__before)4"/>
      <sheetName val="Qtys_Relocation_(Del_before)4"/>
      <sheetName val="_Qtys_Sub_&amp;_Tents_(Del__before4"/>
      <sheetName val="Qtys__Signages_(Del__before)4"/>
      <sheetName val="Qtys_Temporary_Passages_(Del)4"/>
      <sheetName val="_Qtys_Ser__Rooms_(Del_before)4"/>
      <sheetName val="Labour_Rate_4"/>
      <sheetName val="[SHOPLIST_xls]/VWVU))tÏØ0__39"/>
      <sheetName val="[SHOPLIST_xls]70,/0s«_iÆø_í¬_i7"/>
      <sheetName val="[SHOPLIST_xls]70?,/0?s«i?Æøí¬i7"/>
      <sheetName val="/VWVU))tÏØ0__15"/>
      <sheetName val="GFA_HQ_Building26"/>
      <sheetName val="GFA_Conference25"/>
      <sheetName val="BQ_External25"/>
      <sheetName val="Penthouse_Apartment24"/>
      <sheetName val="Raw_Data24"/>
      <sheetName val="StattCo_yCharges24"/>
      <sheetName val="LEVEL_SHEET24"/>
      <sheetName val="SPT_vs_PHI24"/>
      <sheetName val="LABOUR_HISTOGRAM25"/>
      <sheetName val="Chiet_tinh_dz2224"/>
      <sheetName val="Chiet_tinh_dz3524"/>
      <sheetName val="@risk_rents_and_incentives24"/>
      <sheetName val="Car_park_lease24"/>
      <sheetName val="Net_rent_analysis24"/>
      <sheetName val="Poz-1_24"/>
      <sheetName val="Graph_Data_(DO_NOT_PRINT)24"/>
      <sheetName val="Bill_No__224"/>
      <sheetName val="CT_Thang_Mo24"/>
      <sheetName val="Lab_Cum_Hist24"/>
      <sheetName val="CT__PL23"/>
      <sheetName val="Projet,_methodes_&amp;_couts23"/>
      <sheetName val="Risques_majeurs_&amp;_Frais_Ind_23"/>
      <sheetName val="FOL_-_Bar24"/>
      <sheetName val="budget_summary_(2)23"/>
      <sheetName val="Budget_Analysis_Summary23"/>
      <sheetName val="intr_stool_brkup23"/>
      <sheetName val="Tender_Summary24"/>
      <sheetName val="Insurance_Ext24"/>
      <sheetName val="Customize_Your_Invoice24"/>
      <sheetName val="HVAC_BoQ24"/>
      <sheetName val="Body_Sheet23"/>
      <sheetName val="1_0_Executive_Summary23"/>
      <sheetName val="Top_sheet23"/>
      <sheetName val="Bill_222"/>
      <sheetName val="Ap_A21"/>
      <sheetName val="2_Div_14_21"/>
      <sheetName val="SHOPLIST_xls20"/>
      <sheetName val="beam-reinft-IIInd_floor20"/>
      <sheetName val="beam-reinft-machine_rm20"/>
      <sheetName val="Bill_121"/>
      <sheetName val="Bill_321"/>
      <sheetName val="Bill_421"/>
      <sheetName val="Bill_521"/>
      <sheetName val="Bill_621"/>
      <sheetName val="Bill_721"/>
      <sheetName val="POWER_ASSUMPTIONS20"/>
      <sheetName val="Civil_Boq19"/>
      <sheetName val="PROJECT_BRIEF21"/>
      <sheetName val="Invoice_Summary20"/>
      <sheetName val="C_(3)21"/>
      <sheetName val="Dubai_golf20"/>
      <sheetName val="Softscape_Buildup19"/>
      <sheetName val="Mat'l_Rate19"/>
      <sheetName val="WITHOUT_C&amp;I_PROFIT_(3)19"/>
      <sheetName val="Activity_List19"/>
      <sheetName val="HIRED_LABOUR_CODE17"/>
      <sheetName val="PA-_Consutant_17"/>
      <sheetName val="foot-slab_reinft17"/>
      <sheetName val="DETAILED__BOQ17"/>
      <sheetName val="M-Book_for_Conc17"/>
      <sheetName val="M-Book_for_FW17"/>
      <sheetName val="BILL_COV17"/>
      <sheetName val="Ra__stair17"/>
      <sheetName val="VALVE_CHAMBERS16"/>
      <sheetName val="Fire_Hydrants16"/>
      <sheetName val="B_GATE_VALVE16"/>
      <sheetName val="Sub_G1_Fire16"/>
      <sheetName val="Sub_G12_Fire16"/>
      <sheetName val="Eq__Mobilization15"/>
      <sheetName val="w't_table14"/>
      <sheetName val="Materials_Cost(PCC)16"/>
      <sheetName val="India_F&amp;S_Template16"/>
      <sheetName val="IO_LIST16"/>
      <sheetName val="Material_16"/>
      <sheetName val="Quote_Sheet16"/>
      <sheetName val="Day_work16"/>
      <sheetName val="bill_nb2-Plumbing_&amp;_Drainag14"/>
      <sheetName val="Pl_&amp;_Dr_B14"/>
      <sheetName val="Pl_&amp;_Dr_G14"/>
      <sheetName val="Pl_&amp;_Dr_M14"/>
      <sheetName val="Pl_&amp;_Dr_114"/>
      <sheetName val="Pl_&amp;_Dr_214"/>
      <sheetName val="Pl_&amp;_Dr_314"/>
      <sheetName val="Pl_&amp;_Dr_414"/>
      <sheetName val="Pl_&amp;_Dr_514"/>
      <sheetName val="Pl_&amp;_Dr_614"/>
      <sheetName val="Pl_&amp;_Dr_714"/>
      <sheetName val="Pl_&amp;_Dr_814"/>
      <sheetName val="Pl_&amp;_Dr_R14"/>
      <sheetName val="FF_B14"/>
      <sheetName val="FF_G14"/>
      <sheetName val="FF_M14"/>
      <sheetName val="FF_114"/>
      <sheetName val="FF_2_14"/>
      <sheetName val="FF_314"/>
      <sheetName val="FF_414"/>
      <sheetName val="FF_514"/>
      <sheetName val="FF_6_14"/>
      <sheetName val="FF_714"/>
      <sheetName val="FF_814"/>
      <sheetName val="FF_R14"/>
      <sheetName val="bill_nb3-FF14"/>
      <sheetName val="HVAC_B14"/>
      <sheetName val="HVAC_G14"/>
      <sheetName val="HVAC_M14"/>
      <sheetName val="HVAC_114"/>
      <sheetName val="HVAC_214"/>
      <sheetName val="HVAC_314"/>
      <sheetName val="HVAC_414"/>
      <sheetName val="HVAC_514"/>
      <sheetName val="HVAC_614"/>
      <sheetName val="HVAC_714"/>
      <sheetName val="HVAC_814"/>
      <sheetName val="HVAC_R14"/>
      <sheetName val="bill_nb4-HVAC14"/>
      <sheetName val="SC_B14"/>
      <sheetName val="SC_G14"/>
      <sheetName val="SC_M14"/>
      <sheetName val="SC_114"/>
      <sheetName val="SC_214"/>
      <sheetName val="SC_314"/>
      <sheetName val="SC_414"/>
      <sheetName val="SC_514"/>
      <sheetName val="SC_614"/>
      <sheetName val="SC_714"/>
      <sheetName val="SC_814"/>
      <sheetName val="SC_R14"/>
      <sheetName val="AV_B14"/>
      <sheetName val="AV_G14"/>
      <sheetName val="AV_M14"/>
      <sheetName val="AV_114"/>
      <sheetName val="AV_214"/>
      <sheetName val="AV_314"/>
      <sheetName val="AV_414"/>
      <sheetName val="AV_514"/>
      <sheetName val="AV_614"/>
      <sheetName val="AV_714"/>
      <sheetName val="AV_814"/>
      <sheetName val="EL_B14"/>
      <sheetName val="EL_M14"/>
      <sheetName val="EL_114"/>
      <sheetName val="EL_214"/>
      <sheetName val="EL_314"/>
      <sheetName val="EL_414"/>
      <sheetName val="EL_514"/>
      <sheetName val="EL_614"/>
      <sheetName val="EL_714"/>
      <sheetName val="EL_814"/>
      <sheetName val="EL_R14"/>
      <sheetName val="EL_TR14"/>
      <sheetName val="8-_EL14"/>
      <sheetName val="FA_B14"/>
      <sheetName val="FA_G14"/>
      <sheetName val="FA_M14"/>
      <sheetName val="FA_114"/>
      <sheetName val="FA_214"/>
      <sheetName val="FA_314"/>
      <sheetName val="FA_414"/>
      <sheetName val="FA_514"/>
      <sheetName val="FA_614"/>
      <sheetName val="FA_714"/>
      <sheetName val="FA_814"/>
      <sheetName val="FA_R14"/>
      <sheetName val="9-_FA14"/>
      <sheetName val="Div__0215"/>
      <sheetName val="Div__0315"/>
      <sheetName val="Div__0415"/>
      <sheetName val="Div__0515"/>
      <sheetName val="Div__0615"/>
      <sheetName val="Div__0715"/>
      <sheetName val="Div__0815"/>
      <sheetName val="Div__0915"/>
      <sheetName val="Div__1015"/>
      <sheetName val="Div__1115"/>
      <sheetName val="Div__1215"/>
      <sheetName val="Div_1315"/>
      <sheetName val="EXTERNAL_WORKS15"/>
      <sheetName val="PRODUCTIVITY_RATE15"/>
      <sheetName val="U_R_A_-_MASONRY15"/>
      <sheetName val="U_R_A_-_PLASTERING15"/>
      <sheetName val="U_R_A_-_TILING15"/>
      <sheetName val="U_R_A_-_GRANITE15"/>
      <sheetName val="V_C_2_-_EARTHWORK15"/>
      <sheetName val="V_C_9_-_CERAMIC15"/>
      <sheetName val="V_C_9_-_FINISHES15"/>
      <sheetName val="B09_115"/>
      <sheetName val="BOQ_Direct_selling_cost16"/>
      <sheetName val="Working_for_RCC15"/>
      <sheetName val="B185-B-9_115"/>
      <sheetName val="B185-B-9_215"/>
      <sheetName val="CHART_OF_ACCOUNTS15"/>
      <sheetName val="E-Bill_No_6_A-O15"/>
      <sheetName val="Elemental_Buildup14"/>
      <sheetName val="Division_243"/>
      <sheetName val="Division_414"/>
      <sheetName val="Division_514"/>
      <sheetName val="Division_614"/>
      <sheetName val="Division_714"/>
      <sheetName val="Division_814"/>
      <sheetName val="Division_914"/>
      <sheetName val="Division_1014"/>
      <sheetName val="Division_1214"/>
      <sheetName val="Division_1414"/>
      <sheetName val="Division_2117"/>
      <sheetName val="Division_2215"/>
      <sheetName val="Division_2314"/>
      <sheetName val="Division_2614"/>
      <sheetName val="Division_2714"/>
      <sheetName val="Division_2814"/>
      <sheetName val="Division_3114"/>
      <sheetName val="Division_3214"/>
      <sheetName val="Division_3314"/>
      <sheetName val="PMWeb_data15"/>
      <sheetName val="PointNo_514"/>
      <sheetName val="2_2)Revised_Cash_Flow14"/>
      <sheetName val="Employee_List12"/>
      <sheetName val="SS_MH15"/>
      <sheetName val="Index_List14"/>
      <sheetName val="Type_List14"/>
      <sheetName val="File_Types14"/>
      <sheetName val="Chiet_t14"/>
      <sheetName val="Staffing_and_Rates_IA14"/>
      <sheetName val="입찰내역_발주처_양식14"/>
      <sheetName val="Summary_of_Work12"/>
      <sheetName val="LIST_DO_NOT_REMOVE13"/>
      <sheetName val="Material_List_14"/>
      <sheetName val="PRECAST_lightconc-II16"/>
      <sheetName val="final_abstract16"/>
      <sheetName val="B6_2_13"/>
      <sheetName val="Staff_Acco_12"/>
      <sheetName val="TBAL9697_-group_wise__sdpl12"/>
      <sheetName val="Project_Cost_Breakdown12"/>
      <sheetName val="Item-_Compact12"/>
      <sheetName val="E_&amp;_R12"/>
      <sheetName val="Рабочий_лист11"/>
      <sheetName val="Annex_1_Sect_3a12"/>
      <sheetName val="Annex_1_Sect_3a_112"/>
      <sheetName val="Annex_1_Sect_3b12"/>
      <sheetName val="Annex_1_Sect_3c12"/>
      <sheetName val="HOURLY_RATES12"/>
      <sheetName val="PT_141-_Site_A_Landscape11"/>
      <sheetName val="SITE_WORK11"/>
      <sheetName val="Rate_summary11"/>
      <sheetName val="d-safe_DELUXE11"/>
      <sheetName val="Back_up11"/>
      <sheetName val="RAB_AR&amp;STR11"/>
      <sheetName val="Duct_Accesories11"/>
      <sheetName val="train_cash11"/>
      <sheetName val="accom_cash11"/>
      <sheetName val="INDIGINEOUS_ITEMS_11"/>
      <sheetName val="Common_Variables11"/>
      <sheetName val="Mall_waterproofing11"/>
      <sheetName val="MSCP_waterproofing11"/>
      <sheetName val="[SHOPLIST_xls]70,/0s«iÆøí¬i11"/>
      <sheetName val="GPL_Revenu_Update11"/>
      <sheetName val="DO_NOT_TOUCH11"/>
      <sheetName val="Work_Type11"/>
      <sheetName val="????_???_??11"/>
      <sheetName val="Labour_&amp;_Plant11"/>
      <sheetName val="Ave_wtd_rates11"/>
      <sheetName val="Debits_as_on_12_04_0811"/>
      <sheetName val="STAFFSCHED_11"/>
      <sheetName val="TRIAL_BALANCE11"/>
      <sheetName val="[SHOPLIST_xls][SHOPLIST_xls]716"/>
      <sheetName val="PROJECT_BRIEF(EX_NEW)11"/>
      <sheetName val="PPA_Summary7"/>
      <sheetName val="Mix_Design7"/>
      <sheetName val="AREA_OF_APPLICATION10"/>
      <sheetName val="Risk_Breakdown_Structure10"/>
      <sheetName val="Geneí¬_i10"/>
      <sheetName val="steel_total10"/>
      <sheetName val="ELE_BOQ10"/>
      <sheetName val="Z-_GENERAL_PRICE_SUMMARY7"/>
      <sheetName val="Resumo_Empreitadas7"/>
      <sheetName val="%_prog_figs_-u5_and_total7"/>
      <sheetName val="_VWVU))tÏØ0__8"/>
      <sheetName val="Floor_Box_8"/>
      <sheetName val="[SHOPLIST_xls]/VW6"/>
      <sheetName val="[SHOPLIST_xls]/VWVU))tÏØ0__20"/>
      <sheetName val="[SHOPLIST_xls]/VWVU))tÏØ0__26"/>
      <sheetName val="Equipment_Rates6"/>
      <sheetName val="Cashflow_projection6"/>
      <sheetName val="[SHOPLIST_xls][SHOPLIST_xls]717"/>
      <sheetName val="E_H_-_H__W_P_6"/>
      <sheetName val="E__H__Treatment_for_pile_cap6"/>
      <sheetName val="[SHOPLIST_xls][SHOPLIST_xls][S6"/>
      <sheetName val="Materials_6"/>
      <sheetName val="Form_66"/>
      <sheetName val="Risk_Register6"/>
      <sheetName val="Revised_Front_Page6"/>
      <sheetName val="Diff_Run01&amp;Run026"/>
      <sheetName val="CCS_Summary6"/>
      <sheetName val="1_Carillion_Staff6"/>
      <sheetName val="_2_Staff_&amp;_Gen_labour6"/>
      <sheetName val="3_Offices6"/>
      <sheetName val="4_TempServ6"/>
      <sheetName val="__5_Temp_Wks6"/>
      <sheetName val="_6_Addn_Plant6"/>
      <sheetName val="_7__Transport6"/>
      <sheetName val="_8_Testing6"/>
      <sheetName val="9__Miscellaneous6"/>
      <sheetName val="10__Design6"/>
      <sheetName val="_11_Insurances6"/>
      <sheetName val="_12_Client_Req_6"/>
      <sheetName val="Risk_List6"/>
      <sheetName val="Track_of_Changes6"/>
      <sheetName val="Bill_8_Doors_&amp;_Windows6"/>
      <sheetName val="Bill_9_Finishes_6"/>
      <sheetName val="Bill_10_Specialities6"/>
      <sheetName val="Dash_board6"/>
      <sheetName val="[SHOPLIST_xls]706"/>
      <sheetName val="[SHOPLIST_xls]70,6"/>
      <sheetName val="Site_Dev_BOQ6"/>
      <sheetName val="1_2_Staff_Schedule7"/>
      <sheetName val="[SHOPLIST_xls]/VWVU))tÏØ0__27"/>
      <sheetName val="[SHOPLIST_xls]/VWVU))tÏØ0__28"/>
      <sheetName val="Cost_Heading3"/>
      <sheetName val="D_&amp;_W_sizes3"/>
      <sheetName val="SOPMA_DD3"/>
      <sheetName val="PRICE_INFO3"/>
      <sheetName val="RC_SUMMARY3"/>
      <sheetName val="LABOUR_PRODUCTIVITY-TAV3"/>
      <sheetName val="MATERIAL_PRICES3"/>
      <sheetName val="P-100_MRF_DB_R13"/>
      <sheetName val="Base_BM-rebar6"/>
      <sheetName val="Contract_Division4"/>
      <sheetName val="SubContract_Type4"/>
      <sheetName val="Service_Type4"/>
      <sheetName val="Attach_4-183"/>
      <sheetName val="Area_Breakdown_PER_LEVEL_LINK6"/>
      <sheetName val="CF_Input6"/>
      <sheetName val="DATA_INPUT6"/>
      <sheetName val="Vordruck-Nr__7_1_3_D6"/>
      <sheetName val="M&amp;A_D6"/>
      <sheetName val="M&amp;A_E6"/>
      <sheetName val="M&amp;A_G6"/>
      <sheetName val="_SHOPLIST_xls_703"/>
      <sheetName val="_SHOPLIST_xls_70,_0s«iÆøí¬i3"/>
      <sheetName val="Data_Sheet6"/>
      <sheetName val="tender_allowances6"/>
      <sheetName val="_Summary_BKG_0346"/>
      <sheetName val="BILL_3R6"/>
      <sheetName val="BLOCK-A_(MEA_SHEET)6"/>
      <sheetName val="Bill_106"/>
      <sheetName val="Labour_Costs6"/>
      <sheetName val="Ewaan_Show_Kitchen_(2)3"/>
      <sheetName val="Cash_Flow_Working3"/>
      <sheetName val="MN_T_B_3"/>
      <sheetName val="Data_I_(2)3"/>
      <sheetName val="rEFERENCES_3"/>
      <sheetName val="Qtys_ZamZam_(Del__before)3"/>
      <sheetName val="Qtys_Relocation_(Del_before)3"/>
      <sheetName val="_Qtys_Sub_&amp;_Tents_(Del__before3"/>
      <sheetName val="Qtys__Signages_(Del__before)3"/>
      <sheetName val="Qtys_Temporary_Passages_(Del)3"/>
      <sheetName val="_Qtys_Ser__Rooms_(Del_before)3"/>
      <sheetName val="Labour_Rate_3"/>
      <sheetName val="[SHOPLIST_xls]/VWVU))tÏØ0__36"/>
      <sheetName val="[SHOPLIST_xls]70,/0s«_iÆø_í¬_i6"/>
      <sheetName val="[SHOPLIST_xls]70?,/0?s«i?Æøí¬i6"/>
      <sheetName val="Tables"/>
      <sheetName val="PRL"/>
      <sheetName val="PB"/>
      <sheetName val="GFA_HQ_Building29"/>
      <sheetName val="GFA_Conference28"/>
      <sheetName val="Chiet_tinh_dz2227"/>
      <sheetName val="Chiet_tinh_dz3527"/>
      <sheetName val="BQ_External28"/>
      <sheetName val="StattCo_yCharges27"/>
      <sheetName val="CT_Thang_Mo27"/>
      <sheetName val="Raw_Data27"/>
      <sheetName val="Penthouse_Apartment27"/>
      <sheetName val="LABOUR_HISTOGRAM28"/>
      <sheetName val="@risk_rents_and_incentives27"/>
      <sheetName val="Car_park_lease27"/>
      <sheetName val="Net_rent_analysis27"/>
      <sheetName val="Poz-1_27"/>
      <sheetName val="Lab_Cum_Hist27"/>
      <sheetName val="Graph_Data_(DO_NOT_PRINT)27"/>
      <sheetName val="CT__PL26"/>
      <sheetName val="Projet,_methodes_&amp;_couts26"/>
      <sheetName val="Risques_majeurs_&amp;_Frais_Ind_26"/>
      <sheetName val="LEVEL_SHEET27"/>
      <sheetName val="SPT_vs_PHI27"/>
      <sheetName val="Bill_No__227"/>
      <sheetName val="budget_summary_(2)26"/>
      <sheetName val="Budget_Analysis_Summary26"/>
      <sheetName val="Customize_Your_Invoice27"/>
      <sheetName val="HVAC_BoQ27"/>
      <sheetName val="FOL_-_Bar27"/>
      <sheetName val="Tender_Summary27"/>
      <sheetName val="Insurance_Ext27"/>
      <sheetName val="intr_stool_brkup26"/>
      <sheetName val="Top_sheet26"/>
      <sheetName val="Body_Sheet26"/>
      <sheetName val="1_0_Executive_Summary26"/>
      <sheetName val="Bill_124"/>
      <sheetName val="Bill_225"/>
      <sheetName val="Bill_324"/>
      <sheetName val="Bill_424"/>
      <sheetName val="Bill_524"/>
      <sheetName val="Bill_624"/>
      <sheetName val="Bill_724"/>
      <sheetName val="2_Div_14_24"/>
      <sheetName val="Ap_A24"/>
      <sheetName val="SHOPLIST_xls23"/>
      <sheetName val="Dubai_golf23"/>
      <sheetName val="beam-reinft-IIInd_floor23"/>
      <sheetName val="beam-reinft-machine_rm23"/>
      <sheetName val="POWER_ASSUMPTIONS23"/>
      <sheetName val="Invoice_Summary23"/>
      <sheetName val="PROJECT_BRIEF24"/>
      <sheetName val="C_(3)24"/>
      <sheetName val="Civil_Boq22"/>
      <sheetName val="WITHOUT_C&amp;I_PROFIT_(3)22"/>
      <sheetName val="VALVE_CHAMBERS19"/>
      <sheetName val="Fire_Hydrants19"/>
      <sheetName val="B_GATE_VALVE19"/>
      <sheetName val="Sub_G1_Fire19"/>
      <sheetName val="Sub_G12_Fire19"/>
      <sheetName val="BILL_COV20"/>
      <sheetName val="Activity_List22"/>
      <sheetName val="DETAILED__BOQ20"/>
      <sheetName val="M-Book_for_Conc20"/>
      <sheetName val="M-Book_for_FW20"/>
      <sheetName val="HIRED_LABOUR_CODE20"/>
      <sheetName val="PA-_Consutant_20"/>
      <sheetName val="foot-slab_reinft20"/>
      <sheetName val="Softscape_Buildup22"/>
      <sheetName val="Mat'l_Rate22"/>
      <sheetName val="Ra__stair20"/>
      <sheetName val="Materials_Cost(PCC)19"/>
      <sheetName val="India_F&amp;S_Template19"/>
      <sheetName val="IO_LIST19"/>
      <sheetName val="Material_19"/>
      <sheetName val="Quote_Sheet19"/>
      <sheetName val="Day_work19"/>
      <sheetName val="Div__0218"/>
      <sheetName val="Div__0318"/>
      <sheetName val="Div__0418"/>
      <sheetName val="Div__0518"/>
      <sheetName val="Div__0618"/>
      <sheetName val="Div__0718"/>
      <sheetName val="Div__0818"/>
      <sheetName val="Div__0918"/>
      <sheetName val="Div__1018"/>
      <sheetName val="Div__1118"/>
      <sheetName val="Div__1218"/>
      <sheetName val="Div_1318"/>
      <sheetName val="EXTERNAL_WORKS18"/>
      <sheetName val="PRODUCTIVITY_RATE18"/>
      <sheetName val="U_R_A_-_MASONRY18"/>
      <sheetName val="U_R_A_-_PLASTERING18"/>
      <sheetName val="U_R_A_-_TILING18"/>
      <sheetName val="U_R_A_-_GRANITE18"/>
      <sheetName val="V_C_2_-_EARTHWORK18"/>
      <sheetName val="V_C_9_-_CERAMIC18"/>
      <sheetName val="V_C_9_-_FINISHES18"/>
      <sheetName val="Working_for_RCC18"/>
      <sheetName val="Elemental_Buildup17"/>
      <sheetName val="Eq__Mobilization18"/>
      <sheetName val="w't_table17"/>
      <sheetName val="bill_nb2-Plumbing_&amp;_Drainag17"/>
      <sheetName val="Pl_&amp;_Dr_B17"/>
      <sheetName val="Pl_&amp;_Dr_G17"/>
      <sheetName val="Pl_&amp;_Dr_M17"/>
      <sheetName val="Pl_&amp;_Dr_117"/>
      <sheetName val="Pl_&amp;_Dr_217"/>
      <sheetName val="Pl_&amp;_Dr_317"/>
      <sheetName val="Pl_&amp;_Dr_417"/>
      <sheetName val="Pl_&amp;_Dr_517"/>
      <sheetName val="Pl_&amp;_Dr_617"/>
      <sheetName val="Pl_&amp;_Dr_717"/>
      <sheetName val="Pl_&amp;_Dr_817"/>
      <sheetName val="Pl_&amp;_Dr_R17"/>
      <sheetName val="FF_B17"/>
      <sheetName val="FF_G17"/>
      <sheetName val="FF_M17"/>
      <sheetName val="FF_117"/>
      <sheetName val="FF_2_17"/>
      <sheetName val="FF_317"/>
      <sheetName val="FF_417"/>
      <sheetName val="FF_517"/>
      <sheetName val="FF_6_17"/>
      <sheetName val="FF_717"/>
      <sheetName val="FF_817"/>
      <sheetName val="FF_R17"/>
      <sheetName val="bill_nb3-FF17"/>
      <sheetName val="HVAC_B17"/>
      <sheetName val="HVAC_G17"/>
      <sheetName val="HVAC_M17"/>
      <sheetName val="HVAC_117"/>
      <sheetName val="HVAC_217"/>
      <sheetName val="HVAC_317"/>
      <sheetName val="HVAC_417"/>
      <sheetName val="HVAC_517"/>
      <sheetName val="HVAC_617"/>
      <sheetName val="HVAC_717"/>
      <sheetName val="HVAC_817"/>
      <sheetName val="HVAC_R17"/>
      <sheetName val="bill_nb4-HVAC17"/>
      <sheetName val="SC_B17"/>
      <sheetName val="SC_G17"/>
      <sheetName val="SC_M17"/>
      <sheetName val="SC_117"/>
      <sheetName val="SC_217"/>
      <sheetName val="SC_317"/>
      <sheetName val="SC_417"/>
      <sheetName val="SC_517"/>
      <sheetName val="SC_617"/>
      <sheetName val="SC_717"/>
      <sheetName val="SC_817"/>
      <sheetName val="SC_R17"/>
      <sheetName val="AV_B17"/>
      <sheetName val="AV_G17"/>
      <sheetName val="AV_M17"/>
      <sheetName val="AV_117"/>
      <sheetName val="AV_217"/>
      <sheetName val="AV_317"/>
      <sheetName val="AV_417"/>
      <sheetName val="AV_517"/>
      <sheetName val="AV_617"/>
      <sheetName val="AV_717"/>
      <sheetName val="AV_817"/>
      <sheetName val="EL_B17"/>
      <sheetName val="EL_M17"/>
      <sheetName val="EL_117"/>
      <sheetName val="EL_217"/>
      <sheetName val="EL_317"/>
      <sheetName val="EL_417"/>
      <sheetName val="EL_517"/>
      <sheetName val="EL_617"/>
      <sheetName val="EL_717"/>
      <sheetName val="EL_817"/>
      <sheetName val="EL_R17"/>
      <sheetName val="EL_TR17"/>
      <sheetName val="8-_EL17"/>
      <sheetName val="FA_B17"/>
      <sheetName val="FA_G17"/>
      <sheetName val="FA_M17"/>
      <sheetName val="FA_117"/>
      <sheetName val="FA_217"/>
      <sheetName val="FA_317"/>
      <sheetName val="FA_417"/>
      <sheetName val="FA_517"/>
      <sheetName val="FA_617"/>
      <sheetName val="FA_717"/>
      <sheetName val="FA_817"/>
      <sheetName val="FA_R17"/>
      <sheetName val="9-_FA17"/>
      <sheetName val="BOQ_Direct_selling_cost19"/>
      <sheetName val="CHART_OF_ACCOUNTS18"/>
      <sheetName val="B185-B-9_118"/>
      <sheetName val="B185-B-9_218"/>
      <sheetName val="Material_List_17"/>
      <sheetName val="E-Bill_No_6_A-O18"/>
      <sheetName val="B09_118"/>
      <sheetName val="Division_246"/>
      <sheetName val="Division_417"/>
      <sheetName val="Division_517"/>
      <sheetName val="Division_617"/>
      <sheetName val="Division_717"/>
      <sheetName val="Division_817"/>
      <sheetName val="Division_917"/>
      <sheetName val="Division_1017"/>
      <sheetName val="Division_1217"/>
      <sheetName val="Division_1417"/>
      <sheetName val="Division_2120"/>
      <sheetName val="Division_2218"/>
      <sheetName val="Division_2317"/>
      <sheetName val="Division_2617"/>
      <sheetName val="Division_2717"/>
      <sheetName val="Division_2817"/>
      <sheetName val="Division_3117"/>
      <sheetName val="Division_3217"/>
      <sheetName val="Division_3317"/>
      <sheetName val="PMWeb_data18"/>
      <sheetName val="PointNo_517"/>
      <sheetName val="SS_MH18"/>
      <sheetName val="2_2)Revised_Cash_Flow17"/>
      <sheetName val="입찰내역_발주처_양식17"/>
      <sheetName val="/VWVU))tÏØ0__18"/>
      <sheetName val="LIST_DO_NOT_REMOVE16"/>
      <sheetName val="Index_List17"/>
      <sheetName val="Type_List17"/>
      <sheetName val="File_Types17"/>
      <sheetName val="Chiet_t17"/>
      <sheetName val="Staffing_and_Rates_IA17"/>
      <sheetName val="Summary_of_Work15"/>
      <sheetName val="PRECAST_lightconc-II19"/>
      <sheetName val="final_abstract19"/>
      <sheetName val="Staff_Acco_15"/>
      <sheetName val="TBAL9697_-group_wise__sdpl15"/>
      <sheetName val="Employee_List15"/>
      <sheetName val="Project_Cost_Breakdown15"/>
      <sheetName val="B6_2_16"/>
      <sheetName val="Item-_Compact15"/>
      <sheetName val="E_&amp;_R15"/>
      <sheetName val="Рабочий_лист14"/>
      <sheetName val="SITE_WORK14"/>
      <sheetName val="Annex_1_Sect_3a15"/>
      <sheetName val="Annex_1_Sect_3a_115"/>
      <sheetName val="Annex_1_Sect_3b15"/>
      <sheetName val="Annex_1_Sect_3c15"/>
      <sheetName val="HOURLY_RATES15"/>
      <sheetName val="Rate_summary14"/>
      <sheetName val="RAB_AR&amp;STR14"/>
      <sheetName val="d-safe_DELUXE14"/>
      <sheetName val="Back_up14"/>
      <sheetName val="PT_141-_Site_A_Landscape14"/>
      <sheetName val="train_cash14"/>
      <sheetName val="accom_cash14"/>
      <sheetName val="INDIGINEOUS_ITEMS_14"/>
      <sheetName val="Duct_Accesories14"/>
      <sheetName val="Mall_waterproofing14"/>
      <sheetName val="MSCP_waterproofing14"/>
      <sheetName val="????_???_??14"/>
      <sheetName val="Labour_&amp;_Plant14"/>
      <sheetName val="Ave_wtd_rates14"/>
      <sheetName val="Debits_as_on_12_04_0814"/>
      <sheetName val="STAFFSCHED_14"/>
      <sheetName val="TRIAL_BALANCE14"/>
      <sheetName val="[SHOPLIST_xls][SHOPLIST_xls]722"/>
      <sheetName val="Common_Variables14"/>
      <sheetName val="[SHOPLIST_xls]70,/0s«iÆøí¬i14"/>
      <sheetName val="GPL_Revenu_Update14"/>
      <sheetName val="DO_NOT_TOUCH14"/>
      <sheetName val="Work_Type14"/>
      <sheetName val="PROJECT_BRIEF(EX_NEW)14"/>
      <sheetName val="AREA_OF_APPLICATION13"/>
      <sheetName val="Risk_Breakdown_Structure13"/>
      <sheetName val="Geneí¬_i13"/>
      <sheetName val="steel_total13"/>
      <sheetName val="ELE_BOQ13"/>
      <sheetName val="Z-_GENERAL_PRICE_SUMMARY10"/>
      <sheetName val="Resumo_Empreitadas10"/>
      <sheetName val="PPA_Summary10"/>
      <sheetName val="Mix_Design10"/>
      <sheetName val="%_prog_figs_-u5_and_total10"/>
      <sheetName val="_VWVU))tÏØ0__11"/>
      <sheetName val="Floor_Box_11"/>
      <sheetName val="Equipment_Rates9"/>
      <sheetName val="[SHOPLIST_xls]/VW9"/>
      <sheetName val="[SHOPLIST_xls]/VWVU))tÏØ0__45"/>
      <sheetName val="[SHOPLIST_xls]/VWVU))tÏØ0__46"/>
      <sheetName val="Cashflow_projection9"/>
      <sheetName val="[SHOPLIST_xls][SHOPLIST_xls]723"/>
      <sheetName val="E_H_-_H__W_P_9"/>
      <sheetName val="E__H__Treatment_for_pile_cap9"/>
      <sheetName val="[SHOPLIST_xls][SHOPLIST_xls][S9"/>
      <sheetName val="Form_69"/>
      <sheetName val="Risk_Register9"/>
      <sheetName val="Revised_Front_Page9"/>
      <sheetName val="Diff_Run01&amp;Run029"/>
      <sheetName val="CCS_Summary9"/>
      <sheetName val="1_Carillion_Staff9"/>
      <sheetName val="_2_Staff_&amp;_Gen_labour9"/>
      <sheetName val="3_Offices9"/>
      <sheetName val="4_TempServ9"/>
      <sheetName val="__5_Temp_Wks9"/>
      <sheetName val="_6_Addn_Plant9"/>
      <sheetName val="_7__Transport9"/>
      <sheetName val="_8_Testing9"/>
      <sheetName val="9__Miscellaneous9"/>
      <sheetName val="10__Design9"/>
      <sheetName val="_11_Insurances9"/>
      <sheetName val="_12_Client_Req_9"/>
      <sheetName val="Risk_List9"/>
      <sheetName val="Track_of_Changes9"/>
      <sheetName val="Bill_8_Doors_&amp;_Windows9"/>
      <sheetName val="Bill_9_Finishes_9"/>
      <sheetName val="Bill_10_Specialities9"/>
      <sheetName val="Dash_board9"/>
      <sheetName val="[SHOPLIST_xls]709"/>
      <sheetName val="[SHOPLIST_xls]70,9"/>
      <sheetName val="Base_BM-rebar9"/>
      <sheetName val="Materials_9"/>
      <sheetName val="Site_Dev_BOQ9"/>
      <sheetName val="Data_Sheet9"/>
      <sheetName val="tender_allowances9"/>
      <sheetName val="_Summary_BKG_0349"/>
      <sheetName val="BILL_3R9"/>
      <sheetName val="Area_Breakdown_PER_LEVEL_LINK9"/>
      <sheetName val="CF_Input9"/>
      <sheetName val="DATA_INPUT9"/>
      <sheetName val="Vordruck-Nr__7_1_3_D9"/>
      <sheetName val="M&amp;A_D9"/>
      <sheetName val="M&amp;A_E9"/>
      <sheetName val="M&amp;A_G9"/>
      <sheetName val="1_2_Staff_Schedule10"/>
      <sheetName val="Bill_109"/>
      <sheetName val="[SHOPLIST_xls]/VWVU))tÏØ0__47"/>
      <sheetName val="[SHOPLIST_xls]/VWVU))tÏØ0__48"/>
      <sheetName val="[SHOPLIST_xls]/VWVU))tÏØ0__49"/>
      <sheetName val="[SHOPLIST_xls]70,/0s«_iÆø_í¬_i9"/>
      <sheetName val="[SHOPLIST_xls]70?,/0?s«i?Æøí¬i9"/>
      <sheetName val="Labour_Costs9"/>
      <sheetName val="BLOCK-A_(MEA_SHEET)9"/>
      <sheetName val="Contract_Division7"/>
      <sheetName val="SubContract_Type7"/>
      <sheetName val="Service_Type7"/>
      <sheetName val="Cost_Heading6"/>
      <sheetName val="D_&amp;_W_sizes6"/>
      <sheetName val="SOPMA_DD6"/>
      <sheetName val="PRICE_INFO6"/>
      <sheetName val="RC_SUMMARY6"/>
      <sheetName val="LABOUR_PRODUCTIVITY-TAV6"/>
      <sheetName val="MATERIAL_PRICES6"/>
      <sheetName val="P-100_MRF_DB_R16"/>
      <sheetName val="Attach_4-186"/>
      <sheetName val="_SHOPLIST_xls_706"/>
      <sheetName val="_SHOPLIST_xls_70,_0s«iÆøí¬i6"/>
      <sheetName val="Ewaan_Show_Kitchen_(2)6"/>
      <sheetName val="Cash_Flow_Working6"/>
      <sheetName val="MN_T_B_6"/>
      <sheetName val="Data_I_(2)6"/>
      <sheetName val="rEFERENCES_6"/>
      <sheetName val="Qtys_ZamZam_(Del__before)6"/>
      <sheetName val="Qtys_Relocation_(Del_before)6"/>
      <sheetName val="_Qtys_Sub_&amp;_Tents_(Del__before6"/>
      <sheetName val="Qtys__Signages_(Del__before)6"/>
      <sheetName val="Qtys_Temporary_Passages_(Del)6"/>
      <sheetName val="_Qtys_Ser__Rooms_(Del_before)6"/>
      <sheetName val="Labour_Rate_6"/>
      <sheetName val="2F_회의실견적(5_14_일대)2"/>
      <sheetName val="_HIT-&gt;HMC_견적(3900)2"/>
      <sheetName val="Appendix_B2"/>
      <sheetName val="BOQ_(2)"/>
      <sheetName val="LABOUR_RATE"/>
      <sheetName val="Material_Rate"/>
      <sheetName val="Labor_abs-PW"/>
      <sheetName val="Labor_abs-NMR"/>
      <sheetName val="kppl_pl"/>
      <sheetName val="Basic_Rates"/>
      <sheetName val="Combined_Results_"/>
      <sheetName val="Div_07_Thermal_&amp;_Moisture"/>
      <sheetName val="precast_RC_element"/>
      <sheetName val="pile_Fabrication"/>
      <sheetName val="AOP_Summary-2"/>
      <sheetName val="May_05"/>
      <sheetName val="April_05"/>
      <sheetName val="Aug_05"/>
      <sheetName val="July_05"/>
      <sheetName val="June_05"/>
      <sheetName val="Nov_05"/>
      <sheetName val="Oct_05"/>
      <sheetName val="Sep_05"/>
      <sheetName val="Data_Validation"/>
      <sheetName val="Div26_-_Elect"/>
      <sheetName val="CHUNG_CU_CARRILON"/>
      <sheetName val="GFA_HQ_Building30"/>
      <sheetName val="GFA_Conference29"/>
      <sheetName val="Chiet_tinh_dz2228"/>
      <sheetName val="Chiet_tinh_dz3528"/>
      <sheetName val="BQ_External29"/>
      <sheetName val="StattCo_yCharges28"/>
      <sheetName val="CT_Thang_Mo28"/>
      <sheetName val="Raw_Data28"/>
      <sheetName val="Penthouse_Apartment28"/>
      <sheetName val="LABOUR_HISTOGRAM29"/>
      <sheetName val="@risk_rents_and_incentives28"/>
      <sheetName val="Car_park_lease28"/>
      <sheetName val="Net_rent_analysis28"/>
      <sheetName val="Poz-1_28"/>
      <sheetName val="Lab_Cum_Hist28"/>
      <sheetName val="Graph_Data_(DO_NOT_PRINT)28"/>
      <sheetName val="CT__PL27"/>
      <sheetName val="Projet,_methodes_&amp;_couts27"/>
      <sheetName val="Risques_majeurs_&amp;_Frais_Ind_27"/>
      <sheetName val="LEVEL_SHEET28"/>
      <sheetName val="SPT_vs_PHI28"/>
      <sheetName val="Bill_No__228"/>
      <sheetName val="budget_summary_(2)27"/>
      <sheetName val="Budget_Analysis_Summary27"/>
      <sheetName val="Customize_Your_Invoice28"/>
      <sheetName val="HVAC_BoQ28"/>
      <sheetName val="FOL_-_Bar28"/>
      <sheetName val="Tender_Summary28"/>
      <sheetName val="Insurance_Ext28"/>
      <sheetName val="intr_stool_brkup27"/>
      <sheetName val="Top_sheet27"/>
      <sheetName val="Body_Sheet27"/>
      <sheetName val="1_0_Executive_Summary27"/>
      <sheetName val="Bill_125"/>
      <sheetName val="Bill_226"/>
      <sheetName val="Bill_325"/>
      <sheetName val="Bill_425"/>
      <sheetName val="Bill_525"/>
      <sheetName val="Bill_625"/>
      <sheetName val="Bill_725"/>
      <sheetName val="2_Div_14_25"/>
      <sheetName val="Ap_A25"/>
      <sheetName val="SHOPLIST_xls24"/>
      <sheetName val="Dubai_golf24"/>
      <sheetName val="beam-reinft-IIInd_floor24"/>
      <sheetName val="beam-reinft-machine_rm24"/>
      <sheetName val="POWER_ASSUMPTIONS24"/>
      <sheetName val="Invoice_Summary24"/>
      <sheetName val="PROJECT_BRIEF25"/>
      <sheetName val="C_(3)25"/>
      <sheetName val="Civil_Boq23"/>
      <sheetName val="WITHOUT_C&amp;I_PROFIT_(3)23"/>
      <sheetName val="VALVE_CHAMBERS20"/>
      <sheetName val="Fire_Hydrants20"/>
      <sheetName val="B_GATE_VALVE20"/>
      <sheetName val="Sub_G1_Fire20"/>
      <sheetName val="Sub_G12_Fire20"/>
      <sheetName val="BILL_COV21"/>
      <sheetName val="Activity_List23"/>
      <sheetName val="DETAILED__BOQ21"/>
      <sheetName val="M-Book_for_Conc21"/>
      <sheetName val="M-Book_for_FW21"/>
      <sheetName val="HIRED_LABOUR_CODE21"/>
      <sheetName val="PA-_Consutant_21"/>
      <sheetName val="foot-slab_reinft21"/>
      <sheetName val="Softscape_Buildup23"/>
      <sheetName val="Mat'l_Rate23"/>
      <sheetName val="Ra__stair21"/>
      <sheetName val="Materials_Cost(PCC)20"/>
      <sheetName val="India_F&amp;S_Template20"/>
      <sheetName val="IO_LIST20"/>
      <sheetName val="Material_20"/>
      <sheetName val="Quote_Sheet20"/>
      <sheetName val="Day_work20"/>
      <sheetName val="Div__0219"/>
      <sheetName val="Div__0319"/>
      <sheetName val="Div__0419"/>
      <sheetName val="Div__0519"/>
      <sheetName val="Div__0619"/>
      <sheetName val="Div__0719"/>
      <sheetName val="Div__0819"/>
      <sheetName val="Div__0919"/>
      <sheetName val="Div__1019"/>
      <sheetName val="Div__1119"/>
      <sheetName val="Div__1219"/>
      <sheetName val="Div_1319"/>
      <sheetName val="EXTERNAL_WORKS19"/>
      <sheetName val="PRODUCTIVITY_RATE19"/>
      <sheetName val="U_R_A_-_MASONRY19"/>
      <sheetName val="U_R_A_-_PLASTERING19"/>
      <sheetName val="U_R_A_-_TILING19"/>
      <sheetName val="U_R_A_-_GRANITE19"/>
      <sheetName val="V_C_2_-_EARTHWORK19"/>
      <sheetName val="V_C_9_-_CERAMIC19"/>
      <sheetName val="V_C_9_-_FINISHES19"/>
      <sheetName val="Working_for_RCC19"/>
      <sheetName val="Elemental_Buildup18"/>
      <sheetName val="Eq__Mobilization19"/>
      <sheetName val="w't_table18"/>
      <sheetName val="bill_nb2-Plumbing_&amp;_Drainag18"/>
      <sheetName val="Pl_&amp;_Dr_B18"/>
      <sheetName val="Pl_&amp;_Dr_G18"/>
      <sheetName val="Pl_&amp;_Dr_M18"/>
      <sheetName val="Pl_&amp;_Dr_118"/>
      <sheetName val="Pl_&amp;_Dr_218"/>
      <sheetName val="Pl_&amp;_Dr_318"/>
      <sheetName val="Pl_&amp;_Dr_418"/>
      <sheetName val="Pl_&amp;_Dr_518"/>
      <sheetName val="Pl_&amp;_Dr_618"/>
      <sheetName val="Pl_&amp;_Dr_718"/>
      <sheetName val="Pl_&amp;_Dr_818"/>
      <sheetName val="Pl_&amp;_Dr_R18"/>
      <sheetName val="FF_B18"/>
      <sheetName val="FF_G18"/>
      <sheetName val="FF_M18"/>
      <sheetName val="FF_118"/>
      <sheetName val="FF_2_18"/>
      <sheetName val="FF_318"/>
      <sheetName val="FF_418"/>
      <sheetName val="FF_518"/>
      <sheetName val="FF_6_18"/>
      <sheetName val="FF_718"/>
      <sheetName val="FF_818"/>
      <sheetName val="FF_R18"/>
      <sheetName val="bill_nb3-FF18"/>
      <sheetName val="HVAC_B18"/>
      <sheetName val="HVAC_G18"/>
      <sheetName val="HVAC_M18"/>
      <sheetName val="HVAC_118"/>
      <sheetName val="HVAC_218"/>
      <sheetName val="HVAC_318"/>
      <sheetName val="HVAC_418"/>
      <sheetName val="HVAC_518"/>
      <sheetName val="HVAC_618"/>
      <sheetName val="HVAC_718"/>
      <sheetName val="HVAC_818"/>
      <sheetName val="HVAC_R18"/>
      <sheetName val="bill_nb4-HVAC18"/>
      <sheetName val="SC_B18"/>
      <sheetName val="SC_G18"/>
      <sheetName val="SC_M18"/>
      <sheetName val="SC_118"/>
      <sheetName val="SC_218"/>
      <sheetName val="SC_318"/>
      <sheetName val="SC_418"/>
      <sheetName val="SC_518"/>
      <sheetName val="SC_618"/>
      <sheetName val="SC_718"/>
      <sheetName val="SC_818"/>
      <sheetName val="SC_R18"/>
      <sheetName val="AV_B18"/>
      <sheetName val="AV_G18"/>
      <sheetName val="AV_M18"/>
      <sheetName val="AV_118"/>
      <sheetName val="AV_218"/>
      <sheetName val="AV_318"/>
      <sheetName val="AV_418"/>
      <sheetName val="AV_518"/>
      <sheetName val="AV_618"/>
      <sheetName val="AV_718"/>
      <sheetName val="AV_818"/>
      <sheetName val="EL_B18"/>
      <sheetName val="EL_M18"/>
      <sheetName val="EL_118"/>
      <sheetName val="EL_218"/>
      <sheetName val="EL_318"/>
      <sheetName val="EL_418"/>
      <sheetName val="EL_518"/>
      <sheetName val="EL_618"/>
      <sheetName val="EL_718"/>
      <sheetName val="EL_818"/>
      <sheetName val="EL_R18"/>
      <sheetName val="EL_TR18"/>
      <sheetName val="8-_EL18"/>
      <sheetName val="FA_B18"/>
      <sheetName val="FA_G18"/>
      <sheetName val="FA_M18"/>
      <sheetName val="FA_118"/>
      <sheetName val="FA_218"/>
      <sheetName val="FA_318"/>
      <sheetName val="FA_418"/>
      <sheetName val="FA_518"/>
      <sheetName val="FA_618"/>
      <sheetName val="FA_718"/>
      <sheetName val="FA_818"/>
      <sheetName val="FA_R18"/>
      <sheetName val="9-_FA18"/>
      <sheetName val="BOQ_Direct_selling_cost20"/>
      <sheetName val="CHART_OF_ACCOUNTS19"/>
      <sheetName val="B185-B-9_119"/>
      <sheetName val="B185-B-9_219"/>
      <sheetName val="Material_List_18"/>
      <sheetName val="E-Bill_No_6_A-O19"/>
      <sheetName val="B09_119"/>
      <sheetName val="Division_247"/>
      <sheetName val="Division_418"/>
      <sheetName val="Division_518"/>
      <sheetName val="Division_618"/>
      <sheetName val="Division_718"/>
      <sheetName val="Division_818"/>
      <sheetName val="Division_918"/>
      <sheetName val="Division_1018"/>
      <sheetName val="Division_1218"/>
      <sheetName val="Division_1418"/>
      <sheetName val="Division_2121"/>
      <sheetName val="Division_2219"/>
      <sheetName val="Division_2318"/>
      <sheetName val="Division_2618"/>
      <sheetName val="Division_2718"/>
      <sheetName val="Division_2818"/>
      <sheetName val="Division_3118"/>
      <sheetName val="Division_3218"/>
      <sheetName val="Division_3318"/>
      <sheetName val="PMWeb_data19"/>
      <sheetName val="PointNo_518"/>
      <sheetName val="SS_MH19"/>
      <sheetName val="2_2)Revised_Cash_Flow18"/>
      <sheetName val="입찰내역_발주처_양식18"/>
      <sheetName val="/VWVU))tÏØ0__19"/>
      <sheetName val="LIST_DO_NOT_REMOVE17"/>
      <sheetName val="Index_List18"/>
      <sheetName val="Type_List18"/>
      <sheetName val="File_Types18"/>
      <sheetName val="Chiet_t18"/>
      <sheetName val="Staffing_and_Rates_IA18"/>
      <sheetName val="Summary_of_Work16"/>
      <sheetName val="PRECAST_lightconc-II20"/>
      <sheetName val="final_abstract20"/>
      <sheetName val="Staff_Acco_16"/>
      <sheetName val="TBAL9697_-group_wise__sdpl16"/>
      <sheetName val="Employee_List16"/>
      <sheetName val="Project_Cost_Breakdown16"/>
      <sheetName val="B6_2_17"/>
      <sheetName val="Item-_Compact16"/>
      <sheetName val="E_&amp;_R16"/>
      <sheetName val="Рабочий_лист15"/>
      <sheetName val="SITE_WORK15"/>
      <sheetName val="Annex_1_Sect_3a16"/>
      <sheetName val="Annex_1_Sect_3a_116"/>
      <sheetName val="Annex_1_Sect_3b16"/>
      <sheetName val="Annex_1_Sect_3c16"/>
      <sheetName val="HOURLY_RATES16"/>
      <sheetName val="Rate_summary15"/>
      <sheetName val="RAB_AR&amp;STR15"/>
      <sheetName val="d-safe_DELUXE15"/>
      <sheetName val="Back_up15"/>
      <sheetName val="PT_141-_Site_A_Landscape15"/>
      <sheetName val="train_cash15"/>
      <sheetName val="accom_cash15"/>
      <sheetName val="INDIGINEOUS_ITEMS_15"/>
      <sheetName val="Duct_Accesories15"/>
      <sheetName val="Mall_waterproofing15"/>
      <sheetName val="MSCP_waterproofing15"/>
      <sheetName val="????_???_??15"/>
      <sheetName val="Labour_&amp;_Plant15"/>
      <sheetName val="Ave_wtd_rates15"/>
      <sheetName val="Debits_as_on_12_04_0815"/>
      <sheetName val="STAFFSCHED_15"/>
      <sheetName val="TRIAL_BALANCE15"/>
      <sheetName val="[SHOPLIST_xls][SHOPLIST_xls]724"/>
      <sheetName val="Common_Variables15"/>
      <sheetName val="[SHOPLIST_xls]70,/0s«iÆøí¬i15"/>
      <sheetName val="GPL_Revenu_Update15"/>
      <sheetName val="DO_NOT_TOUCH15"/>
      <sheetName val="Work_Type15"/>
      <sheetName val="PROJECT_BRIEF(EX_NEW)15"/>
      <sheetName val="AREA_OF_APPLICATION14"/>
      <sheetName val="Risk_Breakdown_Structure14"/>
      <sheetName val="Geneí¬_i14"/>
      <sheetName val="steel_total14"/>
      <sheetName val="ELE_BOQ14"/>
      <sheetName val="Z-_GENERAL_PRICE_SUMMARY11"/>
      <sheetName val="Resumo_Empreitadas11"/>
      <sheetName val="PPA_Summary11"/>
      <sheetName val="Mix_Design11"/>
      <sheetName val="%_prog_figs_-u5_and_total11"/>
      <sheetName val="_VWVU))tÏØ0__12"/>
      <sheetName val="Floor_Box_12"/>
      <sheetName val="Equipment_Rates10"/>
      <sheetName val="[SHOPLIST_xls]/VW10"/>
      <sheetName val="[SHOPLIST_xls]/VWVU))tÏØ0__50"/>
      <sheetName val="[SHOPLIST_xls]/VWVU))tÏØ0__51"/>
      <sheetName val="Cashflow_projection10"/>
      <sheetName val="[SHOPLIST_xls][SHOPLIST_xls]725"/>
      <sheetName val="E_H_-_H__W_P_10"/>
      <sheetName val="E__H__Treatment_for_pile_cap10"/>
      <sheetName val="[SHOPLIST_xls][SHOPLIST_xls][10"/>
      <sheetName val="Form_610"/>
      <sheetName val="Risk_Register10"/>
      <sheetName val="Revised_Front_Page10"/>
      <sheetName val="Diff_Run01&amp;Run0210"/>
      <sheetName val="CCS_Summary10"/>
      <sheetName val="1_Carillion_Staff10"/>
      <sheetName val="_2_Staff_&amp;_Gen_labour10"/>
      <sheetName val="3_Offices10"/>
      <sheetName val="4_TempServ10"/>
      <sheetName val="__5_Temp_Wks10"/>
      <sheetName val="_6_Addn_Plant10"/>
      <sheetName val="_7__Transport10"/>
      <sheetName val="_8_Testing10"/>
      <sheetName val="9__Miscellaneous10"/>
      <sheetName val="10__Design10"/>
      <sheetName val="_11_Insurances10"/>
      <sheetName val="_12_Client_Req_10"/>
      <sheetName val="Risk_List10"/>
      <sheetName val="Track_of_Changes10"/>
      <sheetName val="Bill_8_Doors_&amp;_Windows10"/>
      <sheetName val="Bill_9_Finishes_10"/>
      <sheetName val="Bill_10_Specialities10"/>
      <sheetName val="Dash_board10"/>
      <sheetName val="[SHOPLIST_xls]7010"/>
      <sheetName val="[SHOPLIST_xls]70,10"/>
      <sheetName val="Base_BM-rebar10"/>
      <sheetName val="Materials_10"/>
      <sheetName val="Site_Dev_BOQ10"/>
      <sheetName val="Data_Sheet10"/>
      <sheetName val="tender_allowances10"/>
      <sheetName val="_Summary_BKG_03410"/>
      <sheetName val="BILL_3R10"/>
      <sheetName val="Area_Breakdown_PER_LEVEL_LINK10"/>
      <sheetName val="CF_Input10"/>
      <sheetName val="DATA_INPUT10"/>
      <sheetName val="Vordruck-Nr__7_1_3_D10"/>
      <sheetName val="M&amp;A_D10"/>
      <sheetName val="M&amp;A_E10"/>
      <sheetName val="M&amp;A_G10"/>
      <sheetName val="1_2_Staff_Schedule11"/>
      <sheetName val="Bill_1010"/>
      <sheetName val="[SHOPLIST_xls]/VWVU))tÏØ0__52"/>
      <sheetName val="[SHOPLIST_xls]/VWVU))tÏØ0__53"/>
      <sheetName val="[SHOPLIST_xls]/VWVU))tÏØ0__54"/>
      <sheetName val="[SHOPLIST_xls]70,/0s«_iÆø_í¬_10"/>
      <sheetName val="[SHOPLIST_xls]70?,/0?s«i?Æøí¬10"/>
      <sheetName val="Labour_Costs10"/>
      <sheetName val="BLOCK-A_(MEA_SHEET)10"/>
      <sheetName val="Contract_Division8"/>
      <sheetName val="SubContract_Type8"/>
      <sheetName val="Service_Type8"/>
      <sheetName val="Cost_Heading7"/>
      <sheetName val="D_&amp;_W_sizes7"/>
      <sheetName val="SOPMA_DD7"/>
      <sheetName val="PRICE_INFO7"/>
      <sheetName val="RC_SUMMARY7"/>
      <sheetName val="LABOUR_PRODUCTIVITY-TAV7"/>
      <sheetName val="MATERIAL_PRICES7"/>
      <sheetName val="P-100_MRF_DB_R17"/>
      <sheetName val="Attach_4-187"/>
      <sheetName val="_SHOPLIST_xls_707"/>
      <sheetName val="_SHOPLIST_xls_70,_0s«iÆøí¬i7"/>
      <sheetName val="Ewaan_Show_Kitchen_(2)7"/>
      <sheetName val="Cash_Flow_Working7"/>
      <sheetName val="MN_T_B_7"/>
      <sheetName val="Data_I_(2)7"/>
      <sheetName val="rEFERENCES_7"/>
      <sheetName val="Qtys_ZamZam_(Del__before)7"/>
      <sheetName val="Qtys_Relocation_(Del_before)7"/>
      <sheetName val="_Qtys_Sub_&amp;_Tents_(Del__before7"/>
      <sheetName val="Qtys__Signages_(Del__before)7"/>
      <sheetName val="Qtys_Temporary_Passages_(Del)7"/>
      <sheetName val="_Qtys_Ser__Rooms_(Del_before)7"/>
      <sheetName val="Labour_Rate_7"/>
      <sheetName val="2F_회의실견적(5_14_일대)3"/>
      <sheetName val="_HIT-&gt;HMC_견적(3900)3"/>
      <sheetName val="Appendix_B3"/>
      <sheetName val="BOQ_(2)1"/>
      <sheetName val="LABOUR_RATE1"/>
      <sheetName val="Material_Rate1"/>
      <sheetName val="Labor_abs-PW1"/>
      <sheetName val="Labor_abs-NMR1"/>
      <sheetName val="kppl_pl1"/>
      <sheetName val="Basic_Rates1"/>
      <sheetName val="Combined_Results_1"/>
      <sheetName val="Div_07_Thermal_&amp;_Moisture1"/>
      <sheetName val="precast_RC_element1"/>
      <sheetName val="pile_Fabrication1"/>
      <sheetName val="AOP_Summary-21"/>
      <sheetName val="May_051"/>
      <sheetName val="April_051"/>
      <sheetName val="Aug_051"/>
      <sheetName val="July_051"/>
      <sheetName val="June_051"/>
      <sheetName val="Nov_051"/>
      <sheetName val="Oct_051"/>
      <sheetName val="Sep_051"/>
      <sheetName val="Data_Validation1"/>
      <sheetName val="Div26_-_Elect1"/>
      <sheetName val="CHUNG_CU_CARRILON1"/>
      <sheetName val="70_x0000_,/0_x0000_s«_x0008_i_x"/>
      <sheetName val="ConferenceCentre_x005f_x005f_x0"/>
      <sheetName val="Geneí¬_x005f_x005f_x005f_x0008_"/>
      <sheetName val="70_x005f_x005f_x005f_x0000_,_0_"/>
      <sheetName val="[SHOPLIST.xls][SHOPLIST.xls]70"/>
      <sheetName val="B-3.2 EB"/>
      <sheetName val="Ragama"/>
      <sheetName val="B-3"/>
      <sheetName val="[SHOPLIST.xls]/VWVU))tÏØ0__4"/>
      <sheetName val="LANGUAGE"/>
      <sheetName val="Dropdown List"/>
      <sheetName val="GS"/>
      <sheetName val="1 - Main Building"/>
      <sheetName val="1 - Summary"/>
      <sheetName val="2 - Landscaping Works"/>
      <sheetName val="2 - Summary"/>
      <sheetName val="4 - Bldg Infra"/>
      <sheetName val="4 - Summary"/>
      <sheetName val="New Bld"/>
      <sheetName val="HB CEC schd 4.2"/>
      <sheetName val="HB CEC schd 4.3"/>
      <sheetName val="HB CEC schd 5.2"/>
      <sheetName val="HB CEC schd 6.2"/>
      <sheetName val="HB CEC schd 7.2"/>
      <sheetName val="HB CEC schd 9.2"/>
      <sheetName val="Doha Farm"/>
      <sheetName val="Asset Allocation (CR)"/>
      <sheetName val="Project Benchmarking"/>
      <sheetName val="Dashboard (1)"/>
      <sheetName val="Remeasure"/>
      <sheetName val="VO Agreed to Unifier Sum"/>
      <sheetName val="VO Not yet Agreed to Unifier"/>
      <sheetName val="VO Anticipated to Unifier"/>
      <sheetName val="EW to Unifier"/>
      <sheetName val="Prov Sums"/>
      <sheetName val="Claims"/>
      <sheetName val="Other Amounts"/>
      <sheetName val="Sheet Index"/>
      <sheetName val="4"/>
      <sheetName val="Core Data"/>
      <sheetName val="Qty-UG"/>
      <sheetName val="Summary "/>
      <sheetName val="B04-A - DIA SUDEER"/>
      <sheetName val="04D - Tanmyat"/>
      <sheetName val="13- B04-B &amp; C"/>
      <sheetName val=" SITE 09 B04-B&amp;C-AFAQ"/>
      <sheetName val="Trade Summary"/>
      <sheetName val="Report"/>
      <sheetName val="PROCTOR"/>
      <sheetName val="Status Summary"/>
      <sheetName val="Estimate for approval"/>
      <sheetName val="abs-boq"/>
      <sheetName val="New Rates"/>
      <sheetName val="IRR_CHAMBER"/>
      <sheetName val="material"/>
      <sheetName val="Labour Rates"/>
      <sheetName val="machinery"/>
      <sheetName val="Sheet5"/>
      <sheetName val="Status "/>
      <sheetName val="CLIENT BUDGET"/>
      <sheetName val="Reco-June 2019"/>
      <sheetName val="REMINING PROGRESS"/>
      <sheetName val="OS&amp;E  IT"/>
      <sheetName val="PAID AMOUNT"/>
      <sheetName val="IPA.21"/>
      <sheetName val="Order by owner"/>
      <sheetName val="IT"/>
      <sheetName val="PERLIM. Sammary"/>
      <sheetName val="KBEC"/>
      <sheetName val="retention"/>
      <sheetName val="RECOVER OF DOUBLE PAYMENT"/>
      <sheetName val="RECTIFICATION"/>
      <sheetName val="rathath al matar"/>
      <sheetName val="faradooni"/>
      <sheetName val="WOTEK"/>
      <sheetName val="MINERWA"/>
      <sheetName val="INTERNAL LINE "/>
      <sheetName val="MINOVA.AL DEYAR"/>
      <sheetName val="OTIS"/>
      <sheetName val="WATERMAN"/>
      <sheetName val="BEAM"/>
      <sheetName val="PLATFORMS"/>
      <sheetName val="BLUE RHINE"/>
      <sheetName val="MALT"/>
      <sheetName val="NATIONAL PAINT"/>
      <sheetName val="MESSARA"/>
      <sheetName val="FIRE RATED"/>
      <sheetName val="MARBLE"/>
      <sheetName val="JASWAY"/>
      <sheetName val="HWDG"/>
      <sheetName val="Rate_analysis15"/>
      <sheetName val="Finansal_tamamlanma_Eğrisi"/>
      <sheetName val="Balance_Sheet"/>
      <sheetName val="2_Plex"/>
      <sheetName val="Sheet1_(2)"/>
      <sheetName val="4_Plex"/>
      <sheetName val="6_Plex_"/>
      <sheetName val="Detailed_Summary"/>
      <sheetName val="Sheet1_(3)"/>
      <sheetName val="Sheet1_(4)"/>
      <sheetName val="KP1590_E"/>
      <sheetName val="Model"/>
      <sheetName val="CONSTRUCTION COMPONENT"/>
      <sheetName val="ce"/>
      <sheetName val="[SHOPLIST.xls]/VWVU))tÏØ0__5"/>
      <sheetName val="[SHOPLIST.xls]/VWVU))tÏØ0__6"/>
      <sheetName val="[SHOPLIST.xls]/VWVU))tÏØ0__7"/>
      <sheetName val="Drop Down Data"/>
      <sheetName val="Rules "/>
      <sheetName val="침하계"/>
      <sheetName val="Update list"/>
      <sheetName val="Sinh Nam systems"/>
      <sheetName val="DIE profile"/>
      <sheetName val="Gaskets"/>
      <sheetName val="Fixing"/>
      <sheetName val="Metals"/>
      <sheetName val="Insulation"/>
      <sheetName val="Accesories"/>
      <sheetName val="Frameless"/>
      <sheetName val="Miscellaneous"/>
      <sheetName val="Glass"/>
      <sheetName val="Import tax"/>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TH kinh phi"/>
      <sheetName val="KLDT DIEN"/>
      <sheetName val="Dinh muc CP KTCB khac"/>
      <sheetName val="tifico"/>
      <sheetName val="_SHOPLIST.xls_70_x0000_,_0_x000"/>
      <sheetName val="_SHOPLIST.xls__SHOPLIST.xls_70_"/>
      <sheetName val="_SHOPLIST.xls__SHOPLIST.xls_70,"/>
      <sheetName val="单价"/>
      <sheetName val="材料价格（藏）"/>
      <sheetName val="汇总表(藏)"/>
      <sheetName val="工程量（新）"/>
      <sheetName val="quotation "/>
      <sheetName val="XLR_NoRangeSheet"/>
      <sheetName val="cost-RC"/>
      <sheetName val="代号(藏)(线密度)"/>
      <sheetName val="Bill 5 - Carpark"/>
      <sheetName val="汇总"/>
      <sheetName val="代号(线密度)藏"/>
      <sheetName val="preliminary"/>
      <sheetName val="BOQ - summary  3"/>
      <sheetName val="NKSC thue"/>
      <sheetName val="실행"/>
      <sheetName val="05. Data_Cash Flow"/>
      <sheetName val="MTO REV.2(ARMOR)"/>
      <sheetName val="SITE-E"/>
      <sheetName val="escon"/>
      <sheetName val="70_x005f_x005f_x005f_x0000_,/0_x005f_x005f_x005f_x0000_"/>
      <sheetName val="Cost_any"/>
      <sheetName val="Set"/>
      <sheetName val="L3-WBS Mapping"/>
      <sheetName val="BAFO CCL Submission"/>
      <sheetName val="70,/0s«iÆøí¬"/>
      <sheetName val="C-A"/>
      <sheetName val="Sec. A-PQ"/>
      <sheetName val="C-B"/>
      <sheetName val="Preamble B"/>
      <sheetName val="C-C"/>
      <sheetName val="Sec. C-Dayworks"/>
      <sheetName val="C-D"/>
      <sheetName val="d1-OPT1"/>
      <sheetName val="d1-OPT2"/>
      <sheetName val="d2"/>
      <sheetName val="d3"/>
      <sheetName val="d4"/>
      <sheetName val="d5 "/>
      <sheetName val="D6"/>
      <sheetName val="D7"/>
      <sheetName val="d8"/>
      <sheetName val="d9"/>
      <sheetName val="d10"/>
      <sheetName val="d11"/>
      <sheetName val="d12"/>
      <sheetName val="d13"/>
      <sheetName val="d14"/>
      <sheetName val="d15"/>
      <sheetName val="d16"/>
      <sheetName val="D17"/>
      <sheetName val="d18"/>
      <sheetName val="C-E"/>
      <sheetName val="e-OPT1"/>
      <sheetName val="e-OPT2"/>
      <sheetName val="C-F"/>
      <sheetName val="f"/>
      <sheetName val="d14(ss)"/>
      <sheetName val="Tender Docs"/>
      <sheetName val="PENALTY"/>
      <sheetName val="Miral Emails"/>
      <sheetName val="LOAs (061619)"/>
      <sheetName val="Contract Conditions (Tender)"/>
      <sheetName val="Contract Qualifications"/>
      <sheetName val="YVPI &amp; GII"/>
      <sheetName val="LOA (live sheet)"/>
      <sheetName val="LOA Log (082419)"/>
      <sheetName val="FU"/>
      <sheetName val="Key Docs Ref."/>
      <sheetName val="To Mr. Boota (072519)"/>
      <sheetName val="Estimate_for_approval"/>
      <sheetName val="PDT(L)1"/>
      <sheetName val="ARBQ"/>
      <sheetName val="CIF COST ITEM"/>
      <sheetName val="Rates for public areas"/>
      <sheetName val="Abs PMRL"/>
      <sheetName val="slipsumpR"/>
      <sheetName val="Specialist"/>
      <sheetName val="Manpower"/>
      <sheetName val="Deliverables"/>
      <sheetName val="[SHOPLIST.xls][SH"/>
      <sheetName val="[SHOPLIST.xls]70_"/>
      <sheetName val="70,/0s«iÆøí¬i1"/>
      <sheetName val="70,/0s«_iÆø_í¬"/>
      <sheetName val="70,/0s«iÆøí¬i2"/>
      <sheetName val="70,/0s«iÆøí¬i3"/>
      <sheetName val="New_Bld"/>
      <sheetName val="DDL"/>
      <sheetName val="SCHEDULE"/>
      <sheetName val="Recon Template"/>
      <sheetName val="공문"/>
      <sheetName val="[SHOPLIST.xls]/VWVU))tÏØ0__8"/>
      <sheetName val="[SHOPLIST.xls]/VWVU))tÏØ0__9"/>
      <sheetName val="Master data"/>
      <sheetName val="Build-up"/>
      <sheetName val="P1926-H2B Pkg 2A&amp;2B"/>
      <sheetName val="P1940-H2B Pkg 1 Guestrooms"/>
      <sheetName val="P1929-DHCT"/>
      <sheetName val="税费"/>
      <sheetName val="[SHOPLIST_xls]70_"/>
      <sheetName val="P15_Cost Implications"/>
      <sheetName val="P15_uPVC ducts-Rate Summary"/>
      <sheetName val="JRC"/>
      <sheetName val="P15-ducts_BU_1"/>
      <sheetName val="P15-ducts_BU_2"/>
      <sheetName val="Flysheets"/>
      <sheetName val="P13_uPVC ducts"/>
      <sheetName val="P13_Mass Concrete"/>
      <sheetName val="P13_Imported Fill"/>
      <sheetName val="P14_uPVC ducts"/>
      <sheetName val="P14_Mass Concrete"/>
      <sheetName val="P14_Imported Fill"/>
      <sheetName val="P14_Sand bed to cable"/>
      <sheetName val="P15_uPVC ducts"/>
      <sheetName val="P15-ducts"/>
      <sheetName val="Laundry"/>
      <sheetName val="Comp equip"/>
      <sheetName val="Section_by_layers_old"/>
      <sheetName val="Steel-Circular"/>
      <sheetName val="Backup"/>
      <sheetName val="piedathot"/>
      <sheetName val="projcasflo"/>
      <sheetName val="supdata"/>
      <sheetName val="devbud"/>
      <sheetName val="[SHOPLIST.xls]70_x0000_,/0_x0000_s«_x0008_i_x"/>
      <sheetName val="Pivots"/>
      <sheetName val="Basic Rate"/>
      <sheetName val="MASTER_RATE ANALYSIS"/>
      <sheetName val="BQLIST"/>
      <sheetName val="Det_Des"/>
      <sheetName val="DRUM"/>
      <sheetName val="P-Sum-Cab"/>
      <sheetName val="S"/>
      <sheetName val="EE-PROP"/>
      <sheetName val="MAIN SUMMARY"/>
      <sheetName val="主材价格"/>
      <sheetName val="_SHOPLIST.xls__SHOPLIST.xls_70"/>
      <sheetName val="ConferenceCentre_x0000_옰ʒ"/>
      <sheetName val="70_x0000_,_0_x0000_"/>
      <sheetName val="_x0000__x0000__x005"/>
      <sheetName val="Geneí¬_x0008_i_x000"/>
      <sheetName val="各楼量单项组价及与DAR单价对比"/>
      <sheetName val="70_,_0_s«_x0008_i_Æø_x0003_í¬_x"/>
      <sheetName val="____ ___ __"/>
      <sheetName val="_SHOPLIST_xls__SHOPLIST_xls_70"/>
      <sheetName val="_SHOPLIST_xls__SHOPLIST_xls_70,"/>
      <sheetName val="70,_0"/>
      <sheetName val="_x005"/>
      <sheetName val="Geneí¬i_x000"/>
      <sheetName val="70_,_0_s«i_Æøí¬_x"/>
      <sheetName val="_SHOPLIST_xls__SHOPLIST_xls_70_"/>
      <sheetName val="___________"/>
      <sheetName val="Sec__A-PQ"/>
      <sheetName val="Preamble_B"/>
      <sheetName val="Sec__C-Dayworks"/>
      <sheetName val="d5_"/>
      <sheetName val="70,/0s«i_x"/>
      <sheetName val="HB_CEC_schd_4_2"/>
      <sheetName val="HB_CEC_schd_4_3"/>
      <sheetName val="HB_CEC_schd_5_2"/>
      <sheetName val="HB_CEC_schd_6_2"/>
      <sheetName val="HB_CEC_schd_7_2"/>
      <sheetName val="HB_CEC_schd_9_2"/>
      <sheetName val="Doha_Farm"/>
      <sheetName val="Dropdown_List"/>
      <sheetName val="Asset_Allocation_(CR)"/>
      <sheetName val="Project_Benchmarking"/>
      <sheetName val="1_-_Main_Building"/>
      <sheetName val="1_-_Summary"/>
      <sheetName val="2_-_Landscaping_Works"/>
      <sheetName val="2_-_Summary"/>
      <sheetName val="4_-_Bldg_Infra"/>
      <sheetName val="4_-_Summary"/>
      <sheetName val="Dashboard_(1)"/>
      <sheetName val="VO_Agreed_to_Unifier_Sum"/>
      <sheetName val="VO_Not_yet_Agreed_to_Unifier"/>
      <sheetName val="VO_Anticipated_to_Unifier"/>
      <sheetName val="EW_to_Unifier"/>
      <sheetName val="Prov_Sums"/>
      <sheetName val="Other_Amounts"/>
      <sheetName val="Status_Summary"/>
      <sheetName val="B2-DV No.02"/>
      <sheetName val="BOQ.1.92"/>
      <sheetName val="T&amp;M"/>
      <sheetName val="Other Cost Norms"/>
      <sheetName val="집계표"/>
      <sheetName val="개시대사 (2)"/>
      <sheetName val="Sheet_Index"/>
      <sheetName val="[SHOPLIST.xls]/VWVU))tÏØ0__10"/>
      <sheetName val="[SHOPLIST.xls]/VWVU))tÏØ0__11"/>
      <sheetName val="May_052"/>
      <sheetName val="April_052"/>
      <sheetName val="Aug_052"/>
      <sheetName val="July_052"/>
      <sheetName val="June_052"/>
      <sheetName val="Nov_052"/>
      <sheetName val="Oct_052"/>
      <sheetName val="Sep_052"/>
      <sheetName val="New_Bld1"/>
      <sheetName val="Finansal_tamamlanma_Eğrisi1"/>
      <sheetName val="Sec__A-PQ1"/>
      <sheetName val="Preamble_B1"/>
      <sheetName val="Sec__C-Dayworks1"/>
      <sheetName val="d5_1"/>
      <sheetName val="2_Plex1"/>
      <sheetName val="Sheet1_(2)1"/>
      <sheetName val="4_Plex1"/>
      <sheetName val="6_Plex_1"/>
      <sheetName val="Detailed_Summary1"/>
      <sheetName val="Sheet1_(3)1"/>
      <sheetName val="Sheet1_(4)1"/>
      <sheetName val="HB_CEC_schd_4_21"/>
      <sheetName val="HB_CEC_schd_4_31"/>
      <sheetName val="HB_CEC_schd_5_21"/>
      <sheetName val="HB_CEC_schd_6_21"/>
      <sheetName val="HB_CEC_schd_7_21"/>
      <sheetName val="HB_CEC_schd_9_21"/>
      <sheetName val="Doha_Farm1"/>
      <sheetName val="Dropdown_List1"/>
      <sheetName val="Asset_Allocation_(CR)1"/>
      <sheetName val="Project_Benchmarking1"/>
      <sheetName val="1_-_Main_Building1"/>
      <sheetName val="1_-_Summary1"/>
      <sheetName val="2_-_Landscaping_Works1"/>
      <sheetName val="2_-_Summary1"/>
      <sheetName val="4_-_Bldg_Infra1"/>
      <sheetName val="4_-_Summary1"/>
      <sheetName val="Dashboard_(1)1"/>
      <sheetName val="VO_Agreed_to_Unifier_Sum1"/>
      <sheetName val="VO_Not_yet_Agreed_to_Unifier1"/>
      <sheetName val="VO_Anticipated_to_Unifier1"/>
      <sheetName val="EW_to_Unifier1"/>
      <sheetName val="Prov_Sums1"/>
      <sheetName val="Other_Amounts1"/>
      <sheetName val="Status_Summary1"/>
      <sheetName val="AOP_Summary-22"/>
      <sheetName val="_SHOPLIST_xls__SHOPLIST_xls_701"/>
      <sheetName val="_SHOPLIST_xls__SHOPLIST_xls_702"/>
      <sheetName val="_SHOPLIST_xls__SHOPLIST_xls_703"/>
      <sheetName val="___________1"/>
      <sheetName val="[SHOPLIST_xls]/VWVU))tÏØ0__61"/>
      <sheetName val="New_Rates"/>
      <sheetName val="Labour_Rates"/>
      <sheetName val="Status_"/>
      <sheetName val="CLIENT_BUDGET"/>
      <sheetName val="Reco-June_2019"/>
      <sheetName val="REMINING_PROGRESS"/>
      <sheetName val="OS&amp;E__IT"/>
      <sheetName val="PAID_AMOUNT"/>
      <sheetName val="IPA_21"/>
      <sheetName val="Order_by_owner"/>
      <sheetName val="PERLIM__Sammary"/>
      <sheetName val="RECOVER_OF_DOUBLE_PAYMENT"/>
      <sheetName val="rathath_al_matar"/>
      <sheetName val="INTERNAL_LINE_"/>
      <sheetName val="MINOVA_AL_DEYAR"/>
      <sheetName val="BLUE_RHINE"/>
      <sheetName val="NATIONAL_PAINT"/>
      <sheetName val="FIRE_RATED"/>
      <sheetName val="Summary_"/>
      <sheetName val="B04-A_-_DIA_SUDEER"/>
      <sheetName val="04D_-_Tanmyat"/>
      <sheetName val="13-_B04-B_&amp;_C"/>
      <sheetName val="_SITE_09_B04-B&amp;C-AFAQ"/>
      <sheetName val="PL"/>
      <sheetName val="FA"/>
      <sheetName val="de_"/>
      <sheetName val="TB ALJADA"/>
      <sheetName val="Plot Area"/>
      <sheetName val="kpmg_rev_calculation"/>
      <sheetName val="Closing entries"/>
      <sheetName val="blockJ"/>
      <sheetName val="Executive Summary"/>
      <sheetName val="Sales Tracking Report (STR)"/>
      <sheetName val="Blocking Tracking Report (BTR)"/>
      <sheetName val="SBTRaljada"/>
      <sheetName val="Bill No.1"/>
      <sheetName val="electrical"/>
      <sheetName val="B-3_2_EB"/>
      <sheetName val="Trade_Summary"/>
      <sheetName val="[SHOPLIST_xls]/VWVU))tÏØ0__71"/>
      <sheetName val="Tender_Docs"/>
      <sheetName val="Miral_Emails"/>
      <sheetName val="LOAs_(061619)"/>
      <sheetName val="Contract_Conditions_(Tender)"/>
      <sheetName val="Contract_Qualifications"/>
      <sheetName val="YVPI_&amp;_GII"/>
      <sheetName val="LOA_(live_sheet)"/>
      <sheetName val="LOA_Log_(082419)"/>
      <sheetName val="Key_Docs_Ref_"/>
      <sheetName val="To_Mr__Boota_(072519)"/>
      <sheetName val="CONSTRUCTION_COMPONENT"/>
      <sheetName val="GENERAL SUMMARY"/>
      <sheetName val="PRELIMINARIES"/>
      <sheetName val="SITE WORKS"/>
      <sheetName val="MASONRY"/>
      <sheetName val="METAL"/>
      <sheetName val="WOOD WORK"/>
      <sheetName val="THERMAL &amp; MOISTURE "/>
      <sheetName val="DOORS &amp; WINDOWS"/>
      <sheetName val="FINISHES"/>
      <sheetName val="SPECIALITIES"/>
      <sheetName val="MECHANICAL"/>
      <sheetName val="Additional Items"/>
      <sheetName val="ICM"/>
      <sheetName val="[SHOPLIST_xls]/VWVU))tÏØ0  "/>
      <sheetName val="Staff"/>
      <sheetName val="Staff OLD "/>
      <sheetName val="Account Codes"/>
      <sheetName val="[SHOPLIST_xls][SH"/>
      <sheetName val="Portfolio List"/>
      <sheetName val="Geneí¬ i_x0000__x0000_ _x0000_0"/>
      <sheetName val="70_x0000_,_0_x0000_s« i_x0000_Æ"/>
      <sheetName val="ConferenceCentre_옰ʒ䄂ʒ鵠ʐ䄂ʒ閐̐脭め_x"/>
      <sheetName val="_SHOPLIST.xls__VW_x0000_VU_x0"/>
      <sheetName val="Geneí¬_x005f_x005f_x005f_x005f_"/>
      <sheetName val="70_x005f_x005f_x005f_x005f_x005"/>
      <sheetName val="70,_0s«_iÆø_í¬_i"/>
      <sheetName val="_SHOPLIST_xls_70,_0s«iÆøí¬"/>
      <sheetName val="ConferenceCentre_옰ʒ䄂ʒ鵠ʐ䄂ʒ閐̐脭め"/>
      <sheetName val="_SHOPLIST.xls_70,"/>
      <sheetName val="_SHOPLIST_xls_70,_0s«_iÆø_í¬"/>
      <sheetName val="_SHOPLIST.xls__VW"/>
      <sheetName val="_SHOPLIST.xls__VWVU))tÏØ0  "/>
      <sheetName val="_SHOPLIST.xls__VWVU))tÏØ0__"/>
      <sheetName val="_SHOPLIST.xls__SHOPLIST.xls__SH"/>
      <sheetName val="_SHOPLIST.xls__VWVU))tÏØ0__1"/>
      <sheetName val="_SHOPLIST.xls__VWVU))tÏØ0__2"/>
      <sheetName val="_SHOPLIST.xls__VWVU))tÏØ0__3"/>
      <sheetName val="_SHOPLIST.xls_70,_0s«_iÆø_í¬_i"/>
      <sheetName val="_SHOPLIST.xls_70_,_0_s«i_Æøí¬i_"/>
      <sheetName val="_SHOPLIST.xls__VWVU))tÏØ0__4"/>
      <sheetName val="Quotation FM administration"/>
      <sheetName val="Quotation"/>
      <sheetName val="Quotation Visitor and Sec"/>
      <sheetName val="Service Charge"/>
      <sheetName val="Edwards"/>
      <sheetName val="CABLES "/>
      <sheetName val="Quotation Offices 108,9,10,11)"/>
      <sheetName val="Quotation modification"/>
      <sheetName val="factor"/>
      <sheetName val="DIV.01 General Requirements"/>
      <sheetName val="Bill (1) Main Building"/>
      <sheetName val="Bill (2) General Site &amp; Parking"/>
      <sheetName val="wd points"/>
      <sheetName val="Bill (3) Guest House"/>
      <sheetName val="Bill (4) Family Buildings"/>
      <sheetName val="Bill (5) Villa Buildings"/>
      <sheetName val="Bill (6) Entrance Building"/>
      <sheetName val="Bill (7) Masjid"/>
      <sheetName val="Bill (8) Auditorium"/>
      <sheetName val="Bill (9) Site Prep. &amp; Roadway"/>
      <sheetName val="Summary Cost"/>
      <sheetName val="LIGHTING"/>
      <sheetName val="lighting points"/>
      <sheetName val="CABLE"/>
      <sheetName val="PANELBOARD"/>
      <sheetName val="ESTIMATE (2)"/>
      <sheetName val="ESTIMATE"/>
      <sheetName val="COM Summary"/>
      <sheetName val="COM-sheet"/>
      <sheetName val="2gii"/>
      <sheetName val="CPA33-34"/>
      <sheetName val="Indices"/>
      <sheetName val="conc-foot-gradeslab"/>
      <sheetName val="المعادلات"/>
      <sheetName val="[SHOPLIST.xls]70,/0s«iÆøí¬"/>
      <sheetName val="L (4)"/>
      <sheetName val="Initial Data"/>
      <sheetName val="Package Status"/>
      <sheetName val="3"/>
      <sheetName val="SLHW"/>
      <sheetName val="Process"/>
      <sheetName val="Refinery"/>
      <sheetName val="Fructose"/>
      <sheetName val="Utilities"/>
      <sheetName val="Pipesizes"/>
      <sheetName val="TBEAM"/>
      <sheetName val="Appendix-A -GRAND SUMMARY"/>
      <sheetName val="D9 (New Rate)"/>
      <sheetName val="Validation"/>
      <sheetName val=" Estimate  "/>
      <sheetName val="Equip."/>
      <sheetName val="Book1"/>
      <sheetName val="6.2 Floor Finishes"/>
      <sheetName val="Grand Summary "/>
      <sheetName val="Bill No.01 - GI "/>
      <sheetName val="combined "/>
      <sheetName val="summary-Optional "/>
      <sheetName val="B14.02 "/>
      <sheetName val="B21"/>
      <sheetName val="B22"/>
      <sheetName val="B27"/>
      <sheetName val="Prov.Sum "/>
      <sheetName val="Ref Arch"/>
      <sheetName val="BUAs and Sales Forecast"/>
      <sheetName val="Lagoons Breakdown Prices"/>
      <sheetName val="Cover HW Z2 "/>
      <sheetName val="TOTAL WORK"/>
      <sheetName val="part 3"/>
      <sheetName val="pile Length for Easter fence"/>
      <sheetName val="Div 10-Specialities "/>
      <sheetName val="MALE &amp; FEMALE "/>
      <sheetName val="DISABLE"/>
      <sheetName val="VIP"/>
      <sheetName val="ABLUTION"/>
      <sheetName val="JANITOR"/>
      <sheetName val="Div Summary"/>
      <sheetName val="Cumulative Rail "/>
      <sheetName val="WATER DUCT - IC 21"/>
      <sheetName val="Ledger"/>
      <sheetName val="Data "/>
      <sheetName val="[SHOPLIST.xls]70___0_s__i_____2"/>
      <sheetName val="[SHOPLIST.xls]_VW__VU_________2"/>
      <sheetName val="[SHOPLIST.xls]_VW__VU_________3"/>
      <sheetName val="Asset Desc"/>
      <sheetName val="[SHOPLIST_xls][SHOPLIST_xls]/VW"/>
      <sheetName val="[SHOPLIST.xls]70,/0s«i_x"/>
      <sheetName val="MATERIALS"/>
      <sheetName val="Gene��_x0008_i_x0000__x0000__x0014__x0000_0."/>
      <sheetName val="70_x0000_,/0_x0000_s�_x0008_i_x0000_��_x0003_��_x0008_i_x0000_"/>
      <sheetName val="Top_sh_x0000__x0000__x0001_Ԁ"/>
      <sheetName val="GFA_HQ_Building31"/>
      <sheetName val="GFA_Conference30"/>
      <sheetName val="BQ_External30"/>
      <sheetName val="Penthouse_Apartment29"/>
      <sheetName val="StattCo_yCharges29"/>
      <sheetName val="Raw_Data29"/>
      <sheetName val="Bill_No__229"/>
      <sheetName val="Graph_Data_(DO_NOT_PRINT)29"/>
      <sheetName val="@risk_rents_and_incentives29"/>
      <sheetName val="Car_park_lease29"/>
      <sheetName val="Net_rent_analysis29"/>
      <sheetName val="Poz-1_29"/>
      <sheetName val="Chiet_tinh_dz2229"/>
      <sheetName val="Chiet_tinh_dz3529"/>
      <sheetName val="Lab_Cum_Hist29"/>
      <sheetName val="LABOUR_HISTOGRAM30"/>
      <sheetName val="FOL_-_Bar29"/>
      <sheetName val="CT_Thang_Mo29"/>
      <sheetName val="LEVEL_SHEET29"/>
      <sheetName val="SPT_vs_PHI29"/>
      <sheetName val="budget_summary_(2)28"/>
      <sheetName val="Budget_Analysis_Summary28"/>
      <sheetName val="CT__PL28"/>
      <sheetName val="Projet,_methodes_&amp;_couts28"/>
      <sheetName val="Risques_majeurs_&amp;_Frais_Ind_28"/>
      <sheetName val="Civil_Boq24"/>
      <sheetName val="beam-reinft-IIInd_floor25"/>
      <sheetName val="beam-reinft-machine_rm25"/>
      <sheetName val="Customize_Your_Invoice29"/>
      <sheetName val="HVAC_BoQ29"/>
      <sheetName val="Body_Sheet28"/>
      <sheetName val="1_0_Executive_Summary28"/>
      <sheetName val="Tender_Summary29"/>
      <sheetName val="Insurance_Ext29"/>
      <sheetName val="Top_sheet28"/>
      <sheetName val="intr_stool_brkup28"/>
      <sheetName val="Bill_126"/>
      <sheetName val="Bill_227"/>
      <sheetName val="Bill_326"/>
      <sheetName val="Bill_426"/>
      <sheetName val="Bill_526"/>
      <sheetName val="Bill_626"/>
      <sheetName val="Bill_726"/>
      <sheetName val="POWER_ASSUMPTIONS25"/>
      <sheetName val="Ap_A26"/>
      <sheetName val="2_Div_14_26"/>
      <sheetName val="PROJECT_BRIEF26"/>
      <sheetName val="C_(3)26"/>
      <sheetName val="Invoice_Summary25"/>
      <sheetName val="SHOPLIST_xls25"/>
      <sheetName val="Dubai_golf25"/>
      <sheetName val="Activity_List24"/>
      <sheetName val="WITHOUT_C&amp;I_PROFIT_(3)24"/>
      <sheetName val="BILL_COV22"/>
      <sheetName val="Ra__stair22"/>
      <sheetName val="VALVE_CHAMBERS21"/>
      <sheetName val="Fire_Hydrants21"/>
      <sheetName val="B_GATE_VALVE21"/>
      <sheetName val="Sub_G1_Fire21"/>
      <sheetName val="Sub_G12_Fire21"/>
      <sheetName val="Softscape_Buildup24"/>
      <sheetName val="Mat'l_Rate24"/>
      <sheetName val="DETAILED__BOQ22"/>
      <sheetName val="M-Book_for_Conc22"/>
      <sheetName val="M-Book_for_FW22"/>
      <sheetName val="HIRED_LABOUR_CODE22"/>
      <sheetName val="PA-_Consutant_22"/>
      <sheetName val="foot-slab_reinft22"/>
      <sheetName val="Day_work21"/>
      <sheetName val="CHART_OF_ACCOUNTS20"/>
      <sheetName val="E-Bill_No_6_A-O20"/>
      <sheetName val="Materials_Cost(PCC)21"/>
      <sheetName val="India_F&amp;S_Template21"/>
      <sheetName val="IO_LIST21"/>
      <sheetName val="Material_21"/>
      <sheetName val="Quote_Sheet21"/>
      <sheetName val="bill_nb2-Plumbing_&amp;_Drainag19"/>
      <sheetName val="Pl_&amp;_Dr_B19"/>
      <sheetName val="Pl_&amp;_Dr_G19"/>
      <sheetName val="Pl_&amp;_Dr_M19"/>
      <sheetName val="Pl_&amp;_Dr_119"/>
      <sheetName val="Pl_&amp;_Dr_219"/>
      <sheetName val="Pl_&amp;_Dr_319"/>
      <sheetName val="Pl_&amp;_Dr_419"/>
      <sheetName val="Pl_&amp;_Dr_519"/>
      <sheetName val="Pl_&amp;_Dr_619"/>
      <sheetName val="Pl_&amp;_Dr_719"/>
      <sheetName val="Pl_&amp;_Dr_819"/>
      <sheetName val="Pl_&amp;_Dr_R19"/>
      <sheetName val="FF_B19"/>
      <sheetName val="FF_G19"/>
      <sheetName val="FF_M19"/>
      <sheetName val="FF_119"/>
      <sheetName val="FF_2_19"/>
      <sheetName val="FF_319"/>
      <sheetName val="FF_419"/>
      <sheetName val="FF_519"/>
      <sheetName val="FF_6_19"/>
      <sheetName val="FF_719"/>
      <sheetName val="FF_819"/>
      <sheetName val="FF_R19"/>
      <sheetName val="bill_nb3-FF19"/>
      <sheetName val="HVAC_B19"/>
      <sheetName val="HVAC_G19"/>
      <sheetName val="HVAC_M19"/>
      <sheetName val="HVAC_119"/>
      <sheetName val="HVAC_219"/>
      <sheetName val="HVAC_319"/>
      <sheetName val="HVAC_419"/>
      <sheetName val="HVAC_519"/>
      <sheetName val="HVAC_619"/>
      <sheetName val="HVAC_719"/>
      <sheetName val="HVAC_819"/>
      <sheetName val="HVAC_R19"/>
      <sheetName val="bill_nb4-HVAC19"/>
      <sheetName val="SC_B19"/>
      <sheetName val="SC_G19"/>
      <sheetName val="SC_M19"/>
      <sheetName val="SC_119"/>
      <sheetName val="SC_219"/>
      <sheetName val="SC_319"/>
      <sheetName val="SC_419"/>
      <sheetName val="SC_519"/>
      <sheetName val="SC_619"/>
      <sheetName val="SC_719"/>
      <sheetName val="SC_819"/>
      <sheetName val="SC_R19"/>
      <sheetName val="AV_B19"/>
      <sheetName val="AV_G19"/>
      <sheetName val="AV_M19"/>
      <sheetName val="AV_119"/>
      <sheetName val="AV_219"/>
      <sheetName val="AV_319"/>
      <sheetName val="AV_419"/>
      <sheetName val="AV_519"/>
      <sheetName val="AV_619"/>
      <sheetName val="AV_719"/>
      <sheetName val="AV_819"/>
      <sheetName val="EL_B19"/>
      <sheetName val="EL_M19"/>
      <sheetName val="EL_119"/>
      <sheetName val="EL_219"/>
      <sheetName val="EL_319"/>
      <sheetName val="EL_419"/>
      <sheetName val="EL_519"/>
      <sheetName val="EL_619"/>
      <sheetName val="EL_719"/>
      <sheetName val="EL_819"/>
      <sheetName val="EL_R19"/>
      <sheetName val="EL_TR19"/>
      <sheetName val="8-_EL19"/>
      <sheetName val="FA_B19"/>
      <sheetName val="FA_G19"/>
      <sheetName val="FA_M19"/>
      <sheetName val="FA_119"/>
      <sheetName val="FA_219"/>
      <sheetName val="FA_319"/>
      <sheetName val="FA_419"/>
      <sheetName val="FA_519"/>
      <sheetName val="FA_619"/>
      <sheetName val="FA_719"/>
      <sheetName val="FA_819"/>
      <sheetName val="FA_R19"/>
      <sheetName val="9-_FA19"/>
      <sheetName val="BOQ_Direct_selling_cost21"/>
      <sheetName val="B185-B-9_120"/>
      <sheetName val="B185-B-9_220"/>
      <sheetName val="Eq__Mobilization20"/>
      <sheetName val="Div__0220"/>
      <sheetName val="Div__0320"/>
      <sheetName val="Div__0420"/>
      <sheetName val="Div__0520"/>
      <sheetName val="Div__0620"/>
      <sheetName val="Div__0720"/>
      <sheetName val="Div__0820"/>
      <sheetName val="Div__0920"/>
      <sheetName val="Div__1020"/>
      <sheetName val="Div__1120"/>
      <sheetName val="Div__1220"/>
      <sheetName val="Div_1320"/>
      <sheetName val="EXTERNAL_WORKS20"/>
      <sheetName val="PRODUCTIVITY_RATE20"/>
      <sheetName val="U_R_A_-_MASONRY20"/>
      <sheetName val="U_R_A_-_PLASTERING20"/>
      <sheetName val="U_R_A_-_TILING20"/>
      <sheetName val="U_R_A_-_GRANITE20"/>
      <sheetName val="V_C_2_-_EARTHWORK20"/>
      <sheetName val="V_C_9_-_CERAMIC20"/>
      <sheetName val="V_C_9_-_FINISHES20"/>
      <sheetName val="w't_table19"/>
      <sheetName val="B09_120"/>
      <sheetName val="PointNo_519"/>
      <sheetName val="/VWVU))tÏØ0__21"/>
      <sheetName val="Working_for_RCC20"/>
      <sheetName val="Elemental_Buildup19"/>
      <sheetName val="PMWeb_data20"/>
      <sheetName val="SS_MH20"/>
      <sheetName val="2_2)Revised_Cash_Flow19"/>
      <sheetName val="Employee_List17"/>
      <sheetName val="Division_248"/>
      <sheetName val="Division_419"/>
      <sheetName val="Division_519"/>
      <sheetName val="Division_619"/>
      <sheetName val="Division_719"/>
      <sheetName val="Division_819"/>
      <sheetName val="Division_919"/>
      <sheetName val="Division_1019"/>
      <sheetName val="Division_1219"/>
      <sheetName val="Division_1419"/>
      <sheetName val="Division_2122"/>
      <sheetName val="Division_2220"/>
      <sheetName val="Division_2319"/>
      <sheetName val="Division_2619"/>
      <sheetName val="Division_2719"/>
      <sheetName val="Division_2819"/>
      <sheetName val="Division_3119"/>
      <sheetName val="Division_3219"/>
      <sheetName val="Division_3319"/>
      <sheetName val="Material_List_19"/>
      <sheetName val="PRECAST_lightconc-II21"/>
      <sheetName val="final_abstract21"/>
      <sheetName val="/VWVU))tÏØ0__20"/>
      <sheetName val="입찰내역_발주처_양식19"/>
      <sheetName val="LIST_DO_NOT_REMOVE18"/>
      <sheetName val="Index_List19"/>
      <sheetName val="Type_List19"/>
      <sheetName val="File_Types19"/>
      <sheetName val="Chiet_t19"/>
      <sheetName val="Staffing_and_Rates_IA19"/>
      <sheetName val="B6_2_18"/>
      <sheetName val="Project_Cost_Breakdown17"/>
      <sheetName val="Summary_of_Work17"/>
      <sheetName val="Staff_Acco_17"/>
      <sheetName val="TBAL9697_-group_wise__sdpl17"/>
      <sheetName val="Item-_Compact17"/>
      <sheetName val="E_&amp;_R17"/>
      <sheetName val="Рабочий_лист16"/>
      <sheetName val="PT_141-_Site_A_Landscape16"/>
      <sheetName val="d-safe_DELUXE16"/>
      <sheetName val="Annex_1_Sect_3a17"/>
      <sheetName val="Annex_1_Sect_3a_117"/>
      <sheetName val="Annex_1_Sect_3b17"/>
      <sheetName val="Annex_1_Sect_3c17"/>
      <sheetName val="HOURLY_RATES17"/>
      <sheetName val="SITE_WORK16"/>
      <sheetName val="Rate_summary16"/>
      <sheetName val="Mall_waterproofing16"/>
      <sheetName val="MSCP_waterproofing16"/>
      <sheetName val="RAB_AR&amp;STR16"/>
      <sheetName val="Back_up16"/>
      <sheetName val="INDIGINEOUS_ITEMS_16"/>
      <sheetName val="Duct_Accesories16"/>
      <sheetName val="[SHOPLIST_xls][SHOPLIST_xls]726"/>
      <sheetName val="????_???_??16"/>
      <sheetName val="Labour_&amp;_Plant16"/>
      <sheetName val="Ave_wtd_rates16"/>
      <sheetName val="Debits_as_on_12_04_0816"/>
      <sheetName val="STAFFSCHED_16"/>
      <sheetName val="TRIAL_BALANCE16"/>
      <sheetName val="[SHOPLIST_xls]70,/0s«iÆøí¬i16"/>
      <sheetName val="train_cash16"/>
      <sheetName val="accom_cash16"/>
      <sheetName val="Common_Variables16"/>
      <sheetName val="GPL_Revenu_Update16"/>
      <sheetName val="DO_NOT_TOUCH16"/>
      <sheetName val="Work_Type16"/>
      <sheetName val="Geneí¬_i15"/>
      <sheetName val="steel_total15"/>
      <sheetName val="ELE_BOQ15"/>
      <sheetName val="Resumo_Empreitadas12"/>
      <sheetName val="PROJECT_BRIEF(EX_NEW)16"/>
      <sheetName val="Floor_Box_13"/>
      <sheetName val="Cashflow_projection11"/>
      <sheetName val="PPA_Summary12"/>
      <sheetName val="Risk_Breakdown_Structure15"/>
      <sheetName val="AREA_OF_APPLICATION15"/>
      <sheetName val="%_prog_figs_-u5_and_total12"/>
      <sheetName val="_VWVU))tÏØ0__13"/>
      <sheetName val="[SHOPLIST_xls]7011"/>
      <sheetName val="[SHOPLIST_xls]70,11"/>
      <sheetName val="[SHOPLIST_xls]/VW11"/>
      <sheetName val="[SHOPLIST_xls]/VWVU))tÏØ0__55"/>
      <sheetName val="[SHOPLIST_xls]/VWVU))tÏØ0__56"/>
      <sheetName val="Bill_1011"/>
      <sheetName val="Cost_Heading8"/>
      <sheetName val="Mix_Design12"/>
      <sheetName val="Form_611"/>
      <sheetName val="Data_Sheet11"/>
      <sheetName val="Z-_GENERAL_PRICE_SUMMARY12"/>
      <sheetName val="Materials_11"/>
      <sheetName val="Equipment_Rates11"/>
      <sheetName val="Base_BM-rebar11"/>
      <sheetName val="Labour_Rate_8"/>
      <sheetName val="Service_Type9"/>
      <sheetName val="Contract_Division9"/>
      <sheetName val="SubContract_Type9"/>
      <sheetName val="Div_07_Thermal_&amp;_Moisture2"/>
      <sheetName val="Data_Validation2"/>
      <sheetName val="Div26_-_Elect2"/>
      <sheetName val="CHUNG_CU_CARRILON2"/>
      <sheetName val="[SHOPLIST_xls][SHOPLIST_xls][11"/>
      <sheetName val="_SHOPLIST_xls_708"/>
      <sheetName val="_SHOPLIST_xls_70,_0s«iÆøí¬i8"/>
      <sheetName val="D_&amp;_W_sizes8"/>
      <sheetName val="SOPMA_DD8"/>
      <sheetName val="[SHOPLIST_xls][SHOPLIST_xls]727"/>
      <sheetName val="E_H_-_H__W_P_11"/>
      <sheetName val="E__H__Treatment_for_pile_cap11"/>
      <sheetName val="[SHOPLIST_xls]/VWVU))tÏØ0__57"/>
      <sheetName val="[SHOPLIST_xls]/VWVU))tÏØ0__58"/>
      <sheetName val="[SHOPLIST_xls]/VWVU))tÏØ0__59"/>
      <sheetName val="[SHOPLIST_xls]70,/0s«_iÆø_í¬_11"/>
      <sheetName val="[SHOPLIST_xls]70?,/0?s«i?Æøí¬11"/>
      <sheetName val="PRICE_INFO8"/>
      <sheetName val="RC_SUMMARY8"/>
      <sheetName val="LABOUR_PRODUCTIVITY-TAV8"/>
      <sheetName val="MATERIAL_PRICES8"/>
      <sheetName val="P-100_MRF_DB_R18"/>
      <sheetName val="Risk_Register11"/>
      <sheetName val="Revised_Front_Page11"/>
      <sheetName val="Diff_Run01&amp;Run0211"/>
      <sheetName val="CCS_Summary11"/>
      <sheetName val="1_Carillion_Staff11"/>
      <sheetName val="_2_Staff_&amp;_Gen_labour11"/>
      <sheetName val="3_Offices11"/>
      <sheetName val="4_TempServ11"/>
      <sheetName val="__5_Temp_Wks11"/>
      <sheetName val="_6_Addn_Plant11"/>
      <sheetName val="_7__Transport11"/>
      <sheetName val="_8_Testing11"/>
      <sheetName val="9__Miscellaneous11"/>
      <sheetName val="10__Design11"/>
      <sheetName val="_11_Insurances11"/>
      <sheetName val="_12_Client_Req_11"/>
      <sheetName val="Risk_List11"/>
      <sheetName val="Track_of_Changes11"/>
      <sheetName val="Bill_8_Doors_&amp;_Windows11"/>
      <sheetName val="Bill_9_Finishes_11"/>
      <sheetName val="Bill_10_Specialities11"/>
      <sheetName val="1_2_Staff_Schedule12"/>
      <sheetName val="Area_Breakdown_PER_LEVEL_LINK11"/>
      <sheetName val="CF_Input11"/>
      <sheetName val="DATA_INPUT11"/>
      <sheetName val="Vordruck-Nr__7_1_3_D11"/>
      <sheetName val="M&amp;A_D11"/>
      <sheetName val="M&amp;A_E11"/>
      <sheetName val="M&amp;A_G11"/>
      <sheetName val="Attach_4-188"/>
      <sheetName val="tender_allowances11"/>
      <sheetName val="_Summary_BKG_03411"/>
      <sheetName val="BILL_3R11"/>
      <sheetName val="BLOCK-A_(MEA_SHEET)11"/>
      <sheetName val="Labour_Costs11"/>
      <sheetName val="Ewaan_Show_Kitchen_(2)8"/>
      <sheetName val="Cash_Flow_Working8"/>
      <sheetName val="MN_T_B_8"/>
      <sheetName val="Data_I_(2)8"/>
      <sheetName val="rEFERENCES_8"/>
      <sheetName val="Qtys_ZamZam_(Del__before)8"/>
      <sheetName val="Qtys_Relocation_(Del_before)8"/>
      <sheetName val="_Qtys_Sub_&amp;_Tents_(Del__before8"/>
      <sheetName val="Qtys__Signages_(Del__before)8"/>
      <sheetName val="Qtys_Temporary_Passages_(Del)8"/>
      <sheetName val="_Qtys_Ser__Rooms_(Del_before)8"/>
      <sheetName val="Finansal_tamamlanma_Eğrisi2"/>
      <sheetName val="BOQ_(2)2"/>
      <sheetName val="LABOUR_RATE2"/>
      <sheetName val="Material_Rate2"/>
      <sheetName val="Labor_abs-PW2"/>
      <sheetName val="Labor_abs-NMR2"/>
      <sheetName val="kppl_pl2"/>
      <sheetName val="Basic_Rates2"/>
      <sheetName val="Combined_Results_2"/>
      <sheetName val="Site_Dev_BOQ11"/>
      <sheetName val="AOP_Summary-23"/>
      <sheetName val="Dash_board11"/>
      <sheetName val="precast_RC_element2"/>
      <sheetName val="pile_Fabrication2"/>
      <sheetName val="2_Plex2"/>
      <sheetName val="Sheet1_(2)2"/>
      <sheetName val="4_Plex2"/>
      <sheetName val="6_Plex_2"/>
      <sheetName val="Detailed_Summary2"/>
      <sheetName val="Sheet1_(3)2"/>
      <sheetName val="Sheet1_(4)2"/>
      <sheetName val="May_053"/>
      <sheetName val="April_053"/>
      <sheetName val="Aug_053"/>
      <sheetName val="July_053"/>
      <sheetName val="June_053"/>
      <sheetName val="Nov_053"/>
      <sheetName val="Oct_053"/>
      <sheetName val="Sep_053"/>
      <sheetName val="Appendix_B4"/>
      <sheetName val="2F_회의실견적(5_14_일대)4"/>
      <sheetName val="_HIT-&gt;HMC_견적(3900)4"/>
      <sheetName val="HB_CEC_schd_4_22"/>
      <sheetName val="HB_CEC_schd_4_32"/>
      <sheetName val="HB_CEC_schd_5_22"/>
      <sheetName val="HB_CEC_schd_6_22"/>
      <sheetName val="HB_CEC_schd_7_22"/>
      <sheetName val="HB_CEC_schd_9_22"/>
      <sheetName val="Doha_Farm2"/>
      <sheetName val="Dropdown_List2"/>
      <sheetName val="New_Bld2"/>
      <sheetName val="Balance_Sheet1"/>
      <sheetName val="Estimate_for_approval1"/>
      <sheetName val="Summary_1"/>
      <sheetName val="B04-A_-_DIA_SUDEER1"/>
      <sheetName val="04D_-_Tanmyat1"/>
      <sheetName val="13-_B04-B_&amp;_C1"/>
      <sheetName val="_SITE_09_B04-B&amp;C-AFAQ1"/>
      <sheetName val="[SHOPLIST_xls]/VWVU))tÏØ0__60"/>
      <sheetName val="[SHOPLIST_xls][SHOPLIST_xls]728"/>
      <sheetName val="Sheet_Index1"/>
      <sheetName val="Status_Summary2"/>
      <sheetName val="Sec__A-PQ2"/>
      <sheetName val="Preamble_B2"/>
      <sheetName val="Sec__C-Dayworks2"/>
      <sheetName val="d5_2"/>
      <sheetName val="Asset_Allocation_(CR)2"/>
      <sheetName val="Project_Benchmarking2"/>
      <sheetName val="1_-_Main_Building2"/>
      <sheetName val="1_-_Summary2"/>
      <sheetName val="2_-_Landscaping_Works2"/>
      <sheetName val="2_-_Summary2"/>
      <sheetName val="4_-_Bldg_Infra2"/>
      <sheetName val="4_-_Summary2"/>
      <sheetName val="Dashboard_(1)2"/>
      <sheetName val="VO_Agreed_to_Unifier_Sum2"/>
      <sheetName val="VO_Not_yet_Agreed_to_Unifier2"/>
      <sheetName val="VO_Anticipated_to_Unifier2"/>
      <sheetName val="EW_to_Unifier2"/>
      <sheetName val="Prov_Sums2"/>
      <sheetName val="Other_Amounts2"/>
      <sheetName val="New_Rates1"/>
      <sheetName val="Labour_Rates1"/>
      <sheetName val="Status_1"/>
      <sheetName val="CLIENT_BUDGET1"/>
      <sheetName val="Reco-June_20191"/>
      <sheetName val="REMINING_PROGRESS1"/>
      <sheetName val="OS&amp;E__IT1"/>
      <sheetName val="PAID_AMOUNT1"/>
      <sheetName val="IPA_211"/>
      <sheetName val="Order_by_owner1"/>
      <sheetName val="PERLIM__Sammary1"/>
      <sheetName val="RECOVER_OF_DOUBLE_PAYMENT1"/>
      <sheetName val="rathath_al_matar1"/>
      <sheetName val="INTERNAL_LINE_1"/>
      <sheetName val="MINOVA_AL_DEYAR1"/>
      <sheetName val="BLUE_RHINE1"/>
      <sheetName val="NATIONAL_PAINT1"/>
      <sheetName val="FIRE_RATED1"/>
      <sheetName val="Core_Data"/>
      <sheetName val="BOQ_1_92"/>
      <sheetName val="CIF_COST_ITEM"/>
      <sheetName val="Rates_for_public_areas"/>
      <sheetName val="[SHOPLIST_xls]/VWVU))tÏØ0__62"/>
      <sheetName val="[SHOPLIST_xls]/VWVU))tÏØ0__63"/>
      <sheetName val="Abs_PMRL"/>
      <sheetName val="Recon_Template"/>
      <sheetName val="Drop_Down_Data"/>
      <sheetName val="Rules_"/>
      <sheetName val="Update_list"/>
      <sheetName val="Sinh_Nam_systems"/>
      <sheetName val="DIE_profile"/>
      <sheetName val="Import_tax"/>
      <sheetName val="TONG_HOP_VL-NC"/>
      <sheetName val="TONGKE3p_"/>
      <sheetName val="TH_VL,_NC,_DDHT_Thanhphuoc"/>
      <sheetName val="DON_GIA"/>
      <sheetName val="CHITIET_VL-NC"/>
      <sheetName val="TH_kinh_phi"/>
      <sheetName val="KLDT_DIEN"/>
      <sheetName val="Dinh_muc_CP_KTCB_khac"/>
      <sheetName val="_SHOPLIST_xls_70,_0_x000"/>
      <sheetName val="_SHOPLIST_xls__SHOPLIST_xls_704"/>
      <sheetName val="_SHOPLIST_xls__SHOPLIST_xls_705"/>
      <sheetName val="quotation_"/>
      <sheetName val="Bill_5_-_Carpark"/>
      <sheetName val="BOQ_-_summary__3"/>
      <sheetName val="NKSC_thue"/>
      <sheetName val="05__Data_Cash_Flow"/>
      <sheetName val="MTO_REV_2(ARMOR)"/>
      <sheetName val="L3-WBS_Mapping"/>
      <sheetName val="BAFO_CCL_Submission"/>
      <sheetName val="[SHOPLIST_xls]/VWVU))tÏØ0__81"/>
      <sheetName val="[SHOPLIST_xls]/VWVU))tÏØ0__91"/>
      <sheetName val="_SHOPLIST_xls__SHOPLIST_xls_706"/>
      <sheetName val="___________2"/>
      <sheetName val="[SHOPLIST_xls]70_1"/>
      <sheetName val="P1926-H2B_Pkg_2A&amp;2B"/>
      <sheetName val="P1940-H2B_Pkg_1_Guestrooms"/>
      <sheetName val="B2-DV_No_02"/>
      <sheetName val="[SHOPLIST_xls]70,/0s«i_x"/>
      <sheetName val="Ref_Arch"/>
      <sheetName val="Data_"/>
      <sheetName val="GENERAL_SUMMARY"/>
      <sheetName val="SITE_WORKS"/>
      <sheetName val="WOOD_WORK"/>
      <sheetName val="THERMAL_&amp;_MOISTURE_"/>
      <sheetName val="DOORS_&amp;_WINDOWS"/>
      <sheetName val="Additional_Items"/>
      <sheetName val="L_(4)"/>
      <sheetName val="Quotation_FM_administration"/>
      <sheetName val="Quotation_Visitor_and_Sec"/>
      <sheetName val="Service_Charge"/>
      <sheetName val="CABLES_"/>
      <sheetName val="Quotation_Offices_108,9,10,11)"/>
      <sheetName val="Quotation_modification"/>
      <sheetName val="DIV_01_General_Requirements"/>
      <sheetName val="Bill_(1)_Main_Building"/>
      <sheetName val="Bill_(2)_General_Site_&amp;_Parking"/>
      <sheetName val="wd_points"/>
      <sheetName val="Bill_(3)_Guest_House"/>
      <sheetName val="Bill_(4)_Family_Buildings"/>
      <sheetName val="Bill_(5)_Villa_Buildings"/>
      <sheetName val="Bill_(6)_Entrance_Building"/>
      <sheetName val="Bill_(7)_Masjid"/>
      <sheetName val="Bill_(8)_Auditorium"/>
      <sheetName val="Bill_(9)_Site_Prep__&amp;_Roadway"/>
      <sheetName val="Summary_Cost"/>
      <sheetName val="lighting_points"/>
      <sheetName val="ESTIMATE_(2)"/>
      <sheetName val="COM_Summary"/>
      <sheetName val="Geneí¬_i_0"/>
      <sheetName val="70,_0s«_iÆ"/>
      <sheetName val="_SHOPLIST_xls__VWVU_x0"/>
      <sheetName val="_SHOPLIST_xls_70,"/>
      <sheetName val="_SHOPLIST_xls__VW"/>
      <sheetName val="_SHOPLIST_xls__VWVU))tÏØ0__"/>
      <sheetName val="_SHOPLIST_xls__VWVU))tÏØ0__1"/>
      <sheetName val="_SHOPLIST_xls__SHOPLIST_xls__SH"/>
      <sheetName val="_SHOPLIST_xls__VWVU))tÏØ0__11"/>
      <sheetName val="_SHOPLIST_xls__VWVU))tÏØ0__2"/>
      <sheetName val="_SHOPLIST_xls__VWVU))tÏØ0__3"/>
      <sheetName val="_SHOPLIST_xls_70,_0s«_iÆø_í¬_i"/>
      <sheetName val="_SHOPLIST_xls_70_,_0_s«i_Æøí¬i_"/>
      <sheetName val="_SHOPLIST_xls__VWVU))tÏØ0__4"/>
      <sheetName val="WIP"/>
      <sheetName val="Contractor Application"/>
      <sheetName val="08 MEP Summary"/>
      <sheetName val="03B1"/>
      <sheetName val="03B2"/>
      <sheetName val="Addnl works"/>
      <sheetName val="VARIATIONS"/>
      <sheetName val="B3. Material on Site-Detail"/>
      <sheetName val="Joseph Record"/>
      <sheetName val="Cover Page"/>
      <sheetName val="Approved INR Claimed Log (2)"/>
      <sheetName val="Chart2"/>
      <sheetName val="INR Data"/>
      <sheetName val="Sheet4"/>
      <sheetName val="Dec OCR"/>
      <sheetName val="IPA16"/>
      <sheetName val="log"/>
      <sheetName val="OCR (APR"/>
      <sheetName val="Survey "/>
      <sheetName val="Survey"/>
      <sheetName val="INR Summary Sheet"/>
      <sheetName val="ITR Form (Rev0)"/>
      <sheetName val="ITR Form (SS)"/>
      <sheetName val="SFB"/>
      <sheetName val="ITR Form (Rev1)"/>
      <sheetName val="Chart1"/>
      <sheetName val="Method Statements"/>
      <sheetName val="ITP"/>
      <sheetName val="BoQ-22-8-2019"/>
      <sheetName val="Tech"/>
      <sheetName val="[SHOPLIST.xls]/VWVU))tÏØ0__17"/>
      <sheetName val="[SHOPLIST.xls]/VWVU))tÏØ0__16"/>
      <sheetName val="[SHOPLIST.xls]/VWVU))tÏØ0__14"/>
      <sheetName val="[SHOPLIST.xls]/VWVU))tÏØ0__12"/>
      <sheetName val="[SHOPLIST.xls]/VWVU))tÏØ0__13"/>
      <sheetName val="[SHOPLIST.xls]/VWVU))tÏØ0__15"/>
      <sheetName val="[SHOPLIST.xls]/VWVU))tÏØ0__18"/>
      <sheetName val="[SHOPLIST.xls]/VWVU))tÏØ0__19"/>
      <sheetName val="_board7"/>
      <sheetName val="_boaboard (1)"/>
      <sheetName val="[SHOPLIST.xls]70,/0s«iÆøí¬i1"/>
      <sheetName val="[SHOPLIST.xls]70,/0s«_iÆø_í¬"/>
      <sheetName val="[SHOPLIST.xls]70,/0s«iÆøí¬i2"/>
      <sheetName val="[SHOPLIST.xls]70,/0s«iÆøí¬i3"/>
      <sheetName val="/VWVU))"/>
      <sheetName val="701"/>
      <sheetName val="70,1"/>
      <sheetName val="[SHOPLIST_xls][S1"/>
      <sheetName val="702"/>
      <sheetName val="70,2"/>
      <sheetName val="[SHOPLIST_xls][S2"/>
      <sheetName val="National"/>
      <sheetName val="Top_s灨ὔ밀ὔ턀"/>
      <sheetName val="Top_s๨ꫝ_x0000__x0000_퀀"/>
      <sheetName val="IO"/>
      <sheetName val="FAL intern"/>
      <sheetName val="Weekly"/>
      <sheetName val="S-Curve Update"/>
      <sheetName val="Electrical_database"/>
      <sheetName val="Wordsdata"/>
      <sheetName val="TABLO-3"/>
      <sheetName val="Transport"/>
      <sheetName val="Indirect"/>
      <sheetName val="Comp_equip"/>
      <sheetName val="[SHOPLIST.xls]70_x005f_x0000_,/0_x000"/>
      <sheetName val="SI 22"/>
      <sheetName val="TO List"/>
      <sheetName val="Qualifications"/>
      <sheetName val="CCTV DATA"/>
      <sheetName val="Contractor_Application"/>
      <sheetName val="08_MEP_Summary"/>
      <sheetName val="Addnl_works"/>
      <sheetName val="B3__Material_on_Site-Detail"/>
      <sheetName val="SoW Assess Blank Form"/>
      <sheetName val="VO-Sum"/>
      <sheetName val="VO-Log"/>
      <sheetName val="VO Breakdown"/>
      <sheetName val="Measurement Sheet"/>
      <sheetName val="Schedule of Drawings"/>
      <sheetName val="SI"/>
      <sheetName val="SI Schedule"/>
      <sheetName val="ContraCharge"/>
      <sheetName val="ContraCharge Schedule"/>
      <sheetName val="BQMPALOC"/>
      <sheetName val="COLUMNS"/>
      <sheetName val="VESSELS "/>
      <sheetName val="[SHOPLIST.xls][SHOPLIST.xls]70?"/>
      <sheetName val="Drop down"/>
      <sheetName val="BORDGC"/>
      <sheetName val="Cover Sheet"/>
      <sheetName val="Checklist"/>
      <sheetName val="Pay Cert"/>
      <sheetName val="Reconcilliation Sheet"/>
      <sheetName val="EPMS-Total "/>
      <sheetName val="EPMS-Earned"/>
      <sheetName val="SA2"/>
      <sheetName val="EPMS Earned -GR"/>
      <sheetName val="EPMS Earned Electrical Utilitie"/>
      <sheetName val="EPMS - Materials"/>
      <sheetName val="Backup-MOS"/>
      <sheetName val="EPMS - Variations"/>
      <sheetName val="Variations "/>
      <sheetName val="EPMS - Claims"/>
      <sheetName val="Advance"/>
      <sheetName val="Advance.d.1"/>
      <sheetName val="Prev Pay Certs"/>
      <sheetName val="TO-BUILDUP"/>
      <sheetName val="Monthly Summary_01 Aug-25Sept"/>
      <sheetName val="August"/>
      <sheetName val="September"/>
      <sheetName val="Bond calculation (Verifi)"/>
      <sheetName val="September_2"/>
      <sheetName val="July-2015"/>
      <sheetName val="IPC 10_Prog"/>
      <sheetName val="Grand Summary"/>
      <sheetName val="Summary_2"/>
      <sheetName val="SZ1"/>
      <sheetName val="SZ2"/>
      <sheetName val="SZ3"/>
      <sheetName val="SZ4"/>
      <sheetName val="SZ5"/>
      <sheetName val="SZ6"/>
      <sheetName val="SZ7"/>
      <sheetName val="SZ8"/>
      <sheetName val="SZ9"/>
      <sheetName val="SZ10"/>
      <sheetName val="SZ11"/>
      <sheetName val="Comparison per subzone"/>
      <sheetName val="Comparison"/>
      <sheetName val="Base Course"/>
      <sheetName val="BULD.3"/>
      <sheetName val="BLOCK K"/>
      <sheetName val="제출내역 (2)"/>
      <sheetName val="[SH"/>
      <sheetName val="70_"/>
      <sheetName val="703"/>
      <sheetName val="70,/0s«iÆøí¬i4"/>
      <sheetName val="[SHOPLIST.xls]/VW"/>
      <sheetName val="70,/0s«iÆøí¬i5"/>
      <sheetName val="Micro"/>
      <sheetName val="Detail Page"/>
      <sheetName val="ملخص المشاريع"/>
      <sheetName val="التكلفة"/>
      <sheetName val="الموظفين"/>
      <sheetName val="المقاولين"/>
      <sheetName val="الموردين"/>
      <sheetName val="عقود المقاولين"/>
      <sheetName val="اوامر الشراء"/>
      <sheetName val="المرجع"/>
      <sheetName val="الحركة اليومية"/>
      <sheetName val="محمد عساف"/>
      <sheetName val="كشف الايرادات والضرائب"/>
      <sheetName val="الميزانية"/>
      <sheetName val="حساب البنك"/>
      <sheetName val="كشف الرواتب"/>
      <sheetName val="SAF - عهد - سلامي ابو فخر"/>
      <sheetName val="THA - عهد - ثابت احمد"/>
      <sheetName val="AAH - عهد - انس هبو"/>
      <sheetName val="YSA - عهد - ياسر السبع"/>
      <sheetName val="MKJ - عهد - محمود قجك"/>
      <sheetName val="MSH - عهد - محمد الشامي"/>
      <sheetName val="ALW - عهد - علوان علي"/>
      <sheetName val="AHA - عهد - احمد الحاج"/>
      <sheetName val="MOR - عهد - مرجان عبدالهادي"/>
      <sheetName val="MHA - عهد - محمد حسون العلي"/>
      <sheetName val="MF - مكتب رئيسي"/>
      <sheetName val="CO - مقاولين - عقود (2)"/>
      <sheetName val="BUR - موردين - شركة البروج "/>
      <sheetName val="CAP - موردين - عاصمة الكهرباء"/>
      <sheetName val="PO - موردين - اوامر شراء"/>
      <sheetName val="CO - مقاولين - عقود"/>
      <sheetName val="8.0 Programme"/>
      <sheetName val="FLOOR AND CEILING"/>
      <sheetName val="area comp 2011 01 18 (2)"/>
      <sheetName val="Bill3-Basement"/>
      <sheetName val="drop down lists"/>
      <sheetName val="PH 5"/>
      <sheetName val="BM"/>
      <sheetName val=" SUMMARY"/>
      <sheetName val="PREAMBLES "/>
      <sheetName val="GENERAL REQUIREMENT"/>
      <sheetName val="B- SITE WORK"/>
      <sheetName val="C. CONCRETE WORKS "/>
      <sheetName val="D- MASONRY"/>
      <sheetName val="E. METAL WORK"/>
      <sheetName val="F. WOOD WORK "/>
      <sheetName val="G. THERMAL &amp;MP"/>
      <sheetName val="H_ DOORS _ WINDOWS"/>
      <sheetName val="J_ FINISHES"/>
      <sheetName val="K ACCESSO"/>
      <sheetName val="P.CONVEYING SYSTEM"/>
      <sheetName val="Q.MECHANICAL"/>
      <sheetName val="R.ELECTRICAL"/>
      <sheetName val="S External Works"/>
      <sheetName val="T Provisional Sum"/>
      <sheetName val="T. MEP Works"/>
      <sheetName val="U-DAY WORKS SCHEDULE"/>
      <sheetName val="Struct. Members"/>
      <sheetName val="d-7"/>
      <sheetName val="rate"/>
      <sheetName val="Bldg"/>
      <sheetName val="COST"/>
      <sheetName val="Sheet112"/>
      <sheetName val="Sheet116"/>
      <sheetName val="Sheet117"/>
      <sheetName val="Sheet118"/>
      <sheetName val="Sheet119"/>
      <sheetName val="Sheet120"/>
      <sheetName val="Sheet121"/>
      <sheetName val="Sheet122"/>
      <sheetName val="Sheet123"/>
      <sheetName val="Sheet124"/>
      <sheetName val="Sheet357"/>
      <sheetName val="Sheet358"/>
      <sheetName val="Sheet360"/>
      <sheetName val="Sheet362"/>
      <sheetName val="Sheet363"/>
      <sheetName val="Sheet364"/>
      <sheetName val="Sheet365"/>
      <sheetName val="[SHOPLIST.xls][SHOPLIST.xls]7_2"/>
      <sheetName val="[SHOPLIST.xls][SHOPLIST.xls]7_3"/>
      <sheetName val="Reference"/>
      <sheetName val="External"/>
      <sheetName val="Architectural"/>
      <sheetName val="Lift"/>
      <sheetName val=" Structural"/>
      <sheetName val="Travel.Cranes"/>
      <sheetName val="Recap Travel.Crane"/>
      <sheetName val="Recap Architect"/>
      <sheetName val="Recap External"/>
      <sheetName val="Recap Struct"/>
      <sheetName val="Package 1"/>
      <sheetName val="Recap Lift"/>
      <sheetName val="대비표"/>
      <sheetName val="Démol."/>
      <sheetName val="Ravalement"/>
      <sheetName val="GAE8'97"/>
      <sheetName val="Overall"/>
      <sheetName val="Gene��_x0008_i"/>
      <sheetName val="Top_sh"/>
      <sheetName val="ورقة2"/>
      <sheetName val="LTR-2"/>
      <sheetName val="[SHOPLIST.xls]70_x005f_x0000___0_x0_2"/>
      <sheetName val="[SHOPLIST.xls]70___0_s__i_____3"/>
      <sheetName val="[SHOPLIST.xls]70___0_s__i_____4"/>
      <sheetName val="[SHOPLIST.xls][SHOPLIST.xls]7_4"/>
      <sheetName val="[SHOPLIST.xls][SHOPLIST_xls]7_2"/>
      <sheetName val="[SHOPLIST.xls][SHOPLIST_xls]7_3"/>
      <sheetName val="[SHOPLIST.xls][SHOPLIST.xls]__2"/>
      <sheetName val="[SHOPLIST.xls][SHOPLIST_xls]7_4"/>
      <sheetName val="[SHOPLIST.xls][SHOPLIST_xls]7_5"/>
      <sheetName val="[SHOPLIST.xls][SHOPLIST.xls]__3"/>
      <sheetName val="[SHOPLIST.xls][SHOPLIST.xls]__4"/>
      <sheetName val="[SHOPLIST.xls][SHOPLIST.xls]__5"/>
      <sheetName val="[SHOPLIST.xls][SHOPLIST.xls]__6"/>
      <sheetName val="[SHOPLIST.xls][SHOPLIST.xls]__7"/>
      <sheetName val="[SHOPLIST.xls][SHOPLIST.xls]__8"/>
      <sheetName val="[SHOPLIST.xls][SHOPLIST.xls]7_5"/>
      <sheetName val="[SHOPLIST.xls][SHOPLIST.xls]7_6"/>
      <sheetName val="[SHOPLIST.xls][SHOPLIST.xls]__9"/>
      <sheetName val="[SHOPLIST.xls][SHOPLIST_xls]7_6"/>
      <sheetName val="[SHOPLIST.xls][SHOPLIST_xls]7_7"/>
      <sheetName val="[SHOPLIST.xls][SHOPLIST_xls]7_8"/>
      <sheetName val="[SHOPLIST.xls][SHOPLIST.xls]_10"/>
      <sheetName val="[SHOPLIST.xls][SHOPLIST.xls]_11"/>
      <sheetName val="[SHOPLIST.xls][SHOPLIST.xls]_12"/>
      <sheetName val="[SHOPLIST.xls][SHOPLIST_xls]__2"/>
      <sheetName val="[SHOPLIST.xls][SHOPLIST_xls]__3"/>
      <sheetName val="[SHOPLIST.xls][SHOPLIST_xls]__4"/>
      <sheetName val="[SHOPLIST.xls][SHOPLIST_xls]__5"/>
      <sheetName val="[SHOPLIST.xls][SHOPLIST_xls]7_9"/>
      <sheetName val="[SHOPLIST.xls][SHOPLIST_xls]__6"/>
      <sheetName val="[SHOPLIST.xls][SHOPLIST_xls]__7"/>
      <sheetName val="[SHOPLIST.xls][SHOPLIST_xls]__8"/>
      <sheetName val="[SHOPLIST.xls][SHOPLIST_xls]_10"/>
      <sheetName val="[SHOPLIST.xls][SHOPLIST_xls]_11"/>
      <sheetName val="[SHOPLIST.xls][SHOPLIST_xls]_12"/>
      <sheetName val="[SHOPLIST.xls][SHOPLIST_xls]__9"/>
      <sheetName val="[SHOPLIST.xls][SHOPLIST_xls]_13"/>
      <sheetName val="[SHOPLIST.xls][SHOPLIST_xls]_14"/>
      <sheetName val="[SHOPLIST.xls][SHOPLIST_xls]_15"/>
      <sheetName val="[SHOPLIST.xls][SHOPLIST_xls]_16"/>
      <sheetName val="[SHOPLIST.xls][SHOPLIST_xls]_17"/>
      <sheetName val="[SHOPLIST.xls][SHOPLIST_xls]_18"/>
      <sheetName val="[SHOPLIST.xls][SHOPLIST_xls]_19"/>
      <sheetName val="[SHOPLIST.xls][SHOPLIST_xls]_20"/>
      <sheetName val="[SHOPLIST.xls][SHOPLIST_xls]_21"/>
      <sheetName val="[SHOPLIST.xls][SHOPLIST_xls]_22"/>
      <sheetName val="[SHOPLIST.xls][SHOPLIST_xls]_23"/>
      <sheetName val="[SHOPLIST.xls][SHOPLIST_xls]_24"/>
      <sheetName val="[SHOPLIST.xls][SHOPLIST_xls]_25"/>
      <sheetName val="[SHOPLIST.xls][SHOPLIST_xls]_26"/>
      <sheetName val="[SHOPLIST.xls][SHOPLIST_xls]_27"/>
      <sheetName val="[SHOPLIST.xls][SHOPLIST_xls]_28"/>
      <sheetName val="[SHOPLIST.xls][SHOPLIST.xls]_13"/>
      <sheetName val="[SHOPLIST.xls][SHOPLIST_xls]_29"/>
      <sheetName val="[SHOPLIST.xls][SHOPLIST_xls]_30"/>
      <sheetName val="[SHOPLIST.xls][SHOPLIST_xls]_31"/>
      <sheetName val="[SHOPLIST.xls][SHOPLIST_xls]_32"/>
      <sheetName val="[SHOPLIST.xls][SHOPLIST_xls]_33"/>
      <sheetName val="[SHOPLIST.xls][SHOPLIST_xls]_34"/>
      <sheetName val="[SHOPLIST.xls][SHOPLIST_xls]_35"/>
      <sheetName val="[SHOPLIST.xls][SHOPLIST_xls]_36"/>
      <sheetName val="[SHOPLIST.xls][SHOPLIST_xls]_37"/>
      <sheetName val="[SHOPLIST.xls][SHOPLIST_xls]_38"/>
      <sheetName val="[SHOPLIST.xls][SHOPLIST_xls]_39"/>
      <sheetName val="[SHOPLIST.xls][SHOPLIST_xls]_40"/>
      <sheetName val="[SHOPLIST.xls][SHOPLIST_xls]_41"/>
      <sheetName val="[SHOPLIST.xls][SHOPLIST_xls]_42"/>
      <sheetName val="[SHOPLIST.xls][SHOPLIST_xls]_43"/>
      <sheetName val="[SHOPLIST.xls][SHOPLIST_xls]_44"/>
      <sheetName val="[SHOPLIST.xls][SHOPLIST_xls]_45"/>
      <sheetName val="[SHOPLIST.xls][SHOPLIST_xls]_46"/>
      <sheetName val="[SHOPLIST.xls][SHOPLIST_xls]_47"/>
      <sheetName val="[SHOPLIST.xls][SHOPLIST_xls]_48"/>
      <sheetName val="[SHOPLIST.xls][SHOPLIST_xls]_49"/>
      <sheetName val="[SHOPLIST.xls][SHOPLIST_xls]_50"/>
      <sheetName val="[SHOPLIST.xls][SHOPLIST_xls]_51"/>
      <sheetName val="[SHOPLIST.xls][SHOPLIST_xls]_52"/>
      <sheetName val="[SHOPLIST.xls][SHOPLIST_xls]_53"/>
      <sheetName val="[SHOPLIST.xls][SHOPLIST_xls]_54"/>
      <sheetName val="[SHOPLIST.xls][SHOPLIST_xls]_55"/>
      <sheetName val="[SHOPLIST.xls][SHOPLIST_xls]_56"/>
      <sheetName val="[SHOPLIST.xls][SHOPLIST_xls]_57"/>
      <sheetName val="[SHOPLIST.xls][SHOPLIST_xls]_58"/>
      <sheetName val="[SHOPLIST.xls][SHOPLIST_xls]_59"/>
      <sheetName val="[SHOPLIST.xls][SHOPLIST_xls]_60"/>
      <sheetName val="[SHOPLIST.xls][SHOPLIST_xls]_61"/>
      <sheetName val="[SHOPLIST.xls][SHOPLIST_xls]_62"/>
      <sheetName val="[SHOPLIST.xls][SHOPLIST_xls]_63"/>
      <sheetName val="[SHOPLIST.xls][SHOPLIST_xls]_64"/>
      <sheetName val="[SHOPLIST.xls][SHOPLIST_xls]_65"/>
      <sheetName val="[SHOPLIST.xls][SHOPLIST_xls]_66"/>
      <sheetName val="[SHOPLIST.xls][SHOPLIST_xls]_67"/>
      <sheetName val="[SHOPLIST.xls][SHOPLIST_xls]_68"/>
      <sheetName val="[SHOPLIST.xls][SHOPLIST_xls]_69"/>
      <sheetName val="[SHOPLIST.xls][SHOPLIST_xls]_70"/>
      <sheetName val="[SHOPLIST.xls][SHOPLIST_xls]_71"/>
      <sheetName val="[SHOPLIST.xls][SHOPLIST_xls]_72"/>
      <sheetName val="[SHOPLIST.xls][SHOPLIST_xls]_73"/>
      <sheetName val="[SHOPLIST.xls][SHOPLIST_xls]_74"/>
      <sheetName val="[SHOPLIST.xls][SHOPLIST_xls]_75"/>
      <sheetName val="[SHOPLIST.xls][SHOPLIST_xls]_76"/>
      <sheetName val="[SHOPLIST.xls][SHOPLIST_xls]_77"/>
      <sheetName val="[SHOPLIST.xls][SHOPLIST_xls]_78"/>
      <sheetName val="[SHOPLIST.xls][SHOPLIST_xls]_79"/>
      <sheetName val="[SHOPLIST.xls][SHOPLIST_xls]_80"/>
      <sheetName val="[SHOPLIST.xls][SHOPLIST_xls]_81"/>
      <sheetName val="[SHOPLIST.xls][SHOPLIST_xls]_82"/>
      <sheetName val="[SHOPLIST.xls]70_x005f_x005f_x005f_x0000__2"/>
      <sheetName val="[SHOPLIST.xls][SHOPLIST.xls]7_7"/>
      <sheetName val="[SHOPLIST.xls][SHOPLIST.xls]_14"/>
      <sheetName val="[SHOPLIST.xls][SHOPLIST.xls]_15"/>
      <sheetName val="[SHOPLIST.xls][SHOPLIST_xls]_83"/>
      <sheetName val="[SHOPLIST.xls][SHOPLIST_xls]_84"/>
      <sheetName val="[SHOPLIST.xls][SHOPLIST_xls]_85"/>
      <sheetName val="[SHOPLIST.xls][SHOPLIST.xls]7_8"/>
      <sheetName val="[SHOPLIST.xls][SHOPLIST.xls]7_9"/>
      <sheetName val="[SHOPLIST.xls][SHOPLIST.xls]_16"/>
      <sheetName val="[SHOPLIST.xls][SHOPLIST.xls]_17"/>
      <sheetName val="[SHOPLIST.xls][SHOPLIST_xls]_86"/>
      <sheetName val="[SHOPLIST.xls][SHOPLIST_xls]_87"/>
      <sheetName val="[SHOPLIST.xls][SHOPLIST_xls]_88"/>
      <sheetName val="[SHOPLIST.xls][SHOPLIST_xls]_89"/>
      <sheetName val="[SHOPLIST.xls][SHOPLIST_xls]_90"/>
      <sheetName val="[SHOPLIST.xls][SHOPLIST_xls]_91"/>
      <sheetName val="[SHOPLIST.xls][SHOPLIST_xls]_92"/>
      <sheetName val="[SHOPLIST.xls][SHOPLIST_xls]_93"/>
      <sheetName val="[SHOPLIST.xls][SHOPLIST_xls]_94"/>
      <sheetName val="[SHOPLIST.xls][SHOPLIST_xls]_95"/>
      <sheetName val="[SHOPLIST.xls][SHOPLIST_xls]_96"/>
      <sheetName val="[SHOPLIST.xls][SHOPLIST_xls]_97"/>
      <sheetName val="[SHOPLIST.xls][SHOPLIST_xls]_98"/>
      <sheetName val="[SHOPLIST.xls][SHOPLIST_xls]_99"/>
      <sheetName val="[SHOPLIST.xls]_SHOPLIST_xls_100"/>
      <sheetName val="[SHOPLIST.xls]_SHOPLIST_xls_101"/>
      <sheetName val="[SHOPLIST.xls]_SHOPLIST_xls_102"/>
      <sheetName val="[SHOPLIST.xls]/VWVU))"/>
      <sheetName val="[SHOPLIST.xls]_SHOPLIST_xls_103"/>
      <sheetName val="intr_stool_brkup_x0000_"/>
      <sheetName val="Landscape No.1"/>
      <sheetName val="MEP No.3"/>
      <sheetName val="[SHOPLIST.xls]70___0_s__i_____5"/>
      <sheetName val="[SHOPLIST.xls]_VW__VU_________4"/>
      <sheetName val="[SHOPLIST.xls]_VW__VU_________5"/>
      <sheetName val="[SHOPLIST.xls]70_x005f_x0000___0_x0_3"/>
      <sheetName val="[SHOPLIST.xls]70___0_s__i_____6"/>
      <sheetName val="[SHOPLIST.xls]70___0_s__i_____7"/>
      <sheetName val="[SHOPLIST.xls][SHOPLIST.xls]_18"/>
      <sheetName val="[SHOPLIST.xls][SHOPLIST.xls]_19"/>
      <sheetName val="[SHOPLIST.xls]_SHOPLIST_xls_104"/>
      <sheetName val="[SHOPLIST.xls]_SHOPLIST_xls_105"/>
      <sheetName val="[SHOPLIST.xls]_SHOPLIST_xls_106"/>
      <sheetName val="[SHOPLIST.xls][SHOPLIST.xls]_20"/>
      <sheetName val="[SHOPLIST.xls][SHOPLIST.xls]_21"/>
      <sheetName val="[SHOPLIST.xls][SHOPLIST.xls]_22"/>
      <sheetName val="[SHOPLIST.xls][SHOPLIST.xls]_23"/>
      <sheetName val="[SHOPLIST.xls][SHOPLIST.xls]_24"/>
      <sheetName val="[SHOPLIST.xls][SHOPLIST.xls]_25"/>
      <sheetName val="[SHOPLIST.xls][SHOPLIST.xls]_26"/>
      <sheetName val="[SHOPLIST.xls]_SHOPLIST_xls_107"/>
      <sheetName val="[SHOPLIST.xls][SHOPLIST.xls]_27"/>
      <sheetName val="[SHOPLIST.xls][SHOPLIST.xls]_28"/>
      <sheetName val="[SHOPLIST.xls][SHOPLIST.xls]_29"/>
      <sheetName val="[SHOPLIST.xls][SHOPLIST.xls]_30"/>
      <sheetName val="[SHOPLIST.xls][SHOPLIST.xls]_31"/>
      <sheetName val="[SHOPLIST.xls][SHOPLIST.xls]_32"/>
      <sheetName val="[SHOPLIST.xls][SHOPLIST.xls]_33"/>
      <sheetName val="[SHOPLIST.xls][SHOPLIST.xls]_34"/>
      <sheetName val="[SHOPLIST.xls][SHOPLIST.xls]_35"/>
      <sheetName val="[SHOPLIST.xls][SHOPLIST.xls]_36"/>
      <sheetName val="[SHOPLIST.xls][SHOPLIST.xls]_37"/>
      <sheetName val="[SHOPLIST.xls][SHOPLIST.xls]_38"/>
      <sheetName val="[SHOPLIST.xls][SHOPLIST.xls]_39"/>
      <sheetName val="[SHOPLIST.xls][SHOPLIST.xls]_40"/>
      <sheetName val="[SHOPLIST.xls][SHOPLIST.xls]_41"/>
      <sheetName val="[SHOPLIST.xls]_SHOPLIST_xls_108"/>
      <sheetName val="[SHOPLIST.xls]_SHOPLIST_xls_109"/>
      <sheetName val="[SHOPLIST.xls]_SHOPLIST_xls_110"/>
      <sheetName val="[SHOPLIST.xls]_SHOPLIST_xls_111"/>
      <sheetName val="[SHOPLIST.xls]_SHOPLIST_xls_112"/>
      <sheetName val="[SHOPLIST.xls]_SHOPLIST_xls_113"/>
      <sheetName val="[SHOPLIST.xls]_SHOPLIST_xls_114"/>
      <sheetName val="[SHOPLIST.xls]_SHOPLIST_xls_115"/>
      <sheetName val="[SHOPLIST.xls]_SHOPLIST_xls_116"/>
      <sheetName val="[SHOPLIST.xls]_SHOPLIST_xls_117"/>
      <sheetName val="[SHOPLIST.xls]_SHOPLIST_xls_118"/>
      <sheetName val="[SHOPLIST.xls][SHOPLIST.xls]_42"/>
      <sheetName val="[SHOPLIST.xls][SHOPLIST.xls]_43"/>
      <sheetName val="[SHOPLIST.xls][SHOPLIST.xls]_44"/>
      <sheetName val="[SHOPLIST.xls]_SHOPLIST_xls_119"/>
      <sheetName val="[SHOPLIST.xls]_SHOPLIST_xls_120"/>
      <sheetName val="[SHOPLIST.xls]_SHOPLIST_xls_121"/>
      <sheetName val="[SHOPLIST.xls]_SHOPLIST_xls_122"/>
      <sheetName val="[SHOPLIST.xls]_SHOPLIST_xls_123"/>
      <sheetName val="[SHOPLIST.xls]_SHOPLIST_xls_124"/>
      <sheetName val="[SHOPLIST.xls]_SHOPLIST_xls_125"/>
      <sheetName val="[SHOPLIST.xls]_SHOPLIST_xls_126"/>
      <sheetName val="[SHOPLIST.xls]_SHOPLIST_xls_127"/>
      <sheetName val="[SHOPLIST.xls]_SHOPLIST_xls_128"/>
      <sheetName val="[SHOPLIST.xls]_SHOPLIST_xls_129"/>
      <sheetName val="[SHOPLIST.xls][SHOPLIST.xls]_45"/>
      <sheetName val="[SHOPLIST.xls]_SHOPLIST_xls_130"/>
      <sheetName val="[SHOPLIST.xls]_SHOPLIST_xls_131"/>
      <sheetName val="[SHOPLIST.xls]_SHOPLIST_xls_132"/>
      <sheetName val="[SHOPLIST.xls]_SHOPLIST_xls_133"/>
      <sheetName val="[SHOPLIST.xls]_SHOPLIST_xls_134"/>
      <sheetName val="[SHOPLIST.xls]_SHOPLIST_xls_135"/>
      <sheetName val="[SHOPLIST.xls]_SHOPLIST_xls_136"/>
      <sheetName val="[SHOPLIST.xls]_SHOPLIST_xls_137"/>
      <sheetName val="[SHOPLIST.xls]_SHOPLIST_xls_138"/>
      <sheetName val="[SHOPLIST.xls]_SHOPLIST_xls_139"/>
      <sheetName val="[SHOPLIST.xls]_SHOPLIST_xls_140"/>
      <sheetName val="[SHOPLIST.xls]_SHOPLIST_xls_141"/>
      <sheetName val="[SHOPLIST.xls]_SHOPLIST_xls_142"/>
      <sheetName val="[SHOPLIST.xls][SHOPLIST.xls]_46"/>
      <sheetName val="[SHOPLIST.xls][SHOPLIST.xls]_47"/>
      <sheetName val="[SHOPLIST.xls][SHOPLIST.xls]_48"/>
      <sheetName val="[SHOPLIST.xls][SHOPLIST.xls]_49"/>
      <sheetName val="[SHOPLIST.xls]_SHOPLIST_xls_143"/>
      <sheetName val="[SHOPLIST.xls]_SHOPLIST_xls_144"/>
      <sheetName val="[SHOPLIST.xls]_SHOPLIST_xls_145"/>
      <sheetName val="[SHOPLIST.xls]_SHOPLIST_xls_146"/>
      <sheetName val="[SHOPLIST.xls]_SHOPLIST_xls_147"/>
      <sheetName val="[SHOPLIST.xls]_SHOPLIST_xls_148"/>
      <sheetName val="[SHOPLIST.xls]_SHOPLIST_xls_149"/>
      <sheetName val="[SHOPLIST.xls]_SHOPLIST_xls_150"/>
      <sheetName val="[SHOPLIST.xls]_SHOPLIST_xls_151"/>
      <sheetName val="[SHOPLIST.xls]_SHOPLIST_xls_152"/>
      <sheetName val="[SHOPLIST.xls]_SHOPLIST_xls_153"/>
      <sheetName val="[SHOPLIST.xls]_SHOPLIST_xls_154"/>
      <sheetName val="[SHOPLIST.xls]_SHOPLIST_xls_155"/>
      <sheetName val="[SHOPLIST.xls]_SHOPLIST_xls_156"/>
      <sheetName val="[SHOPLIST.xls]_SHOPLIST_xls_157"/>
      <sheetName val="[SHOPLIST.xls]_SHOPLIST_xls_158"/>
      <sheetName val="[SHOPLIST.xls]_SHOPLIST_xls_159"/>
      <sheetName val="[SHOPLIST.xls]_SHOPLIST_xls_160"/>
      <sheetName val="[SHOPLIST.xls]_SHOPLIST_xls_161"/>
      <sheetName val="[SHOPLIST.xls]_SHOPLIST_xls_162"/>
      <sheetName val="[SHOPLIST.xls]_SHOPLIST_xls_163"/>
      <sheetName val="[SHOPLIST.xls]_SHOPLIST_xls_164"/>
      <sheetName val="[SHOPLIST.xls]_SHOPLIST_xls_165"/>
      <sheetName val="[SHOPLIST.xls]_SHOPLIST_xls_166"/>
      <sheetName val="[SHOPLIST.xls]_SHOPLIST_xls_167"/>
      <sheetName val="[SHOPLIST.xls]_SHOPLIST_xls_168"/>
      <sheetName val="[SHOPLIST.xls]_SHOPLIST_xls_169"/>
      <sheetName val="[SHOPLIST.xls]_SHOPLIST_xls_170"/>
      <sheetName val="[SHOPLIST.xls]_SHOPLIST_xls_171"/>
      <sheetName val="[SHOPLIST.xls]_SHOPLIST_xls_172"/>
      <sheetName val="[SHOPLIST.xls]_SHOPLIST_xls_173"/>
      <sheetName val="[SHOPLIST.xls]_SHOPLIST_xls_174"/>
      <sheetName val="[SHOPLIST.xls]_SHOPLIST_xls_175"/>
      <sheetName val="[SHOPLIST.xls]_SHOPLIST_xls_176"/>
      <sheetName val="[SHOPLIST.xls]_SHOPLIST_xls_177"/>
      <sheetName val="[SHOPLIST.xls]_SHOPLIST_xls_178"/>
      <sheetName val="[SHOPLIST.xls]_SHOPLIST_xls_179"/>
      <sheetName val="[SHOPLIST.xls]_SHOPLIST_xls_180"/>
      <sheetName val="[SHOPLIST.xls]_SHOPLIST_xls_181"/>
      <sheetName val="[SHOPLIST.xls]_SHOPLIST_xls_182"/>
      <sheetName val="[SHOPLIST.xls]_SHOPLIST_xls_183"/>
      <sheetName val="[SHOPLIST.xls]_SHOPLIST_xls_184"/>
      <sheetName val="[SHOPLIST.xls]_SHOPLIST_xls_185"/>
      <sheetName val="[SHOPLIST.xls]_SHOPLIST_xls_186"/>
      <sheetName val="[SHOPLIST.xls]_SHOPLIST_xls_187"/>
      <sheetName val="[SHOPLIST.xls]_SHOPLIST_xls_188"/>
      <sheetName val="[SHOPLIST.xls]_SHOPLIST_xls_189"/>
      <sheetName val="[SHOPLIST.xls]_SHOPLIST_xls_190"/>
      <sheetName val="[SHOPLIST.xls]_SHOPLIST_xls_191"/>
      <sheetName val="[SHOPLIST.xls]_SHOPLIST_xls_192"/>
      <sheetName val="[SHOPLIST.xls]_SHOPLIST_xls_193"/>
      <sheetName val="[SHOPLIST.xls]_SHOPLIST_xls_194"/>
      <sheetName val="[SHOPLIST.xls]_SHOPLIST_xls_195"/>
      <sheetName val="[SHOPLIST.xls]_SHOPLIST_xls_196"/>
      <sheetName val="[SHOPLIST.xls]_SHOPLIST_xls_197"/>
      <sheetName val="[SHOPLIST.xls]_SHOPLIST_xls_198"/>
      <sheetName val="[SHOPLIST.xls]_SHOPLIST_xls_199"/>
      <sheetName val="[SHOPLIST.xls]_SHOPLIST_xls_200"/>
      <sheetName val="[SHOPLIST.xls]_SHOPLIST_xls_201"/>
      <sheetName val="[SHOPLIST.xls]_SHOPLIST_xls_202"/>
      <sheetName val="[SHOPLIST.xls]_SHOPLIST_xls_203"/>
      <sheetName val="[SHOPLIST.xls]_SHOPLIST_xls_204"/>
      <sheetName val="[SHOPLIST.xls]_SHOPLIST_xls_205"/>
      <sheetName val="[SHOPLIST.xls]_SHOPLIST_xls_206"/>
      <sheetName val="[SHOPLIST.xls]_SHOPLIST_xls_207"/>
      <sheetName val="[SHOPLIST.xls]_SHOPLIST_xls_208"/>
      <sheetName val="[SHOPLIST.xls]_SHOPLIST_xls_209"/>
      <sheetName val="[SHOPLIST.xls][SHOPLIST.xls]_50"/>
      <sheetName val="[SHOPLIST.xls][SHOPLIST.xls]_51"/>
      <sheetName val="[SHOPLIST.xls][SHOPLIST.xls]_52"/>
      <sheetName val="[SHOPLIST.xls][SHOPLIST.xls]_53"/>
      <sheetName val="[SHOPLIST.xls][SHOPLIST.xls]_54"/>
      <sheetName val="[SHOPLIST.xls][SHOPLIST.xls]_55"/>
      <sheetName val="[SHOPLIST.xls][SHOPLIST.xls]_56"/>
      <sheetName val="[SHOPLIST.xls][SHOPLIST.xls]_57"/>
      <sheetName val="[SHOPLIST.xls][SHOPLIST.xls]_58"/>
      <sheetName val="[SHOPLIST.xls][SHOPLIST.xls]_59"/>
      <sheetName val="[SHOPLIST.xls][SHOPLIST.xls]_60"/>
      <sheetName val="[SHOPLIST.xls][SHOPLIST.xls]_61"/>
      <sheetName val="[SHOPLIST.xls][SHOPLIST.xls]_62"/>
      <sheetName val="[SHOPLIST.xls][SHOPLIST.xls]_63"/>
      <sheetName val="[SHOPLIST.xls][SHOPLIST.xls]_64"/>
      <sheetName val="[SHOPLIST.xls][SHOPLIST.xls]_65"/>
      <sheetName val="[SHOPLIST.xls][SHOPLIST.xls]_66"/>
      <sheetName val="[SHOPLIST.xls][SHOPLIST.xls]_67"/>
      <sheetName val="[SHOPLIST.xls][SHOPLIST.xls]_68"/>
      <sheetName val="[SHOPLIST.xls][SHOPLIST.xls]_69"/>
      <sheetName val="[SHOPLIST.xls][SHOPLIST.xls]_70"/>
      <sheetName val="[SHOPLIST.xls][SHOPLIST.xls]_71"/>
      <sheetName val="[SHOPLIST.xls][SHOPLIST.xls]_72"/>
      <sheetName val="[SHOPLIST.xls][SHOPLIST.xls]_73"/>
      <sheetName val="[SHOPLIST.xls][SHOPLIST.xls]_74"/>
      <sheetName val="[SHOPLIST.xls][SHOPLIST.xls]_75"/>
      <sheetName val="[SHOPLIST.xls][SHOPLIST.xls]_76"/>
      <sheetName val="[SHOPLIST.xls][SHOPLIST.xls]_77"/>
      <sheetName val="[SHOPLIST.xls][SHOPLIST.xls]_78"/>
      <sheetName val="[SHOPLIST.xls][SHOPLIST.xls]_79"/>
      <sheetName val="[SHOPLIST.xls][SHOPLIST.xls]_80"/>
      <sheetName val="[SHOPLIST.xls][SHOPLIST.xls]_81"/>
      <sheetName val="[SHOPLIST.xls][SHOPLIST.xls]_82"/>
      <sheetName val="[SHOPLIST.xls][SHOPLIST.xls]_83"/>
      <sheetName val="[SHOPLIST.xls][SHOPLIST.xls]_84"/>
      <sheetName val="[SHOPLIST.xls][SHOPLIST.xls]_85"/>
      <sheetName val="[SHOPLIST.xls][SHOPLIST.xls]_86"/>
      <sheetName val="[SHOPLIST.xls][SHOPLIST.xls]_87"/>
      <sheetName val="[SHOPLIST.xls][SHOPLIST.xls]_88"/>
      <sheetName val="[SHOPLIST.xls][SHOPLIST.xls]_89"/>
      <sheetName val="[SHOPLIST.xls][SHOPLIST.xls]_90"/>
      <sheetName val="[SHOPLIST.xls][SHOPLIST.xls]_91"/>
      <sheetName val="[SHOPLIST.xls][SHOPLIST.xls]_92"/>
      <sheetName val="[SHOPLIST.xls][SHOPLIST.xls]_93"/>
      <sheetName val="[SHOPLIST.xls]70___0_s__i_____8"/>
      <sheetName val="[SHOPLIST.xls]_VW__VU_________6"/>
      <sheetName val="[SHOPLIST.xls]_VW__VU_________7"/>
      <sheetName val="[SHOPLIST.xls]70___0_s__i_____9"/>
      <sheetName val="[SHOPLIST.xls]70_x005f_x0000___0_x0_4"/>
      <sheetName val="[SHOPLIST.xls][SHOPLIST.xls]_94"/>
      <sheetName val="[SHOPLIST.xls]70___0_s__i____10"/>
      <sheetName val="[SHOPLIST.xls]_SHOPLIST_xls_210"/>
      <sheetName val="[SHOPLIST.xls]_SHOPLIST_xls_211"/>
      <sheetName val="[SHOPLIST.xls][SHOPLIST.xls]_95"/>
      <sheetName val="[SHOPLIST.xls][SHOPLIST.xls]_96"/>
      <sheetName val="[SHOPLIST.xls]_SHOPLIST_xls_212"/>
      <sheetName val="[SHOPLIST.xls]_SHOPLIST_xls_213"/>
      <sheetName val="[SHOPLIST.xls]_SHOPLIST_xls_214"/>
      <sheetName val="[SHOPLIST.xls]_SHOPLIST_xls_215"/>
      <sheetName val="[SHOPLIST.xls]_SHOPLIST_xls_216"/>
      <sheetName val="[SHOPLIST.xls]_SHOPLIST_xls_217"/>
      <sheetName val="[SHOPLIST.xls]_SHOPLIST_xls_218"/>
      <sheetName val="[SHOPLIST.xls]_SHOPLIST_xls_219"/>
      <sheetName val="[SHOPLIST.xls]_SHOPLIST_xls_220"/>
      <sheetName val="[SHOPLIST.xls]_SHOPLIST_xls_221"/>
      <sheetName val="[SHOPLIST.xls]_SHOPLIST_xls_222"/>
      <sheetName val="[SHOPLIST.xls]_SHOPLIST_xls_223"/>
      <sheetName val="[SHOPLIST.xls]_SHOPLIST_xls_224"/>
      <sheetName val="[SHOPLIST.xls]_SHOPLIST_xls_225"/>
      <sheetName val="[SHOPLIST.xls]_SHOPLIST_xls_226"/>
      <sheetName val="[SHOPLIST.xls]_SHOPLIST_xls_227"/>
      <sheetName val="[SHOPLIST.xls]_SHOPLIST_xls_228"/>
      <sheetName val="[SHOPLIST.xls]_SHOPLIST_xls_229"/>
      <sheetName val="[SHOPLIST.xls]_SHOPLIST_xls_230"/>
      <sheetName val="[SHOPLIST.xls]_SHOPLIST_xls_231"/>
      <sheetName val="[SHOPLIST.xls]_SHOPLIST_xls_232"/>
      <sheetName val="[SHOPLIST.xls]_SHOPLIST_xls_233"/>
      <sheetName val="[SHOPLIST.xls]_SHOPLIST_xls_234"/>
      <sheetName val="[SHOPLIST.xls]_SHOPLIST_xls_235"/>
      <sheetName val="[SHOPLIST.xls]_SHOPLIST_xls_236"/>
      <sheetName val="[SHOPLIST.xls]_SHOPLIST_xls_237"/>
      <sheetName val="[SHOPLIST.xls]_SHOPLIST_xls_238"/>
      <sheetName val="[SHOPLIST.xls]_SHOPLIST_xls_239"/>
      <sheetName val="[SHOPLIST.xls]_SHOPLIST_xls_240"/>
      <sheetName val="[SHOPLIST.xls]_SHOPLIST_xls_241"/>
      <sheetName val="[SHOPLIST.xls]_SHOPLIST_xls_242"/>
      <sheetName val="[SHOPLIST.xls]_SHOPLIST_xls_243"/>
      <sheetName val="[SHOPLIST.xls]_SHOPLIST_xls_244"/>
      <sheetName val="[SHOPLIST.xls]_SHOPLIST_xls_245"/>
      <sheetName val="[SHOPLIST.xls]_SHOPLIST_xls_246"/>
      <sheetName val="[SHOPLIST.xls]_SHOPLIST_xls_247"/>
      <sheetName val="[SHOPLIST.xls]_SHOPLIST_xls_248"/>
      <sheetName val="[SHOPLIST.xls]_SHOPLIST_xls_249"/>
      <sheetName val="[SHOPLIST.xls]_SHOPLIST_xls_250"/>
      <sheetName val="[SHOPLIST.xls][SHOPLIST.xls]_97"/>
      <sheetName val="[SHOPLIST.xls]_SHOPLIST_xls_251"/>
      <sheetName val="[SHOPLIST.xls]_SHOPLIST_xls_252"/>
      <sheetName val="[SHOPLIST.xls]_SHOPLIST_xls_253"/>
      <sheetName val="[SHOPLIST.xls]_SHOPLIST_xls_254"/>
      <sheetName val="[SHOPLIST.xls]_SHOPLIST_xls_255"/>
      <sheetName val="[SHOPLIST.xls]_SHOPLIST_xls_256"/>
      <sheetName val="[SHOPLIST.xls]_SHOPLIST_xls_257"/>
      <sheetName val="[SHOPLIST.xls]_SHOPLIST_xls_258"/>
      <sheetName val="[SHOPLIST.xls]_SHOPLIST_xls_259"/>
      <sheetName val="[SHOPLIST.xls]_SHOPLIST_xls_260"/>
      <sheetName val="[SHOPLIST.xls]_SHOPLIST_xls_261"/>
      <sheetName val="[SHOPLIST.xls]_SHOPLIST_xls_262"/>
      <sheetName val="[SHOPLIST.xls]_SHOPLIST_xls_263"/>
      <sheetName val="[SHOPLIST.xls]_SHOPLIST_xls_264"/>
      <sheetName val="[SHOPLIST.xls]_SHOPLIST_xls_265"/>
      <sheetName val="[SHOPLIST.xls]_SHOPLIST_xls_266"/>
      <sheetName val="[SHOPLIST.xls]_SHOPLIST_xls_267"/>
      <sheetName val="[SHOPLIST.xls]_SHOPLIST_xls_268"/>
      <sheetName val="[SHOPLIST.xls]_SHOPLIST_xls_269"/>
      <sheetName val="[SHOPLIST.xls]_SHOPLIST_xls_270"/>
      <sheetName val="[SHOPLIST.xls]_SHOPLIST_xls_271"/>
      <sheetName val="[SHOPLIST.xls]_SHOPLIST_xls_272"/>
      <sheetName val="[SHOPLIST.xls]_SHOPLIST_xls_273"/>
      <sheetName val="[SHOPLIST.xls]_SHOPLIST_xls_274"/>
      <sheetName val="[SHOPLIST.xls]_SHOPLIST_xls_275"/>
      <sheetName val="[SHOPLIST.xls]_SHOPLIST_xls_276"/>
      <sheetName val="[SHOPLIST.xls]_SHOPLIST_xls_277"/>
      <sheetName val="[SHOPLIST.xls]_SHOPLIST_xls_278"/>
      <sheetName val="[SHOPLIST.xls]_SHOPLIST_xls_279"/>
      <sheetName val="[SHOPLIST.xls]_SHOPLIST_xls_280"/>
      <sheetName val="[SHOPLIST.xls]_SHOPLIST_xls_281"/>
      <sheetName val="[SHOPLIST.xls]_SHOPLIST_xls_282"/>
      <sheetName val="[SHOPLIST.xls]_SHOPLIST_xls_283"/>
      <sheetName val="[SHOPLIST.xls]_SHOPLIST_xls_284"/>
      <sheetName val="[SHOPLIST.xls]_SHOPLIST_xls_285"/>
      <sheetName val="[SHOPLIST.xls]_SHOPLIST_xls_286"/>
      <sheetName val="[SHOPLIST.xls]_SHOPLIST_xls_287"/>
      <sheetName val="[SHOPLIST.xls]_SHOPLIST_xls_288"/>
      <sheetName val="[SHOPLIST.xls]_SHOPLIST_xls_289"/>
      <sheetName val="[SHOPLIST.xls]_SHOPLIST_xls_290"/>
      <sheetName val="[SHOPLIST.xls]_SHOPLIST_xls_291"/>
      <sheetName val="[SHOPLIST.xls]_SHOPLIST_xls_292"/>
      <sheetName val="[SHOPLIST.xls]_SHOPLIST_xls_293"/>
      <sheetName val="[SHOPLIST.xls]_SHOPLIST_xls_294"/>
      <sheetName val="[SHOPLIST.xls]_SHOPLIST_xls_295"/>
      <sheetName val="[SHOPLIST.xls]_SHOPLIST_xls_296"/>
      <sheetName val="[SHOPLIST.xls]_SHOPLIST_xls_297"/>
      <sheetName val="[SHOPLIST.xls]_SHOPLIST_xls_298"/>
      <sheetName val="[SHOPLIST.xls]_SHOPLIST_xls_299"/>
      <sheetName val="[SHOPLIST.xls]_SHOPLIST_xls_300"/>
      <sheetName val="[SHOPLIST.xls]_SHOPLIST_xls_301"/>
      <sheetName val="[SHOPLIST.xls]_SHOPLIST_xls_302"/>
      <sheetName val="[SHOPLIST.xls]_SHOPLIST_xls_303"/>
      <sheetName val="[SHOPLIST.xls]_SHOPLIST_xls_304"/>
      <sheetName val="[SHOPLIST.xls]_SHOPLIST_xls_305"/>
      <sheetName val="[SHOPLIST.xls]_SHOPLIST_xls_306"/>
      <sheetName val="[SHOPLIST.xls]_SHOPLIST_xls_307"/>
      <sheetName val="[SHOPLIST.xls]_SHOPLIST_xls_308"/>
      <sheetName val="[SHOPLIST.xls]_SHOPLIST_xls_309"/>
      <sheetName val="[SHOPLIST.xls]_SHOPLIST_xls_310"/>
      <sheetName val="[SHOPLIST.xls]_SHOPLIST_xls_311"/>
      <sheetName val="[SHOPLIST.xls]_SHOPLIST_xls_312"/>
      <sheetName val="[SHOPLIST.xls]_SHOPLIST_xls_313"/>
      <sheetName val="[SHOPLIST.xls]_SHOPLIST_xls_314"/>
      <sheetName val="[SHOPLIST.xls]_SHOPLIST_xls_315"/>
      <sheetName val="[SHOPLIST.xls]_SHOPLIST_xls_316"/>
      <sheetName val="[SHOPLIST.xls]_SHOPLIST_xls_317"/>
      <sheetName val="[SHOPLIST.xls][SHOPLIST.xls]_98"/>
      <sheetName val="[SHOPLIST.xls][SHOPLIST.xls]_99"/>
      <sheetName val="[SHOPLIST.xls]_SHOPLIST_xls_320"/>
      <sheetName val="[SHOPLIST.xls]_SHOPLIST_xls_321"/>
      <sheetName val="[SHOPLIST.xls]_SHOPLIST_xls_322"/>
      <sheetName val="[SHOPLIST.xls]_SHOPLIST_xls_323"/>
      <sheetName val="[SHOPLIST.xls]_SHOPLIST_xls_324"/>
      <sheetName val="[SHOPLIST.xls]_SHOPLIST_xls_325"/>
      <sheetName val="[SHOPLIST.xls]_SHOPLIST_xls_326"/>
      <sheetName val="[SHOPLIST.xls]_SHOPLIST_xls_327"/>
      <sheetName val="[SHOPLIST.xls]_SHOPLIST_xls_328"/>
      <sheetName val="[SHOPLIST.xls]_SHOPLIST_xls_329"/>
      <sheetName val="[SHOPLIST.xls]_SHOPLIST_xls_330"/>
      <sheetName val="[SHOPLIST.xls]_SHOPLIST_xls_331"/>
      <sheetName val="[SHOPLIST.xls]_SHOPLIST_xls_332"/>
      <sheetName val="[SHOPLIST.xls]_SHOPLIST_xls_333"/>
      <sheetName val="[SHOPLIST.xls]_SHOPLIST_xls_334"/>
      <sheetName val="[SHOPLIST.xls]_SHOPLIST_xls_335"/>
      <sheetName val="[SHOPLIST.xls]_SHOPLIST_xls_336"/>
      <sheetName val="[SHOPLIST.xls]_SHOPLIST_xls_337"/>
      <sheetName val="[SHOPLIST.xls]_SHOPLIST_xls_338"/>
      <sheetName val="[SHOPLIST.xls]_SHOPLIST_xls_339"/>
      <sheetName val="[SHOPLIST.xls]_SHOPLIST_xls_340"/>
      <sheetName val="[SHOPLIST.xls]_SHOPLIST_xls_341"/>
      <sheetName val="[SHOPLIST.xls]_SHOPLIST_xls_342"/>
      <sheetName val="[SHOPLIST.xls]_SHOPLIST_xls_343"/>
      <sheetName val="[SHOPLIST.xls]_SHOPLIST_xls_344"/>
      <sheetName val="[SHOPLIST.xls]_SHOPLIST_xls_345"/>
      <sheetName val="[SHOPLIST.xls]_SHOPLIST_xls_346"/>
      <sheetName val="[SHOPLIST.xls]_SHOPLIST_xls_347"/>
      <sheetName val="[SHOPLIST.xls]_SHOPLIST_xls_348"/>
      <sheetName val="[SHOPLIST.xls]_SHOPLIST_xls_349"/>
      <sheetName val="[SHOPLIST.xls]70___0_s__i____11"/>
      <sheetName val="[SHOPLIST.xls]_VW__VU_________8"/>
      <sheetName val="[SHOPLIST.xls]_VW__VU_________9"/>
      <sheetName val="[SHOPLIST.xls]70___0_s__i____12"/>
      <sheetName val="[SHOPLIST.xls]70_x005f_x0000___0_x0_5"/>
      <sheetName val="[SHOPLIST.xls]_SHOPLIST_xls_350"/>
      <sheetName val="[SHOPLIST.xls]70___0_s__i____13"/>
      <sheetName val="[SHOPLIST.xls]_SHOPLIST_xls_351"/>
      <sheetName val="[SHOPLIST.xls]_SHOPLIST_xls_352"/>
      <sheetName val="[SHOPLIST.xls]_SHOPLIST_xls_353"/>
      <sheetName val="[SHOPLIST.xls]_SHOPLIST_xls_354"/>
      <sheetName val="[SHOPLIST.xls]_SHOPLIST_xls_355"/>
      <sheetName val="[SHOPLIST.xls]_SHOPLIST_xls_356"/>
      <sheetName val="[SHOPLIST.xls]_SHOPLIST_xls_357"/>
      <sheetName val="[SHOPLIST.xls]_SHOPLIST_xls_358"/>
      <sheetName val="[SHOPLIST.xls]_SHOPLIST_xls_359"/>
      <sheetName val="[SHOPLIST.xls]_SHOPLIST_xls_360"/>
      <sheetName val="[SHOPLIST.xls]_SHOPLIST_xls_361"/>
      <sheetName val="[SHOPLIST.xls]_SHOPLIST_xls_362"/>
      <sheetName val="[SHOPLIST.xls]_SHOPLIST_xls_363"/>
      <sheetName val="[SHOPLIST.xls]_SHOPLIST_xls_364"/>
      <sheetName val="[SHOPLIST.xls]_SHOPLIST_xls_365"/>
      <sheetName val="[SHOPLIST.xls]_SHOPLIST_xls_366"/>
      <sheetName val="[SHOPLIST.xls]_SHOPLIST_xls_367"/>
      <sheetName val="[SHOPLIST.xls]_SHOPLIST_xls_368"/>
      <sheetName val="[SHOPLIST.xls]_SHOPLIST_xls_369"/>
      <sheetName val="[SHOPLIST.xls]_SHOPLIST_xls_370"/>
      <sheetName val="[SHOPLIST.xls]_SHOPLIST_xls_371"/>
      <sheetName val="[SHOPLIST.xls]_SHOPLIST_xls_372"/>
      <sheetName val="[SHOPLIST.xls]_SHOPLIST_xls_373"/>
      <sheetName val="[SHOPLIST.xls]_SHOPLIST_xls_374"/>
      <sheetName val="[SHOPLIST.xls]_SHOPLIST_xls_375"/>
      <sheetName val="[SHOPLIST.xls]_SHOPLIST_xls_376"/>
      <sheetName val="[SHOPLIST.xls]_SHOPLIST_xls_377"/>
      <sheetName val="[SHOPLIST.xls]_SHOPLIST_xls_378"/>
      <sheetName val="[SHOPLIST.xls]_SHOPLIST_xls_379"/>
      <sheetName val="[SHOPLIST.xls]_SHOPLIST_xls_380"/>
      <sheetName val="[SHOPLIST.xls]_SHOPLIST_xls_381"/>
      <sheetName val="[SHOPLIST.xls]_SHOPLIST_xls_382"/>
      <sheetName val="[SHOPLIST.xls]_SHOPLIST_xls_383"/>
      <sheetName val="[SHOPLIST.xls]_SHOPLIST_xls_384"/>
      <sheetName val="[SHOPLIST.xls]_SHOPLIST_xls_385"/>
      <sheetName val="[SHOPLIST.xls]_SHOPLIST_xls_386"/>
      <sheetName val="[SHOPLIST.xls]_SHOPLIST_xls_387"/>
      <sheetName val="[SHOPLIST.xls]_SHOPLIST_xls_388"/>
      <sheetName val="[SHOPLIST.xls]_SHOPLIST_xls_389"/>
      <sheetName val="[SHOPLIST.xls]_SHOPLIST_xls_390"/>
      <sheetName val="[SHOPLIST.xls]_SHOPLIST_xls_391"/>
      <sheetName val="[SHOPLIST.xls]_SHOPLIST_xls_392"/>
      <sheetName val="[SHOPLIST.xls]_SHOPLIST_xls_393"/>
      <sheetName val="[SHOPLIST.xls]_SHOPLIST_xls_394"/>
      <sheetName val="[SHOPLIST.xls]_SHOPLIST_xls_395"/>
      <sheetName val="[SHOPLIST.xls]_SHOPLIST_xls_396"/>
      <sheetName val="[SHOPLIST.xls]_SHOPLIST_xls_397"/>
      <sheetName val="[SHOPLIST.xls]_SHOPLIST_xls_398"/>
      <sheetName val="[SHOPLIST.xls]_SHOPLIST_xls_399"/>
      <sheetName val="[SHOPLIST.xls]_SHOPLIST_xls_400"/>
      <sheetName val="[SHOPLIST.xls]_SHOPLIST_xls_401"/>
      <sheetName val="[SHOPLIST.xls]_SHOPLIST_xls_402"/>
      <sheetName val="[SHOPLIST.xls]_SHOPLIST_xls_403"/>
      <sheetName val="[SHOPLIST.xls]_SHOPLIST_xls_404"/>
      <sheetName val="[SHOPLIST.xls]_SHOPLIST_xls_405"/>
      <sheetName val="[SHOPLIST.xls]_SHOPLIST_xls_406"/>
      <sheetName val="[SHOPLIST.xls]_SHOPLIST_xls_407"/>
      <sheetName val="[SHOPLIST.xls]_SHOPLIST_xls_408"/>
      <sheetName val="[SHOPLIST.xls]_SHOPLIST_xls_409"/>
      <sheetName val="[SHOPLIST.xls]_SHOPLIST_xls_410"/>
      <sheetName val="[SHOPLIST.xls]_SHOPLIST_xls_411"/>
      <sheetName val="[SHOPLIST.xls]_SHOPLIST_xls_412"/>
      <sheetName val="[SHOPLIST.xls]_SHOPLIST_xls_413"/>
      <sheetName val="[SHOPLIST.xls]_SHOPLIST_xls_414"/>
      <sheetName val="[SHOPLIST.xls]_SHOPLIST_xls_415"/>
      <sheetName val="[SHOPLIST.xls]_SHOPLIST_xls_416"/>
      <sheetName val="[SHOPLIST.xls]_SHOPLIST_xls_417"/>
      <sheetName val="[SHOPLIST.xls]_SHOPLIST_xls_418"/>
      <sheetName val="[SHOPLIST.xls]_SHOPLIST_xls_419"/>
      <sheetName val="[SHOPLIST.xls]_SHOPLIST_xls_420"/>
      <sheetName val="[SHOPLIST.xls]_SHOPLIST_xls_421"/>
      <sheetName val="[SHOPLIST.xls]_SHOPLIST_xls_422"/>
      <sheetName val="[SHOPLIST.xls]_SHOPLIST_xls_423"/>
      <sheetName val="[SHOPLIST.xls]_SHOPLIST_xls_424"/>
      <sheetName val="[SHOPLIST.xls]_SHOPLIST_xls_425"/>
      <sheetName val="[SHOPLIST.xls]_SHOPLIST_xls_426"/>
      <sheetName val="[SHOPLIST.xls]_SHOPLIST_xls_427"/>
      <sheetName val="[SHOPLIST.xls]_SHOPLIST_xls_428"/>
      <sheetName val="[SHOPLIST.xls]_SHOPLIST_xls_429"/>
      <sheetName val="[SHOPLIST.xls]_SHOPLIST_xls_430"/>
      <sheetName val="[SHOPLIST.xls]_SHOPLIST_xls_431"/>
      <sheetName val="[SHOPLIST.xls]_SHOPLIST_xls_432"/>
      <sheetName val="[SHOPLIST.xls]_SHOPLIST_xls_433"/>
      <sheetName val="[SHOPLIST.xls]_SHOPLIST_xls_434"/>
      <sheetName val="[SHOPLIST.xls]_SHOPLIST_xls_435"/>
      <sheetName val="[SHOPLIST.xls]_SHOPLIST_xls_436"/>
      <sheetName val="[SHOPLIST.xls]_SHOPLIST_xls_437"/>
      <sheetName val="[SHOPLIST.xls]_SHOPLIST_xls_438"/>
      <sheetName val="[SHOPLIST.xls]_SHOPLIST_xls_439"/>
      <sheetName val="[SHOPLIST.xls]_SHOPLIST_xls_440"/>
      <sheetName val="[SHOPLIST.xls]_SHOPLIST_xls_441"/>
      <sheetName val="[SHOPLIST.xls]_SHOPLIST_xls_442"/>
      <sheetName val="[SHOPLIST.xls]_SHOPLIST_xls_443"/>
      <sheetName val="[SHOPLIST.xls]_SHOPLIST_xls_444"/>
      <sheetName val="[SHOPLIST.xls]_SHOPLIST_xls_445"/>
      <sheetName val="[SHOPLIST.xls]_SHOPLIST_xls_446"/>
      <sheetName val="[SHOPLIST.xls]_SHOPLIST_xls_447"/>
      <sheetName val="[SHOPLIST.xls]_SHOPLIST_xls_448"/>
      <sheetName val="[SHOPLIST.xls]_SHOPLIST_xls_449"/>
      <sheetName val="[SHOPLIST.xls]_SHOPLIST_xls_450"/>
      <sheetName val="[SHOPLIST.xls]_SHOPLIST_xls_451"/>
      <sheetName val="[SHOPLIST.xls]_SHOPLIST_xls_452"/>
      <sheetName val="[SHOPLIST.xls]_SHOPLIST_xls_453"/>
      <sheetName val="[SHOPLIST.xls]_SHOPLIST_xls_454"/>
      <sheetName val="[SHOPLIST.xls]_SHOPLIST_xls_455"/>
      <sheetName val="[SHOPLIST.xls]_SHOPLIST_xls_456"/>
      <sheetName val="[SHOPLIST.xls]_SHOPLIST_xls_457"/>
      <sheetName val="[SHOPLIST.xls]_SHOPLIST_xls_458"/>
      <sheetName val="[SHOPLIST.xls]_SHOPLIST_xls_459"/>
      <sheetName val="[SHOPLIST.xls]_SHOPLIST_xls_460"/>
      <sheetName val="[SHOPLIST.xls]_SHOPLIST_xls_461"/>
      <sheetName val="[SHOPLIST.xls]70_x005f_x005f_x005f_x0000__4"/>
      <sheetName val="[SHOPLIST.xls]_SHOPLIST_xls_462"/>
      <sheetName val="[SHOPLIST.xls]_SHOPLIST_xls_463"/>
      <sheetName val="[SHOPLIST.xls]70_x005f_x005f_x005f_x0000__3"/>
      <sheetName val="[SHOPLIST.xls]_SHOPLIST_xls_318"/>
      <sheetName val="[SHOPLIST.xls]_SHOPLIST_xls_319"/>
      <sheetName val="ConferenceCentre_옰ʒ䄂ʒ鵠ʐ䄂ʒ閐̐脭め_x0005_"/>
      <sheetName val="예가표"/>
      <sheetName val="Trade_Summary1"/>
      <sheetName val="B-3_2_EB1"/>
      <sheetName val="Tender_Docs1"/>
      <sheetName val="Miral_Emails1"/>
      <sheetName val="LOAs_(061619)1"/>
      <sheetName val="Contract_Conditions_(Tender)1"/>
      <sheetName val="Contract_Qualifications1"/>
      <sheetName val="YVPI_&amp;_GII1"/>
      <sheetName val="LOA_(live_sheet)1"/>
      <sheetName val="LOA_Log_(082419)1"/>
      <sheetName val="Key_Docs_Ref_1"/>
      <sheetName val="To_Mr__Boota_(072519)1"/>
      <sheetName val="CONSTRUCTION_COMPONENT1"/>
      <sheetName val="[SHOPLIST_xls]/VWVU))tÏØ0__72"/>
      <sheetName val="[SHOPLIST_xls][SHOPLIST_xls]/V1"/>
      <sheetName val="[SHOPLIST_xls][SH1"/>
      <sheetName val="P15_Cost_Implications"/>
      <sheetName val="P15_uPVC_ducts-Rate_Summary"/>
      <sheetName val="P13_uPVC_ducts"/>
      <sheetName val="P13_Mass_Concrete"/>
      <sheetName val="P13_Imported_Fill"/>
      <sheetName val="P14_uPVC_ducts"/>
      <sheetName val="P14_Mass_Concrete"/>
      <sheetName val="P14_Imported_Fill"/>
      <sheetName val="P14_Sand_bed_to_cable"/>
      <sheetName val="P15_uPVC_ducts"/>
      <sheetName val="Other_Cost_Norms"/>
      <sheetName val="TB_ALJADA"/>
      <sheetName val="Plot_Area"/>
      <sheetName val="Closing_entries"/>
      <sheetName val="Executive_Summary"/>
      <sheetName val="Sales_Tracking_Report_(STR)"/>
      <sheetName val="Blocking_Tracking_Report_(BTR)"/>
      <sheetName val="Bill_No_1"/>
      <sheetName val="[SHOPLIST_xls]70,/0s«iÆøí¬1"/>
      <sheetName val="Item List OLD"/>
      <sheetName val="KEYFIGURES"/>
      <sheetName val="_SHOPLIST.xls__VWVU))tÏØ0__5"/>
      <sheetName val="_SHOPLIST.xls__VWVU))tÏØ0__6"/>
      <sheetName val="___________3"/>
      <sheetName val="_SHOPLIST.xls__VWVU))tÏØ0__7"/>
      <sheetName val="___________4"/>
      <sheetName val="Geneí¬_x005f_x0008_"/>
      <sheetName val="70_x005f_x0000_,_0_"/>
      <sheetName val="___________5"/>
      <sheetName val="_SHOPLIST_xls__VWVU))"/>
      <sheetName val="___________6"/>
      <sheetName val="_SHOPLIST_xls__VW1"/>
      <sheetName val="_SHOPLIST_xls__SHOPLIST_xls__S1"/>
      <sheetName val="_SHOPLIST_xls__SHOPLIST_xls_707"/>
      <sheetName val="___________7"/>
      <sheetName val="_SHOPLIST_xls__SHOPLIST_xls_708"/>
      <sheetName val="_SHOPLIST_xls__VW2"/>
      <sheetName val="_SHOPLIST_xls__VWVU))tÏØ0__5"/>
      <sheetName val="_SHOPLIST_xls__SHOPLIST_xls__S2"/>
      <sheetName val="_SHOPLIST_xls__SHOPLIST_xls_709"/>
      <sheetName val="_SHOPLIST_xls_70,1"/>
      <sheetName val="_SHOPLIST_xls__VWVU))tÏØ0__12"/>
      <sheetName val="_SHOPLIST_xls__VWVU))tÏØ0__21"/>
      <sheetName val="_SHOPLIST_xls__VWVU))tÏØ0__31"/>
      <sheetName val="_SHOPLIST_xls_70,_0s«_iÆø_í¬_i1"/>
      <sheetName val="_SHOPLIST_xls_70_,_0_s«i_Æøí¬i1"/>
      <sheetName val="_SHOPLIST_xls__VWVU))tÏØ0__6"/>
      <sheetName val="_SHOPLIST_xls__VWVU))tÏØ0__7"/>
      <sheetName val="_SHOPLIST_xls_70,2"/>
      <sheetName val="_SHOPLIST_xls__VWVU))tÏØ0__13"/>
      <sheetName val="_SHOPLIST_xls__VWVU))tÏØ0__22"/>
      <sheetName val="_SHOPLIST_xls__VWVU))tÏØ0__32"/>
      <sheetName val="_SHOPLIST_xls_70,_0s«_iÆø_í¬_i2"/>
      <sheetName val="_SHOPLIST_xls_70_,_0_s«i_Æøí¬i2"/>
      <sheetName val="___________8"/>
      <sheetName val="_SHOPLIST_xls__SHOPLIST_xls_710"/>
      <sheetName val="_SHOPLIST_xls__VW3"/>
      <sheetName val="_SHOPLIST_xls__VWVU))tÏØ0__8"/>
      <sheetName val="_SHOPLIST_xls__VWVU))tÏØ0__9"/>
      <sheetName val="_SHOPLIST_xls__SHOPLIST_xls_711"/>
      <sheetName val="_SHOPLIST_xls__SHOPLIST_xls__S3"/>
      <sheetName val="_SHOPLIST_xls_70,3"/>
      <sheetName val="_SHOPLIST_xls__VWVU))tÏØ0__14"/>
      <sheetName val="_SHOPLIST_xls__VWVU))tÏØ0__23"/>
      <sheetName val="_SHOPLIST_xls__VWVU))tÏØ0__33"/>
      <sheetName val="_SHOPLIST_xls_70,_0s«_iÆø_í¬_i3"/>
      <sheetName val="_SHOPLIST_xls_70_,_0_s«i_Æøí¬i3"/>
      <sheetName val="_VWVU))tÏØ0__17"/>
      <sheetName val="___________13"/>
      <sheetName val="_SHOPLIST_xls__SHOPLIST_xls_720"/>
      <sheetName val="_SHOPLIST_xls_70,_0s«iÆøí¬i13"/>
      <sheetName val="_SHOPLIST_xls__VW8"/>
      <sheetName val="_SHOPLIST_xls__VWVU))tÏØ0__40"/>
      <sheetName val="_SHOPLIST_xls__VWVU))tÏØ0__41"/>
      <sheetName val="_SHOPLIST_xls__SHOPLIST_xls_721"/>
      <sheetName val="_SHOPLIST_xls__SHOPLIST_xls__S8"/>
      <sheetName val="_SHOPLIST_xls_70,8"/>
      <sheetName val="_SHOPLIST_xls__VWVU))tÏØ0__42"/>
      <sheetName val="_SHOPLIST_xls__VWVU))tÏØ0__43"/>
      <sheetName val="_SHOPLIST_xls__VWVU))tÏØ0__44"/>
      <sheetName val="_SHOPLIST_xls_70,_0s«_iÆø_í¬_i8"/>
      <sheetName val="_SHOPLIST_xls_70_,_0_s«i_Æøí¬i8"/>
      <sheetName val="_VWVU))tÏØ0__16"/>
      <sheetName val="_VWVU))tÏØ0__14"/>
      <sheetName val="_SHOPLIST_xls_70,_0s«iÆøí¬i10"/>
      <sheetName val="___________10"/>
      <sheetName val="_SHOPLIST_xls__SHOPLIST_xls_714"/>
      <sheetName val="_SHOPLIST_xls__VW5"/>
      <sheetName val="_SHOPLIST_xls__VWVU))tÏØ0__17"/>
      <sheetName val="_SHOPLIST_xls__VWVU))tÏØ0__18"/>
      <sheetName val="_SHOPLIST_xls__SHOPLIST_xls_715"/>
      <sheetName val="_SHOPLIST_xls__SHOPLIST_xls__S5"/>
      <sheetName val="_SHOPLIST_xls_70,5"/>
      <sheetName val="_SHOPLIST_xls__VWVU))tÏØ0__19"/>
      <sheetName val="_SHOPLIST_xls__VWVU))tÏØ0__25"/>
      <sheetName val="_SHOPLIST_xls__VWVU))tÏØ0__35"/>
      <sheetName val="_SHOPLIST_xls_70,_0s«_iÆø_í¬_i5"/>
      <sheetName val="_SHOPLIST_xls_70_,_0_s«i_Æøí¬i5"/>
      <sheetName val="_SHOPLIST_xls_70,_0s«iÆøí¬i9"/>
      <sheetName val="___________9"/>
      <sheetName val="_SHOPLIST_xls__SHOPLIST_xls_712"/>
      <sheetName val="_SHOPLIST_xls__VW4"/>
      <sheetName val="_SHOPLIST_xls__VWVU))tÏØ0__10"/>
      <sheetName val="_SHOPLIST_xls__VWVU))tÏØ0__15"/>
      <sheetName val="_SHOPLIST_xls__SHOPLIST_xls_713"/>
      <sheetName val="_SHOPLIST_xls__SHOPLIST_xls__S4"/>
      <sheetName val="_SHOPLIST_xls_70,4"/>
      <sheetName val="_SHOPLIST_xls__VWVU))tÏØ0__16"/>
      <sheetName val="_SHOPLIST_xls__VWVU))tÏØ0__24"/>
      <sheetName val="_SHOPLIST_xls__VWVU))tÏØ0__34"/>
      <sheetName val="_SHOPLIST_xls_70,_0s«_iÆø_í¬_i4"/>
      <sheetName val="_SHOPLIST_xls_70_,_0_s«i_Æøí¬i4"/>
      <sheetName val="_SHOPLIST_xls_70,_0s«iÆøí¬i12"/>
      <sheetName val="___________12"/>
      <sheetName val="_SHOPLIST_xls__SHOPLIST_xls_718"/>
      <sheetName val="_SHOPLIST_xls__VW7"/>
      <sheetName val="_SHOPLIST_xls__VWVU))tÏØ0__29"/>
      <sheetName val="_SHOPLIST_xls__VWVU))tÏØ0__30"/>
      <sheetName val="_SHOPLIST_xls__SHOPLIST_xls_719"/>
      <sheetName val="_SHOPLIST_xls__SHOPLIST_xls__S7"/>
      <sheetName val="_SHOPLIST_xls_70,7"/>
      <sheetName val="_SHOPLIST_xls__VWVU))tÏØ0__37"/>
      <sheetName val="_SHOPLIST_xls__VWVU))tÏØ0__38"/>
      <sheetName val="_SHOPLIST_xls__VWVU))tÏØ0__39"/>
      <sheetName val="_SHOPLIST_xls_70,_0s«_iÆø_í¬_i7"/>
      <sheetName val="_SHOPLIST_xls_70_,_0_s«i_Æøí¬i7"/>
      <sheetName val="_VWVU))tÏØ0__15"/>
      <sheetName val="_SHOPLIST_xls_70,_0s«iÆøí¬i11"/>
      <sheetName val="___________11"/>
      <sheetName val="_SHOPLIST_xls__SHOPLIST_xls_716"/>
      <sheetName val="_SHOPLIST_xls__VW6"/>
      <sheetName val="_SHOPLIST_xls__VWVU))tÏØ0__20"/>
      <sheetName val="_SHOPLIST_xls__VWVU))tÏØ0__26"/>
      <sheetName val="_SHOPLIST_xls__SHOPLIST_xls_717"/>
      <sheetName val="_SHOPLIST_xls__SHOPLIST_xls__S6"/>
      <sheetName val="_SHOPLIST_xls_70,6"/>
      <sheetName val="_SHOPLIST_xls__VWVU))tÏØ0__27"/>
      <sheetName val="_SHOPLIST_xls__VWVU))tÏØ0__28"/>
      <sheetName val="_SHOPLIST_xls__VWVU))tÏØ0__36"/>
      <sheetName val="_SHOPLIST_xls_70,_0s«_iÆø_í¬_i6"/>
      <sheetName val="_SHOPLIST_xls_70_,_0_s«i_Æøí¬i6"/>
      <sheetName val="70,_0s«iÆøí¬"/>
      <sheetName val="_SHOPLIST.xls__SHOPLIST.xls__VW"/>
      <sheetName val="_VWVU))tÏØ0__18"/>
      <sheetName val="___________14"/>
      <sheetName val="_SHOPLIST_xls__SHOPLIST_xls_722"/>
      <sheetName val="_SHOPLIST_xls_70,_0s«iÆøí¬i14"/>
      <sheetName val="_SHOPLIST_xls__VW9"/>
      <sheetName val="_SHOPLIST_xls__VWVU))tÏØ0__45"/>
      <sheetName val="_SHOPLIST_xls__VWVU))tÏØ0__46"/>
      <sheetName val="_SHOPLIST_xls__SHOPLIST_xls_723"/>
      <sheetName val="_SHOPLIST_xls__SHOPLIST_xls__S9"/>
      <sheetName val="_SHOPLIST_xls_709"/>
      <sheetName val="_SHOPLIST_xls_70,9"/>
      <sheetName val="_SHOPLIST_xls__VWVU))tÏØ0__47"/>
      <sheetName val="_SHOPLIST_xls__VWVU))tÏØ0__48"/>
      <sheetName val="_SHOPLIST_xls__VWVU))tÏØ0__49"/>
      <sheetName val="_SHOPLIST_xls_70,_0s«_iÆø_í¬_i9"/>
      <sheetName val="_SHOPLIST_xls_70_,_0_s«i_Æøí¬i9"/>
      <sheetName val="_VWVU))tÏØ0__19"/>
      <sheetName val="___________15"/>
      <sheetName val="_SHOPLIST_xls__SHOPLIST_xls_724"/>
      <sheetName val="_SHOPLIST_xls_70,_0s«iÆøí¬i15"/>
      <sheetName val="_SHOPLIST_xls__VW10"/>
      <sheetName val="_SHOPLIST_xls__VWVU))tÏØ0__50"/>
      <sheetName val="_SHOPLIST_xls__VWVU))tÏØ0__51"/>
      <sheetName val="_SHOPLIST_xls__SHOPLIST_xls_725"/>
      <sheetName val="_SHOPLIST_xls__SHOPLIST_xls__10"/>
      <sheetName val="_SHOPLIST_xls_7010"/>
      <sheetName val="_SHOPLIST_xls_70,10"/>
      <sheetName val="_SHOPLIST_xls__VWVU))tÏØ0__52"/>
      <sheetName val="_SHOPLIST_xls__VWVU))tÏØ0__53"/>
      <sheetName val="_SHOPLIST_xls__VWVU))tÏØ0__54"/>
      <sheetName val="_SHOPLIST_xls_70,_0s«_iÆø_í¬_10"/>
      <sheetName val="_SHOPLIST_xls_70_,_0_s«i_Æøí¬10"/>
      <sheetName val="Geneí¬_x005f_x005f_"/>
      <sheetName val="70_x005f_x005f_x005"/>
      <sheetName val="_SHOPLIST.xls__VWVU))tÏØ0__8"/>
      <sheetName val="_SHOPLIST.xls__VWVU))tÏØ0__9"/>
      <sheetName val="_SHOPLIST_xls__VWVU))tÏØ0__61"/>
      <sheetName val="_SHOPLIST_xls__VWVU))tÏØ0__71"/>
      <sheetName val="ConferenceCentre_x0"/>
      <sheetName val="GFA_HQ_Building32"/>
      <sheetName val="GFA_Conference31"/>
      <sheetName val="BQ_External31"/>
      <sheetName val="Graph_Data_(DO_NOT_PRINT)30"/>
      <sheetName val="StattCo_yCharges30"/>
      <sheetName val="Penthouse_Apartment30"/>
      <sheetName val="LABOUR_HISTOGRAM31"/>
      <sheetName val="Chiet_tinh_dz2230"/>
      <sheetName val="Chiet_tinh_dz3530"/>
      <sheetName val="@risk_rents_and_incentives30"/>
      <sheetName val="Car_park_lease30"/>
      <sheetName val="Net_rent_analysis30"/>
      <sheetName val="Poz-1_30"/>
      <sheetName val="Lab_Cum_Hist30"/>
      <sheetName val="Raw_Data30"/>
      <sheetName val="Bill_No__230"/>
      <sheetName val="CT_Thang_Mo30"/>
      <sheetName val="budget_summary_(2)29"/>
      <sheetName val="Budget_Analysis_Summary29"/>
      <sheetName val="LEVEL_SHEET30"/>
      <sheetName val="SPT_vs_PHI30"/>
      <sheetName val="CT__PL29"/>
      <sheetName val="Projet,_methodes_&amp;_couts29"/>
      <sheetName val="Risques_majeurs_&amp;_Frais_Ind_29"/>
      <sheetName val="FOL_-_Bar30"/>
      <sheetName val="intr_stool_brkup29"/>
      <sheetName val="Tender_Summary30"/>
      <sheetName val="Insurance_Ext30"/>
      <sheetName val="Customize_Your_Invoice30"/>
      <sheetName val="HVAC_BoQ30"/>
      <sheetName val="Body_Sheet29"/>
      <sheetName val="1_0_Executive_Summary29"/>
      <sheetName val="Rate_analysis16"/>
      <sheetName val="Top_sheet29"/>
      <sheetName val="Ap_A27"/>
      <sheetName val="SHOPLIST_xls26"/>
      <sheetName val="Bill_228"/>
      <sheetName val="2_Div_14_27"/>
      <sheetName val="beam-reinft-IIInd_floor26"/>
      <sheetName val="beam-reinft-machine_rm26"/>
      <sheetName val="Bill_127"/>
      <sheetName val="Bill_327"/>
      <sheetName val="Bill_427"/>
      <sheetName val="Bill_527"/>
      <sheetName val="Bill_627"/>
      <sheetName val="Bill_727"/>
      <sheetName val="POWER_ASSUMPTIONS26"/>
      <sheetName val="Invoice_Summary26"/>
      <sheetName val="PROJECT_BRIEF27"/>
      <sheetName val="Civil_Boq25"/>
      <sheetName val="C_(3)27"/>
      <sheetName val="Dubai_golf26"/>
      <sheetName val="WITHOUT_C&amp;I_PROFIT_(3)25"/>
      <sheetName val="HIRED_LABOUR_CODE23"/>
      <sheetName val="PA-_Consutant_23"/>
      <sheetName val="foot-slab_reinft23"/>
      <sheetName val="Softscape_Buildup25"/>
      <sheetName val="Mat'l_Rate25"/>
      <sheetName val="VALVE_CHAMBERS22"/>
      <sheetName val="Fire_Hydrants22"/>
      <sheetName val="B_GATE_VALVE22"/>
      <sheetName val="Sub_G1_Fire22"/>
      <sheetName val="Sub_G12_Fire22"/>
      <sheetName val="Activity_List25"/>
      <sheetName val="BILL_COV23"/>
      <sheetName val="Ra__stair23"/>
      <sheetName val="DETAILED__BOQ23"/>
      <sheetName val="M-Book_for_Conc23"/>
      <sheetName val="M-Book_for_FW23"/>
      <sheetName val="Materials_Cost(PCC)22"/>
      <sheetName val="India_F&amp;S_Template22"/>
      <sheetName val="IO_LIST22"/>
      <sheetName val="Material_22"/>
      <sheetName val="Quote_Sheet22"/>
      <sheetName val="Day_work22"/>
      <sheetName val="Working_for_RCC21"/>
      <sheetName val="Div__0221"/>
      <sheetName val="Div__0321"/>
      <sheetName val="Div__0421"/>
      <sheetName val="Div__0521"/>
      <sheetName val="Div__0621"/>
      <sheetName val="Div__0721"/>
      <sheetName val="Div__0821"/>
      <sheetName val="Div__0921"/>
      <sheetName val="Div__1021"/>
      <sheetName val="Div__1121"/>
      <sheetName val="Div__1221"/>
      <sheetName val="Div_1321"/>
      <sheetName val="EXTERNAL_WORKS21"/>
      <sheetName val="PRODUCTIVITY_RATE21"/>
      <sheetName val="U_R_A_-_MASONRY21"/>
      <sheetName val="U_R_A_-_PLASTERING21"/>
      <sheetName val="U_R_A_-_TILING21"/>
      <sheetName val="U_R_A_-_GRANITE21"/>
      <sheetName val="V_C_2_-_EARTHWORK21"/>
      <sheetName val="V_C_9_-_CERAMIC21"/>
      <sheetName val="V_C_9_-_FINISHES21"/>
      <sheetName val="Elemental_Buildup20"/>
      <sheetName val="Eq__Mobilization21"/>
      <sheetName val="w't_table20"/>
      <sheetName val="bill_nb2-Plumbing_&amp;_Drainag20"/>
      <sheetName val="Pl_&amp;_Dr_B20"/>
      <sheetName val="Pl_&amp;_Dr_G20"/>
      <sheetName val="Pl_&amp;_Dr_M20"/>
      <sheetName val="Pl_&amp;_Dr_120"/>
      <sheetName val="Pl_&amp;_Dr_220"/>
      <sheetName val="Pl_&amp;_Dr_320"/>
      <sheetName val="Pl_&amp;_Dr_420"/>
      <sheetName val="Pl_&amp;_Dr_520"/>
      <sheetName val="Pl_&amp;_Dr_620"/>
      <sheetName val="Pl_&amp;_Dr_720"/>
      <sheetName val="Pl_&amp;_Dr_820"/>
      <sheetName val="Pl_&amp;_Dr_R20"/>
      <sheetName val="FF_B20"/>
      <sheetName val="FF_G20"/>
      <sheetName val="FF_M20"/>
      <sheetName val="FF_120"/>
      <sheetName val="FF_2_20"/>
      <sheetName val="FF_320"/>
      <sheetName val="FF_420"/>
      <sheetName val="FF_520"/>
      <sheetName val="FF_6_20"/>
      <sheetName val="FF_720"/>
      <sheetName val="FF_820"/>
      <sheetName val="FF_R20"/>
      <sheetName val="bill_nb3-FF20"/>
      <sheetName val="HVAC_B20"/>
      <sheetName val="HVAC_G20"/>
      <sheetName val="HVAC_M20"/>
      <sheetName val="HVAC_120"/>
      <sheetName val="HVAC_220"/>
      <sheetName val="HVAC_320"/>
      <sheetName val="HVAC_420"/>
      <sheetName val="HVAC_520"/>
      <sheetName val="HVAC_620"/>
      <sheetName val="HVAC_720"/>
      <sheetName val="HVAC_820"/>
      <sheetName val="HVAC_R20"/>
      <sheetName val="bill_nb4-HVAC20"/>
      <sheetName val="SC_B20"/>
      <sheetName val="SC_G20"/>
      <sheetName val="SC_M20"/>
      <sheetName val="SC_120"/>
      <sheetName val="SC_220"/>
      <sheetName val="SC_320"/>
      <sheetName val="SC_420"/>
      <sheetName val="SC_520"/>
      <sheetName val="SC_620"/>
      <sheetName val="SC_720"/>
      <sheetName val="SC_820"/>
      <sheetName val="SC_R20"/>
      <sheetName val="AV_B20"/>
      <sheetName val="AV_G20"/>
      <sheetName val="AV_M20"/>
      <sheetName val="AV_120"/>
      <sheetName val="AV_220"/>
      <sheetName val="AV_320"/>
      <sheetName val="AV_420"/>
      <sheetName val="AV_520"/>
      <sheetName val="AV_620"/>
      <sheetName val="AV_720"/>
      <sheetName val="AV_820"/>
      <sheetName val="EL_B20"/>
      <sheetName val="EL_M20"/>
      <sheetName val="EL_120"/>
      <sheetName val="EL_220"/>
      <sheetName val="EL_320"/>
      <sheetName val="EL_420"/>
      <sheetName val="EL_520"/>
      <sheetName val="EL_620"/>
      <sheetName val="EL_720"/>
      <sheetName val="EL_820"/>
      <sheetName val="EL_R20"/>
      <sheetName val="EL_TR20"/>
      <sheetName val="8-_EL20"/>
      <sheetName val="FA_B20"/>
      <sheetName val="FA_G20"/>
      <sheetName val="FA_M20"/>
      <sheetName val="FA_120"/>
      <sheetName val="FA_220"/>
      <sheetName val="FA_320"/>
      <sheetName val="FA_420"/>
      <sheetName val="FA_520"/>
      <sheetName val="FA_620"/>
      <sheetName val="FA_720"/>
      <sheetName val="FA_820"/>
      <sheetName val="FA_R20"/>
      <sheetName val="9-_FA20"/>
      <sheetName val="BOQ_Direct_selling_cost22"/>
      <sheetName val="CHART_OF_ACCOUNTS21"/>
      <sheetName val="B185-B-9_121"/>
      <sheetName val="B185-B-9_221"/>
      <sheetName val="Material_List_20"/>
      <sheetName val="E-Bill_No_6_A-O21"/>
      <sheetName val="/VWVU))tÏØ0__23"/>
      <sheetName val="B09_121"/>
      <sheetName val="Division_249"/>
      <sheetName val="Division_420"/>
      <sheetName val="Division_520"/>
      <sheetName val="Division_620"/>
      <sheetName val="Division_720"/>
      <sheetName val="Division_820"/>
      <sheetName val="Division_920"/>
      <sheetName val="Division_1020"/>
      <sheetName val="Division_1220"/>
      <sheetName val="Division_1420"/>
      <sheetName val="Division_2123"/>
      <sheetName val="Division_2221"/>
      <sheetName val="Division_2320"/>
      <sheetName val="Division_2620"/>
      <sheetName val="Division_2720"/>
      <sheetName val="Division_2820"/>
      <sheetName val="Division_3120"/>
      <sheetName val="Division_3220"/>
      <sheetName val="Division_3320"/>
      <sheetName val="PMWeb_data21"/>
      <sheetName val="PointNo_520"/>
      <sheetName val="SS_MH21"/>
      <sheetName val="2_2)Revised_Cash_Flow20"/>
      <sheetName val="입찰내역_발주처_양식20"/>
      <sheetName val="/VWVU))tÏØ0__22"/>
      <sheetName val="LIST_DO_NOT_REMOVE19"/>
      <sheetName val="Index_List20"/>
      <sheetName val="Type_List20"/>
      <sheetName val="File_Types20"/>
      <sheetName val="Chiet_t20"/>
      <sheetName val="Staffing_and_Rates_IA20"/>
      <sheetName val="Employee_List18"/>
      <sheetName val="PRECAST_lightconc-II22"/>
      <sheetName val="final_abstract22"/>
      <sheetName val="B6_2_19"/>
      <sheetName val="Project_Cost_Breakdown18"/>
      <sheetName val="Summary_of_Work18"/>
      <sheetName val="Item-_Compact18"/>
      <sheetName val="E_&amp;_R18"/>
      <sheetName val="Staff_Acco_18"/>
      <sheetName val="TBAL9697_-group_wise__sdpl18"/>
      <sheetName val="SITE_WORK17"/>
      <sheetName val="Рабочий_лист17"/>
      <sheetName val="PT_141-_Site_A_Landscape17"/>
      <sheetName val="Rate_summary17"/>
      <sheetName val="Annex_1_Sect_3a18"/>
      <sheetName val="Annex_1_Sect_3a_118"/>
      <sheetName val="Annex_1_Sect_3b18"/>
      <sheetName val="Annex_1_Sect_3c18"/>
      <sheetName val="HOURLY_RATES18"/>
      <sheetName val="RAB_AR&amp;STR17"/>
      <sheetName val="d-safe_DELUXE17"/>
      <sheetName val="Back_up17"/>
      <sheetName val="INDIGINEOUS_ITEMS_17"/>
      <sheetName val="train_cash17"/>
      <sheetName val="accom_cash17"/>
      <sheetName val="Mall_waterproofing17"/>
      <sheetName val="MSCP_waterproofing17"/>
      <sheetName val="Duct_Accesories17"/>
      <sheetName val="????_???_??17"/>
      <sheetName val="Labour_&amp;_Plant17"/>
      <sheetName val="Ave_wtd_rates17"/>
      <sheetName val="Debits_as_on_12_04_0817"/>
      <sheetName val="STAFFSCHED_17"/>
      <sheetName val="TRIAL_BALANCE17"/>
      <sheetName val="[SHOPLIST_xls][SHOPLIST_xls]729"/>
      <sheetName val="Common_Variables17"/>
      <sheetName val="[SHOPLIST_xls]70,/0s«iÆøí¬i17"/>
      <sheetName val="GPL_Revenu_Update17"/>
      <sheetName val="DO_NOT_TOUCH17"/>
      <sheetName val="Work_Type17"/>
      <sheetName val="PROJECT_BRIEF(EX_NEW)17"/>
      <sheetName val="AREA_OF_APPLICATION16"/>
      <sheetName val="Risk_Breakdown_Structure16"/>
      <sheetName val="Geneí¬_i16"/>
      <sheetName val="steel_total16"/>
      <sheetName val="ELE_BOQ16"/>
      <sheetName val="Z-_GENERAL_PRICE_SUMMARY13"/>
      <sheetName val="PPA_Summary13"/>
      <sheetName val="Mix_Design13"/>
      <sheetName val="Resumo_Empreitadas13"/>
      <sheetName val="%_prog_figs_-u5_and_total13"/>
      <sheetName val="Floor_Box_14"/>
      <sheetName val="Equipment_Rates12"/>
      <sheetName val="[SHOPLIST_xls]/VW12"/>
      <sheetName val="[SHOPLIST_xls]/VWVU))tÏØ0__64"/>
      <sheetName val="Cashflow_projection12"/>
      <sheetName val="[SHOPLIST_xls][SHOPLIST_xls]730"/>
      <sheetName val="E_H_-_H__W_P_12"/>
      <sheetName val="E__H__Treatment_for_pile_cap12"/>
      <sheetName val="[SHOPLIST_xls][SHOPLIST_xls][12"/>
      <sheetName val="Materials_12"/>
      <sheetName val="Form_612"/>
      <sheetName val="Risk_Register12"/>
      <sheetName val="Revised_Front_Page12"/>
      <sheetName val="Diff_Run01&amp;Run0212"/>
      <sheetName val="CCS_Summary12"/>
      <sheetName val="1_Carillion_Staff12"/>
      <sheetName val="_2_Staff_&amp;_Gen_labour12"/>
      <sheetName val="3_Offices12"/>
      <sheetName val="4_TempServ12"/>
      <sheetName val="__5_Temp_Wks12"/>
      <sheetName val="_6_Addn_Plant12"/>
      <sheetName val="_7__Transport12"/>
      <sheetName val="_8_Testing12"/>
      <sheetName val="9__Miscellaneous12"/>
      <sheetName val="10__Design12"/>
      <sheetName val="_11_Insurances12"/>
      <sheetName val="_12_Client_Req_12"/>
      <sheetName val="Risk_List12"/>
      <sheetName val="Track_of_Changes12"/>
      <sheetName val="Bill_8_Doors_&amp;_Windows12"/>
      <sheetName val="Bill_9_Finishes_12"/>
      <sheetName val="Bill_10_Specialities12"/>
      <sheetName val="Dash_board12"/>
      <sheetName val="[SHOPLIST_xls]7012"/>
      <sheetName val="[SHOPLIST_xls]70,12"/>
      <sheetName val="Base_BM-rebar12"/>
      <sheetName val="Site_Dev_BOQ12"/>
      <sheetName val="Data_Sheet12"/>
      <sheetName val="tender_allowances12"/>
      <sheetName val="_Summary_BKG_03412"/>
      <sheetName val="BILL_3R12"/>
      <sheetName val="Area_Breakdown_PER_LEVEL_LINK12"/>
      <sheetName val="CF_Input12"/>
      <sheetName val="DATA_INPUT12"/>
      <sheetName val="Vordruck-Nr__7_1_3_D12"/>
      <sheetName val="M&amp;A_D12"/>
      <sheetName val="M&amp;A_E12"/>
      <sheetName val="M&amp;A_G12"/>
      <sheetName val="1_2_Staff_Schedule13"/>
      <sheetName val="Bill_1012"/>
      <sheetName val="[SHOPLIST_xls]/VWVU))tÏØ0__65"/>
      <sheetName val="[SHOPLIST_xls]/VWVU))tÏØ0__66"/>
      <sheetName val="[SHOPLIST_xls]/VWVU))tÏØ0__67"/>
      <sheetName val="[SHOPLIST_xls]70,/0s«_iÆø_í¬_12"/>
      <sheetName val="[SHOPLIST_xls]70?,/0?s«i?Æøí¬12"/>
      <sheetName val="Labour_Costs12"/>
      <sheetName val="BLOCK-A_(MEA_SHEET)12"/>
      <sheetName val="Cost_Heading9"/>
      <sheetName val="Labour_Rate_9"/>
      <sheetName val="D_&amp;_W_sizes9"/>
      <sheetName val="SOPMA_DD9"/>
      <sheetName val="PRICE_INFO9"/>
      <sheetName val="RC_SUMMARY9"/>
      <sheetName val="LABOUR_PRODUCTIVITY-TAV9"/>
      <sheetName val="MATERIAL_PRICES9"/>
      <sheetName val="P-100_MRF_DB_R19"/>
      <sheetName val="Contract_Division10"/>
      <sheetName val="SubContract_Type10"/>
      <sheetName val="Service_Type10"/>
      <sheetName val="Attach_4-189"/>
      <sheetName val="Ewaan_Show_Kitchen_(2)9"/>
      <sheetName val="Cash_Flow_Working9"/>
      <sheetName val="MN_T_B_9"/>
      <sheetName val="Data_I_(2)9"/>
      <sheetName val="rEFERENCES_9"/>
      <sheetName val="Qtys_ZamZam_(Del__before)9"/>
      <sheetName val="Qtys_Relocation_(Del_before)9"/>
      <sheetName val="_Qtys_Sub_&amp;_Tents_(Del__before9"/>
      <sheetName val="Qtys__Signages_(Del__before)9"/>
      <sheetName val="Qtys_Temporary_Passages_(Del)9"/>
      <sheetName val="_Qtys_Ser__Rooms_(Del_before)9"/>
      <sheetName val="2F_회의실견적(5_14_일대)5"/>
      <sheetName val="_HIT-&gt;HMC_견적(3900)5"/>
      <sheetName val="Appendix_B5"/>
      <sheetName val="Div_07_Thermal_&amp;_Moisture3"/>
      <sheetName val="BOQ_(2)3"/>
      <sheetName val="LABOUR_RATE3"/>
      <sheetName val="Material_Rate3"/>
      <sheetName val="Labor_abs-PW3"/>
      <sheetName val="Labor_abs-NMR3"/>
      <sheetName val="kppl_pl3"/>
      <sheetName val="Basic_Rates3"/>
      <sheetName val="Combined_Results_3"/>
      <sheetName val="precast_RC_element3"/>
      <sheetName val="pile_Fabrication3"/>
      <sheetName val="Data_Validation3"/>
      <sheetName val="Div26_-_Elect3"/>
      <sheetName val="CHUNG_CU_CARRILON3"/>
      <sheetName val="[SHOPLIST_xls][SHOPLIST_xls]731"/>
      <sheetName val="[SHOPLIST_xls]/VWVU))tÏØ0__68"/>
      <sheetName val="Core_Data1"/>
      <sheetName val="[SHOPLIST_xls]/VWVU))tÏØ0__69"/>
      <sheetName val="[SHOPLIST_xls]/VWVU))tÏØ0__70"/>
      <sheetName val="CIF_COST_ITEM1"/>
      <sheetName val="Rates_for_public_areas1"/>
      <sheetName val="Abs_PMRL1"/>
      <sheetName val="Recon_Template1"/>
      <sheetName val="Master_data"/>
      <sheetName val="Basic_Rate"/>
      <sheetName val="MASTER_RATE_ANALYSIS"/>
      <sheetName val="SUBS SUM"/>
      <sheetName val="BoQ(2)"/>
      <sheetName val="tower and monopoles "/>
      <sheetName val="Drop_Down_Data1"/>
      <sheetName val="Rules_1"/>
      <sheetName val="L3-WBS_Mapping1"/>
      <sheetName val="BAFO_CCL_Submission1"/>
      <sheetName val="Update_list1"/>
      <sheetName val="Sinh_Nam_systems1"/>
      <sheetName val="DIE_profile1"/>
      <sheetName val="Import_tax1"/>
      <sheetName val="TONG_HOP_VL-NC1"/>
      <sheetName val="TONGKE3p_1"/>
      <sheetName val="TH_VL,_NC,_DDHT_Thanhphuoc1"/>
      <sheetName val="DON_GIA1"/>
      <sheetName val="CHITIET_VL-NC1"/>
      <sheetName val="TH_kinh_phi1"/>
      <sheetName val="KLDT_DIEN1"/>
      <sheetName val="Dinh_muc_CP_KTCB_khac1"/>
      <sheetName val="quotation_1"/>
      <sheetName val="Bill_5_-_Carpark1"/>
      <sheetName val="BOQ_-_summary__31"/>
      <sheetName val="NKSC_thue1"/>
      <sheetName val="05__Data_Cash_Flow1"/>
      <sheetName val="MTO_REV_2(ARMOR)1"/>
      <sheetName val="MFG"/>
      <sheetName val="Surbhi"/>
      <sheetName val="XL4Test5"/>
      <sheetName val="P-Ins &amp; Bonds"/>
      <sheetName val="P-Ins_&amp;_Bonds"/>
      <sheetName val="BFS"/>
      <sheetName val="ASD Sum of Parts"/>
      <sheetName val="개시대사_(2)"/>
      <sheetName val="6_2_Floor_Finishes"/>
      <sheetName val="Div_Summary"/>
      <sheetName val="MAIN_SUMMARY"/>
      <sheetName val="Staff_OLD_"/>
      <sheetName val="Cumulative_Rail_"/>
      <sheetName val="Finansal_tamamlanma_Eğrisi3"/>
      <sheetName val="New_Bld3"/>
      <sheetName val="HB_CEC_schd_4_23"/>
      <sheetName val="HB_CEC_schd_4_33"/>
      <sheetName val="HB_CEC_schd_5_23"/>
      <sheetName val="HB_CEC_schd_6_23"/>
      <sheetName val="HB_CEC_schd_7_23"/>
      <sheetName val="HB_CEC_schd_9_23"/>
      <sheetName val="Doha_Farm3"/>
      <sheetName val="Dropdown_List3"/>
      <sheetName val="[SHOPLIST_xls]/VWVU))tÏØ0__82"/>
      <sheetName val="[SHOPLIST_xls]/VWVU))tÏØ0__92"/>
      <sheetName val="P1926-H2B_Pkg_2A&amp;2B1"/>
      <sheetName val="P1940-H2B_Pkg_1_Guestrooms1"/>
      <sheetName val="BOQ_1_921"/>
      <sheetName val="[SHOPLIST_xls]/VWVU))tÏØ0__73"/>
      <sheetName val="[SHOPLIST_xls]/VWVU))tÏØ0__74"/>
      <sheetName val="[SHOPLIST_xls]/VWVU))tÏØ0__75"/>
      <sheetName val="Appendix-A_-GRAND_SUMMARY"/>
      <sheetName val="D9_(New_Rate)"/>
      <sheetName val="Grand_Summary_"/>
      <sheetName val="Bill_No_01_-_GI_"/>
      <sheetName val="combined_"/>
      <sheetName val="summary-Optional_"/>
      <sheetName val="B14_02_"/>
      <sheetName val="Prov_Sum_"/>
      <sheetName val="Joseph_Record"/>
      <sheetName val="Cover_Page"/>
      <sheetName val="Approved_INR_Claimed_Log_(2)"/>
      <sheetName val="INR_Data"/>
      <sheetName val="Dec_OCR"/>
      <sheetName val="OCR_(APR"/>
      <sheetName val="Survey_"/>
      <sheetName val="INR_Summary_Sheet"/>
      <sheetName val="ITR_Form_(Rev0)"/>
      <sheetName val="ITR_Form_(SS)"/>
      <sheetName val="ITR_Form_(Rev1)"/>
      <sheetName val="Method_Statements"/>
      <sheetName val="Portfolio_List"/>
      <sheetName val="Initial_Data"/>
      <sheetName val="Package_Status"/>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4"/>
      <sheetName val="EATON SUMMARY"/>
      <sheetName val="Sump"/>
      <sheetName val="Outline Cost - Five star Hotel"/>
      <sheetName val="Insts"/>
      <sheetName val="MG"/>
      <sheetName val="TB"/>
      <sheetName val="Field Values"/>
      <sheetName val="Balustrade"/>
      <sheetName val="CFForecast detail"/>
      <sheetName val="Mat.Cost"/>
      <sheetName val="Measurements"/>
      <sheetName val="Flooring"/>
      <sheetName val="Ceilings"/>
      <sheetName val="ACAD Finishes"/>
      <sheetName val="Site Details"/>
      <sheetName val="Chair"/>
      <sheetName val="Site Area Statement"/>
      <sheetName val="Doors"/>
      <sheetName val="GM &amp; TA"/>
      <sheetName val="Macro"/>
      <sheetName val="Scaff-Rose"/>
      <sheetName val="10. &amp; 11. Rate Code &amp; BQ"/>
      <sheetName val="EATON_SUMMARY"/>
      <sheetName val="Outline_Cost_-_Five_star_Hotel"/>
      <sheetName val="sept-plan"/>
      <sheetName val="P&amp;LSum"/>
      <sheetName val="key dates"/>
      <sheetName val="Actuals"/>
      <sheetName val="Spacing of Delineators"/>
      <sheetName val="Basement Budget"/>
      <sheetName val="MI"/>
      <sheetName val="Data Works"/>
      <sheetName val="Works"/>
      <sheetName val="UC-Testing"/>
      <sheetName val="Control Panel"/>
      <sheetName val="Bill 3 Boutique"/>
      <sheetName val="BREAKDOWN"/>
      <sheetName val="70,/0s«iÆøí¬i6"/>
      <sheetName val="/VW1"/>
      <sheetName val="70,/0s«iÆøí¬i7"/>
      <sheetName val="/VW2"/>
      <sheetName val="/VWVU))tÏØ0__31"/>
      <sheetName val="70,/0s«_iÆø_í¬_i1"/>
      <sheetName val="70?,/0?s«i?Æøí¬i1"/>
      <sheetName val="/VWVU))tÏØ0__32"/>
      <sheetName val="70,/0s«_iÆø_í¬_i2"/>
      <sheetName val="70?,/0?s«i?Æøí¬i2"/>
      <sheetName val="704"/>
      <sheetName val="[S1"/>
      <sheetName val="705"/>
      <sheetName val="706"/>
      <sheetName val="[S2"/>
      <sheetName val="[SHOPLIST_xls]710"/>
      <sheetName val="70,/0s«iÆøí¬i8"/>
      <sheetName val="/VW3"/>
      <sheetName val="[SHOPLIST_xls]711"/>
      <sheetName val="[SHOPLIST_xls][S3"/>
      <sheetName val="70,3"/>
      <sheetName val="/VWVU))tÏØ0__33"/>
      <sheetName val="70,/0s«_iÆø_í¬_i3"/>
      <sheetName val="70?,/0?s«i?Æøí¬i3"/>
      <sheetName val="[SHOPLIST_xls]720"/>
      <sheetName val="70,/0s«iÆøí¬i13"/>
      <sheetName val="/VW8"/>
      <sheetName val="/VWVU))tÏØ0__40"/>
      <sheetName val="/VWVU))tÏØ0__41"/>
      <sheetName val="[SHOPLIST_xls]721"/>
      <sheetName val="[SHOPLIST_xls][S8"/>
      <sheetName val="708"/>
      <sheetName val="70,8"/>
      <sheetName val="/VWVU))tÏØ0__42"/>
      <sheetName val="/VWVU))tÏØ0__43"/>
      <sheetName val="/VWVU))tÏØ0__44"/>
      <sheetName val="70,/0s«_iÆø_í¬_i8"/>
      <sheetName val="70?,/0?s«i?Æøí¬i8"/>
      <sheetName val="70,/0s«iÆøí¬i10"/>
      <sheetName val="[SHOPLIST_xls]714"/>
      <sheetName val="/VW5"/>
      <sheetName val="[SHOPLIST_xls]715"/>
      <sheetName val="[SHOPLIST_xls][S5"/>
      <sheetName val="70,5"/>
      <sheetName val="/VWVU))tÏØ0__25"/>
      <sheetName val="/VWVU))tÏØ0__35"/>
      <sheetName val="70,/0s«_iÆø_í¬_i5"/>
      <sheetName val="70?,/0?s«i?Æøí¬i5"/>
      <sheetName val="70,/0s«iÆøí¬i9"/>
      <sheetName val="[SHOPLIST_xls]712"/>
      <sheetName val="/VW4"/>
      <sheetName val="[SHOPLIST_xls]713"/>
      <sheetName val="[SHOPLIST_xls][S4"/>
      <sheetName val="70,4"/>
      <sheetName val="/VWVU))tÏØ0__24"/>
      <sheetName val="/VWVU))tÏØ0__34"/>
      <sheetName val="70,/0s«_iÆø_í¬_i4"/>
      <sheetName val="70?,/0?s«i?Æøí¬i4"/>
      <sheetName val="70,/0s«iÆøí¬i12"/>
      <sheetName val="[SHOPLIST_xls]718"/>
      <sheetName val="/VW7"/>
      <sheetName val="/VWVU))tÏØ0__29"/>
      <sheetName val="/VWVU))tÏØ0__30"/>
      <sheetName val="[SHOPLIST_xls]719"/>
      <sheetName val="[SHOPLIST_xls][S7"/>
      <sheetName val="707"/>
      <sheetName val="70,7"/>
      <sheetName val="/VWVU))tÏØ0__37"/>
      <sheetName val="/VWVU))tÏØ0__38"/>
      <sheetName val="/VWVU))tÏØ0__39"/>
      <sheetName val="70,/0s«_iÆø_í¬_i7"/>
      <sheetName val="70?,/0?s«i?Æøí¬i7"/>
      <sheetName val="70,/0s«iÆøí¬i11"/>
      <sheetName val="[SHOPLIST_xls]716"/>
      <sheetName val="/VW6"/>
      <sheetName val="/VWVU))tÏØ0__26"/>
      <sheetName val="[SHOPLIST_xls]717"/>
      <sheetName val="[SHOPLIST_xls][S6"/>
      <sheetName val="70,6"/>
      <sheetName val="/VWVU))tÏØ0__27"/>
      <sheetName val="/VWVU))tÏØ0__28"/>
      <sheetName val="/VWVU))tÏØ0__36"/>
      <sheetName val="70,/0s«_iÆø_í¬_i6"/>
      <sheetName val="70?,/0?s«i?Æøí¬i6"/>
      <sheetName val="[SHOPLIST_xls]722"/>
      <sheetName val="70,/0s«iÆøí¬i14"/>
      <sheetName val="/VW9"/>
      <sheetName val="/VWVU))tÏØ0__45"/>
      <sheetName val="/VWVU))tÏØ0__46"/>
      <sheetName val="[SHOPLIST_xls]723"/>
      <sheetName val="[SHOPLIST_xls][S9"/>
      <sheetName val="709"/>
      <sheetName val="70,9"/>
      <sheetName val="/VWVU))tÏØ0__47"/>
      <sheetName val="/VWVU))tÏØ0__48"/>
      <sheetName val="/VWVU))tÏØ0__49"/>
      <sheetName val="70,/0s«_iÆø_í¬_i9"/>
      <sheetName val="70?,/0?s«i?Æøí¬i9"/>
      <sheetName val="[SHOPLIST_xls]724"/>
      <sheetName val="70,/0s«iÆøí¬i15"/>
      <sheetName val="/VW10"/>
      <sheetName val="/VWVU))tÏØ0__50"/>
      <sheetName val="/VWVU))tÏØ0__51"/>
      <sheetName val="[SHOPLIST_xls]725"/>
      <sheetName val="[SHOPLIST_xls][10"/>
      <sheetName val="7010"/>
      <sheetName val="70,10"/>
      <sheetName val="/VWVU))tÏØ0__52"/>
      <sheetName val="/VWVU))tÏØ0__53"/>
      <sheetName val="/VWVU))tÏØ0__54"/>
      <sheetName val="70,/0s«_iÆø_í¬_10"/>
      <sheetName val="70?,/0?s«i?Æøí¬10"/>
      <sheetName val="/VW"/>
      <sheetName val="Rectangular Duct"/>
      <sheetName val="C-1"/>
      <sheetName val="PC "/>
      <sheetName val="Val"/>
      <sheetName val="App - A "/>
      <sheetName val="App- B "/>
      <sheetName val="App - C "/>
      <sheetName val="App - D "/>
      <sheetName val="App - E "/>
      <sheetName val="App - F"/>
      <sheetName val="App - G "/>
      <sheetName val="App - H"/>
      <sheetName val="2"/>
      <sheetName val="7"/>
      <sheetName val="8"/>
      <sheetName val="9"/>
      <sheetName val="15"/>
      <sheetName val="16"/>
      <sheetName val="17"/>
      <sheetName val="18"/>
      <sheetName val="C-2"/>
      <sheetName val="Concrete Breakdown"/>
      <sheetName val="Masonry Breakdown"/>
      <sheetName val="6"/>
      <sheetName val="May_054"/>
      <sheetName val="April_054"/>
      <sheetName val="Aug_054"/>
      <sheetName val="July_054"/>
      <sheetName val="June_054"/>
      <sheetName val="Nov_054"/>
      <sheetName val="Oct_054"/>
      <sheetName val="Sep_054"/>
      <sheetName val="B-3_2_EB2"/>
      <sheetName val="1_-_Main_Building3"/>
      <sheetName val="1_-_Summary3"/>
      <sheetName val="2_-_Landscaping_Works3"/>
      <sheetName val="2_-_Summary3"/>
      <sheetName val="4_-_Bldg_Infra3"/>
      <sheetName val="4_-_Summary3"/>
      <sheetName val="Trade_Summary2"/>
      <sheetName val="2_Plex3"/>
      <sheetName val="Sheet1_(2)3"/>
      <sheetName val="4_Plex3"/>
      <sheetName val="6_Plex_3"/>
      <sheetName val="Detailed_Summary3"/>
      <sheetName val="Sheet1_(3)3"/>
      <sheetName val="Sheet1_(4)3"/>
      <sheetName val="B04-A_-_DIA_SUDEER2"/>
      <sheetName val="04D_-_Tanmyat2"/>
      <sheetName val="13-_B04-B_&amp;_C2"/>
      <sheetName val="_SITE_09_B04-B&amp;C-AFAQ2"/>
      <sheetName val="Tender_Docs2"/>
      <sheetName val="Miral_Emails2"/>
      <sheetName val="LOAs_(061619)2"/>
      <sheetName val="Contract_Conditions_(Tender)2"/>
      <sheetName val="Contract_Qualifications2"/>
      <sheetName val="YVPI_&amp;_GII2"/>
      <sheetName val="LOA_(live_sheet)2"/>
      <sheetName val="LOA_Log_(082419)2"/>
      <sheetName val="Key_Docs_Ref_2"/>
      <sheetName val="To_Mr__Boota_(072519)2"/>
      <sheetName val="Sheet_Index2"/>
      <sheetName val="Status_Summary3"/>
      <sheetName val="Balance_Sheet2"/>
      <sheetName val="[SHOPLIST_xls]/VWVU))tÏØ0__76"/>
      <sheetName val="[SHOPLIST_xls]/VWVU))tÏØ0__77"/>
      <sheetName val="Sec__A-PQ3"/>
      <sheetName val="Preamble_B3"/>
      <sheetName val="Sec__C-Dayworks3"/>
      <sheetName val="d5_3"/>
      <sheetName val="AOP_Summary-24"/>
      <sheetName val="CONSTRUCTION_COMPONENT2"/>
      <sheetName val="New_Rates2"/>
      <sheetName val="Labour_Rates2"/>
      <sheetName val="Status_2"/>
      <sheetName val="CLIENT_BUDGET2"/>
      <sheetName val="Reco-June_20192"/>
      <sheetName val="REMINING_PROGRESS2"/>
      <sheetName val="OS&amp;E__IT2"/>
      <sheetName val="PAID_AMOUNT2"/>
      <sheetName val="IPA_212"/>
      <sheetName val="Order_by_owner2"/>
      <sheetName val="PERLIM__Sammary2"/>
      <sheetName val="RECOVER_OF_DOUBLE_PAYMENT2"/>
      <sheetName val="rathath_al_matar2"/>
      <sheetName val="INTERNAL_LINE_2"/>
      <sheetName val="MINOVA_AL_DEYAR2"/>
      <sheetName val="BLUE_RHINE2"/>
      <sheetName val="NATIONAL_PAINT2"/>
      <sheetName val="FIRE_RATED2"/>
      <sheetName val="Dashboard_(1)3"/>
      <sheetName val="VO_Agreed_to_Unifier_Sum3"/>
      <sheetName val="VO_Not_yet_Agreed_to_Unifier3"/>
      <sheetName val="VO_Anticipated_to_Unifier3"/>
      <sheetName val="EW_to_Unifier3"/>
      <sheetName val="Prov_Sums3"/>
      <sheetName val="Other_Amounts3"/>
      <sheetName val="Asset_Allocation_(CR)3"/>
      <sheetName val="Project_Benchmarking3"/>
      <sheetName val="Estimate_for_approval2"/>
      <sheetName val="[SHOPLIST_xls][SH2"/>
      <sheetName val="[SHOPLIST_xls]70_2"/>
      <sheetName val="Master_data1"/>
      <sheetName val="P15_Cost_Implications1"/>
      <sheetName val="P15_uPVC_ducts-Rate_Summary1"/>
      <sheetName val="P13_uPVC_ducts1"/>
      <sheetName val="P13_Mass_Concrete1"/>
      <sheetName val="P13_Imported_Fill1"/>
      <sheetName val="P14_uPVC_ducts1"/>
      <sheetName val="P14_Mass_Concrete1"/>
      <sheetName val="P14_Imported_Fill1"/>
      <sheetName val="P14_Sand_bed_to_cable1"/>
      <sheetName val="P15_uPVC_ducts1"/>
      <sheetName val="Comp_equip1"/>
      <sheetName val="Basic_Rate1"/>
      <sheetName val="MASTER_RATE_ANALYSIS1"/>
      <sheetName val="MAIN_SUMMARY1"/>
      <sheetName val="[SHOPLIST_xls]/VWVU))tÏØ0__78"/>
      <sheetName val="[SHOPLIST_xls]/VWVU))tÏØ0__79"/>
      <sheetName val="B2-DV_No_021"/>
      <sheetName val="Other_Cost_Norms1"/>
      <sheetName val="개시대사_(2)1"/>
      <sheetName val="TB_ALJADA1"/>
      <sheetName val="Plot_Area1"/>
      <sheetName val="Closing_entries1"/>
      <sheetName val="Executive_Summary1"/>
      <sheetName val="Sales_Tracking_Report_(STR)1"/>
      <sheetName val="Blocking_Tracking_Report_(BTR)1"/>
      <sheetName val="Bill_No_11"/>
      <sheetName val="GENERAL_SUMMARY1"/>
      <sheetName val="SITE_WORKS1"/>
      <sheetName val="WOOD_WORK1"/>
      <sheetName val="THERMAL_&amp;_MOISTURE_1"/>
      <sheetName val="DOORS_&amp;_WINDOWS1"/>
      <sheetName val="Additional_Items1"/>
      <sheetName val="L_(4)1"/>
      <sheetName val="Quotation_FM_administration1"/>
      <sheetName val="Quotation_Visitor_and_Sec1"/>
      <sheetName val="Service_Charge1"/>
      <sheetName val="CABLES_1"/>
      <sheetName val="Quotation_Offices_108,9,10,11)1"/>
      <sheetName val="Quotation_modification1"/>
      <sheetName val="DIV_01_General_Requirements1"/>
      <sheetName val="Bill_(1)_Main_Building1"/>
      <sheetName val="Bill_(2)_General_Site_&amp;_Parkin1"/>
      <sheetName val="wd_points1"/>
      <sheetName val="Bill_(3)_Guest_House1"/>
      <sheetName val="Bill_(4)_Family_Buildings1"/>
      <sheetName val="Bill_(5)_Villa_Buildings1"/>
      <sheetName val="Bill_(6)_Entrance_Building1"/>
      <sheetName val="Bill_(7)_Masjid1"/>
      <sheetName val="Bill_(8)_Auditorium1"/>
      <sheetName val="Bill_(9)_Site_Prep__&amp;_Roadway1"/>
      <sheetName val="Summary_Cost1"/>
      <sheetName val="lighting_points1"/>
      <sheetName val="ESTIMATE_(2)1"/>
      <sheetName val="COM_Summary1"/>
      <sheetName val="Ref_Arch1"/>
      <sheetName val="6_2_Floor_Finishes1"/>
      <sheetName val="Data_1"/>
      <sheetName val="Cumulative_Rail_1"/>
      <sheetName val="[SHOPLIST_xls]/VWVU))tÏØ0__80"/>
      <sheetName val="Staff_OLD_1"/>
      <sheetName val="Account_Codes"/>
      <sheetName val="[SHOPLIST_xls]/VW"/>
      <sheetName val="_Estimate__"/>
      <sheetName val="Equip_"/>
      <sheetName val="Milestone"/>
      <sheetName val="Top_s๨ꫝ"/>
      <sheetName val="GFA_HQ_Building33"/>
      <sheetName val="GFA_Conference32"/>
      <sheetName val="BQ_External32"/>
      <sheetName val="Projet,_methodes_&amp;_couts30"/>
      <sheetName val="Risques_majeurs_&amp;_Frais_Ind_30"/>
      <sheetName val="Penthouse_Apartment31"/>
      <sheetName val="LABOUR_HISTOGRAM32"/>
      <sheetName val="StattCo_yCharges31"/>
      <sheetName val="Chiet_tinh_dz2231"/>
      <sheetName val="Chiet_tinh_dz3531"/>
      <sheetName val="Raw_Data31"/>
      <sheetName val="CT_Thang_Mo31"/>
      <sheetName val="@risk_rents_and_incentives31"/>
      <sheetName val="Car_park_lease31"/>
      <sheetName val="Net_rent_analysis31"/>
      <sheetName val="Poz-1_31"/>
      <sheetName val="Lab_Cum_Hist31"/>
      <sheetName val="Graph_Data_(DO_NOT_PRINT)31"/>
      <sheetName val="budget_summary_(2)30"/>
      <sheetName val="Budget_Analysis_Summary30"/>
      <sheetName val="Bill_No__231"/>
      <sheetName val="LEVEL_SHEET31"/>
      <sheetName val="SPT_vs_PHI31"/>
      <sheetName val="CT__PL30"/>
      <sheetName val="FOL_-_Bar31"/>
      <sheetName val="Customize_Your_Invoice31"/>
      <sheetName val="HVAC_BoQ31"/>
      <sheetName val="Tender_Summary31"/>
      <sheetName val="Insurance_Ext31"/>
      <sheetName val="Top_sheet30"/>
      <sheetName val="intr_stool_brkup30"/>
      <sheetName val="PROJECT_BRIEF28"/>
      <sheetName val="Body_Sheet30"/>
      <sheetName val="1_0_Executive_Summary30"/>
      <sheetName val="2_Div_14_28"/>
      <sheetName val="Rate_analysis17"/>
      <sheetName val="Bill_229"/>
      <sheetName val="Ap_A28"/>
      <sheetName val="Bill_128"/>
      <sheetName val="Bill_328"/>
      <sheetName val="Bill_428"/>
      <sheetName val="Bill_528"/>
      <sheetName val="Bill_628"/>
      <sheetName val="Bill_728"/>
      <sheetName val="SHOPLIST_xls27"/>
      <sheetName val="C_(3)28"/>
      <sheetName val="Invoice_Summary27"/>
      <sheetName val="beam-reinft-IIInd_floor27"/>
      <sheetName val="Dubai_golf27"/>
      <sheetName val="POWER_ASSUMPTIONS27"/>
      <sheetName val="beam-reinft-machine_rm27"/>
      <sheetName val="Civil_Boq26"/>
      <sheetName val="WITHOUT_C&amp;I_PROFIT_(3)26"/>
      <sheetName val="Activity_List26"/>
      <sheetName val="Softscape_Buildup26"/>
      <sheetName val="Mat'l_Rate26"/>
      <sheetName val="HIRED_LABOUR_CODE24"/>
      <sheetName val="PA-_Consutant_24"/>
      <sheetName val="foot-slab_reinft24"/>
      <sheetName val="DETAILED__BOQ24"/>
      <sheetName val="M-Book_for_Conc24"/>
      <sheetName val="M-Book_for_FW24"/>
      <sheetName val="BILL_COV24"/>
      <sheetName val="Ra__stair24"/>
      <sheetName val="VALVE_CHAMBERS23"/>
      <sheetName val="Fire_Hydrants23"/>
      <sheetName val="B_GATE_VALVE23"/>
      <sheetName val="Sub_G1_Fire23"/>
      <sheetName val="Sub_G12_Fire23"/>
      <sheetName val="Day_work23"/>
      <sheetName val="Materials_Cost(PCC)23"/>
      <sheetName val="India_F&amp;S_Template23"/>
      <sheetName val="IO_LIST23"/>
      <sheetName val="Material_23"/>
      <sheetName val="Quote_Sheet23"/>
      <sheetName val="Eq__Mobilization22"/>
      <sheetName val="Working_for_RCC22"/>
      <sheetName val="B185-B-9_122"/>
      <sheetName val="B185-B-9_222"/>
      <sheetName val="BOQ_Direct_selling_cost23"/>
      <sheetName val="CHART_OF_ACCOUNTS22"/>
      <sheetName val="E-Bill_No_6_A-O22"/>
      <sheetName val="B09_122"/>
      <sheetName val="bill_nb2-Plumbing_&amp;_Drainag21"/>
      <sheetName val="Pl_&amp;_Dr_B21"/>
      <sheetName val="Pl_&amp;_Dr_G21"/>
      <sheetName val="Pl_&amp;_Dr_M21"/>
      <sheetName val="Pl_&amp;_Dr_121"/>
      <sheetName val="Pl_&amp;_Dr_221"/>
      <sheetName val="Pl_&amp;_Dr_321"/>
      <sheetName val="Pl_&amp;_Dr_421"/>
      <sheetName val="Pl_&amp;_Dr_521"/>
      <sheetName val="Pl_&amp;_Dr_621"/>
      <sheetName val="Pl_&amp;_Dr_721"/>
      <sheetName val="Pl_&amp;_Dr_821"/>
      <sheetName val="Pl_&amp;_Dr_R21"/>
      <sheetName val="FF_B21"/>
      <sheetName val="FF_G21"/>
      <sheetName val="FF_M21"/>
      <sheetName val="FF_121"/>
      <sheetName val="FF_2_21"/>
      <sheetName val="FF_321"/>
      <sheetName val="FF_421"/>
      <sheetName val="FF_521"/>
      <sheetName val="FF_6_21"/>
      <sheetName val="FF_721"/>
      <sheetName val="FF_821"/>
      <sheetName val="FF_R21"/>
      <sheetName val="bill_nb3-FF21"/>
      <sheetName val="HVAC_B21"/>
      <sheetName val="HVAC_G21"/>
      <sheetName val="HVAC_M21"/>
      <sheetName val="HVAC_121"/>
      <sheetName val="HVAC_221"/>
      <sheetName val="HVAC_321"/>
      <sheetName val="HVAC_421"/>
      <sheetName val="HVAC_521"/>
      <sheetName val="HVAC_621"/>
      <sheetName val="HVAC_721"/>
      <sheetName val="HVAC_821"/>
      <sheetName val="HVAC_R21"/>
      <sheetName val="bill_nb4-HVAC21"/>
      <sheetName val="SC_B21"/>
      <sheetName val="SC_G21"/>
      <sheetName val="SC_M21"/>
      <sheetName val="SC_121"/>
      <sheetName val="SC_221"/>
      <sheetName val="SC_321"/>
      <sheetName val="SC_421"/>
      <sheetName val="SC_521"/>
      <sheetName val="SC_621"/>
      <sheetName val="SC_721"/>
      <sheetName val="SC_821"/>
      <sheetName val="SC_R21"/>
      <sheetName val="AV_B21"/>
      <sheetName val="AV_G21"/>
      <sheetName val="AV_M21"/>
      <sheetName val="AV_121"/>
      <sheetName val="AV_221"/>
      <sheetName val="AV_321"/>
      <sheetName val="AV_421"/>
      <sheetName val="AV_521"/>
      <sheetName val="AV_621"/>
      <sheetName val="AV_721"/>
      <sheetName val="AV_821"/>
      <sheetName val="EL_B21"/>
      <sheetName val="EL_M21"/>
      <sheetName val="EL_121"/>
      <sheetName val="EL_221"/>
      <sheetName val="EL_321"/>
      <sheetName val="EL_421"/>
      <sheetName val="EL_521"/>
      <sheetName val="EL_621"/>
      <sheetName val="EL_721"/>
      <sheetName val="EL_821"/>
      <sheetName val="EL_R21"/>
      <sheetName val="EL_TR21"/>
      <sheetName val="8-_EL21"/>
      <sheetName val="FA_B21"/>
      <sheetName val="FA_G21"/>
      <sheetName val="FA_M21"/>
      <sheetName val="FA_121"/>
      <sheetName val="FA_221"/>
      <sheetName val="FA_321"/>
      <sheetName val="FA_421"/>
      <sheetName val="FA_521"/>
      <sheetName val="FA_621"/>
      <sheetName val="FA_721"/>
      <sheetName val="FA_821"/>
      <sheetName val="FA_R21"/>
      <sheetName val="9-_FA21"/>
      <sheetName val="Div__0222"/>
      <sheetName val="Div__0322"/>
      <sheetName val="Div__0422"/>
      <sheetName val="Div__0522"/>
      <sheetName val="Div__0622"/>
      <sheetName val="Div__0722"/>
      <sheetName val="Div__0822"/>
      <sheetName val="Div__0922"/>
      <sheetName val="Div__1022"/>
      <sheetName val="Div__1122"/>
      <sheetName val="Div__1222"/>
      <sheetName val="Div_1322"/>
      <sheetName val="EXTERNAL_WORKS22"/>
      <sheetName val="PRODUCTIVITY_RATE22"/>
      <sheetName val="U_R_A_-_MASONRY22"/>
      <sheetName val="U_R_A_-_PLASTERING22"/>
      <sheetName val="U_R_A_-_TILING22"/>
      <sheetName val="U_R_A_-_GRANITE22"/>
      <sheetName val="V_C_2_-_EARTHWORK22"/>
      <sheetName val="V_C_9_-_CERAMIC22"/>
      <sheetName val="V_C_9_-_FINISHES22"/>
      <sheetName val="PMWeb_data22"/>
      <sheetName val="w't_table21"/>
      <sheetName val="2_2)Revised_Cash_Flow21"/>
      <sheetName val="Elemental_Buildup21"/>
      <sheetName val="PointNo_521"/>
      <sheetName val="SS_MH22"/>
      <sheetName val="Chiet_t21"/>
      <sheetName val="Staffing_and_Rates_IA21"/>
      <sheetName val="Index_List21"/>
      <sheetName val="Type_List21"/>
      <sheetName val="File_Types21"/>
      <sheetName val="입찰내역_발주처_양식21"/>
      <sheetName val="Material_List_21"/>
      <sheetName val="PRECAST_lightconc-II23"/>
      <sheetName val="Item-_Compact19"/>
      <sheetName val="final_abstract23"/>
      <sheetName val="E_&amp;_R19"/>
      <sheetName val="B6_2_20"/>
      <sheetName val="LIST_DO_NOT_REMOVE20"/>
      <sheetName val="Division_250"/>
      <sheetName val="Division_421"/>
      <sheetName val="Division_521"/>
      <sheetName val="Division_621"/>
      <sheetName val="Division_721"/>
      <sheetName val="Division_821"/>
      <sheetName val="Division_921"/>
      <sheetName val="Division_1021"/>
      <sheetName val="Division_1221"/>
      <sheetName val="Division_1421"/>
      <sheetName val="Division_2124"/>
      <sheetName val="Division_2222"/>
      <sheetName val="Division_2321"/>
      <sheetName val="Division_2621"/>
      <sheetName val="Division_2721"/>
      <sheetName val="Division_2821"/>
      <sheetName val="Division_3121"/>
      <sheetName val="Division_3221"/>
      <sheetName val="Division_3321"/>
      <sheetName val="Summary_of_Work19"/>
      <sheetName val="Staff_Acco_19"/>
      <sheetName val="TBAL9697_-group_wise__sdpl19"/>
      <sheetName val="Employee_List19"/>
      <sheetName val="Project_Cost_Breakdown19"/>
      <sheetName val="Рабочий_лист18"/>
      <sheetName val="Rate_summary18"/>
      <sheetName val="Annex_1_Sect_3a19"/>
      <sheetName val="Annex_1_Sect_3a_119"/>
      <sheetName val="Annex_1_Sect_3b19"/>
      <sheetName val="Annex_1_Sect_3c19"/>
      <sheetName val="HOURLY_RATES19"/>
      <sheetName val="RAB_AR&amp;STR18"/>
      <sheetName val="SITE_WORK18"/>
      <sheetName val="Back_up18"/>
      <sheetName val="PT_141-_Site_A_Landscape18"/>
      <sheetName val="INDIGINEOUS_ITEMS_18"/>
      <sheetName val="Duct_Accesories18"/>
      <sheetName val="????_???_??18"/>
      <sheetName val="d-safe_DELUXE18"/>
      <sheetName val="Common_Variables18"/>
      <sheetName val="train_cash18"/>
      <sheetName val="accom_cash18"/>
      <sheetName val="Mall_waterproofing18"/>
      <sheetName val="MSCP_waterproofing18"/>
      <sheetName val="[SHOPLIST_xls]70,/0s«iÆøí¬i18"/>
      <sheetName val="Labour_&amp;_Plant18"/>
      <sheetName val="GPL_Revenu_Update18"/>
      <sheetName val="DO_NOT_TOUCH18"/>
      <sheetName val="Work_Type18"/>
      <sheetName val="[SHOPLIST_xls][SHOPLIST_xls]732"/>
      <sheetName val="Ave_wtd_rates18"/>
      <sheetName val="Debits_as_on_12_04_0818"/>
      <sheetName val="STAFFSCHED_18"/>
      <sheetName val="TRIAL_BALANCE18"/>
      <sheetName val="Geneí¬_i17"/>
      <sheetName val="PROJECT_BRIEF(EX_NEW)18"/>
      <sheetName val="Cashflow_projection13"/>
      <sheetName val="PPA_Summary14"/>
      <sheetName val="Risk_Breakdown_Structure17"/>
      <sheetName val="AREA_OF_APPLICATION17"/>
      <sheetName val="steel_total17"/>
      <sheetName val="ELE_BOQ17"/>
      <sheetName val="Area_Breakdown_PER_LEVEL_LINK13"/>
      <sheetName val="CF_Input13"/>
      <sheetName val="DATA_INPUT13"/>
      <sheetName val="Vordruck-Nr__7_1_3_D13"/>
      <sheetName val="M&amp;A_D13"/>
      <sheetName val="M&amp;A_E13"/>
      <sheetName val="M&amp;A_G13"/>
      <sheetName val="Floor_Box_15"/>
      <sheetName val="[SHOPLIST_xls]7013"/>
      <sheetName val="[SHOPLIST_xls]70,13"/>
      <sheetName val="Base_BM-rebar13"/>
      <sheetName val="Z-_GENERAL_PRICE_SUMMARY14"/>
      <sheetName val="Equipment_Rates13"/>
      <sheetName val="[SHOPLIST_xls][SHOPLIST_xls]733"/>
      <sheetName val="E_H_-_H__W_P_13"/>
      <sheetName val="E__H__Treatment_for_pile_cap13"/>
      <sheetName val="%_prog_figs_-u5_and_total14"/>
      <sheetName val="Service_Type11"/>
      <sheetName val="Contract_Division11"/>
      <sheetName val="SubContract_Type11"/>
      <sheetName val="Resumo_Empreitadas14"/>
      <sheetName val="Data_Sheet13"/>
      <sheetName val="tender_allowances13"/>
      <sheetName val="_Summary_BKG_03413"/>
      <sheetName val="BILL_3R13"/>
      <sheetName val="1_2_Staff_Schedule14"/>
      <sheetName val="[SHOPLIST_xls]/VW13"/>
      <sheetName val="BLOCK-A_(MEA_SHEET)13"/>
      <sheetName val="[SHOPLIST_xls][SHOPLIST_xls][13"/>
      <sheetName val="Materials_13"/>
      <sheetName val="Attach_4-1810"/>
      <sheetName val="Labour_Costs13"/>
      <sheetName val="Ewaan_Show_Kitchen_(2)10"/>
      <sheetName val="Cash_Flow_Working10"/>
      <sheetName val="MN_T_B_10"/>
      <sheetName val="Mix_Design14"/>
      <sheetName val="Form_613"/>
      <sheetName val="Risk_Register13"/>
      <sheetName val="Revised_Front_Page13"/>
      <sheetName val="Diff_Run01&amp;Run0213"/>
      <sheetName val="CCS_Summary13"/>
      <sheetName val="1_Carillion_Staff13"/>
      <sheetName val="_2_Staff_&amp;_Gen_labour13"/>
      <sheetName val="3_Offices13"/>
      <sheetName val="4_TempServ13"/>
      <sheetName val="__5_Temp_Wks13"/>
      <sheetName val="_6_Addn_Plant13"/>
      <sheetName val="_7__Transport13"/>
      <sheetName val="_8_Testing13"/>
      <sheetName val="9__Miscellaneous13"/>
      <sheetName val="10__Design13"/>
      <sheetName val="_11_Insurances13"/>
      <sheetName val="_12_Client_Req_13"/>
      <sheetName val="Risk_List13"/>
      <sheetName val="Track_of_Changes13"/>
      <sheetName val="Bill_8_Doors_&amp;_Windows13"/>
      <sheetName val="Bill_9_Finishes_13"/>
      <sheetName val="Bill_10_Specialities13"/>
      <sheetName val="Bill_1013"/>
      <sheetName val="Cost_Heading10"/>
      <sheetName val="2F_회의실견적(5_14_일대)6"/>
      <sheetName val="_HIT-&gt;HMC_견적(3900)6"/>
      <sheetName val="Appendix_B6"/>
      <sheetName val="PRICE_INFO10"/>
      <sheetName val="RC_SUMMARY10"/>
      <sheetName val="LABOUR_PRODUCTIVITY-TAV10"/>
      <sheetName val="MATERIAL_PRICES10"/>
      <sheetName val="P-100_MRF_DB_R110"/>
      <sheetName val="Site_Dev_BOQ13"/>
      <sheetName val="D_&amp;_W_sizes10"/>
      <sheetName val="SOPMA_DD10"/>
      <sheetName val="Finansal_tamamlanma_Eğrisi4"/>
      <sheetName val="BOQ_(2)4"/>
      <sheetName val="LABOUR_RATE4"/>
      <sheetName val="Material_Rate4"/>
      <sheetName val="Labor_abs-PW4"/>
      <sheetName val="Labor_abs-NMR4"/>
      <sheetName val="kppl_pl4"/>
      <sheetName val="Basic_Rates4"/>
      <sheetName val="Combined_Results_4"/>
      <sheetName val="Labour_Rate_10"/>
      <sheetName val="[SHOPLIST_xls]70,/0s«_iÆø_í¬_13"/>
      <sheetName val="[SHOPLIST_xls]70?,/0?s«i?Æøí¬13"/>
      <sheetName val="Data_I_(2)10"/>
      <sheetName val="rEFERENCES_10"/>
      <sheetName val="Qtys_ZamZam_(Del__before)10"/>
      <sheetName val="Qtys_Relocation_(Del_before)10"/>
      <sheetName val="_Qtys_Sub_&amp;_Tents_(Del__befor10"/>
      <sheetName val="Qtys__Signages_(Del__before)10"/>
      <sheetName val="Qtys_Temporary_Passages_(Del)10"/>
      <sheetName val="_Qtys_Ser__Rooms_(Del_before)10"/>
      <sheetName val="Div_07_Thermal_&amp;_Moisture4"/>
      <sheetName val="Data_Validation4"/>
      <sheetName val="Div26_-_Elect4"/>
      <sheetName val="CHUNG_CU_CARRILON4"/>
      <sheetName val="precast_RC_element4"/>
      <sheetName val="pile_Fabrication4"/>
      <sheetName val="New_Bld4"/>
      <sheetName val="[SHOPLIST_xls]/VWVU))tÏØ0__83"/>
      <sheetName val="Dash_board13"/>
      <sheetName val="HB_CEC_schd_4_24"/>
      <sheetName val="HB_CEC_schd_4_34"/>
      <sheetName val="HB_CEC_schd_5_24"/>
      <sheetName val="HB_CEC_schd_6_24"/>
      <sheetName val="HB_CEC_schd_7_24"/>
      <sheetName val="HB_CEC_schd_9_24"/>
      <sheetName val="Doha_Farm4"/>
      <sheetName val="Dropdown_List4"/>
      <sheetName val="CIF_COST_ITEM2"/>
      <sheetName val="Rates_for_public_areas2"/>
      <sheetName val="[SHOPLIST_xls][SHOPLIST_xls]734"/>
      <sheetName val="Recon_Template2"/>
      <sheetName val="[SHOPLIST_xls]/VWVU))tÏØ0__84"/>
      <sheetName val="[SHOPLIST_xls]/VWVU))tÏØ0__85"/>
      <sheetName val="[SHOPLIST_xls]/VWVU))tÏØ0__86"/>
      <sheetName val="Drop_Down_Data2"/>
      <sheetName val="Rules_2"/>
      <sheetName val="Update_list2"/>
      <sheetName val="Sinh_Nam_systems2"/>
      <sheetName val="DIE_profile2"/>
      <sheetName val="Import_tax2"/>
      <sheetName val="TONG_HOP_VL-NC2"/>
      <sheetName val="TONGKE3p_2"/>
      <sheetName val="TH_VL,_NC,_DDHT_Thanhphuoc2"/>
      <sheetName val="DON_GIA2"/>
      <sheetName val="CHITIET_VL-NC2"/>
      <sheetName val="TH_kinh_phi2"/>
      <sheetName val="KLDT_DIEN2"/>
      <sheetName val="Dinh_muc_CP_KTCB_khac2"/>
      <sheetName val="quotation_2"/>
      <sheetName val="Bill_5_-_Carpark2"/>
      <sheetName val="BOQ_-_summary__32"/>
      <sheetName val="NKSC_thue2"/>
      <sheetName val="05__Data_Cash_Flow2"/>
      <sheetName val="MTO_REV_2(ARMOR)2"/>
      <sheetName val="L3-WBS_Mapping2"/>
      <sheetName val="BAFO_CCL_Submission2"/>
      <sheetName val="[SHOPLIST_xls][SHOPLIST_xls]/V2"/>
      <sheetName val="Core_Data2"/>
      <sheetName val="[SHOPLIST_xls]/VWVU))tÏØ0__87"/>
      <sheetName val="[SHOPLIST_xls]/VWVU))tÏØ0__93"/>
      <sheetName val="P1926-H2B_Pkg_2A&amp;2B2"/>
      <sheetName val="P1940-H2B_Pkg_1_Guestrooms2"/>
      <sheetName val="BOQ_1_922"/>
      <sheetName val="Abs_PMRL2"/>
      <sheetName val="[SHOPLIST_xls]/VWVU))tÏØ0__88"/>
      <sheetName val="[SHOPLIST_xls]/VWVU))tÏØ0__89"/>
      <sheetName val="[SHOPLIST_xls]/VWVU))tÏØ0__90"/>
      <sheetName val="Appendix-A_-GRAND_SUMMARY1"/>
      <sheetName val="D9_(New_Rate)1"/>
      <sheetName val="Grand_Summary_1"/>
      <sheetName val="Bill_No_01_-_GI_1"/>
      <sheetName val="combined_1"/>
      <sheetName val="summary-Optional_1"/>
      <sheetName val="B14_02_1"/>
      <sheetName val="Prov_Sum_1"/>
      <sheetName val="Contractor_Application1"/>
      <sheetName val="08_MEP_Summary1"/>
      <sheetName val="Addnl_works1"/>
      <sheetName val="B3__Material_on_Site-Detail1"/>
      <sheetName val="Joseph_Record1"/>
      <sheetName val="Cover_Page1"/>
      <sheetName val="Approved_INR_Claimed_Log_(2)1"/>
      <sheetName val="INR_Data1"/>
      <sheetName val="Dec_OCR1"/>
      <sheetName val="OCR_(APR1"/>
      <sheetName val="Survey_1"/>
      <sheetName val="INR_Summary_Sheet1"/>
      <sheetName val="ITR_Form_(Rev0)1"/>
      <sheetName val="ITR_Form_(SS)1"/>
      <sheetName val="ITR_Form_(Rev1)1"/>
      <sheetName val="Method_Statements1"/>
      <sheetName val="[SHOPLIST_xls]70,/0s«iÆøí¬2"/>
      <sheetName val="Portfolio_List1"/>
      <sheetName val="Initial_Data1"/>
      <sheetName val="Package_Status1"/>
      <sheetName val="WATER_DUCT_-_IC_21"/>
      <sheetName val="Asset_Desc"/>
      <sheetName val="BUAs_and_Sales_Forecast"/>
      <sheetName val="Lagoons_Breakdown_Prices"/>
      <sheetName val="Cover_HW_Z2_"/>
      <sheetName val="TOTAL_WORK"/>
      <sheetName val="part_3"/>
      <sheetName val="pile_Length_for_Easter_fence"/>
      <sheetName val="Div_10-Specialities_"/>
      <sheetName val="MALE_&amp;_FEMALE_"/>
      <sheetName val="Drop_down"/>
      <sheetName val="GFA_HQ_Building34"/>
      <sheetName val="GFA_Conference33"/>
      <sheetName val="BQ_External33"/>
      <sheetName val="Projet,_methodes_&amp;_couts31"/>
      <sheetName val="Risques_majeurs_&amp;_Frais_Ind_31"/>
      <sheetName val="Penthouse_Apartment32"/>
      <sheetName val="LABOUR_HISTOGRAM33"/>
      <sheetName val="StattCo_yCharges32"/>
      <sheetName val="Chiet_tinh_dz2232"/>
      <sheetName val="Chiet_tinh_dz3532"/>
      <sheetName val="Raw_Data32"/>
      <sheetName val="CT_Thang_Mo32"/>
      <sheetName val="@risk_rents_and_incentives32"/>
      <sheetName val="Car_park_lease32"/>
      <sheetName val="Net_rent_analysis32"/>
      <sheetName val="Poz-1_32"/>
      <sheetName val="Lab_Cum_Hist32"/>
      <sheetName val="Graph_Data_(DO_NOT_PRINT)32"/>
      <sheetName val="budget_summary_(2)31"/>
      <sheetName val="Budget_Analysis_Summary31"/>
      <sheetName val="Bill_No__232"/>
      <sheetName val="LEVEL_SHEET32"/>
      <sheetName val="SPT_vs_PHI32"/>
      <sheetName val="CT__PL31"/>
      <sheetName val="FOL_-_Bar32"/>
      <sheetName val="Customize_Your_Invoice32"/>
      <sheetName val="HVAC_BoQ32"/>
      <sheetName val="Tender_Summary32"/>
      <sheetName val="Insurance_Ext32"/>
      <sheetName val="Top_sheet31"/>
      <sheetName val="intr_stool_brkup31"/>
      <sheetName val="PROJECT_BRIEF29"/>
      <sheetName val="Body_Sheet31"/>
      <sheetName val="1_0_Executive_Summary31"/>
      <sheetName val="2_Div_14_29"/>
      <sheetName val="Rate_analysis18"/>
      <sheetName val="Bill_230"/>
      <sheetName val="Ap_A29"/>
      <sheetName val="Bill_129"/>
      <sheetName val="Bill_329"/>
      <sheetName val="Bill_429"/>
      <sheetName val="Bill_529"/>
      <sheetName val="Bill_629"/>
      <sheetName val="Bill_729"/>
      <sheetName val="SHOPLIST_xls28"/>
      <sheetName val="C_(3)29"/>
      <sheetName val="Invoice_Summary28"/>
      <sheetName val="beam-reinft-IIInd_floor28"/>
      <sheetName val="Dubai_golf28"/>
      <sheetName val="POWER_ASSUMPTIONS28"/>
      <sheetName val="beam-reinft-machine_rm28"/>
      <sheetName val="Civil_Boq27"/>
      <sheetName val="WITHOUT_C&amp;I_PROFIT_(3)27"/>
      <sheetName val="Activity_List27"/>
      <sheetName val="Softscape_Buildup27"/>
      <sheetName val="Mat'l_Rate27"/>
      <sheetName val="HIRED_LABOUR_CODE25"/>
      <sheetName val="PA-_Consutant_25"/>
      <sheetName val="foot-slab_reinft25"/>
      <sheetName val="DETAILED__BOQ25"/>
      <sheetName val="M-Book_for_Conc25"/>
      <sheetName val="M-Book_for_FW25"/>
      <sheetName val="BILL_COV25"/>
      <sheetName val="Ra__stair25"/>
      <sheetName val="VALVE_CHAMBERS24"/>
      <sheetName val="Fire_Hydrants24"/>
      <sheetName val="B_GATE_VALVE24"/>
      <sheetName val="Sub_G1_Fire24"/>
      <sheetName val="Sub_G12_Fire24"/>
      <sheetName val="Day_work24"/>
      <sheetName val="Materials_Cost(PCC)24"/>
      <sheetName val="India_F&amp;S_Template24"/>
      <sheetName val="IO_LIST24"/>
      <sheetName val="Material_24"/>
      <sheetName val="Quote_Sheet24"/>
      <sheetName val="Eq__Mobilization23"/>
      <sheetName val="Working_for_RCC23"/>
      <sheetName val="B185-B-9_123"/>
      <sheetName val="B185-B-9_223"/>
      <sheetName val="BOQ_Direct_selling_cost24"/>
      <sheetName val="CHART_OF_ACCOUNTS23"/>
      <sheetName val="E-Bill_No_6_A-O23"/>
      <sheetName val="B09_123"/>
      <sheetName val="bill_nb2-Plumbing_&amp;_Drainag22"/>
      <sheetName val="Pl_&amp;_Dr_B22"/>
      <sheetName val="Pl_&amp;_Dr_G22"/>
      <sheetName val="Pl_&amp;_Dr_M22"/>
      <sheetName val="Pl_&amp;_Dr_122"/>
      <sheetName val="Pl_&amp;_Dr_222"/>
      <sheetName val="Pl_&amp;_Dr_322"/>
      <sheetName val="Pl_&amp;_Dr_422"/>
      <sheetName val="Pl_&amp;_Dr_522"/>
      <sheetName val="Pl_&amp;_Dr_622"/>
      <sheetName val="Pl_&amp;_Dr_722"/>
      <sheetName val="Pl_&amp;_Dr_822"/>
      <sheetName val="Pl_&amp;_Dr_R22"/>
      <sheetName val="FF_B22"/>
      <sheetName val="FF_G22"/>
      <sheetName val="FF_M22"/>
      <sheetName val="FF_122"/>
      <sheetName val="FF_2_22"/>
      <sheetName val="FF_322"/>
      <sheetName val="FF_422"/>
      <sheetName val="FF_522"/>
      <sheetName val="FF_6_22"/>
      <sheetName val="FF_722"/>
      <sheetName val="FF_822"/>
      <sheetName val="FF_R22"/>
      <sheetName val="bill_nb3-FF22"/>
      <sheetName val="HVAC_B22"/>
      <sheetName val="HVAC_G22"/>
      <sheetName val="HVAC_M22"/>
      <sheetName val="HVAC_122"/>
      <sheetName val="HVAC_222"/>
      <sheetName val="HVAC_322"/>
      <sheetName val="HVAC_422"/>
      <sheetName val="HVAC_522"/>
      <sheetName val="HVAC_622"/>
      <sheetName val="HVAC_722"/>
      <sheetName val="HVAC_822"/>
      <sheetName val="HVAC_R22"/>
      <sheetName val="bill_nb4-HVAC22"/>
      <sheetName val="SC_B22"/>
      <sheetName val="SC_G22"/>
      <sheetName val="SC_M22"/>
      <sheetName val="SC_122"/>
      <sheetName val="SC_222"/>
      <sheetName val="SC_322"/>
      <sheetName val="SC_422"/>
      <sheetName val="SC_522"/>
      <sheetName val="SC_622"/>
      <sheetName val="SC_722"/>
      <sheetName val="SC_822"/>
      <sheetName val="SC_R22"/>
      <sheetName val="AV_B22"/>
      <sheetName val="AV_G22"/>
      <sheetName val="AV_M22"/>
      <sheetName val="AV_122"/>
      <sheetName val="AV_222"/>
      <sheetName val="AV_322"/>
      <sheetName val="AV_422"/>
      <sheetName val="AV_522"/>
      <sheetName val="AV_622"/>
      <sheetName val="AV_722"/>
      <sheetName val="AV_822"/>
      <sheetName val="EL_B22"/>
      <sheetName val="EL_M22"/>
      <sheetName val="EL_122"/>
      <sheetName val="EL_222"/>
      <sheetName val="EL_322"/>
      <sheetName val="EL_422"/>
      <sheetName val="EL_522"/>
      <sheetName val="EL_622"/>
      <sheetName val="EL_722"/>
      <sheetName val="EL_822"/>
      <sheetName val="EL_R22"/>
      <sheetName val="EL_TR22"/>
      <sheetName val="8-_EL22"/>
      <sheetName val="FA_B22"/>
      <sheetName val="FA_G22"/>
      <sheetName val="FA_M22"/>
      <sheetName val="FA_122"/>
      <sheetName val="FA_222"/>
      <sheetName val="FA_322"/>
      <sheetName val="FA_422"/>
      <sheetName val="FA_522"/>
      <sheetName val="FA_622"/>
      <sheetName val="FA_722"/>
      <sheetName val="FA_822"/>
      <sheetName val="FA_R22"/>
      <sheetName val="9-_FA22"/>
      <sheetName val="Div__0223"/>
      <sheetName val="Div__0323"/>
      <sheetName val="Div__0423"/>
      <sheetName val="Div__0523"/>
      <sheetName val="Div__0623"/>
      <sheetName val="Div__0723"/>
      <sheetName val="Div__0823"/>
      <sheetName val="Div__0923"/>
      <sheetName val="Div__1023"/>
      <sheetName val="Div__1123"/>
      <sheetName val="Div__1223"/>
      <sheetName val="Div_1323"/>
      <sheetName val="EXTERNAL_WORKS23"/>
      <sheetName val="PRODUCTIVITY_RATE23"/>
      <sheetName val="U_R_A_-_MASONRY23"/>
      <sheetName val="U_R_A_-_PLASTERING23"/>
      <sheetName val="U_R_A_-_TILING23"/>
      <sheetName val="U_R_A_-_GRANITE23"/>
      <sheetName val="V_C_2_-_EARTHWORK23"/>
      <sheetName val="V_C_9_-_CERAMIC23"/>
      <sheetName val="V_C_9_-_FINISHES23"/>
      <sheetName val="PMWeb_data23"/>
      <sheetName val="w't_table22"/>
      <sheetName val="2_2)Revised_Cash_Flow22"/>
      <sheetName val="Elemental_Buildup22"/>
      <sheetName val="PointNo_522"/>
      <sheetName val="SS_MH23"/>
      <sheetName val="Chiet_t22"/>
      <sheetName val="Staffing_and_Rates_IA22"/>
      <sheetName val="Index_List22"/>
      <sheetName val="Type_List22"/>
      <sheetName val="File_Types22"/>
      <sheetName val="입찰내역_발주처_양식22"/>
      <sheetName val="Material_List_22"/>
      <sheetName val="PRECAST_lightconc-II24"/>
      <sheetName val="Item-_Compact20"/>
      <sheetName val="final_abstract24"/>
      <sheetName val="E_&amp;_R20"/>
      <sheetName val="B6_2_21"/>
      <sheetName val="LIST_DO_NOT_REMOVE21"/>
      <sheetName val="Division_251"/>
      <sheetName val="Division_422"/>
      <sheetName val="Division_522"/>
      <sheetName val="Division_622"/>
      <sheetName val="Division_722"/>
      <sheetName val="Division_822"/>
      <sheetName val="Division_922"/>
      <sheetName val="Division_1022"/>
      <sheetName val="Division_1222"/>
      <sheetName val="Division_1422"/>
      <sheetName val="Division_2125"/>
      <sheetName val="Division_2223"/>
      <sheetName val="Division_2322"/>
      <sheetName val="Division_2622"/>
      <sheetName val="Division_2722"/>
      <sheetName val="Division_2822"/>
      <sheetName val="Division_3122"/>
      <sheetName val="Division_3222"/>
      <sheetName val="Division_3322"/>
      <sheetName val="Summary_of_Work20"/>
      <sheetName val="Staff_Acco_20"/>
      <sheetName val="TBAL9697_-group_wise__sdpl20"/>
      <sheetName val="Employee_List20"/>
      <sheetName val="Project_Cost_Breakdown20"/>
      <sheetName val="Рабочий_лист19"/>
      <sheetName val="Rate_summary19"/>
      <sheetName val="Annex_1_Sect_3a20"/>
      <sheetName val="Annex_1_Sect_3a_120"/>
      <sheetName val="Annex_1_Sect_3b20"/>
      <sheetName val="Annex_1_Sect_3c20"/>
      <sheetName val="HOURLY_RATES20"/>
      <sheetName val="RAB_AR&amp;STR19"/>
      <sheetName val="SITE_WORK19"/>
      <sheetName val="Back_up19"/>
      <sheetName val="PT_141-_Site_A_Landscape19"/>
      <sheetName val="INDIGINEOUS_ITEMS_19"/>
      <sheetName val="Duct_Accesories19"/>
      <sheetName val="????_???_??19"/>
      <sheetName val="d-safe_DELUXE19"/>
      <sheetName val="Common_Variables19"/>
      <sheetName val="train_cash19"/>
      <sheetName val="accom_cash19"/>
      <sheetName val="Mall_waterproofing19"/>
      <sheetName val="MSCP_waterproofing19"/>
      <sheetName val="[SHOPLIST_xls]70,/0s«iÆøí¬i19"/>
      <sheetName val="Labour_&amp;_Plant19"/>
      <sheetName val="GPL_Revenu_Update19"/>
      <sheetName val="DO_NOT_TOUCH19"/>
      <sheetName val="Work_Type19"/>
      <sheetName val="[SHOPLIST_xls][SHOPLIST_xls]735"/>
      <sheetName val="Ave_wtd_rates19"/>
      <sheetName val="Debits_as_on_12_04_0819"/>
      <sheetName val="STAFFSCHED_19"/>
      <sheetName val="TRIAL_BALANCE19"/>
      <sheetName val="Geneí¬_i18"/>
      <sheetName val="PROJECT_BRIEF(EX_NEW)19"/>
      <sheetName val="Cashflow_projection14"/>
      <sheetName val="PPA_Summary15"/>
      <sheetName val="Risk_Breakdown_Structure18"/>
      <sheetName val="AREA_OF_APPLICATION18"/>
      <sheetName val="steel_total18"/>
      <sheetName val="ELE_BOQ18"/>
      <sheetName val="Area_Breakdown_PER_LEVEL_LINK14"/>
      <sheetName val="CF_Input14"/>
      <sheetName val="DATA_INPUT14"/>
      <sheetName val="Vordruck-Nr__7_1_3_D14"/>
      <sheetName val="M&amp;A_D14"/>
      <sheetName val="M&amp;A_E14"/>
      <sheetName val="M&amp;A_G14"/>
      <sheetName val="Floor_Box_16"/>
      <sheetName val="[SHOPLIST_xls]7014"/>
      <sheetName val="[SHOPLIST_xls]70,14"/>
      <sheetName val="Base_BM-rebar14"/>
      <sheetName val="Z-_GENERAL_PRICE_SUMMARY15"/>
      <sheetName val="Equipment_Rates14"/>
      <sheetName val="[SHOPLIST_xls][SHOPLIST_xls]736"/>
      <sheetName val="E_H_-_H__W_P_14"/>
      <sheetName val="E__H__Treatment_for_pile_cap14"/>
      <sheetName val="%_prog_figs_-u5_and_total15"/>
      <sheetName val="Service_Type12"/>
      <sheetName val="Contract_Division12"/>
      <sheetName val="SubContract_Type12"/>
      <sheetName val="_SHOPLIST_xls_7011"/>
      <sheetName val="Resumo_Empreitadas15"/>
      <sheetName val="Data_Sheet14"/>
      <sheetName val="tender_allowances14"/>
      <sheetName val="_Summary_BKG_03414"/>
      <sheetName val="BILL_3R14"/>
      <sheetName val="1_2_Staff_Schedule15"/>
      <sheetName val="[SHOPLIST_xls]/VW14"/>
      <sheetName val="[SHOPLIST_xls]/VWVU))tÏØ0__94"/>
      <sheetName val="[SHOPLIST_xls]/VWVU))tÏØ0__95"/>
      <sheetName val="BLOCK-A_(MEA_SHEET)14"/>
      <sheetName val="[SHOPLIST_xls][SHOPLIST_xls][14"/>
      <sheetName val="Materials_14"/>
      <sheetName val="Attach_4-1811"/>
      <sheetName val="Labour_Costs14"/>
      <sheetName val="Ewaan_Show_Kitchen_(2)11"/>
      <sheetName val="Cash_Flow_Working11"/>
      <sheetName val="MN_T_B_11"/>
      <sheetName val="Mix_Design15"/>
      <sheetName val="Form_614"/>
      <sheetName val="Risk_Register14"/>
      <sheetName val="Revised_Front_Page14"/>
      <sheetName val="Diff_Run01&amp;Run0214"/>
      <sheetName val="CCS_Summary14"/>
      <sheetName val="1_Carillion_Staff14"/>
      <sheetName val="_2_Staff_&amp;_Gen_labour14"/>
      <sheetName val="3_Offices14"/>
      <sheetName val="4_TempServ14"/>
      <sheetName val="__5_Temp_Wks14"/>
      <sheetName val="_6_Addn_Plant14"/>
      <sheetName val="_7__Transport14"/>
      <sheetName val="_8_Testing14"/>
      <sheetName val="9__Miscellaneous14"/>
      <sheetName val="10__Design14"/>
      <sheetName val="_11_Insurances14"/>
      <sheetName val="_12_Client_Req_14"/>
      <sheetName val="Risk_List14"/>
      <sheetName val="Track_of_Changes14"/>
      <sheetName val="Bill_8_Doors_&amp;_Windows14"/>
      <sheetName val="Bill_9_Finishes_14"/>
      <sheetName val="Bill_10_Specialities14"/>
      <sheetName val="Bill_1014"/>
      <sheetName val="Cost_Heading11"/>
      <sheetName val="2F_회의실견적(5_14_일대)7"/>
      <sheetName val="_HIT-&gt;HMC_견적(3900)7"/>
      <sheetName val="Appendix_B7"/>
      <sheetName val="PRICE_INFO11"/>
      <sheetName val="RC_SUMMARY11"/>
      <sheetName val="LABOUR_PRODUCTIVITY-TAV11"/>
      <sheetName val="MATERIAL_PRICES11"/>
      <sheetName val="P-100_MRF_DB_R111"/>
      <sheetName val="Site_Dev_BOQ14"/>
      <sheetName val="[SHOPLIST_xls]/VWVU))tÏØ0__96"/>
      <sheetName val="[SHOPLIST_xls]/VWVU))tÏØ0__97"/>
      <sheetName val="D_&amp;_W_sizes11"/>
      <sheetName val="SOPMA_DD11"/>
      <sheetName val="Finansal_tamamlanma_Eğrisi5"/>
      <sheetName val="May_055"/>
      <sheetName val="April_055"/>
      <sheetName val="Aug_055"/>
      <sheetName val="July_055"/>
      <sheetName val="June_055"/>
      <sheetName val="Nov_055"/>
      <sheetName val="Oct_055"/>
      <sheetName val="Sep_055"/>
      <sheetName val="BOQ_(2)5"/>
      <sheetName val="LABOUR_RATE5"/>
      <sheetName val="Material_Rate5"/>
      <sheetName val="Labor_abs-PW5"/>
      <sheetName val="Labor_abs-NMR5"/>
      <sheetName val="kppl_pl5"/>
      <sheetName val="Basic_Rates5"/>
      <sheetName val="Combined_Results_5"/>
      <sheetName val="Labour_Rate_11"/>
      <sheetName val="[SHOPLIST_xls]/VWVU))tÏØ0__98"/>
      <sheetName val="[SHOPLIST_xls]70,/0s«_iÆø_í¬_14"/>
      <sheetName val="[SHOPLIST_xls]70?,/0?s«i?Æøí¬14"/>
      <sheetName val="Data_I_(2)11"/>
      <sheetName val="rEFERENCES_11"/>
      <sheetName val="1_-_Main_Building4"/>
      <sheetName val="1_-_Summary4"/>
      <sheetName val="2_-_Landscaping_Works4"/>
      <sheetName val="2_-_Summary4"/>
      <sheetName val="4_-_Bldg_Infra4"/>
      <sheetName val="4_-_Summary4"/>
      <sheetName val="Qtys_ZamZam_(Del__before)11"/>
      <sheetName val="Qtys_Relocation_(Del_before)11"/>
      <sheetName val="_Qtys_Sub_&amp;_Tents_(Del__befor11"/>
      <sheetName val="Qtys__Signages_(Del__before)11"/>
      <sheetName val="Qtys_Temporary_Passages_(Del)11"/>
      <sheetName val="_Qtys_Ser__Rooms_(Del_before)11"/>
      <sheetName val="Asset_Allocation_(CR)4"/>
      <sheetName val="Project_Benchmarking4"/>
      <sheetName val="Dashboard_(1)4"/>
      <sheetName val="VO_Agreed_to_Unifier_Sum4"/>
      <sheetName val="VO_Not_yet_Agreed_to_Unifier4"/>
      <sheetName val="VO_Anticipated_to_Unifier4"/>
      <sheetName val="EW_to_Unifier4"/>
      <sheetName val="Prov_Sums4"/>
      <sheetName val="Other_Amounts4"/>
      <sheetName val="Div_07_Thermal_&amp;_Moisture5"/>
      <sheetName val="Data_Validation5"/>
      <sheetName val="Div26_-_Elect5"/>
      <sheetName val="CHUNG_CU_CARRILON5"/>
      <sheetName val="precast_RC_element5"/>
      <sheetName val="pile_Fabrication5"/>
      <sheetName val="New_Bld5"/>
      <sheetName val="[SHOPLIST_xls]/VWVU))tÏØ0__99"/>
      <sheetName val="New_Rates3"/>
      <sheetName val="Labour_Rates3"/>
      <sheetName val="Status_3"/>
      <sheetName val="CLIENT_BUDGET3"/>
      <sheetName val="Reco-June_20193"/>
      <sheetName val="REMINING_PROGRESS3"/>
      <sheetName val="OS&amp;E__IT3"/>
      <sheetName val="PAID_AMOUNT3"/>
      <sheetName val="IPA_213"/>
      <sheetName val="Order_by_owner3"/>
      <sheetName val="PERLIM__Sammary3"/>
      <sheetName val="RECOVER_OF_DOUBLE_PAYMENT3"/>
      <sheetName val="rathath_al_matar3"/>
      <sheetName val="INTERNAL_LINE_3"/>
      <sheetName val="MINOVA_AL_DEYAR3"/>
      <sheetName val="BLUE_RHINE3"/>
      <sheetName val="NATIONAL_PAINT3"/>
      <sheetName val="FIRE_RATED3"/>
      <sheetName val="2_Plex4"/>
      <sheetName val="Sheet1_(2)4"/>
      <sheetName val="4_Plex4"/>
      <sheetName val="6_Plex_4"/>
      <sheetName val="Detailed_Summary4"/>
      <sheetName val="Sheet1_(3)4"/>
      <sheetName val="Sheet1_(4)4"/>
      <sheetName val="Dash_board14"/>
      <sheetName val="HB_CEC_schd_4_25"/>
      <sheetName val="HB_CEC_schd_4_35"/>
      <sheetName val="HB_CEC_schd_5_25"/>
      <sheetName val="HB_CEC_schd_6_25"/>
      <sheetName val="HB_CEC_schd_7_25"/>
      <sheetName val="HB_CEC_schd_9_25"/>
      <sheetName val="Doha_Farm5"/>
      <sheetName val="Dropdown_List5"/>
      <sheetName val="CIF_COST_ITEM3"/>
      <sheetName val="Rates_for_public_areas3"/>
      <sheetName val="[SHOPLIST_xls][SHOPLIST_xls]737"/>
      <sheetName val="Estimate_for_approval3"/>
      <sheetName val="Balance_Sheet3"/>
      <sheetName val="B-3_2_EB3"/>
      <sheetName val="Trade_Summary3"/>
      <sheetName val="AOP_Summary-25"/>
      <sheetName val="Summary_3"/>
      <sheetName val="B04-A_-_DIA_SUDEER3"/>
      <sheetName val="04D_-_Tanmyat3"/>
      <sheetName val="13-_B04-B_&amp;_C3"/>
      <sheetName val="_SITE_09_B04-B&amp;C-AFAQ3"/>
      <sheetName val="Tender_Docs3"/>
      <sheetName val="Miral_Emails3"/>
      <sheetName val="LOAs_(061619)3"/>
      <sheetName val="Contract_Conditions_(Tender)3"/>
      <sheetName val="Contract_Qualifications3"/>
      <sheetName val="YVPI_&amp;_GII3"/>
      <sheetName val="LOA_(live_sheet)3"/>
      <sheetName val="LOA_Log_(082419)3"/>
      <sheetName val="Key_Docs_Ref_3"/>
      <sheetName val="To_Mr__Boota_(072519)3"/>
      <sheetName val="Sec__A-PQ4"/>
      <sheetName val="Preamble_B4"/>
      <sheetName val="Sec__C-Dayworks4"/>
      <sheetName val="d5_4"/>
      <sheetName val="Sheet_Index3"/>
      <sheetName val="Status_Summary4"/>
      <sheetName val="CONSTRUCTION_COMPONENT3"/>
      <sheetName val="Recon_Template3"/>
      <sheetName val="[SHOPLIST_xls]/VWVU))tÏØ0_100"/>
      <sheetName val="[SHOPLIST_xls]/VWVU))tÏØ0_101"/>
      <sheetName val="[SHOPLIST_xls]/VWVU))tÏØ0_102"/>
      <sheetName val="Drop_Down_Data3"/>
      <sheetName val="Rules_3"/>
      <sheetName val="Update_list3"/>
      <sheetName val="Sinh_Nam_systems3"/>
      <sheetName val="DIE_profile3"/>
      <sheetName val="Import_tax3"/>
      <sheetName val="TONG_HOP_VL-NC3"/>
      <sheetName val="TONGKE3p_3"/>
      <sheetName val="TH_VL,_NC,_DDHT_Thanhphuoc3"/>
      <sheetName val="DON_GIA3"/>
      <sheetName val="CHITIET_VL-NC3"/>
      <sheetName val="TH_kinh_phi3"/>
      <sheetName val="KLDT_DIEN3"/>
      <sheetName val="Dinh_muc_CP_KTCB_khac3"/>
      <sheetName val="quotation_3"/>
      <sheetName val="Bill_5_-_Carpark3"/>
      <sheetName val="BOQ_-_summary__33"/>
      <sheetName val="NKSC_thue3"/>
      <sheetName val="05__Data_Cash_Flow3"/>
      <sheetName val="MTO_REV_2(ARMOR)3"/>
      <sheetName val="L3-WBS_Mapping3"/>
      <sheetName val="BAFO_CCL_Submission3"/>
      <sheetName val="[SHOPLIST_xls][SHOPLIST_xls]/V3"/>
      <sheetName val="Core_Data3"/>
      <sheetName val="[SHOPLIST_xls]/VWVU))tÏØ0_103"/>
      <sheetName val="[SHOPLIST_xls]/VWVU))tÏØ0_104"/>
      <sheetName val="[SHOPLIST_xls][SH3"/>
      <sheetName val="[SHOPLIST_xls]70_3"/>
      <sheetName val="P1926-H2B_Pkg_2A&amp;2B3"/>
      <sheetName val="P1940-H2B_Pkg_1_Guestrooms3"/>
      <sheetName val="BOQ_1_923"/>
      <sheetName val="Abs_PMRL3"/>
      <sheetName val="B2-DV_No_022"/>
      <sheetName val="GENERAL_SUMMARY2"/>
      <sheetName val="SITE_WORKS2"/>
      <sheetName val="WOOD_WORK2"/>
      <sheetName val="THERMAL_&amp;_MOISTURE_2"/>
      <sheetName val="DOORS_&amp;_WINDOWS2"/>
      <sheetName val="Additional_Items2"/>
      <sheetName val="Master_data2"/>
      <sheetName val="[SHOPLIST_xls]/VWVU))tÏØ0_105"/>
      <sheetName val="Staff_OLD_2"/>
      <sheetName val="Comp_equip2"/>
      <sheetName val="Basic_Rate2"/>
      <sheetName val="MASTER_RATE_ANALYSIS2"/>
      <sheetName val="MAIN_SUMMARY2"/>
      <sheetName val="[SHOPLIST_xls]/VWVU))tÏØ0_106"/>
      <sheetName val="[SHOPLIST_xls]/VWVU))tÏØ0_107"/>
      <sheetName val="Appendix-A_-GRAND_SUMMARY2"/>
      <sheetName val="D9_(New_Rate)2"/>
      <sheetName val="Grand_Summary_2"/>
      <sheetName val="Bill_No_01_-_GI_2"/>
      <sheetName val="combined_2"/>
      <sheetName val="summary-Optional_2"/>
      <sheetName val="B14_02_2"/>
      <sheetName val="Prov_Sum_2"/>
      <sheetName val="Contractor_Application2"/>
      <sheetName val="08_MEP_Summary2"/>
      <sheetName val="Addnl_works2"/>
      <sheetName val="B3__Material_on_Site-Detail2"/>
      <sheetName val="Joseph_Record2"/>
      <sheetName val="Cover_Page2"/>
      <sheetName val="Approved_INR_Claimed_Log_(2)2"/>
      <sheetName val="INR_Data2"/>
      <sheetName val="Dec_OCR2"/>
      <sheetName val="OCR_(APR2"/>
      <sheetName val="Survey_2"/>
      <sheetName val="INR_Summary_Sheet2"/>
      <sheetName val="ITR_Form_(Rev0)2"/>
      <sheetName val="ITR_Form_(SS)2"/>
      <sheetName val="ITR_Form_(Rev1)2"/>
      <sheetName val="Method_Statements2"/>
      <sheetName val="P15_Cost_Implications2"/>
      <sheetName val="P15_uPVC_ducts-Rate_Summary2"/>
      <sheetName val="P13_uPVC_ducts2"/>
      <sheetName val="P13_Mass_Concrete2"/>
      <sheetName val="P13_Imported_Fill2"/>
      <sheetName val="P14_uPVC_ducts2"/>
      <sheetName val="P14_Mass_Concrete2"/>
      <sheetName val="P14_Imported_Fill2"/>
      <sheetName val="P14_Sand_bed_to_cable2"/>
      <sheetName val="P15_uPVC_ducts2"/>
      <sheetName val="Cumulative_Rail_2"/>
      <sheetName val="TB_ALJADA2"/>
      <sheetName val="Plot_Area2"/>
      <sheetName val="Closing_entries2"/>
      <sheetName val="Executive_Summary2"/>
      <sheetName val="Sales_Tracking_Report_(STR)2"/>
      <sheetName val="Blocking_Tracking_Report_(BTR)2"/>
      <sheetName val="[SHOPLIST_xls]70,/0s«iÆøí¬3"/>
      <sheetName val="Bill_No_12"/>
      <sheetName val="Portfolio_List2"/>
      <sheetName val="Quotation_FM_administration2"/>
      <sheetName val="Quotation_Visitor_and_Sec2"/>
      <sheetName val="Service_Charge2"/>
      <sheetName val="CABLES_2"/>
      <sheetName val="Quotation_Offices_108,9,10,11)2"/>
      <sheetName val="Quotation_modification2"/>
      <sheetName val="DIV_01_General_Requirements2"/>
      <sheetName val="Bill_(1)_Main_Building2"/>
      <sheetName val="Bill_(2)_General_Site_&amp;_Parkin2"/>
      <sheetName val="wd_points2"/>
      <sheetName val="Bill_(3)_Guest_House2"/>
      <sheetName val="Bill_(4)_Family_Buildings2"/>
      <sheetName val="Bill_(5)_Villa_Buildings2"/>
      <sheetName val="Bill_(6)_Entrance_Building2"/>
      <sheetName val="Bill_(7)_Masjid2"/>
      <sheetName val="Bill_(8)_Auditorium2"/>
      <sheetName val="Bill_(9)_Site_Prep__&amp;_Roadway2"/>
      <sheetName val="Summary_Cost2"/>
      <sheetName val="lighting_points2"/>
      <sheetName val="ESTIMATE_(2)2"/>
      <sheetName val="COM_Summary2"/>
      <sheetName val="L_(4)2"/>
      <sheetName val="Initial_Data2"/>
      <sheetName val="Package_Status2"/>
      <sheetName val="_Estimate__1"/>
      <sheetName val="Equip_1"/>
      <sheetName val="Account_Codes1"/>
      <sheetName val="WATER_DUCT_-_IC_211"/>
      <sheetName val="Asset_Desc1"/>
      <sheetName val="BUAs_and_Sales_Forecast1"/>
      <sheetName val="Lagoons_Breakdown_Prices1"/>
      <sheetName val="Cover_HW_Z2_1"/>
      <sheetName val="TOTAL_WORK1"/>
      <sheetName val="part_31"/>
      <sheetName val="pile_Length_for_Easter_fence1"/>
      <sheetName val="Div_10-Specialities_1"/>
      <sheetName val="MALE_&amp;_FEMALE_1"/>
      <sheetName val="Div_Summary1"/>
      <sheetName val="Drop_down1"/>
      <sheetName val="Closing"/>
      <sheetName val="[SHOPLIST_xls]70_x005f_x0000_,/0_x000"/>
      <sheetName val="SI_22"/>
      <sheetName val="TO_List"/>
      <sheetName val="CCTV_DATA"/>
      <sheetName val="_boaboard_(1)"/>
      <sheetName val="Gene��i0_"/>
      <sheetName val="70,/0s�i����i"/>
      <sheetName val="Top_shԀ"/>
      <sheetName val="Detail_Page"/>
      <sheetName val="Cost Heaࡤing"/>
      <sheetName val="Income Statement"/>
      <sheetName val="FAL_intern"/>
      <sheetName val="SI_221"/>
      <sheetName val="TO_List1"/>
      <sheetName val="CCTV_DATA1"/>
      <sheetName val="FAL_intern1"/>
      <sheetName val="SI_222"/>
      <sheetName val="TO_List2"/>
      <sheetName val="CCTV_DATA2"/>
      <sheetName val="FAL_intern2"/>
      <sheetName val="Kur"/>
      <sheetName val="HAKEDİŞ "/>
      <sheetName val="keşif özeti"/>
      <sheetName val="Katsayılar"/>
      <sheetName val="[SHOPLIST.xls]70,/0s«iÆøí¬i4"/>
      <sheetName val="[SHOPLIST.xls]70,/0s«iÆøí¬i5"/>
      <sheetName val="[SHOPLIST.xls]/VWVU))tÏØ0__21"/>
      <sheetName val="[SHOPLIST.xls]/VWVU))tÏØ0__20"/>
      <sheetName val="[SHOPLIST.xls]70,/0s�i����i"/>
      <sheetName val="[SHOPLIST.xls]/VWVU))tÏØ0__23"/>
      <sheetName val="[SHOPLIST.xls]/VWVU))tÏØ0__22"/>
      <sheetName val="[SHOPLIST.xls]70___0_s__i____14"/>
      <sheetName val="[SHOPLIST.xls]_VW__VU________10"/>
      <sheetName val="[SHOPLIST.xls]70___0_s__i____15"/>
      <sheetName val="[SHOPLIST.xls]70_x005f_x0000___0_x0_6"/>
      <sheetName val="[SHOPLIST.xls]70___0_s__i____16"/>
      <sheetName val="[SHOPLIST.xls]_VW__VU________11"/>
      <sheetName val="[SHOPLIST.xls]70___0_s__i____17"/>
      <sheetName val="[SHOPLIST.xls]_VW__VU________12"/>
      <sheetName val="[SHOPLIST.xls]70___0_s__i____18"/>
      <sheetName val="[SHOPLIST.xls]70_x005f_x0000___0_x0_7"/>
      <sheetName val="[SHOPLIST.xls]70___0_s__i____19"/>
      <sheetName val="[SHOPLIST.xls]_VW__VU________13"/>
      <sheetName val="[SHOPLIST.xls]_SHOPLIST_xls_464"/>
      <sheetName val="[SHOPLIST.xls]_SHOPLIST_xls_465"/>
      <sheetName val="[SHOPLIST.xls]_SHOPLIST_xls_466"/>
      <sheetName val="[SHOPLIST.xls]_SHOPLIST_xls_467"/>
      <sheetName val="[SHOPLIST.xls]_SHOPLIST_xls_468"/>
      <sheetName val="[SHOPLIST.xls]_SHOPLIST_xls_469"/>
      <sheetName val="[SHOPLIST.xls]_SHOPLIST_xls_470"/>
      <sheetName val="[SHOPLIST.xls]_SHOPLIST_xls_471"/>
      <sheetName val="[SHOPLIST.xls]_SHOPLIST_xls_472"/>
      <sheetName val="[SHOPLIST.xls]_SHOPLIST_xls_473"/>
      <sheetName val="[SHOPLIST.xls]_SHOPLIST_xls_474"/>
      <sheetName val="[SHOPLIST.xls]_SHOPLIST_xls_475"/>
      <sheetName val="[SHOPLIST.xls]_SHOPLIST_xls_476"/>
      <sheetName val="[SHOPLIST.xls]_SHOPLIST_xls_477"/>
      <sheetName val="[SHOPLIST.xls]_SHOPLIST_xls_478"/>
      <sheetName val="[SHOPLIST.xls]_SHOPLIST_xls_479"/>
      <sheetName val="[SHOPLIST.xls]_SHOPLIST_xls_480"/>
      <sheetName val="[SHOPLIST.xls]_SHOPLIST_xls_481"/>
      <sheetName val="[SHOPLIST.xls]_SHOPLIST_xls_482"/>
      <sheetName val="[SHOPLIST.xls]_SHOPLIST_xls_483"/>
      <sheetName val="[SHOPLIST.xls]_SHOPLIST_xls_484"/>
      <sheetName val="[SHOPLIST.xls]_SHOPLIST_xls_485"/>
      <sheetName val="[SHOPLIST.xls]_SHOPLIST_xls_486"/>
      <sheetName val="[SHOPLIST.xls]_SHOPLIST_xls_487"/>
      <sheetName val="[SHOPLIST.xls]_SHOPLIST_xls_488"/>
      <sheetName val="[SHOPLIST.xls]_SHOPLIST_xls_489"/>
      <sheetName val="[SHOPLIST.xls]_SHOPLIST_xls_490"/>
      <sheetName val="[SHOPLIST.xls]_SHOPLIST_xls_491"/>
      <sheetName val="[SHOPLIST.xls]_SHOPLIST_xls_492"/>
      <sheetName val="[SHOPLIST.xls]_SHOPLIST_xls_493"/>
      <sheetName val="[SHOPLIST.xls]_SHOPLIST_xls_494"/>
      <sheetName val="[SHOPLIST.xls]_SHOPLIST_xls_495"/>
      <sheetName val="[SHOPLIST.xls]_SHOPLIST_xls_496"/>
      <sheetName val="[SHOPLIST.xls]_SHOPLIST_xls_497"/>
      <sheetName val="[SHOPLIST.xls]_SHOPLIST_xls_498"/>
      <sheetName val="[SHOPLIST.xls]_SHOPLIST_xls_499"/>
      <sheetName val="[SHOPLIST.xls]_SHOPLIST_xls_500"/>
      <sheetName val="[SHOPLIST.xls]_SHOPLIST_xls_501"/>
      <sheetName val="[SHOPLIST.xls]_SHOPLIST_xls_502"/>
      <sheetName val="[SHOPLIST.xls]_SHOPLIST_xls_503"/>
      <sheetName val="[SHOPLIST.xls]_SHOPLIST_xls_504"/>
      <sheetName val="[SHOPLIST.xls]_SHOPLIST_xls_505"/>
      <sheetName val="[SHOPLIST.xls]_SHOPLIST_xls_506"/>
      <sheetName val="[SHOPLIST.xls]_SHOPLIST_xls_507"/>
      <sheetName val="[SHOPLIST.xls]_SHOPLIST_xls_508"/>
      <sheetName val="[SHOPLIST.xls]_SHOPLIST_xls_509"/>
      <sheetName val="[SHOPLIST.xls]_SHOPLIST_xls_510"/>
      <sheetName val="[SHOPLIST.xls]_SHOPLIST_xls_511"/>
      <sheetName val="[SHOPLIST.xls]_SHOPLIST_xls_512"/>
      <sheetName val="[SHOPLIST.xls]_SHOPLIST_xls_513"/>
      <sheetName val="[SHOPLIST.xls]_SHOPLIST_xls_514"/>
      <sheetName val="[SHOPLIST.xls]_SHOPLIST_xls_515"/>
      <sheetName val="[SHOPLIST.xls]_SHOPLIST_xls_516"/>
      <sheetName val="[SHOPLIST.xls]_SHOPLIST_xls_517"/>
      <sheetName val="[SHOPLIST.xls]_SHOPLIST_xls_518"/>
      <sheetName val="[SHOPLIST.xls]_SHOPLIST_xls_519"/>
      <sheetName val="[SHOPLIST.xls]_SHOPLIST_xls_520"/>
      <sheetName val="[SHOPLIST.xls]_SHOPLIST_xls_521"/>
      <sheetName val="[SHOPLIST.xls]_SHOPLIST_xls_522"/>
      <sheetName val="[SHOPLIST.xls]_SHOPLIST_xls_523"/>
      <sheetName val="[SHOPLIST.xls]_SHOPLIST_xls_524"/>
      <sheetName val="[SHOPLIST.xls]_SHOPLIST_xls_525"/>
      <sheetName val="[SHOPLIST.xls]_SHOPLIST_xls_526"/>
      <sheetName val="[SHOPLIST.xls]_SHOPLIST_xls_527"/>
      <sheetName val="[SHOPLIST.xls]_SHOPLIST_xls_528"/>
      <sheetName val="[SHOPLIST.xls]_SHOPLIST_xls_529"/>
      <sheetName val="[SHOPLIST.xls]_SHOPLIST_xls_530"/>
      <sheetName val="[SHOPLIST.xls]_SHOPLIST_xls_531"/>
      <sheetName val="[SHOPLIST.xls]_SHOPLIST_xls_532"/>
      <sheetName val="[SHOPLIST.xls]_SHOPLIST_xls_533"/>
      <sheetName val="[SHOPLIST.xls]_SHOPLIST_xls_534"/>
      <sheetName val="[SHOPLIST.xls]_SHOPLIST_xls_535"/>
      <sheetName val="[SHOPLIST.xls]_SHOPLIST_xls_536"/>
      <sheetName val="[SHOPLIST.xls]70_x005f_x005f_x005f_x0000__5"/>
      <sheetName val="[SHOPLIST.xls]_SHOPLIST_xls_537"/>
      <sheetName val="[SHOPLIST.xls]_SHOPLIST_xls_538"/>
      <sheetName val="[SHOPLIST.xls]_SHOPLIST_xls_539"/>
      <sheetName val="[SHOPLIST.xls]_SHOPLIST_xls_540"/>
      <sheetName val="[SHOPLIST.xls]_SHOPLIST_xls_541"/>
      <sheetName val="[SHOPLIST.xls]_SHOPLIST_xls_542"/>
      <sheetName val="[SHOPLIST.xls]_SHOPLIST_xls_543"/>
      <sheetName val="[SHOPLIST.xls]_SHOPLIST_xls_544"/>
      <sheetName val="[SHOPLIST.xls]_SHOPLIST_xls_545"/>
      <sheetName val="[SHOPLIST.xls]_SHOPLIST_xls_546"/>
      <sheetName val="[SHOPLIST.xls]_SHOPLIST_xls_547"/>
      <sheetName val="[SHOPLIST.xls]_SHOPLIST_xls_548"/>
      <sheetName val="[SHOPLIST.xls]_SHOPLIST_xls_549"/>
      <sheetName val="[SHOPLIST.xls]_SHOPLIST_xls_550"/>
      <sheetName val="[SHOPLIST.xls]_SHOPLIST_xls_551"/>
      <sheetName val="[SHOPLIST.xls]_SHOPLIST_xls_552"/>
      <sheetName val="[SHOPLIST.xls]_SHOPLIST_xls_553"/>
      <sheetName val="[SHOPLIST.xls]_SHOPLIST_xls_554"/>
      <sheetName val="[SHOPLIST.xls]_SHOPLIST_xls_555"/>
      <sheetName val="[SHOPLIST.xls]_SHOPLIST_xls_556"/>
      <sheetName val="[SHOPLIST.xls]_SHOPLIST_xls_557"/>
      <sheetName val="[SHOPLIST.xls]_SHOPLIST_xls_558"/>
      <sheetName val="[SHOPLIST.xls]_SHOPLIST_xls_559"/>
      <sheetName val="[SHOPLIST.xls]_SHOPLIST_xls_560"/>
      <sheetName val="[SHOPLIST.xls]_SHOPLIST_xls_561"/>
      <sheetName val="[SHOPLIST.xls]_SHOPLIST_xls_562"/>
      <sheetName val="[SHOPLIST.xls]_SHOPLIST_xls_563"/>
      <sheetName val="[SHOPLIST.xls]_SHOPLIST_xls_564"/>
      <sheetName val="[SHOPLIST.xls]_SHOPLIST_xls_565"/>
      <sheetName val="[SHOPLIST.xls]_SHOPLIST_xls_566"/>
      <sheetName val="[SHOPLIST.xls]_SHOPLIST_xls_567"/>
      <sheetName val="[SHOPLIST.xls]_SHOPLIST_xls_568"/>
      <sheetName val="[SHOPLIST.xls]_SHOPLIST_xls_569"/>
      <sheetName val="[SHOPLIST.xls]_SHOPLIST_xls_570"/>
      <sheetName val="[SHOPLIST.xls]_SHOPLIST_xls_571"/>
      <sheetName val="[SHOPLIST.xls]_SHOPLIST_xls_572"/>
      <sheetName val="[SHOPLIST.xls]_SHOPLIST_xls_573"/>
      <sheetName val="[SHOPLIST.xls]_SHOPLIST_xls_574"/>
      <sheetName val="[SHOPLIST.xls]_SHOPLIST_xls_575"/>
      <sheetName val="[SHOPLIST.xls]_SHOPLIST_xls_576"/>
      <sheetName val="[SHOPLIST.xls]_SHOPLIST_xls_577"/>
      <sheetName val="[SHOPLIST.xls]_SHOPLIST_xls_578"/>
      <sheetName val="[SHOPLIST.xls]_SHOPLIST_xls_579"/>
      <sheetName val="[SHOPLIST.xls]_SHOPLIST_xls_580"/>
      <sheetName val="[SHOPLIST.xls]_SHOPLIST_xls_581"/>
      <sheetName val="[SHOPLIST.xls]_SHOPLIST_xls_582"/>
      <sheetName val="[SHOPLIST.xls]70___0_s__i____20"/>
      <sheetName val="[SHOPLIST.xls]_VW__VU________14"/>
      <sheetName val="[SHOPLIST.xls]70___0_s__i____21"/>
      <sheetName val="[SHOPLIST.xls]70_x005f_x0000___0_x0_8"/>
      <sheetName val="[SHOPLIST.xls]70___0_s__i____22"/>
      <sheetName val="[SHOPLIST.xls]_SHOPLIST_xls_583"/>
      <sheetName val="[SHOPLIST.xls]_VW__VU________15"/>
      <sheetName val="[SHOPLIST.xls]_SHOPLIST_xls_584"/>
      <sheetName val="[SHOPLIST.xls]_SHOPLIST_xls_585"/>
      <sheetName val="[SHOPLIST.xls]_SHOPLIST_xls_586"/>
      <sheetName val="[SHOPLIST.xls]_SHOPLIST_xls_587"/>
      <sheetName val="[SHOPLIST.xls]_SHOPLIST_xls_588"/>
      <sheetName val="[SHOPLIST.xls]_SHOPLIST_xls_589"/>
      <sheetName val="[SHOPLIST.xls]_SHOPLIST_xls_590"/>
      <sheetName val="[SHOPLIST.xls]_SHOPLIST_xls_591"/>
      <sheetName val="[SHOPLIST.xls]_SHOPLIST_xls_592"/>
      <sheetName val="[SHOPLIST.xls]_SHOPLIST_xls_593"/>
      <sheetName val="[SHOPLIST.xls]_SHOPLIST_xls_594"/>
      <sheetName val="[SHOPLIST.xls]_SHOPLIST_xls_595"/>
      <sheetName val="[SHOPLIST.xls]_SHOPLIST_xls_596"/>
      <sheetName val="[SHOPLIST.xls]_SHOPLIST_xls_597"/>
      <sheetName val="[SHOPLIST.xls]_SHOPLIST_xls_598"/>
      <sheetName val="[SHOPLIST.xls]_SHOPLIST_xls_599"/>
      <sheetName val="[SHOPLIST.xls]_SHOPLIST_xls_600"/>
      <sheetName val="[SHOPLIST.xls]_SHOPLIST_xls_601"/>
      <sheetName val="[SHOPLIST.xls]_SHOPLIST_xls_602"/>
      <sheetName val="[SHOPLIST.xls]_SHOPLIST_xls_603"/>
      <sheetName val="[SHOPLIST.xls]_SHOPLIST_xls_604"/>
      <sheetName val="[SHOPLIST.xls]_SHOPLIST_xls_605"/>
      <sheetName val="[SHOPLIST.xls]_SHOPLIST_xls_606"/>
      <sheetName val="[SHOPLIST.xls]_SHOPLIST_xls_607"/>
      <sheetName val="[SHOPLIST.xls]_SHOPLIST_xls_608"/>
      <sheetName val="[SHOPLIST.xls]_SHOPLIST_xls_609"/>
      <sheetName val="[SHOPLIST.xls]_SHOPLIST_xls_610"/>
      <sheetName val="[SHOPLIST.xls]_SHOPLIST_xls_611"/>
      <sheetName val="[SHOPLIST.xls]_SHOPLIST_xls_612"/>
      <sheetName val="[SHOPLIST.xls]_SHOPLIST_xls_613"/>
      <sheetName val="[SHOPLIST.xls]_SHOPLIST_xls_614"/>
      <sheetName val="[SHOPLIST.xls]_SHOPLIST_xls_615"/>
      <sheetName val="[SHOPLIST.xls]_SHOPLIST_xls_616"/>
      <sheetName val="[SHOPLIST.xls]_SHOPLIST_xls_617"/>
      <sheetName val="[SHOPLIST.xls]_SHOPLIST_xls_618"/>
      <sheetName val="[SHOPLIST.xls]_SHOPLIST_xls_619"/>
      <sheetName val="[SHOPLIST.xls]_SHOPLIST_xls_620"/>
      <sheetName val="[SHOPLIST.xls]_SHOPLIST_xls_621"/>
      <sheetName val="[SHOPLIST.xls]_SHOPLIST_xls_622"/>
      <sheetName val="[SHOPLIST.xls]_SHOPLIST_xls_623"/>
      <sheetName val="[SHOPLIST.xls]_SHOPLIST_xls_624"/>
      <sheetName val="[SHOPLIST.xls]_SHOPLIST_xls_625"/>
      <sheetName val="[SHOPLIST.xls]_SHOPLIST_xls_626"/>
      <sheetName val="[SHOPLIST.xls]_SHOPLIST_xls_627"/>
      <sheetName val="[SHOPLIST.xls]_SHOPLIST_xls_628"/>
      <sheetName val="[SHOPLIST.xls]_SHOPLIST_xls_629"/>
      <sheetName val="[SHOPLIST.xls]_SHOPLIST_xls_630"/>
      <sheetName val="[SHOPLIST.xls]_SHOPLIST_xls_631"/>
      <sheetName val="[SHOPLIST.xls]_SHOPLIST_xls_632"/>
      <sheetName val="[SHOPLIST.xls]_SHOPLIST_xls_633"/>
      <sheetName val="[SHOPLIST.xls]_SHOPLIST_xls_634"/>
      <sheetName val="[SHOPLIST.xls]_SHOPLIST_xls_635"/>
      <sheetName val="[SHOPLIST.xls]_SHOPLIST_xls_636"/>
      <sheetName val="[SHOPLIST.xls]_SHOPLIST_xls_637"/>
      <sheetName val="[SHOPLIST.xls]_SHOPLIST_xls_638"/>
      <sheetName val="[SHOPLIST.xls]_SHOPLIST_xls_639"/>
      <sheetName val="[SHOPLIST.xls]_SHOPLIST_xls_640"/>
      <sheetName val="[SHOPLIST.xls]_SHOPLIST_xls_641"/>
      <sheetName val="[SHOPLIST.xls]_SHOPLIST_xls_642"/>
      <sheetName val="[SHOPLIST.xls]_SHOPLIST_xls_643"/>
      <sheetName val="[SHOPLIST.xls]_SHOPLIST_xls_644"/>
      <sheetName val="[SHOPLIST.xls]_SHOPLIST_xls_645"/>
      <sheetName val="[SHOPLIST.xls]_SHOPLIST_xls_646"/>
      <sheetName val="[SHOPLIST.xls]_SHOPLIST_xls_647"/>
      <sheetName val="[SHOPLIST.xls]_SHOPLIST_xls_648"/>
      <sheetName val="[SHOPLIST.xls]_SHOPLIST_xls_649"/>
      <sheetName val="[SHOPLIST.xls]_SHOPLIST_xls_650"/>
      <sheetName val="[SHOPLIST.xls]_SHOPLIST_xls_651"/>
      <sheetName val="[SHOPLIST.xls]_SHOPLIST_xls_652"/>
      <sheetName val="[SHOPLIST.xls]_SHOPLIST_xls_653"/>
      <sheetName val="[SHOPLIST.xls]_SHOPLIST_xls_654"/>
      <sheetName val="[SHOPLIST.xls]_SHOPLIST_xls_655"/>
      <sheetName val="[SHOPLIST.xls]_SHOPLIST_xls_656"/>
      <sheetName val="[SHOPLIST.xls]_SHOPLIST_xls_657"/>
      <sheetName val="[SHOPLIST.xls]_SHOPLIST_xls_658"/>
      <sheetName val="[SHOPLIST.xls]_SHOPLIST_xls_659"/>
      <sheetName val="[SHOPLIST.xls]_SHOPLIST_xls_660"/>
      <sheetName val="[SHOPLIST.xls]_SHOPLIST_xls_661"/>
      <sheetName val="[SHOPLIST.xls]_SHOPLIST_xls_662"/>
      <sheetName val="[SHOPLIST.xls]_SHOPLIST_xls_663"/>
      <sheetName val="[SHOPLIST.xls]_SHOPLIST_xls_664"/>
      <sheetName val="[SHOPLIST.xls]_SHOPLIST_xls_665"/>
      <sheetName val="[SHOPLIST.xls]_SHOPLIST_xls_666"/>
      <sheetName val="[SHOPLIST.xls]_SHOPLIST_xls_667"/>
      <sheetName val="[SHOPLIST.xls]_SHOPLIST_xls_668"/>
      <sheetName val="[SHOPLIST.xls]_SHOPLIST_xls_669"/>
      <sheetName val="[SHOPLIST.xls]_SHOPLIST_xls_670"/>
      <sheetName val="[SHOPLIST.xls]_SHOPLIST_xls_671"/>
      <sheetName val="[SHOPLIST.xls]_SHOPLIST_xls_672"/>
      <sheetName val="[SHOPLIST.xls]_SHOPLIST_xls_673"/>
      <sheetName val="[SHOPLIST.xls]_SHOPLIST_xls_674"/>
      <sheetName val="[SHOPLIST.xls]_SHOPLIST_xls_675"/>
      <sheetName val="[SHOPLIST.xls]_SHOPLIST_xls_676"/>
      <sheetName val="[SHOPLIST.xls]_SHOPLIST_xls_677"/>
      <sheetName val="[SHOPLIST.xls]_SHOPLIST_xls_678"/>
      <sheetName val="[SHOPLIST.xls]_SHOPLIST_xls_679"/>
      <sheetName val="[SHOPLIST.xls]_SHOPLIST_xls_680"/>
      <sheetName val="[SHOPLIST.xls]_SHOPLIST_xls_681"/>
      <sheetName val="[SHOPLIST.xls]_SHOPLIST_xls_682"/>
      <sheetName val="[SHOPLIST.xls]_SHOPLIST_xls_683"/>
      <sheetName val="[SHOPLIST.xls]_SHOPLIST_xls_684"/>
      <sheetName val="[SHOPLIST.xls]_SHOPLIST_xls_685"/>
      <sheetName val="[SHOPLIST.xls]_SHOPLIST_xls_686"/>
      <sheetName val="[SHOPLIST.xls]_SHOPLIST_xls_687"/>
      <sheetName val="[SHOPLIST.xls]_SHOPLIST_xls_688"/>
      <sheetName val="[SHOPLIST.xls]_SHOPLIST_xls_689"/>
      <sheetName val="[SHOPLIST.xls]_SHOPLIST_xls_690"/>
      <sheetName val="[SHOPLIST.xls]_SHOPLIST_xls_691"/>
      <sheetName val="[SHOPLIST.xls]_SHOPLIST_xls_692"/>
      <sheetName val="[SHOPLIST.xls]_SHOPLIST_xls_693"/>
      <sheetName val="[SHOPLIST.xls]_SHOPLIST_xls_694"/>
      <sheetName val="[SHOPLIST.xls]70_x005f_x005f_x005f_x0000__6"/>
      <sheetName val="Calendar"/>
      <sheetName val="Sheet9"/>
      <sheetName val="Materials Cost"/>
      <sheetName val="djfx"/>
      <sheetName val="FEVA"/>
      <sheetName val="HO Costs"/>
      <sheetName val="FLOOR_AND_CEILING"/>
      <sheetName val="area_comp_2011_01_18_(2)"/>
      <sheetName val="drop_down_lists"/>
      <sheetName val="PH_5"/>
      <sheetName val="[SHOPLIST_xls]70___0_s__i_____2"/>
      <sheetName val="[SHOPLIST_xls]_VW__VU_________2"/>
      <sheetName val="[SHOPLIST_xls]_VW__VU_________3"/>
      <sheetName val="[SHOPLIST_xls]70_x005f_x0000___0_x0_2"/>
      <sheetName val="beam-reinft"/>
      <sheetName val="[SHOPLIST.xls]_SHOPLIST_xls_695"/>
      <sheetName val="[SHOPLIST.xls]_SHOPLIST_xls_696"/>
      <sheetName val="[SHOPLIST.xls]_SHOPLIST_xls_697"/>
      <sheetName val="[SHOPLIST.xls]_SHOPLIST_xls_698"/>
      <sheetName val="[SHOPLIST.xls]_SHOPLIST_xls_699"/>
      <sheetName val="[SHOPLIST.xls]_SHOPLIST_xls_700"/>
      <sheetName val="[SHOPLIST.xls]_SHOPLIST_xls_701"/>
      <sheetName val="[SHOPLIST.xls]_SHOPLIST_xls_702"/>
      <sheetName val="[SHOPLIST.xls]_SHOPLIST_xls_703"/>
      <sheetName val="[SHOPLIST.xls]_SHOPLIST_xls_704"/>
      <sheetName val="[SHOPLIST.xls]_SHOPLIST_xls_705"/>
      <sheetName val="[SHOPLIST.xls]_SHOPLIST_xls_706"/>
      <sheetName val="[SHOPLIST.xls]_SHOPLIST_xls_707"/>
      <sheetName val="[SHOPLIST.xls]_SHOPLIST_xls_708"/>
      <sheetName val="[SHOPLIST.xls]_SHOPLIST_xls_709"/>
      <sheetName val="[SHOPLIST.xls]_SHOPLIST_xls_710"/>
      <sheetName val="[SHOPLIST.xls]_SHOPLIST_xls_711"/>
      <sheetName val="[SHOPLIST.xls]_SHOPLIST_xls_712"/>
      <sheetName val="[SHOPLIST.xls]_SHOPLIST_xls_713"/>
      <sheetName val="[SHOPLIST.xls]_SHOPLIST_xls_714"/>
      <sheetName val="[SHOPLIST.xls]_SHOPLIST_xls_715"/>
      <sheetName val="[SHOPLIST.xls]_SHOPLIST_xls_716"/>
      <sheetName val="[SHOPLIST.xls]_SHOPLIST_xls_717"/>
      <sheetName val="[SHOPLIST.xls]_SHOPLIST_xls_718"/>
      <sheetName val="[SHOPLIST.xls]_SHOPLIST_xls_719"/>
      <sheetName val="[SHOPLIST.xls]_SHOPLIST_xls_720"/>
      <sheetName val="[SHOPLIST.xls]_SHOPLIST_xls_721"/>
      <sheetName val="[SHOPLIST.xls]_SHOPLIST_xls_722"/>
      <sheetName val="[SHOPLIST.xls]_SHOPLIST_xls_723"/>
      <sheetName val="[SHOPLIST.xls]_SHOPLIST_xls_724"/>
      <sheetName val="[SHOPLIST.xls]_SHOPLIST_xls_725"/>
      <sheetName val="[SHOPLIST.xls]_SHOPLIST_xls_726"/>
      <sheetName val="[SHOPLIST.xls]70___0_s__i____23"/>
      <sheetName val="[SHOPLIST.xls]_VW__VU________16"/>
      <sheetName val="[SHOPLIST.xls]70___0_s__i____24"/>
      <sheetName val="[SHOPLIST.xls]70_x005f_x0000___0_x0_9"/>
      <sheetName val="[SHOPLIST.xls]70___0_s__i____25"/>
      <sheetName val="[SHOPLIST.xls]_SHOPLIST_xls_727"/>
      <sheetName val="[SHOPLIST.xls]_VW__VU________17"/>
      <sheetName val="[SHOPLIST.xls]_SHOPLIST_xls_728"/>
      <sheetName val="[SHOPLIST.xls]_SHOPLIST_xls_729"/>
      <sheetName val="[SHOPLIST.xls]_SHOPLIST_xls_730"/>
      <sheetName val="[SHOPLIST.xls]_SHOPLIST_xls_731"/>
      <sheetName val="[SHOPLIST.xls]_SHOPLIST_xls_732"/>
      <sheetName val="[SHOPLIST.xls]_SHOPLIST_xls_733"/>
      <sheetName val="[SHOPLIST.xls]_SHOPLIST_xls_734"/>
      <sheetName val="[SHOPLIST.xls]_SHOPLIST_xls_735"/>
      <sheetName val="[SHOPLIST.xls]_SHOPLIST_xls_736"/>
      <sheetName val="[SHOPLIST.xls]_SHOPLIST_xls_737"/>
      <sheetName val="[SHOPLIST.xls]_SHOPLIST_xls_738"/>
      <sheetName val="[SHOPLIST.xls]_SHOPLIST_xls_739"/>
      <sheetName val="[SHOPLIST.xls]_SHOPLIST_xls_740"/>
      <sheetName val="[SHOPLIST.xls]_SHOPLIST_xls_741"/>
      <sheetName val="[SHOPLIST.xls]_SHOPLIST_xls_742"/>
      <sheetName val="[SHOPLIST.xls]_SHOPLIST_xls_743"/>
      <sheetName val="[SHOPLIST.xls]_SHOPLIST_xls_744"/>
      <sheetName val="[SHOPLIST.xls]_SHOPLIST_xls_745"/>
      <sheetName val="[SHOPLIST.xls]_SHOPLIST_xls_746"/>
      <sheetName val="[SHOPLIST.xls]_SHOPLIST_xls_747"/>
      <sheetName val="[SHOPLIST.xls]_SHOPLIST_xls_748"/>
      <sheetName val="[SHOPLIST.xls]_SHOPLIST_xls_749"/>
      <sheetName val="[SHOPLIST.xls]_SHOPLIST_xls_750"/>
      <sheetName val="[SHOPLIST.xls]_SHOPLIST_xls_751"/>
      <sheetName val="[SHOPLIST.xls]_SHOPLIST_xls_752"/>
      <sheetName val="[SHOPLIST.xls]_SHOPLIST_xls_753"/>
      <sheetName val="[SHOPLIST.xls]_SHOPLIST_xls_754"/>
      <sheetName val="[SHOPLIST.xls]_SHOPLIST_xls_755"/>
      <sheetName val="[SHOPLIST.xls]_SHOPLIST_xls_756"/>
      <sheetName val="[SHOPLIST.xls]_SHOPLIST_xls_757"/>
      <sheetName val="[SHOPLIST.xls]_SHOPLIST_xls_758"/>
      <sheetName val="[SHOPLIST.xls]_SHOPLIST_xls_759"/>
      <sheetName val="[SHOPLIST.xls]_SHOPLIST_xls_760"/>
      <sheetName val="[SHOPLIST.xls]_SHOPLIST_xls_761"/>
      <sheetName val="[SHOPLIST.xls]_SHOPLIST_xls_762"/>
      <sheetName val="[SHOPLIST.xls]_SHOPLIST_xls_763"/>
      <sheetName val="[SHOPLIST.xls]_SHOPLIST_xls_764"/>
      <sheetName val="[SHOPLIST.xls]_SHOPLIST_xls_765"/>
      <sheetName val="[SHOPLIST.xls]_SHOPLIST_xls_766"/>
      <sheetName val="[SHOPLIST.xls]_SHOPLIST_xls_767"/>
      <sheetName val="[SHOPLIST.xls]_SHOPLIST_xls_768"/>
      <sheetName val="[SHOPLIST.xls]_SHOPLIST_xls_769"/>
      <sheetName val="[SHOPLIST.xls]_SHOPLIST_xls_770"/>
      <sheetName val="[SHOPLIST.xls]_SHOPLIST_xls_771"/>
      <sheetName val="[SHOPLIST.xls]_SHOPLIST_xls_772"/>
      <sheetName val="[SHOPLIST.xls]_SHOPLIST_xls_773"/>
      <sheetName val="[SHOPLIST.xls]_SHOPLIST_xls_774"/>
      <sheetName val="[SHOPLIST.xls]_SHOPLIST_xls_775"/>
      <sheetName val="[SHOPLIST.xls]_SHOPLIST_xls_776"/>
      <sheetName val="[SHOPLIST.xls]_SHOPLIST_xls_777"/>
      <sheetName val="[SHOPLIST.xls]_SHOPLIST_xls_778"/>
      <sheetName val="[SHOPLIST.xls]_SHOPLIST_xls_779"/>
      <sheetName val="[SHOPLIST.xls]_SHOPLIST_xls_780"/>
      <sheetName val="[SHOPLIST.xls]_SHOPLIST_xls_781"/>
      <sheetName val="[SHOPLIST.xls]_SHOPLIST_xls_782"/>
      <sheetName val="[SHOPLIST.xls]_SHOPLIST_xls_783"/>
      <sheetName val="[SHOPLIST.xls]_SHOPLIST_xls_784"/>
      <sheetName val="[SHOPLIST.xls]_SHOPLIST_xls_785"/>
      <sheetName val="[SHOPLIST.xls]_SHOPLIST_xls_786"/>
      <sheetName val="[SHOPLIST.xls]_SHOPLIST_xls_787"/>
      <sheetName val="[SHOPLIST.xls]_SHOPLIST_xls_788"/>
      <sheetName val="[SHOPLIST.xls]_SHOPLIST_xls_789"/>
      <sheetName val="[SHOPLIST.xls]_SHOPLIST_xls_790"/>
      <sheetName val="[SHOPLIST.xls]_SHOPLIST_xls_791"/>
      <sheetName val="[SHOPLIST.xls]_SHOPLIST_xls_792"/>
      <sheetName val="[SHOPLIST.xls]_SHOPLIST_xls_793"/>
      <sheetName val="[SHOPLIST.xls]_SHOPLIST_xls_794"/>
      <sheetName val="[SHOPLIST.xls]_SHOPLIST_xls_795"/>
      <sheetName val="[SHOPLIST.xls]_SHOPLIST_xls_796"/>
      <sheetName val="[SHOPLIST.xls]_SHOPLIST_xls_797"/>
      <sheetName val="[SHOPLIST.xls]_SHOPLIST_xls_798"/>
      <sheetName val="[SHOPLIST.xls]_SHOPLIST_xls_799"/>
      <sheetName val="[SHOPLIST.xls]_SHOPLIST_xls_800"/>
      <sheetName val="[SHOPLIST.xls]_SHOPLIST_xls_801"/>
      <sheetName val="[SHOPLIST.xls]_SHOPLIST_xls_802"/>
      <sheetName val="[SHOPLIST.xls]_SHOPLIST_xls_803"/>
      <sheetName val="[SHOPLIST.xls]_SHOPLIST_xls_804"/>
      <sheetName val="[SHOPLIST.xls]_SHOPLIST_xls_805"/>
      <sheetName val="[SHOPLIST.xls]_SHOPLIST_xls_806"/>
      <sheetName val="[SHOPLIST.xls]_SHOPLIST_xls_807"/>
      <sheetName val="[SHOPLIST.xls]_SHOPLIST_xls_808"/>
      <sheetName val="[SHOPLIST.xls]_SHOPLIST_xls_809"/>
      <sheetName val="[SHOPLIST.xls]_SHOPLIST_xls_810"/>
      <sheetName val="[SHOPLIST.xls]_SHOPLIST_xls_811"/>
      <sheetName val="[SHOPLIST.xls]_SHOPLIST_xls_812"/>
      <sheetName val="[SHOPLIST.xls]_SHOPLIST_xls_813"/>
      <sheetName val="[SHOPLIST.xls]_SHOPLIST_xls_814"/>
      <sheetName val="[SHOPLIST.xls]_SHOPLIST_xls_815"/>
      <sheetName val="[SHOPLIST.xls]_SHOPLIST_xls_816"/>
      <sheetName val="[SHOPLIST.xls]_SHOPLIST_xls_817"/>
      <sheetName val="[SHOPLIST.xls]_SHOPLIST_xls_818"/>
      <sheetName val="[SHOPLIST.xls]_SHOPLIST_xls_819"/>
      <sheetName val="[SHOPLIST.xls]_SHOPLIST_xls_820"/>
      <sheetName val="[SHOPLIST.xls]_SHOPLIST_xls_821"/>
      <sheetName val="[SHOPLIST.xls]_SHOPLIST_xls_822"/>
      <sheetName val="[SHOPLIST.xls]_SHOPLIST_xls_823"/>
      <sheetName val="[SHOPLIST.xls]_SHOPLIST_xls_824"/>
      <sheetName val="[SHOPLIST.xls]_SHOPLIST_xls_825"/>
      <sheetName val="[SHOPLIST.xls]_SHOPLIST_xls_826"/>
      <sheetName val="[SHOPLIST.xls]_SHOPLIST_xls_827"/>
      <sheetName val="[SHOPLIST.xls]_SHOPLIST_xls_828"/>
      <sheetName val="[SHOPLIST.xls]_SHOPLIST_xls_829"/>
      <sheetName val="[SHOPLIST.xls]_SHOPLIST_xls_830"/>
      <sheetName val="[SHOPLIST.xls]_SHOPLIST_xls_831"/>
      <sheetName val="[SHOPLIST.xls]_SHOPLIST_xls_832"/>
      <sheetName val="[SHOPLIST.xls]_SHOPLIST_xls_833"/>
      <sheetName val="[SHOPLIST.xls]_SHOPLIST_xls_834"/>
      <sheetName val="[SHOPLIST.xls]_SHOPLIST_xls_835"/>
      <sheetName val="[SHOPLIST.xls]_SHOPLIST_xls_836"/>
      <sheetName val="[SHOPLIST.xls]_SHOPLIST_xls_837"/>
      <sheetName val="[SHOPLIST.xls]_SHOPLIST_xls_838"/>
      <sheetName val="[SHOPLIST.xls]70_x005f_x005f_x005f_x0000__7"/>
      <sheetName val="_SHOPLIST.xls__SH"/>
      <sheetName val="70,_0s«iÆøí¬i1"/>
      <sheetName val="70,_0s«_iÆø_í¬"/>
      <sheetName val="_SHOPLIST.xls_70_"/>
      <sheetName val="70,_0s«iÆøí¬i2"/>
      <sheetName val="70,_0s«iÆøí¬i3"/>
      <sheetName val="_SHOPLIST_xls_70_"/>
      <sheetName val="_SHOPLIST.xls__VWVU))tÏØ0__10"/>
      <sheetName val="_SHOPLIST.xls__VWVU))tÏØ0__11"/>
      <sheetName val="_SHOPLIST_xls__SH"/>
      <sheetName val="_SHOPLIST_xls__VWVU))tÏØ0  "/>
      <sheetName val="_SHOPLIST.xls_70,_0s«iÆøí¬"/>
      <sheetName val="[SHOPLIST_xls]70___0_s__i_____3"/>
      <sheetName val="ملخص_المشاريع"/>
      <sheetName val="عقود_المقاولين"/>
      <sheetName val="اوامر_الشراء"/>
      <sheetName val="الحركة_اليومية"/>
      <sheetName val="محمد_عساف"/>
      <sheetName val="كشف_الايرادات_والضرائب"/>
      <sheetName val="حساب_البنك"/>
      <sheetName val="كشف_الرواتب"/>
      <sheetName val="SAF_-_عهد_-_سلامي_ابو_فخر"/>
      <sheetName val="THA_-_عهد_-_ثابت_احمد"/>
      <sheetName val="AAH_-_عهد_-_انس_هبو"/>
      <sheetName val="YSA_-_عهد_-_ياسر_السبع"/>
      <sheetName val="MKJ_-_عهد_-_محمود_قجك"/>
      <sheetName val="MSH_-_عهد_-_محمد_الشامي"/>
      <sheetName val="ALW_-_عهد_-_علوان_علي"/>
      <sheetName val="AHA_-_عهد_-_احمد_الحاج"/>
      <sheetName val="MOR_-_عهد_-_مرجان_عبدالهادي"/>
      <sheetName val="MHA_-_عهد_-_محمد_حسون_العلي"/>
      <sheetName val="MF_-_مكتب_رئيسي"/>
      <sheetName val="CO_-_مقاولين_-_عقود_(2)"/>
      <sheetName val="BUR_-_موردين_-_شركة_البروج_"/>
      <sheetName val="CAP_-_موردين_-_عاصمة_الكهرباء"/>
      <sheetName val="PO_-_موردين_-_اوامر_شراء"/>
      <sheetName val="CO_-_مقاولين_-_عقود"/>
      <sheetName val="Product Sheet40"/>
      <sheetName val="HSBC"/>
      <sheetName val="REBAR"/>
      <sheetName val="Cost Summary"/>
      <sheetName val="Cost Summary SD"/>
      <sheetName val="Schedule S-Curve Revision#3"/>
      <sheetName val="2.223M_due to adj profit"/>
      <sheetName val="C-10"/>
      <sheetName val="C-11"/>
      <sheetName val="C-12"/>
      <sheetName val="C-3"/>
      <sheetName val="C-4"/>
      <sheetName val="C-5"/>
      <sheetName val="C-5A"/>
      <sheetName val="C-6"/>
      <sheetName val="C-6A"/>
      <sheetName val="C-7"/>
      <sheetName val="C-8"/>
      <sheetName val="C-9"/>
      <sheetName val="STAND98"/>
      <sheetName val="辽电初设.XLS 定额"/>
      <sheetName val="DVL"/>
      <sheetName val="[SHOPLIST_xls]70,/0s«_iÆø_í¬1"/>
      <sheetName val="[SHOPLIST_xls]70,/0s«iÆøí¬i21"/>
      <sheetName val="[SHOPLIST_xls]70,/0s«iÆøí¬i31"/>
      <sheetName val="[SHOPLIST_xls]70,/0s«_iÆø_í¬2"/>
      <sheetName val="[SHOPLIST_xls]70,/0s«iÆøí¬i22"/>
      <sheetName val="[SHOPLIST_xls]70,/0s«iÆøí¬i32"/>
      <sheetName val="[SHOPLIST_xls]70,/0s«i_x1"/>
      <sheetName val="foot-slab_rein_x0000__x0000_"/>
      <sheetName val="foot-slab_reinø_x0006_"/>
      <sheetName val="foot-slab_reinÝ¥"/>
      <sheetName val="foot-slab_reinP"/>
      <sheetName val="SUM-AIR-Submit"/>
      <sheetName val="Schedules PL"/>
      <sheetName val="Schedules BS"/>
      <sheetName val="Summary-margin calc"/>
      <sheetName val="S-Curve_Update"/>
      <sheetName val="VESSELS_"/>
      <sheetName val="bill no. 3"/>
      <sheetName val="_SHOPLIST.xls_70_x005f_x0000_,_0_x000"/>
      <sheetName val="Qty SR"/>
      <sheetName val="EW SR"/>
      <sheetName val="GFA_HQ_Building36"/>
      <sheetName val="GFA_Conference35"/>
      <sheetName val="BQ_External35"/>
      <sheetName val="Graph_Data_(DO_NOT_PRINT)34"/>
      <sheetName val="StattCo_yCharges34"/>
      <sheetName val="Penthouse_Apartment34"/>
      <sheetName val="LABOUR_HISTOGRAM35"/>
      <sheetName val="Chiet_tinh_dz2234"/>
      <sheetName val="Chiet_tinh_dz3534"/>
      <sheetName val="@risk_rents_and_incentives34"/>
      <sheetName val="Car_park_lease34"/>
      <sheetName val="Net_rent_analysis34"/>
      <sheetName val="Poz-1_34"/>
      <sheetName val="Lab_Cum_Hist34"/>
      <sheetName val="Raw_Data34"/>
      <sheetName val="Bill_No__234"/>
      <sheetName val="CT_Thang_Mo34"/>
      <sheetName val="budget_summary_(2)33"/>
      <sheetName val="Budget_Analysis_Summary33"/>
      <sheetName val="LEVEL_SHEET34"/>
      <sheetName val="SPT_vs_PHI34"/>
      <sheetName val="CT__PL33"/>
      <sheetName val="Projet,_methodes_&amp;_couts33"/>
      <sheetName val="Risques_majeurs_&amp;_Frais_Ind_33"/>
      <sheetName val="FOL_-_Bar34"/>
      <sheetName val="intr_stool_brkup33"/>
      <sheetName val="Tender_Summary34"/>
      <sheetName val="Insurance_Ext34"/>
      <sheetName val="Customize_Your_Invoice34"/>
      <sheetName val="HVAC_BoQ34"/>
      <sheetName val="Body_Sheet33"/>
      <sheetName val="1_0_Executive_Summary33"/>
      <sheetName val="Top_sheet33"/>
      <sheetName val="Ap_A31"/>
      <sheetName val="SHOPLIST_xls30"/>
      <sheetName val="Bill_232"/>
      <sheetName val="2_Div_14_31"/>
      <sheetName val="beam-reinft-IIInd_floor30"/>
      <sheetName val="beam-reinft-machine_rm30"/>
      <sheetName val="Bill_131"/>
      <sheetName val="Bill_331"/>
      <sheetName val="Bill_431"/>
      <sheetName val="Bill_531"/>
      <sheetName val="Bill_631"/>
      <sheetName val="Bill_731"/>
      <sheetName val="POWER_ASSUMPTIONS30"/>
      <sheetName val="Invoice_Summary30"/>
      <sheetName val="PROJECT_BRIEF31"/>
      <sheetName val="Civil_Boq29"/>
      <sheetName val="C_(3)31"/>
      <sheetName val="Dubai_golf30"/>
      <sheetName val="WITHOUT_C&amp;I_PROFIT_(3)29"/>
      <sheetName val="HIRED_LABOUR_CODE27"/>
      <sheetName val="PA-_Consutant_27"/>
      <sheetName val="foot-slab_reinft27"/>
      <sheetName val="Softscape_Buildup29"/>
      <sheetName val="Mat'l_Rate29"/>
      <sheetName val="VALVE_CHAMBERS26"/>
      <sheetName val="Fire_Hydrants26"/>
      <sheetName val="B_GATE_VALVE26"/>
      <sheetName val="Sub_G1_Fire26"/>
      <sheetName val="Sub_G12_Fire26"/>
      <sheetName val="Activity_List29"/>
      <sheetName val="BILL_COV27"/>
      <sheetName val="Ra__stair27"/>
      <sheetName val="DETAILED__BOQ27"/>
      <sheetName val="M-Book_for_Conc27"/>
      <sheetName val="M-Book_for_FW27"/>
      <sheetName val="Materials_Cost(PCC)26"/>
      <sheetName val="India_F&amp;S_Template26"/>
      <sheetName val="IO_LIST26"/>
      <sheetName val="Material_26"/>
      <sheetName val="Quote_Sheet26"/>
      <sheetName val="Day_work26"/>
      <sheetName val="Working_for_RCC25"/>
      <sheetName val="Div__0225"/>
      <sheetName val="Div__0325"/>
      <sheetName val="Div__0425"/>
      <sheetName val="Div__0525"/>
      <sheetName val="Div__0625"/>
      <sheetName val="Div__0725"/>
      <sheetName val="GFA_HQ_Building35"/>
      <sheetName val="GFA_Conference34"/>
      <sheetName val="BQ_External34"/>
      <sheetName val="Graph_Data_(DO_NOT_PRINT)33"/>
      <sheetName val="StattCo_yCharges33"/>
      <sheetName val="Penthouse_Apartment33"/>
      <sheetName val="LABOUR_HISTOGRAM34"/>
      <sheetName val="Chiet_tinh_dz2233"/>
      <sheetName val="Chiet_tinh_dz3533"/>
      <sheetName val="@risk_rents_and_incentives33"/>
      <sheetName val="Car_park_lease33"/>
      <sheetName val="Net_rent_analysis33"/>
      <sheetName val="Poz-1_33"/>
      <sheetName val="Lab_Cum_Hist33"/>
      <sheetName val="Raw_Data33"/>
      <sheetName val="Bill_No__233"/>
      <sheetName val="CT_Thang_Mo33"/>
      <sheetName val="budget_summary_(2)32"/>
      <sheetName val="Budget_Analysis_Summary32"/>
      <sheetName val="LEVEL_SHEET33"/>
      <sheetName val="SPT_vs_PHI33"/>
      <sheetName val="CT__PL32"/>
      <sheetName val="Projet,_methodes_&amp;_couts32"/>
      <sheetName val="Risques_majeurs_&amp;_Frais_Ind_32"/>
      <sheetName val="FOL_-_Bar33"/>
      <sheetName val="intr_stool_brkup32"/>
      <sheetName val="Tender_Summary33"/>
      <sheetName val="Insurance_Ext33"/>
      <sheetName val="Customize_Your_Invoice33"/>
      <sheetName val="HVAC_BoQ33"/>
      <sheetName val="Body_Sheet32"/>
      <sheetName val="1_0_Executive_Summary32"/>
      <sheetName val="Top_sheet32"/>
      <sheetName val="Ap_A30"/>
      <sheetName val="SHOPLIST_xls29"/>
      <sheetName val="Bill_231"/>
      <sheetName val="2_Div_14_30"/>
      <sheetName val="beam-reinft-IIInd_floor29"/>
      <sheetName val="beam-reinft-machine_rm29"/>
      <sheetName val="Bill_130"/>
      <sheetName val="Bill_330"/>
      <sheetName val="Bill_430"/>
      <sheetName val="Bill_530"/>
      <sheetName val="Bill_630"/>
      <sheetName val="Bill_730"/>
      <sheetName val="POWER_ASSUMPTIONS29"/>
      <sheetName val="Invoice_Summary29"/>
      <sheetName val="PROJECT_BRIEF30"/>
      <sheetName val="Civil_Boq28"/>
      <sheetName val="C_(3)30"/>
      <sheetName val="Dubai_golf29"/>
      <sheetName val="WITHOUT_C&amp;I_PROFIT_(3)28"/>
      <sheetName val="HIRED_LABOUR_CODE26"/>
      <sheetName val="PA-_Consutant_26"/>
      <sheetName val="foot-slab_reinft26"/>
      <sheetName val="Softscape_Buildup28"/>
      <sheetName val="Mat'l_Rate28"/>
      <sheetName val="VALVE_CHAMBERS25"/>
      <sheetName val="Fire_Hydrants25"/>
      <sheetName val="B_GATE_VALVE25"/>
      <sheetName val="Sub_G1_Fire25"/>
      <sheetName val="Sub_G12_Fire25"/>
      <sheetName val="Activity_List28"/>
      <sheetName val="BILL_COV26"/>
      <sheetName val="Ra__stair26"/>
      <sheetName val="DETAILED__BOQ26"/>
      <sheetName val="M-Book_for_Conc26"/>
      <sheetName val="M-Book_for_FW26"/>
      <sheetName val="Materials_Cost(PCC)25"/>
      <sheetName val="India_F&amp;S_Template25"/>
      <sheetName val="IO_LIST25"/>
      <sheetName val="Material_25"/>
      <sheetName val="Quote_Sheet25"/>
      <sheetName val="Day_work25"/>
      <sheetName val="Working_for_RCC24"/>
      <sheetName val="Div__0224"/>
      <sheetName val="Div__0324"/>
      <sheetName val="Div__0424"/>
      <sheetName val="Div__0524"/>
      <sheetName val="Div__0624"/>
      <sheetName val="Div__0724"/>
      <sheetName val="Div__0824"/>
      <sheetName val="Div__0924"/>
      <sheetName val="Div__1024"/>
      <sheetName val="Div__1124"/>
      <sheetName val="Div__1224"/>
      <sheetName val="Div_1324"/>
      <sheetName val="EXTERNAL_WORKS24"/>
      <sheetName val="PRODUCTIVITY_RATE24"/>
      <sheetName val="U_R_A_-_MASONRY24"/>
      <sheetName val="U_R_A_-_PLASTERING24"/>
      <sheetName val="U_R_A_-_TILING24"/>
      <sheetName val="U_R_A_-_GRANITE24"/>
      <sheetName val="V_C_2_-_EARTHWORK24"/>
      <sheetName val="V_C_9_-_CERAMIC24"/>
      <sheetName val="V_C_9_-_FINISHES24"/>
      <sheetName val="Elemental_Buildup23"/>
      <sheetName val="Eq__Mobilization24"/>
      <sheetName val="w't_table23"/>
      <sheetName val="bill_nb2-Plumbing_&amp;_Drainag23"/>
      <sheetName val="Pl_&amp;_Dr_B23"/>
      <sheetName val="Pl_&amp;_Dr_G23"/>
      <sheetName val="Pl_&amp;_Dr_M23"/>
      <sheetName val="Pl_&amp;_Dr_123"/>
      <sheetName val="Pl_&amp;_Dr_223"/>
      <sheetName val="Pl_&amp;_Dr_323"/>
      <sheetName val="Pl_&amp;_Dr_423"/>
      <sheetName val="Pl_&amp;_Dr_523"/>
      <sheetName val="Pl_&amp;_Dr_623"/>
      <sheetName val="Pl_&amp;_Dr_723"/>
      <sheetName val="Pl_&amp;_Dr_823"/>
      <sheetName val="Pl_&amp;_Dr_R23"/>
      <sheetName val="FF_B23"/>
      <sheetName val="FF_G23"/>
      <sheetName val="FF_M23"/>
      <sheetName val="FF_123"/>
      <sheetName val="FF_2_23"/>
      <sheetName val="FF_323"/>
      <sheetName val="FF_423"/>
      <sheetName val="FF_523"/>
      <sheetName val="FF_6_23"/>
      <sheetName val="FF_723"/>
      <sheetName val="FF_823"/>
      <sheetName val="FF_R23"/>
      <sheetName val="bill_nb3-FF23"/>
      <sheetName val="HVAC_B23"/>
      <sheetName val="HVAC_G23"/>
      <sheetName val="HVAC_M23"/>
      <sheetName val="HVAC_123"/>
      <sheetName val="HVAC_223"/>
      <sheetName val="HVAC_323"/>
      <sheetName val="HVAC_423"/>
      <sheetName val="HVAC_523"/>
      <sheetName val="HVAC_623"/>
      <sheetName val="HVAC_723"/>
      <sheetName val="HVAC_823"/>
      <sheetName val="HVAC_R23"/>
      <sheetName val="bill_nb4-HVAC23"/>
      <sheetName val="SC_B23"/>
      <sheetName val="SC_G23"/>
      <sheetName val="SC_M23"/>
      <sheetName val="SC_123"/>
      <sheetName val="SC_223"/>
      <sheetName val="SC_323"/>
      <sheetName val="SC_423"/>
      <sheetName val="SC_523"/>
      <sheetName val="SC_623"/>
      <sheetName val="SC_723"/>
      <sheetName val="SC_823"/>
      <sheetName val="SC_R23"/>
      <sheetName val="AV_B23"/>
      <sheetName val="AV_G23"/>
      <sheetName val="AV_M23"/>
      <sheetName val="AV_123"/>
      <sheetName val="AV_223"/>
      <sheetName val="AV_323"/>
      <sheetName val="AV_423"/>
      <sheetName val="AV_523"/>
      <sheetName val="AV_623"/>
      <sheetName val="AV_723"/>
      <sheetName val="AV_823"/>
      <sheetName val="EL_B23"/>
      <sheetName val="EL_M23"/>
      <sheetName val="EL_123"/>
      <sheetName val="EL_223"/>
      <sheetName val="EL_323"/>
      <sheetName val="EL_423"/>
      <sheetName val="EL_523"/>
      <sheetName val="EL_623"/>
      <sheetName val="EL_723"/>
      <sheetName val="EL_823"/>
      <sheetName val="EL_R23"/>
      <sheetName val="EL_TR23"/>
      <sheetName val="8-_EL23"/>
      <sheetName val="FA_B23"/>
      <sheetName val="FA_G23"/>
      <sheetName val="FA_M23"/>
      <sheetName val="FA_123"/>
      <sheetName val="FA_223"/>
      <sheetName val="FA_323"/>
      <sheetName val="FA_423"/>
      <sheetName val="FA_523"/>
      <sheetName val="FA_623"/>
      <sheetName val="FA_723"/>
      <sheetName val="FA_823"/>
      <sheetName val="FA_R23"/>
      <sheetName val="9-_FA23"/>
      <sheetName val="BOQ_Direct_selling_cost25"/>
      <sheetName val="CHART_OF_ACCOUNTS24"/>
      <sheetName val="B185-B-9_124"/>
      <sheetName val="B185-B-9_224"/>
      <sheetName val="Material_List_23"/>
      <sheetName val="E-Bill_No_6_A-O24"/>
      <sheetName val="B09_124"/>
      <sheetName val="Division_252"/>
      <sheetName val="Division_423"/>
      <sheetName val="Division_523"/>
      <sheetName val="Division_623"/>
      <sheetName val="Division_723"/>
      <sheetName val="Division_823"/>
      <sheetName val="Division_923"/>
      <sheetName val="Division_1023"/>
      <sheetName val="Division_1223"/>
      <sheetName val="Division_1423"/>
      <sheetName val="Division_2126"/>
      <sheetName val="Division_2224"/>
      <sheetName val="Division_2323"/>
      <sheetName val="Division_2623"/>
      <sheetName val="Division_2723"/>
      <sheetName val="Division_2823"/>
      <sheetName val="Division_3123"/>
      <sheetName val="Division_3223"/>
      <sheetName val="Division_3323"/>
      <sheetName val="PMWeb_data24"/>
      <sheetName val="PointNo_523"/>
      <sheetName val="SS_MH24"/>
      <sheetName val="2_2)Revised_Cash_Flow23"/>
      <sheetName val="입찰내역_발주처_양식23"/>
      <sheetName val="LIST_DO_NOT_REMOVE22"/>
      <sheetName val="Index_List23"/>
      <sheetName val="Type_List23"/>
      <sheetName val="File_Types23"/>
      <sheetName val="Chiet_t23"/>
      <sheetName val="Staffing_and_Rates_IA23"/>
      <sheetName val="Employee_List21"/>
      <sheetName val="PRECAST_lightconc-II25"/>
      <sheetName val="final_abstract25"/>
      <sheetName val="B6_2_22"/>
      <sheetName val="Project_Cost_Breakdown21"/>
      <sheetName val="Summary_of_Work21"/>
      <sheetName val="Item-_Compact21"/>
      <sheetName val="E_&amp;_R21"/>
      <sheetName val="Staff_Acco_21"/>
      <sheetName val="TBAL9697_-group_wise__sdpl21"/>
      <sheetName val="SITE_WORK20"/>
      <sheetName val="Рабочий_лист20"/>
      <sheetName val="PT_141-_Site_A_Landscape20"/>
      <sheetName val="Rate_summary20"/>
      <sheetName val="Annex_1_Sect_3a21"/>
      <sheetName val="Annex_1_Sect_3a_121"/>
      <sheetName val="Annex_1_Sect_3b21"/>
      <sheetName val="Annex_1_Sect_3c21"/>
      <sheetName val="HOURLY_RATES21"/>
      <sheetName val="RAB_AR&amp;STR20"/>
      <sheetName val="d-safe_DELUXE20"/>
      <sheetName val="Back_up20"/>
      <sheetName val="INDIGINEOUS_ITEMS_20"/>
      <sheetName val="train_cash20"/>
      <sheetName val="accom_cash20"/>
      <sheetName val="Mall_waterproofing20"/>
      <sheetName val="MSCP_waterproofing20"/>
      <sheetName val="Duct_Accesories20"/>
      <sheetName val="????_???_??20"/>
      <sheetName val="Labour_&amp;_Plant20"/>
      <sheetName val="Ave_wtd_rates20"/>
      <sheetName val="Debits_as_on_12_04_0820"/>
      <sheetName val="STAFFSCHED_20"/>
      <sheetName val="TRIAL_BALANCE20"/>
      <sheetName val="[SHOPLIST_xls][SHOPLIST_xls]738"/>
      <sheetName val="Common_Variables20"/>
      <sheetName val="[SHOPLIST_xls]70,/0s«iÆøí¬i20"/>
      <sheetName val="GPL_Revenu_Update20"/>
      <sheetName val="DO_NOT_TOUCH20"/>
      <sheetName val="Work_Type20"/>
      <sheetName val="PROJECT_BRIEF(EX_NEW)20"/>
      <sheetName val="AREA_OF_APPLICATION19"/>
      <sheetName val="Risk_Breakdown_Structure19"/>
      <sheetName val="Geneí¬_i19"/>
      <sheetName val="steel_total19"/>
      <sheetName val="ELE_BOQ19"/>
      <sheetName val="Z-_GENERAL_PRICE_SUMMARY16"/>
      <sheetName val="PPA_Summary16"/>
      <sheetName val="Mix_Design16"/>
      <sheetName val="Resumo_Empreitadas16"/>
      <sheetName val="%_prog_figs_-u5_and_total16"/>
      <sheetName val="Floor_Box_17"/>
      <sheetName val="Equipment_Rates15"/>
      <sheetName val="[SHOPLIST_xls]/VW15"/>
      <sheetName val="Cashflow_projection15"/>
      <sheetName val="[SHOPLIST_xls][SHOPLIST_xls]739"/>
      <sheetName val="E_H_-_H__W_P_15"/>
      <sheetName val="E__H__Treatment_for_pile_cap15"/>
      <sheetName val="[SHOPLIST_xls][SHOPLIST_xls][15"/>
      <sheetName val="Materials_15"/>
      <sheetName val="Form_615"/>
      <sheetName val="Risk_Register15"/>
      <sheetName val="Revised_Front_Page15"/>
      <sheetName val="Diff_Run01&amp;Run0215"/>
      <sheetName val="CCS_Summary15"/>
      <sheetName val="1_Carillion_Staff15"/>
      <sheetName val="_2_Staff_&amp;_Gen_labour15"/>
      <sheetName val="3_Offices15"/>
      <sheetName val="4_TempServ15"/>
      <sheetName val="__5_Temp_Wks15"/>
      <sheetName val="_6_Addn_Plant15"/>
      <sheetName val="_7__Transport15"/>
      <sheetName val="_8_Testing15"/>
      <sheetName val="9__Miscellaneous15"/>
      <sheetName val="10__Design15"/>
      <sheetName val="_11_Insurances15"/>
      <sheetName val="_12_Client_Req_15"/>
      <sheetName val="Risk_List15"/>
      <sheetName val="Track_of_Changes15"/>
      <sheetName val="Bill_8_Doors_&amp;_Windows15"/>
      <sheetName val="Bill_9_Finishes_15"/>
      <sheetName val="Bill_10_Specialities15"/>
      <sheetName val="Dash_board15"/>
      <sheetName val="[SHOPLIST_xls]7015"/>
      <sheetName val="[SHOPLIST_xls]70,15"/>
      <sheetName val="Base_BM-rebar15"/>
      <sheetName val="Site_Dev_BOQ15"/>
      <sheetName val="Data_Sheet15"/>
      <sheetName val="tender_allowances15"/>
      <sheetName val="_Summary_BKG_03415"/>
      <sheetName val="BILL_3R15"/>
      <sheetName val="Area_Breakdown_PER_LEVEL_LINK15"/>
      <sheetName val="CF_Input15"/>
      <sheetName val="DATA_INPUT15"/>
      <sheetName val="Vordruck-Nr__7_1_3_D15"/>
      <sheetName val="M&amp;A_D15"/>
      <sheetName val="M&amp;A_E15"/>
      <sheetName val="M&amp;A_G15"/>
      <sheetName val="1_2_Staff_Schedule16"/>
      <sheetName val="Bill_1015"/>
      <sheetName val="[SHOPLIST_xls]70,/0s«_iÆø_í¬_15"/>
      <sheetName val="[SHOPLIST_xls]70?,/0?s«i?Æøí¬15"/>
      <sheetName val="Labour_Costs15"/>
      <sheetName val="BLOCK-A_(MEA_SHEET)15"/>
      <sheetName val="Cost_Heading12"/>
      <sheetName val="Labour_Rate_12"/>
      <sheetName val="D_&amp;_W_sizes12"/>
      <sheetName val="SOPMA_DD12"/>
      <sheetName val="PRICE_INFO12"/>
      <sheetName val="RC_SUMMARY12"/>
      <sheetName val="LABOUR_PRODUCTIVITY-TAV12"/>
      <sheetName val="MATERIAL_PRICES12"/>
      <sheetName val="P-100_MRF_DB_R112"/>
      <sheetName val="Contract_Division13"/>
      <sheetName val="SubContract_Type13"/>
      <sheetName val="Service_Type13"/>
      <sheetName val="Attach_4-1812"/>
      <sheetName val="_SHOPLIST_xls_7012"/>
      <sheetName val="Ewaan_Show_Kitchen_(2)12"/>
      <sheetName val="Cash_Flow_Working12"/>
      <sheetName val="MN_T_B_12"/>
      <sheetName val="Data_I_(2)12"/>
      <sheetName val="rEFERENCES_12"/>
      <sheetName val="Qtys_ZamZam_(Del__before)12"/>
      <sheetName val="Qtys_Relocation_(Del_before)12"/>
      <sheetName val="_Qtys_Sub_&amp;_Tents_(Del__befor12"/>
      <sheetName val="Qtys__Signages_(Del__before)12"/>
      <sheetName val="Qtys_Temporary_Passages_(Del)12"/>
      <sheetName val="_Qtys_Ser__Rooms_(Del_before)12"/>
      <sheetName val="2F_회의실견적(5_14_일대)8"/>
      <sheetName val="_HIT-&gt;HMC_견적(3900)8"/>
      <sheetName val="Appendix_B8"/>
      <sheetName val="Div_07_Thermal_&amp;_Moisture6"/>
      <sheetName val="BOQ_(2)6"/>
      <sheetName val="LABOUR_RATE6"/>
      <sheetName val="Material_Rate6"/>
      <sheetName val="Labor_abs-PW6"/>
      <sheetName val="Labor_abs-NMR6"/>
      <sheetName val="kppl_pl6"/>
      <sheetName val="Basic_Rates6"/>
      <sheetName val="Combined_Results_6"/>
      <sheetName val="Balance_Sheet4"/>
      <sheetName val="May_056"/>
      <sheetName val="April_056"/>
      <sheetName val="Aug_056"/>
      <sheetName val="July_056"/>
      <sheetName val="June_056"/>
      <sheetName val="Nov_056"/>
      <sheetName val="Oct_056"/>
      <sheetName val="Sep_056"/>
      <sheetName val="[SHOPLIST_xls][SHOPLIST_xls]/V4"/>
      <sheetName val="precast_RC_element6"/>
      <sheetName val="pile_Fabrication6"/>
      <sheetName val="AOP_Summary-26"/>
      <sheetName val="Data_Validation6"/>
      <sheetName val="Div26_-_Elect6"/>
      <sheetName val="CHUNG_CU_CARRILON6"/>
      <sheetName val="[SHOPLIST_xls][SHOPLIST_xls]740"/>
      <sheetName val="B-3_2_EB4"/>
      <sheetName val="Sheet_Index4"/>
      <sheetName val="Core_Data4"/>
      <sheetName val="GFA_HQ_Building37"/>
      <sheetName val="GFA_Conference36"/>
      <sheetName val="BQ_External36"/>
      <sheetName val="Penthouse_Apartment35"/>
      <sheetName val="Raw_Data35"/>
      <sheetName val="StattCo_yCharges35"/>
      <sheetName val="LEVEL_SHEET35"/>
      <sheetName val="SPT_vs_PHI35"/>
      <sheetName val="LABOUR_HISTOGRAM36"/>
      <sheetName val="Chiet_tinh_dz2235"/>
      <sheetName val="Chiet_tinh_dz3535"/>
      <sheetName val="@risk_rents_and_incentives35"/>
      <sheetName val="Car_park_lease35"/>
      <sheetName val="Net_rent_analysis35"/>
      <sheetName val="Poz-1_35"/>
      <sheetName val="Graph_Data_(DO_NOT_PRINT)35"/>
      <sheetName val="Bill_No__235"/>
      <sheetName val="CT_Thang_Mo35"/>
      <sheetName val="Lab_Cum_Hist35"/>
      <sheetName val="CT__PL34"/>
      <sheetName val="Projet,_methodes_&amp;_couts34"/>
      <sheetName val="Risques_majeurs_&amp;_Frais_Ind_34"/>
      <sheetName val="FOL_-_Bar35"/>
      <sheetName val="budget_summary_(2)34"/>
      <sheetName val="Budget_Analysis_Summary34"/>
      <sheetName val="intr_stool_brkup34"/>
      <sheetName val="Tender_Summary35"/>
      <sheetName val="Insurance_Ext35"/>
      <sheetName val="Customize_Your_Invoice35"/>
      <sheetName val="HVAC_BoQ35"/>
      <sheetName val="Body_Sheet34"/>
      <sheetName val="1_0_Executive_Summary34"/>
      <sheetName val="Rate_analysis19"/>
      <sheetName val="Top_sheet34"/>
      <sheetName val="Bill_233"/>
      <sheetName val="Ap_A32"/>
      <sheetName val="2_Div_14_32"/>
      <sheetName val="SHOPLIST_xls31"/>
      <sheetName val="beam-reinft-IIInd_floor31"/>
      <sheetName val="beam-reinft-machine_rm31"/>
      <sheetName val="Bill_132"/>
      <sheetName val="Bill_332"/>
      <sheetName val="Bill_432"/>
      <sheetName val="Bill_532"/>
      <sheetName val="Bill_632"/>
      <sheetName val="Bill_732"/>
      <sheetName val="POWER_ASSUMPTIONS31"/>
      <sheetName val="Civil_Boq30"/>
      <sheetName val="PROJECT_BRIEF32"/>
      <sheetName val="Invoice_Summary31"/>
      <sheetName val="C_(3)32"/>
      <sheetName val="Dubai_golf31"/>
      <sheetName val="Softscape_Buildup30"/>
      <sheetName val="Mat'l_Rate30"/>
      <sheetName val="WITHOUT_C&amp;I_PROFIT_(3)30"/>
      <sheetName val="Activity_List30"/>
      <sheetName val="HIRED_LABOUR_CODE28"/>
      <sheetName val="PA-_Consutant_28"/>
      <sheetName val="foot-slab_reinft28"/>
      <sheetName val="DETAILED__BOQ28"/>
      <sheetName val="M-Book_for_Conc28"/>
      <sheetName val="M-Book_for_FW28"/>
      <sheetName val="BILL_COV28"/>
      <sheetName val="Ra__stair28"/>
      <sheetName val="VALVE_CHAMBERS27"/>
      <sheetName val="Fire_Hydrants27"/>
      <sheetName val="B_GATE_VALVE27"/>
      <sheetName val="Sub_G1_Fire27"/>
      <sheetName val="Sub_G12_Fire27"/>
      <sheetName val="Eq__Mobilization25"/>
      <sheetName val="w't_table24"/>
      <sheetName val="Materials_Cost(PCC)27"/>
      <sheetName val="India_F&amp;S_Template27"/>
      <sheetName val="IO_LIST27"/>
      <sheetName val="Material_27"/>
      <sheetName val="Quote_Sheet27"/>
      <sheetName val="Day_work27"/>
      <sheetName val="bill_nb2-Plumbing_&amp;_Drainag24"/>
      <sheetName val="Pl_&amp;_Dr_B24"/>
      <sheetName val="Pl_&amp;_Dr_G24"/>
      <sheetName val="Pl_&amp;_Dr_M24"/>
      <sheetName val="Pl_&amp;_Dr_124"/>
      <sheetName val="Pl_&amp;_Dr_224"/>
      <sheetName val="Pl_&amp;_Dr_324"/>
      <sheetName val="Pl_&amp;_Dr_424"/>
      <sheetName val="Pl_&amp;_Dr_524"/>
      <sheetName val="Pl_&amp;_Dr_624"/>
      <sheetName val="Pl_&amp;_Dr_724"/>
      <sheetName val="Pl_&amp;_Dr_824"/>
      <sheetName val="Pl_&amp;_Dr_R24"/>
      <sheetName val="FF_B24"/>
      <sheetName val="FF_G24"/>
      <sheetName val="FF_M24"/>
      <sheetName val="FF_124"/>
      <sheetName val="FF_2_24"/>
      <sheetName val="FF_324"/>
      <sheetName val="FF_424"/>
      <sheetName val="FF_524"/>
      <sheetName val="FF_6_24"/>
      <sheetName val="FF_724"/>
      <sheetName val="FF_824"/>
      <sheetName val="FF_R24"/>
      <sheetName val="bill_nb3-FF24"/>
      <sheetName val="HVAC_B24"/>
      <sheetName val="HVAC_G24"/>
      <sheetName val="HVAC_M24"/>
      <sheetName val="HVAC_124"/>
      <sheetName val="HVAC_224"/>
      <sheetName val="HVAC_324"/>
      <sheetName val="HVAC_424"/>
      <sheetName val="HVAC_524"/>
      <sheetName val="HVAC_624"/>
      <sheetName val="HVAC_724"/>
      <sheetName val="HVAC_824"/>
      <sheetName val="HVAC_R24"/>
      <sheetName val="bill_nb4-HVAC24"/>
      <sheetName val="SC_B24"/>
      <sheetName val="SC_G24"/>
      <sheetName val="SC_M24"/>
      <sheetName val="SC_124"/>
      <sheetName val="SC_224"/>
      <sheetName val="SC_324"/>
      <sheetName val="SC_424"/>
      <sheetName val="SC_524"/>
      <sheetName val="SC_624"/>
      <sheetName val="SC_724"/>
      <sheetName val="SC_824"/>
      <sheetName val="SC_R24"/>
      <sheetName val="AV_B24"/>
      <sheetName val="AV_G24"/>
      <sheetName val="AV_M24"/>
      <sheetName val="AV_124"/>
      <sheetName val="AV_224"/>
      <sheetName val="AV_324"/>
      <sheetName val="AV_424"/>
      <sheetName val="AV_524"/>
      <sheetName val="AV_624"/>
      <sheetName val="AV_724"/>
      <sheetName val="AV_824"/>
      <sheetName val="EL_B24"/>
      <sheetName val="EL_M24"/>
      <sheetName val="EL_124"/>
      <sheetName val="EL_224"/>
      <sheetName val="EL_324"/>
      <sheetName val="EL_424"/>
      <sheetName val="EL_524"/>
      <sheetName val="EL_624"/>
      <sheetName val="EL_724"/>
      <sheetName val="EL_824"/>
      <sheetName val="EL_R24"/>
      <sheetName val="EL_TR24"/>
      <sheetName val="8-_EL24"/>
      <sheetName val="FA_B24"/>
      <sheetName val="FA_G24"/>
      <sheetName val="FA_M24"/>
      <sheetName val="FA_124"/>
      <sheetName val="FA_224"/>
      <sheetName val="FA_324"/>
      <sheetName val="FA_424"/>
      <sheetName val="FA_524"/>
      <sheetName val="FA_624"/>
      <sheetName val="FA_724"/>
      <sheetName val="FA_824"/>
      <sheetName val="FA_R24"/>
      <sheetName val="9-_FA24"/>
      <sheetName val="B09_125"/>
      <sheetName val="BOQ_Direct_selling_cost26"/>
      <sheetName val="CHART_OF_ACCOUNTS25"/>
      <sheetName val="Working_for_RCC26"/>
      <sheetName val="B185-B-9_125"/>
      <sheetName val="B185-B-9_225"/>
      <sheetName val="E-Bill_No_6_A-O25"/>
      <sheetName val="Div__0226"/>
      <sheetName val="Div__0326"/>
      <sheetName val="Div__0426"/>
      <sheetName val="Div__0526"/>
      <sheetName val="Div__0626"/>
      <sheetName val="Div__0726"/>
      <sheetName val="Div__0825"/>
      <sheetName val="Div__0925"/>
      <sheetName val="Div__1025"/>
      <sheetName val="Div__1125"/>
      <sheetName val="Div__1225"/>
      <sheetName val="Div_1325"/>
      <sheetName val="EXTERNAL_WORKS25"/>
      <sheetName val="PRODUCTIVITY_RATE25"/>
      <sheetName val="U_R_A_-_MASONRY25"/>
      <sheetName val="U_R_A_-_PLASTERING25"/>
      <sheetName val="U_R_A_-_TILING25"/>
      <sheetName val="U_R_A_-_GRANITE25"/>
      <sheetName val="V_C_2_-_EARTHWORK25"/>
      <sheetName val="V_C_9_-_CERAMIC25"/>
      <sheetName val="V_C_9_-_FINISHES25"/>
      <sheetName val="Division_253"/>
      <sheetName val="Division_424"/>
      <sheetName val="Division_524"/>
      <sheetName val="Division_624"/>
      <sheetName val="Division_724"/>
      <sheetName val="Division_824"/>
      <sheetName val="Division_924"/>
      <sheetName val="Division_1024"/>
      <sheetName val="Division_1224"/>
      <sheetName val="Division_1424"/>
      <sheetName val="Division_2127"/>
      <sheetName val="Division_2225"/>
      <sheetName val="Division_2324"/>
      <sheetName val="Division_2624"/>
      <sheetName val="Division_2724"/>
      <sheetName val="Division_2824"/>
      <sheetName val="Division_3124"/>
      <sheetName val="Division_3224"/>
      <sheetName val="Division_3324"/>
      <sheetName val="PMWeb_data25"/>
      <sheetName val="Elemental_Buildup24"/>
      <sheetName val="PointNo_524"/>
      <sheetName val="2_2)Revised_Cash_Flow24"/>
      <sheetName val="SS_MH25"/>
      <sheetName val="입찰내역_발주처_양식24"/>
      <sheetName val="Material_List_24"/>
      <sheetName val="LIST_DO_NOT_REMOVE23"/>
      <sheetName val="Index_List24"/>
      <sheetName val="Type_List24"/>
      <sheetName val="File_Types24"/>
      <sheetName val="Chiet_t24"/>
      <sheetName val="Staffing_and_Rates_IA24"/>
      <sheetName val="Project_Cost_Breakdown22"/>
      <sheetName val="PRECAST_lightconc-II26"/>
      <sheetName val="final_abstract26"/>
      <sheetName val="Staff_Acco_22"/>
      <sheetName val="TBAL9697_-group_wise__sdpl22"/>
      <sheetName val="Summary_of_Work22"/>
      <sheetName val="Employee_List22"/>
      <sheetName val="Рабочий_лист21"/>
      <sheetName val="B6_2_23"/>
      <sheetName val="Item-_Compact22"/>
      <sheetName val="E_&amp;_R22"/>
      <sheetName val="Annex_1_Sect_3a22"/>
      <sheetName val="Annex_1_Sect_3a_122"/>
      <sheetName val="Annex_1_Sect_3b22"/>
      <sheetName val="Annex_1_Sect_3c22"/>
      <sheetName val="HOURLY_RATES22"/>
      <sheetName val="SITE_WORK21"/>
      <sheetName val="d-safe_DELUXE21"/>
      <sheetName val="PT_141-_Site_A_Landscape21"/>
      <sheetName val="Rate_summary21"/>
      <sheetName val="RAB_AR&amp;STR21"/>
      <sheetName val="Back_up21"/>
      <sheetName val="train_cash21"/>
      <sheetName val="accom_cash21"/>
      <sheetName val="INDIGINEOUS_ITEMS_21"/>
      <sheetName val="Duct_Accesories21"/>
      <sheetName val="Mall_waterproofing21"/>
      <sheetName val="MSCP_waterproofing21"/>
      <sheetName val="????_???_??21"/>
      <sheetName val="Labour_&amp;_Plant21"/>
      <sheetName val="Ave_wtd_rates21"/>
      <sheetName val="Debits_as_on_12_04_0821"/>
      <sheetName val="STAFFSCHED_21"/>
      <sheetName val="TRIAL_BALANCE21"/>
      <sheetName val="[SHOPLIST_xls][SHOPLIST_xls]741"/>
      <sheetName val="Common_Variables21"/>
      <sheetName val="GPL_Revenu_Update21"/>
      <sheetName val="DO_NOT_TOUCH21"/>
      <sheetName val="Work_Type21"/>
      <sheetName val="PROJECT_BRIEF(EX_NEW)21"/>
      <sheetName val="AREA_OF_APPLICATION20"/>
      <sheetName val="Risk_Breakdown_Structure20"/>
      <sheetName val="Geneí¬_i20"/>
      <sheetName val="steel_total20"/>
      <sheetName val="ELE_BOQ20"/>
      <sheetName val="Z-_GENERAL_PRICE_SUMMARY17"/>
      <sheetName val="Resumo_Empreitadas17"/>
      <sheetName val="PPA_Summary17"/>
      <sheetName val="Mix_Design17"/>
      <sheetName val="%_prog_figs_-u5_and_total17"/>
      <sheetName val="Floor_Box_18"/>
      <sheetName val="Equipment_Rates16"/>
      <sheetName val="[SHOPLIST_xls]/VW16"/>
      <sheetName val="Cashflow_projection16"/>
      <sheetName val="[SHOPLIST_xls][SHOPLIST_xls]742"/>
      <sheetName val="E_H_-_H__W_P_16"/>
      <sheetName val="E__H__Treatment_for_pile_cap16"/>
      <sheetName val="[SHOPLIST_xls][SHOPLIST_xls][16"/>
      <sheetName val="Form_616"/>
      <sheetName val="Risk_Register16"/>
      <sheetName val="Revised_Front_Page16"/>
      <sheetName val="Diff_Run01&amp;Run0216"/>
      <sheetName val="CCS_Summary16"/>
      <sheetName val="1_Carillion_Staff16"/>
      <sheetName val="_2_Staff_&amp;_Gen_labour16"/>
      <sheetName val="3_Offices16"/>
      <sheetName val="4_TempServ16"/>
      <sheetName val="__5_Temp_Wks16"/>
      <sheetName val="_6_Addn_Plant16"/>
      <sheetName val="_7__Transport16"/>
      <sheetName val="_8_Testing16"/>
      <sheetName val="9__Miscellaneous16"/>
      <sheetName val="10__Design16"/>
      <sheetName val="_11_Insurances16"/>
      <sheetName val="_12_Client_Req_16"/>
      <sheetName val="Risk_List16"/>
      <sheetName val="Track_of_Changes16"/>
      <sheetName val="Bill_8_Doors_&amp;_Windows16"/>
      <sheetName val="Bill_9_Finishes_16"/>
      <sheetName val="Bill_10_Specialities16"/>
      <sheetName val="Dash_board16"/>
      <sheetName val="[SHOPLIST_xls]7016"/>
      <sheetName val="[SHOPLIST_xls]70,16"/>
      <sheetName val="Base_BM-rebar16"/>
      <sheetName val="Materials_16"/>
      <sheetName val="Site_Dev_BOQ16"/>
      <sheetName val="Data_Sheet16"/>
      <sheetName val="tender_allowances16"/>
      <sheetName val="_Summary_BKG_03416"/>
      <sheetName val="BILL_3R16"/>
      <sheetName val="Area_Breakdown_PER_LEVEL_LINK16"/>
      <sheetName val="CF_Input16"/>
      <sheetName val="DATA_INPUT16"/>
      <sheetName val="Vordruck-Nr__7_1_3_D16"/>
      <sheetName val="M&amp;A_D16"/>
      <sheetName val="M&amp;A_E16"/>
      <sheetName val="M&amp;A_G16"/>
      <sheetName val="1_2_Staff_Schedule17"/>
      <sheetName val="Bill_1016"/>
      <sheetName val="[SHOPLIST_xls]70,/0s«_iÆø_í¬_16"/>
      <sheetName val="[SHOPLIST_xls]70?,/0?s«i?Æøí¬16"/>
      <sheetName val="Labour_Costs16"/>
      <sheetName val="BLOCK-A_(MEA_SHEET)16"/>
      <sheetName val="Cost_Heading13"/>
      <sheetName val="Labour_Rate_13"/>
      <sheetName val="D_&amp;_W_sizes13"/>
      <sheetName val="SOPMA_DD13"/>
      <sheetName val="PRICE_INFO13"/>
      <sheetName val="RC_SUMMARY13"/>
      <sheetName val="LABOUR_PRODUCTIVITY-TAV13"/>
      <sheetName val="MATERIAL_PRICES13"/>
      <sheetName val="P-100_MRF_DB_R113"/>
      <sheetName val="Contract_Division14"/>
      <sheetName val="SubContract_Type14"/>
      <sheetName val="Service_Type14"/>
      <sheetName val="Attach_4-1813"/>
      <sheetName val="_SHOPLIST_xls_7013"/>
      <sheetName val="Ewaan_Show_Kitchen_(2)13"/>
      <sheetName val="Cash_Flow_Working13"/>
      <sheetName val="MN_T_B_13"/>
      <sheetName val="Data_I_(2)13"/>
      <sheetName val="rEFERENCES_13"/>
      <sheetName val="Qtys_ZamZam_(Del__before)13"/>
      <sheetName val="Qtys_Relocation_(Del_before)13"/>
      <sheetName val="_Qtys_Sub_&amp;_Tents_(Del__befor13"/>
      <sheetName val="Qtys__Signages_(Del__before)13"/>
      <sheetName val="Qtys_Temporary_Passages_(Del)13"/>
      <sheetName val="_Qtys_Ser__Rooms_(Del_before)13"/>
      <sheetName val="2F_회의실견적(5_14_일대)9"/>
      <sheetName val="_HIT-&gt;HMC_견적(3900)9"/>
      <sheetName val="Appendix_B9"/>
      <sheetName val="Div_07_Thermal_&amp;_Moisture7"/>
      <sheetName val="BOQ_(2)7"/>
      <sheetName val="LABOUR_RATE7"/>
      <sheetName val="Material_Rate7"/>
      <sheetName val="Labor_abs-PW7"/>
      <sheetName val="Labor_abs-NMR7"/>
      <sheetName val="kppl_pl7"/>
      <sheetName val="Basic_Rates7"/>
      <sheetName val="Combined_Results_7"/>
      <sheetName val="precast_RC_element7"/>
      <sheetName val="pile_Fabrication7"/>
      <sheetName val="AOP_Summary-27"/>
      <sheetName val="May_057"/>
      <sheetName val="April_057"/>
      <sheetName val="Aug_057"/>
      <sheetName val="July_057"/>
      <sheetName val="June_057"/>
      <sheetName val="Nov_057"/>
      <sheetName val="Oct_057"/>
      <sheetName val="Sep_057"/>
      <sheetName val="Data_Validation7"/>
      <sheetName val="Div26_-_Elect7"/>
      <sheetName val="CHUNG_CU_CARRILON7"/>
      <sheetName val="Balance_Sheet5"/>
      <sheetName val="2_Plex5"/>
      <sheetName val="Sheet1_(2)5"/>
      <sheetName val="4_Plex5"/>
      <sheetName val="6_Plex_5"/>
      <sheetName val="Detailed_Summary5"/>
      <sheetName val="Sheet1_(3)5"/>
      <sheetName val="Sheet1_(4)5"/>
      <sheetName val="[SHOPLIST_xls][SHOPLIST_xls]743"/>
      <sheetName val="B-3_2_EB5"/>
      <sheetName val="[SHOPLIST_xls][SHOPLIST_xls]/V5"/>
      <sheetName val="Asset_Allocation_(CR)5"/>
      <sheetName val="Project_Benchmarking5"/>
      <sheetName val="1_-_Main_Building5"/>
      <sheetName val="1_-_Summary5"/>
      <sheetName val="2_-_Landscaping_Works5"/>
      <sheetName val="2_-_Summary5"/>
      <sheetName val="4_-_Bldg_Infra5"/>
      <sheetName val="4_-_Summary5"/>
      <sheetName val="Dashboard_(1)5"/>
      <sheetName val="VO_Agreed_to_Unifier_Sum5"/>
      <sheetName val="VO_Not_yet_Agreed_to_Unifier5"/>
      <sheetName val="VO_Anticipated_to_Unifier5"/>
      <sheetName val="EW_to_Unifier5"/>
      <sheetName val="Prov_Sums5"/>
      <sheetName val="Other_Amounts5"/>
      <sheetName val="Sheet_Index5"/>
      <sheetName val="Core_Data5"/>
      <sheetName val="Estimate_for_approval4"/>
      <sheetName val="New_Rates4"/>
      <sheetName val="Labour_Rates4"/>
      <sheetName val="Status_4"/>
      <sheetName val="CLIENT_BUDGET4"/>
      <sheetName val="Reco-June_20194"/>
      <sheetName val="REMINING_PROGRESS4"/>
      <sheetName val="OS&amp;E__IT4"/>
      <sheetName val="PAID_AMOUNT4"/>
      <sheetName val="IPA_214"/>
      <sheetName val="Order_by_owner4"/>
      <sheetName val="PERLIM__Sammary4"/>
      <sheetName val="RECOVER_OF_DOUBLE_PAYMENT4"/>
      <sheetName val="rathath_al_matar4"/>
      <sheetName val="INTERNAL_LINE_4"/>
      <sheetName val="MINOVA_AL_DEYAR4"/>
      <sheetName val="BLUE_RHINE4"/>
      <sheetName val="NATIONAL_PAINT4"/>
      <sheetName val="FIRE_RATED4"/>
      <sheetName val="Summary_4"/>
      <sheetName val="B04-A_-_DIA_SUDEER4"/>
      <sheetName val="04D_-_Tanmyat4"/>
      <sheetName val="13-_B04-B_&amp;_C4"/>
      <sheetName val="_SITE_09_B04-B&amp;C-AFAQ4"/>
      <sheetName val="710"/>
      <sheetName val="711"/>
      <sheetName val="[S3"/>
      <sheetName val="720"/>
      <sheetName val="721"/>
      <sheetName val="[S8"/>
      <sheetName val="714"/>
      <sheetName val="715"/>
      <sheetName val="[S5"/>
      <sheetName val="712"/>
      <sheetName val="713"/>
      <sheetName val="[S4"/>
      <sheetName val="718"/>
      <sheetName val="719"/>
      <sheetName val="[S7"/>
      <sheetName val="716"/>
      <sheetName val="717"/>
      <sheetName val="[S6"/>
      <sheetName val="722"/>
      <sheetName val="723"/>
      <sheetName val="[S9"/>
      <sheetName val="724"/>
      <sheetName val="725"/>
      <sheetName val="[10"/>
      <sheetName val="/VWVU))tÏØ0__61"/>
      <sheetName val="/VWVU))tÏØ0__71"/>
      <sheetName val="70_x005f_x0000_,/0_x000"/>
      <sheetName val="Unit cost- Drain-Protection-1 "/>
      <sheetName val="Unit cost- Drain-Protection-2"/>
      <sheetName val="[SHOPLIST.xls]70_x0000_,/0_x000"/>
      <sheetName val="B.Room W.Done Progress"/>
      <sheetName val="SUMMARY (ROOM)"/>
      <sheetName val="W.D Prgress Public area"/>
      <sheetName val="SUMMARY Public"/>
      <sheetName val="Comparision"/>
      <sheetName val="Cost Rates"/>
      <sheetName val="LOOKUP(MM)"/>
      <sheetName val="간접비내역-1"/>
      <sheetName val="[SHOPLIST.xls]70,/0s«iÆøí¬i6"/>
      <sheetName val="[SHOPLIST.xls]/VW1"/>
      <sheetName val="[SHOPLIST.xls]70,/0s«iÆøí¬i7"/>
      <sheetName val="[SHOPLIST.xls]/VW2"/>
      <sheetName val="[SHOPLIST.xls]/VWVU))tÏØ0__31"/>
      <sheetName val="[SHOPLIST.xls]70,/0s«_iÆø_í¬_i1"/>
      <sheetName val="[SHOPLIST.xls]70?,/0?s«i?Æøí¬i1"/>
      <sheetName val="[SHOPLIST.xls]/VWVU))tÏØ0__32"/>
      <sheetName val="[SHOPLIST.xls]70,/0s«_iÆø_í¬_i2"/>
      <sheetName val="[SHOPLIST.xls]70?,/0?s«i?Æøí¬i2"/>
      <sheetName val="[SHOPLIST.xls]70,/0s«iÆøí¬i8"/>
      <sheetName val="[SHOPLIST.xls]/VW3"/>
      <sheetName val="[SHOPLIST.xls]/VWVU))tÏØ0__33"/>
      <sheetName val="[SHOPLIST.xls]70,/0s«_iÆø_í¬_i3"/>
      <sheetName val="[SHOPLIST.xls]70?,/0?s«i?Æøí¬i3"/>
      <sheetName val="[SHOPLIST.xls]70,/0s«iÆøí¬i13"/>
      <sheetName val="[SHOPLIST.xls]/VW8"/>
      <sheetName val="[SHOPLIST.xls]/VWVU))tÏØ0__40"/>
      <sheetName val="[SHOPLIST.xls]/VWVU))tÏØ0__41"/>
      <sheetName val="[SHOPLIST.xls]/VWVU))tÏØ0__42"/>
      <sheetName val="[SHOPLIST.xls]/VWVU))tÏØ0__43"/>
      <sheetName val="[SHOPLIST.xls]/VWVU))tÏØ0__44"/>
      <sheetName val="[SHOPLIST.xls]70,/0s«_iÆø_í¬_i8"/>
      <sheetName val="[SHOPLIST.xls]70?,/0?s«i?Æøí¬i8"/>
      <sheetName val="[SHOPLIST.xls]70,/0s«iÆøí¬i10"/>
      <sheetName val="[SHOPLIST.xls]/VW5"/>
      <sheetName val="[SHOPLIST.xls]/VWVU))tÏØ0__25"/>
      <sheetName val="[SHOPLIST.xls]/VWVU))tÏØ0__35"/>
      <sheetName val="[SHOPLIST.xls]70,/0s«_iÆø_í¬_i5"/>
      <sheetName val="[SHOPLIST.xls]70?,/0?s«i?Æøí¬i5"/>
      <sheetName val="[SHOPLIST.xls]70,/0s«iÆøí¬i9"/>
      <sheetName val="[SHOPLIST.xls]/VW4"/>
      <sheetName val="[SHOPLIST.xls]/VWVU))tÏØ0__24"/>
      <sheetName val="[SHOPLIST.xls]/VWVU))tÏØ0__34"/>
      <sheetName val="[SHOPLIST.xls]70,/0s«_iÆø_í¬_i4"/>
      <sheetName val="[SHOPLIST.xls]70?,/0?s«i?Æøí¬i4"/>
      <sheetName val="[SHOPLIST.xls]70,/0s«iÆøí¬i12"/>
      <sheetName val="[SHOPLIST.xls]/VW7"/>
      <sheetName val="[SHOPLIST.xls]/VWVU))tÏØ0__29"/>
      <sheetName val="[SHOPLIST.xls]/VWVU))tÏØ0__30"/>
      <sheetName val="[SHOPLIST.xls]/VWVU))tÏØ0__37"/>
      <sheetName val="[SHOPLIST.xls]/VWVU))tÏØ0__38"/>
      <sheetName val="[SHOPLIST.xls]/VWVU))tÏØ0__39"/>
      <sheetName val="[SHOPLIST.xls]70,/0s«_iÆø_í¬_i7"/>
      <sheetName val="[SHOPLIST.xls]70?,/0?s«i?Æøí¬i7"/>
      <sheetName val="[SHOPLIST.xls]70,/0s«iÆøí¬i11"/>
      <sheetName val="[SHOPLIST.xls]/VW6"/>
      <sheetName val="[SHOPLIST.xls]/VWVU))tÏØ0__26"/>
      <sheetName val="[SHOPLIST.xls]/VWVU))tÏØ0__27"/>
      <sheetName val="[SHOPLIST.xls]/VWVU))tÏØ0__28"/>
      <sheetName val="[SHOPLIST.xls]/VWVU))tÏØ0__36"/>
      <sheetName val="[SHOPLIST.xls]70,/0s«_iÆø_í¬_i6"/>
      <sheetName val="[SHOPLIST.xls]70?,/0?s«i?Æøí¬i6"/>
      <sheetName val="[SHOPLIST.xls]70,/0s«iÆøí¬i14"/>
      <sheetName val="[SHOPLIST.xls]/VW9"/>
      <sheetName val="[SHOPLIST.xls]/VWVU))tÏØ0__45"/>
      <sheetName val="[SHOPLIST.xls]/VWVU))tÏØ0__46"/>
      <sheetName val="[SHOPLIST.xls]/VWVU))tÏØ0__47"/>
      <sheetName val="[SHOPLIST.xls]/VWVU))tÏØ0__48"/>
      <sheetName val="[SHOPLIST.xls]/VWVU))tÏØ0__49"/>
      <sheetName val="[SHOPLIST.xls]70,/0s«_iÆø_í¬_i9"/>
      <sheetName val="[SHOPLIST.xls]70?,/0?s«i?Æøí¬i9"/>
      <sheetName val="[SHOPLIST.xls]70,/0s«iÆøí¬i15"/>
      <sheetName val="[SHOPLIST.xls]/VW10"/>
      <sheetName val="[SHOPLIST.xls]/VWVU))tÏØ0__50"/>
      <sheetName val="[SHOPLIST.xls]/VWVU))tÏØ0__51"/>
      <sheetName val="[SHOPLIST.xls]/VWVU))tÏØ0__52"/>
      <sheetName val="[SHOPLIST.xls]/VWVU))tÏØ0__53"/>
      <sheetName val="[SHOPLIST.xls]/VWVU))tÏØ0__54"/>
      <sheetName val="[SHOPLIST.xls]70,/0s«_iÆø_í¬_10"/>
      <sheetName val="[SHOPLIST.xls]70?,/0?s«i?Æøí¬10"/>
      <sheetName val="HVAC"/>
      <sheetName val="HVAC-Qty"/>
      <sheetName val="RBD-AHU"/>
      <sheetName val="RBD ENG"/>
      <sheetName val="RBD-EX-RF-01"/>
      <sheetName val="RBD SLD.RLD"/>
      <sheetName val="RBD-VAV"/>
      <sheetName val="V.Summary"/>
      <sheetName val="Total PrC-Goldi"/>
      <sheetName val="วัดใต้"/>
      <sheetName val="B-2"/>
      <sheetName val="total"/>
      <sheetName val="Price List"/>
      <sheetName val="F-6 COVER"/>
      <sheetName val="10 Breakdown "/>
      <sheetName val="Exc Adj"/>
      <sheetName val="Bill 01"/>
      <sheetName val="Bill 02"/>
      <sheetName val="Bill 03"/>
      <sheetName val="Bill 04"/>
      <sheetName val="Bill 05"/>
      <sheetName val="Bill 06"/>
      <sheetName val="Bill 07"/>
      <sheetName val="Bill 08"/>
      <sheetName val="Bill 09"/>
      <sheetName val="Bill 10"/>
      <sheetName val="NBT Calculation"/>
      <sheetName val="VAT"/>
      <sheetName val="Main VO Summary"/>
      <sheetName val="VO Sum Non(New)"/>
      <sheetName val="VO-01"/>
      <sheetName val="VO-02"/>
      <sheetName val="VO-03"/>
      <sheetName val="VO-04"/>
      <sheetName val="VO-05"/>
      <sheetName val="VO-06"/>
      <sheetName val="VO-07."/>
      <sheetName val="VO-08 "/>
      <sheetName val="Fluctuations"/>
      <sheetName val="Total_PrC-Goldi"/>
      <sheetName val="Cost Factor Sheet"/>
      <sheetName val="Load Sch, Cable Sel &amp; Qty"/>
      <sheetName val="Factor Sheet"/>
      <sheetName val="Price Sheet"/>
      <sheetName val="基本ﾃﾞｰﾀ"/>
      <sheetName val="Schedules"/>
      <sheetName val="1A"/>
      <sheetName val="Room Type"/>
      <sheetName val="Basement2 DB"/>
      <sheetName val="inter"/>
      <sheetName val="1-Summary"/>
      <sheetName val="[SHOPLIST.xls]_SHOPLIST_xls_839"/>
      <sheetName val="[SHOPLIST.xls]_SHOPLIST_xls_840"/>
      <sheetName val="[SHOPLIST.xls]_SHOPLIST_xls_841"/>
      <sheetName val="[SHOPLIST.xls]_SHOPLIST_xls_842"/>
      <sheetName val="[SHOPLIST.xls]_SHOPLIST_xls_843"/>
      <sheetName val="[SHOPLIST.xls]_SHOPLIST_xls_844"/>
      <sheetName val="[SHOPLIST.xls]_SHOPLIST_xls_845"/>
      <sheetName val="[SHOPLIST.xls]_SHOPLIST_xls_846"/>
      <sheetName val="[SHOPLIST.xls]_SHOPLIST_xls_847"/>
      <sheetName val="[SHOPLIST.xls]_SHOPLIST_xls_848"/>
      <sheetName val="[SHOPLIST.xls]_SHOPLIST_xls_849"/>
      <sheetName val="[SHOPLIST.xls]_SHOPLIST_xls_850"/>
      <sheetName val="[SHOPLIST.xls]_SHOPLIST_xls_851"/>
      <sheetName val="[SHOPLIST.xls]_SHOPLIST_xls_852"/>
      <sheetName val="[SHOPLIST.xls]_SHOPLIST_xls_853"/>
      <sheetName val="[SHOPLIST.xls]_SHOPLIST_xls_854"/>
      <sheetName val="[SHOPLIST.xls]_SHOPLIST_xls_855"/>
      <sheetName val="[SHOPLIST.xls]_SHOPLIST_xls_856"/>
      <sheetName val="[SHOPLIST.xls]_SHOPLIST_xls_857"/>
      <sheetName val="[SHOPLIST.xls]_SHOPLIST_xls_858"/>
      <sheetName val="[SHOPLIST.xls]_SHOPLIST_xls_859"/>
      <sheetName val="[SHOPLIST.xls]_SHOPLIST_xls_860"/>
      <sheetName val="[SHOPLIST.xls]_SHOPLIST_xls_861"/>
      <sheetName val="[SHOPLIST.xls]_SHOPLIST_xls_862"/>
      <sheetName val="[SHOPLIST.xls]_SHOPLIST_xls_863"/>
      <sheetName val="[SHOPLIST.xls]_SHOPLIST_xls_864"/>
      <sheetName val="[SHOPLIST.xls]_SHOPLIST_xls_865"/>
      <sheetName val="[SHOPLIST.xls]_SHOPLIST_xls_866"/>
      <sheetName val="[SHOPLIST.xls]_SHOPLIST_xls_867"/>
      <sheetName val="[SHOPLIST.xls]_SHOPLIST_xls_868"/>
      <sheetName val="[SHOPLIST.xls]_SHOPLIST_xls_869"/>
      <sheetName val="[SHOPLIST.xls]_SHOPLIST_xls_870"/>
      <sheetName val="[SHOPLIST.xls]_SHOPLIST_xls_871"/>
      <sheetName val="[SHOPLIST.xls]_SHOPLIST_xls_872"/>
      <sheetName val="[SHOPLIST.xls]_SHOPLIST_xls_873"/>
      <sheetName val="[SHOPLIST.xls]_SHOPLIST_xls_874"/>
      <sheetName val="[SHOPLIST.xls]_SHOPLIST_xls_875"/>
      <sheetName val="[SHOPLIST.xls]_SHOPLIST_xls_876"/>
      <sheetName val="[SHOPLIST.xls]_SHOPLIST_xls_877"/>
      <sheetName val="[SHOPLIST.xls]_SHOPLIST_xls_878"/>
      <sheetName val="[SHOPLIST.xls]_SHOPLIST_xls_879"/>
      <sheetName val="[SHOPLIST.xls]_SHOPLIST_xls_880"/>
      <sheetName val="[SHOPLIST.xls]_SHOPLIST_xls_881"/>
      <sheetName val="[SHOPLIST.xls]_SHOPLIST_xls_882"/>
      <sheetName val="[SHOPLIST.xls]_SHOPLIST_xls_883"/>
      <sheetName val="[SHOPLIST.xls]_SHOPLIST_xls_884"/>
      <sheetName val="[SHOPLIST.xls]_SHOPLIST_xls_885"/>
      <sheetName val="[SHOPLIST.xls]_SHOPLIST_xls_886"/>
      <sheetName val="[SHOPLIST.xls]_SHOPLIST_xls_887"/>
      <sheetName val="[SHOPLIST.xls]_SHOPLIST_xls_888"/>
      <sheetName val="[SHOPLIST.xls]_SHOPLIST_xls_889"/>
      <sheetName val="[SHOPLIST.xls]_SHOPLIST_xls_890"/>
      <sheetName val="[SHOPLIST.xls]_SHOPLIST_xls_891"/>
      <sheetName val="[SHOPLIST.xls]_SHOPLIST_xls_892"/>
      <sheetName val="[SHOPLIST.xls]_SHOPLIST_xls_893"/>
      <sheetName val="[SHOPLIST.xls]_SHOPLIST_xls_894"/>
      <sheetName val="[SHOPLIST.xls]_SHOPLIST_xls_895"/>
      <sheetName val="[SHOPLIST.xls]_SHOPLIST_xls_896"/>
      <sheetName val="[SHOPLIST.xls]_SHOPLIST_xls_897"/>
      <sheetName val="[SHOPLIST.xls]_SHOPLIST_xls_898"/>
      <sheetName val="[SHOPLIST.xls]_SHOPLIST_xls_899"/>
      <sheetName val="[SHOPLIST.xls]_SHOPLIST_xls_900"/>
      <sheetName val="[SHOPLIST.xls]_SHOPLIST_xls_901"/>
      <sheetName val="[SHOPLIST.xls]_SHOPLIST_xls_902"/>
      <sheetName val="[SHOPLIST.xls]_SHOPLIST_xls_903"/>
      <sheetName val="[SHOPLIST.xls]_SHOPLIST_xls_904"/>
      <sheetName val="[SHOPLIST.xls]_SHOPLIST_xls_905"/>
      <sheetName val="[SHOPLIST.xls]_SHOPLIST_xls_906"/>
      <sheetName val="[SHOPLIST.xls]_SHOPLIST_xls_907"/>
      <sheetName val="[SHOPLIST.xls]_SHOPLIST_xls_908"/>
      <sheetName val="[SHOPLIST.xls]_SHOPLIST_xls_909"/>
      <sheetName val="[SHOPLIST.xls]_SHOPLIST_xls_910"/>
      <sheetName val="[SHOPLIST.xls]_SHOPLIST_xls_911"/>
      <sheetName val="[SHOPLIST.xls]_SHOPLIST_xls_912"/>
      <sheetName val="[SHOPLIST.xls]_SHOPLIST_xls_913"/>
      <sheetName val="[SHOPLIST.xls]_SHOPLIST_xls_914"/>
      <sheetName val="[SHOPLIST.xls]_SHOPLIST_xls_915"/>
      <sheetName val="[SHOPLIST.xls]_SHOPLIST_xls_916"/>
      <sheetName val="[SHOPLIST.xls]_SHOPLIST_xls_917"/>
      <sheetName val="[SHOPLIST.xls]_SHOPLIST_xls_918"/>
      <sheetName val="[SHOPLIST.xls]_SHOPLIST_xls_919"/>
      <sheetName val="[SHOPLIST.xls]_SHOPLIST_xls_920"/>
      <sheetName val="[SHOPLIST.xls]_SHOPLIST_xls_921"/>
      <sheetName val="[SHOPLIST.xls]_SHOPLIST_xls_922"/>
      <sheetName val="[SHOPLIST.xls]_SHOPLIST_xls_923"/>
      <sheetName val="[SHOPLIST.xls]_SHOPLIST_xls_924"/>
      <sheetName val="[SHOPLIST.xls]_SHOPLIST_xls_925"/>
      <sheetName val="[SHOPLIST.xls]_SHOPLIST_xls_926"/>
      <sheetName val="[SHOPLIST.xls]_SHOPLIST_xls_927"/>
      <sheetName val="[SHOPLIST.xls]_SHOPLIST_xls_928"/>
      <sheetName val="[SHOPLIST.xls]_SHOPLIST_xls_929"/>
      <sheetName val="[SHOPLIST.xls]_SHOPLIST_xls_930"/>
      <sheetName val="[SHOPLIST.xls]_SHOPLIST_xls_931"/>
      <sheetName val="[SHOPLIST.xls]_SHOPLIST_xls_932"/>
      <sheetName val="[SHOPLIST.xls]_SHOPLIST_xls_933"/>
      <sheetName val="[SHOPLIST.xls]_SHOPLIST_xl_1048"/>
      <sheetName val="[SHOPLIST.xls]_SHOPLIST_xl_1049"/>
      <sheetName val="[SHOPLIST.xls]_SHOPLIST_xl_1050"/>
      <sheetName val="[SHOPLIST.xls]_SHOPLIST_xl_1051"/>
      <sheetName val="[SHOPLIST.xls]_SHOPLIST_xl_1052"/>
      <sheetName val="[SHOPLIST.xls]_SHOPLIST_xl_1053"/>
      <sheetName val="[SHOPLIST.xls]70___0_s__i____26"/>
      <sheetName val="[SHOPLIST.xls]_SHOPLIST_xls_934"/>
      <sheetName val="[SHOPLIST.xls]_SHOPLIST_xl_1054"/>
      <sheetName val="[SHOPLIST.xls]_SHOPLIST_xl_1055"/>
      <sheetName val="[SHOPLIST.xls]_SHOPLIST_xl_1056"/>
      <sheetName val="[SHOPLIST.xls]_SHOPLIST_xls_935"/>
      <sheetName val="[SHOPLIST.xls]_SHOPLIST_xls_936"/>
      <sheetName val="[SHOPLIST.xls]_SHOPLIST_xls_937"/>
      <sheetName val="[SHOPLIST.xls]_SHOPLIST_xls_938"/>
      <sheetName val="[SHOPLIST.xls]_SHOPLIST_xl_1057"/>
      <sheetName val="[SHOPLIST.xls]_SHOPLIST_xls_939"/>
      <sheetName val="[SHOPLIST.xls]_SHOPLIST_xls_940"/>
      <sheetName val="[SHOPLIST.xls]_SHOPLIST_xl_1058"/>
      <sheetName val="[SHOPLIST.xls]_SHOPLIST_xls_941"/>
      <sheetName val="[SHOPLIST.xls]_SHOPLIST_xl_1059"/>
      <sheetName val="[SHOPLIST.xls]_SHOPLIST_xls_942"/>
      <sheetName val="[SHOPLIST.xls]_SHOPLIST_xl_1060"/>
      <sheetName val="[SHOPLIST.xls]_SHOPLIST_xl_1061"/>
      <sheetName val="[SHOPLIST.xls]_SHOPLIST_xls_943"/>
      <sheetName val="[SHOPLIST.xls]_SHOPLIST_xls_944"/>
      <sheetName val="[SHOPLIST.xls]_SHOPLIST_xls_945"/>
      <sheetName val="[SHOPLIST.xls]_SHOPLIST_xls_946"/>
      <sheetName val="[SHOPLIST.xls]_SHOPLIST_xls_947"/>
      <sheetName val="[SHOPLIST.xls]_SHOPLIST_xls_948"/>
      <sheetName val="[SHOPLIST.xls]_SHOPLIST_xls_949"/>
      <sheetName val="[SHOPLIST.xls]_SHOPLIST_xls_950"/>
      <sheetName val="[SHOPLIST.xls]_SHOPLIST_xls_951"/>
      <sheetName val="[SHOPLIST.xls]_SHOPLIST_xls_952"/>
      <sheetName val="[SHOPLIST.xls]_SHOPLIST_xl_1062"/>
      <sheetName val="[SHOPLIST.xls]_SHOPLIST_xls_953"/>
      <sheetName val="[SHOPLIST.xls]_SHOPLIST_xl_1063"/>
      <sheetName val="[SHOPLIST.xls]_SHOPLIST_xl_1064"/>
      <sheetName val="[SHOPLIST.xls]_SHOPLIST_xls_954"/>
      <sheetName val="[SHOPLIST.xls]_SHOPLIST_xls_955"/>
      <sheetName val="[SHOPLIST.xls]_SHOPLIST_xls_956"/>
      <sheetName val="[SHOPLIST.xls]_SHOPLIST_xls_957"/>
      <sheetName val="[SHOPLIST.xls]_SHOPLIST_xls_958"/>
      <sheetName val="[SHOPLIST.xls]_SHOPLIST_xls_959"/>
      <sheetName val="[SHOPLIST.xls]_SHOPLIST_xls_960"/>
      <sheetName val="[SHOPLIST.xls]_SHOPLIST_xls_961"/>
      <sheetName val="[SHOPLIST.xls]_SHOPLIST_xls_962"/>
      <sheetName val="[SHOPLIST.xls]_SHOPLIST_xls_963"/>
      <sheetName val="[SHOPLIST.xls]_SHOPLIST_xls_964"/>
      <sheetName val="[SHOPLIST.xls]_SHOPLIST_xl_1065"/>
      <sheetName val="[SHOPLIST.xls]_SHOPLIST_xl_1066"/>
      <sheetName val="[SHOPLIST.xls]_SHOPLIST_xls_965"/>
      <sheetName val="[SHOPLIST.xls]_SHOPLIST_xls_966"/>
      <sheetName val="[SHOPLIST.xls]_SHOPLIST_xls_967"/>
      <sheetName val="[SHOPLIST.xls]_SHOPLIST_xls_968"/>
      <sheetName val="[SHOPLIST.xls]_SHOPLIST_xls_969"/>
      <sheetName val="[SHOPLIST.xls]_SHOPLIST_xls_970"/>
      <sheetName val="[SHOPLIST.xls]_SHOPLIST_xls_971"/>
      <sheetName val="[SHOPLIST.xls]_SHOPLIST_xls_972"/>
      <sheetName val="[SHOPLIST.xls]_SHOPLIST_xls_973"/>
      <sheetName val="[SHOPLIST.xls]_SHOPLIST_xls_974"/>
      <sheetName val="[SHOPLIST.xls]_SHOPLIST_xls_975"/>
      <sheetName val="[SHOPLIST.xls]_SHOPLIST_xls_976"/>
      <sheetName val="[SHOPLIST.xls]_SHOPLIST_xls_977"/>
      <sheetName val="[SHOPLIST.xls]_SHOPLIST_xl_1067"/>
      <sheetName val="[SHOPLIST.xls]_SHOPLIST_xls_978"/>
      <sheetName val="[SHOPLIST.xls]_SHOPLIST_xl_1068"/>
      <sheetName val="[SHOPLIST.xls]_SHOPLIST_xl_1069"/>
      <sheetName val="[SHOPLIST.xls]_SHOPLIST_xl_1070"/>
      <sheetName val="[SHOPLIST.xls]_SHOPLIST_xl_1071"/>
      <sheetName val="[SHOPLIST.xls]_SHOPLIST_xls_979"/>
      <sheetName val="[SHOPLIST.xls]_SHOPLIST_xl_1072"/>
      <sheetName val="[SHOPLIST.xls]_SHOPLIST_xls_980"/>
      <sheetName val="[SHOPLIST.xls]_SHOPLIST_xls_981"/>
      <sheetName val="[SHOPLIST.xls]_SHOPLIST_xls_982"/>
      <sheetName val="[SHOPLIST.xls]_SHOPLIST_xls_983"/>
      <sheetName val="[SHOPLIST.xls]_SHOPLIST_xls_984"/>
      <sheetName val="[SHOPLIST.xls]_SHOPLIST_xls_985"/>
      <sheetName val="[SHOPLIST.xls]_SHOPLIST_xls_986"/>
      <sheetName val="[SHOPLIST.xls]_SHOPLIST_xl_1073"/>
      <sheetName val="[SHOPLIST.xls]_SHOPLIST_xl_1074"/>
      <sheetName val="[SHOPLIST.xls]_SHOPLIST_xls_987"/>
      <sheetName val="[SHOPLIST.xls]_SHOPLIST_xls_988"/>
      <sheetName val="[SHOPLIST.xls]_SHOPLIST_xls_989"/>
      <sheetName val="[SHOPLIST.xls]_SHOPLIST_xls_990"/>
      <sheetName val="[SHOPLIST.xls]_SHOPLIST_xls_991"/>
      <sheetName val="[SHOPLIST.xls]_SHOPLIST_xls_992"/>
      <sheetName val="[SHOPLIST.xls]_SHOPLIST_xls_993"/>
      <sheetName val="[SHOPLIST.xls]_SHOPLIST_xls_994"/>
      <sheetName val="[SHOPLIST.xls]_SHOPLIST_xls_995"/>
      <sheetName val="[SHOPLIST.xls]_SHOPLIST_xl_1075"/>
      <sheetName val="[SHOPLIST.xls]_SHOPLIST_xls_996"/>
      <sheetName val="[SHOPLIST.xls]_SHOPLIST_xls_997"/>
      <sheetName val="[SHOPLIST.xls]_SHOPLIST_xls_998"/>
      <sheetName val="[SHOPLIST.xls]_SHOPLIST_xls_999"/>
      <sheetName val="[SHOPLIST.xls]_SHOPLIST_xl_1000"/>
      <sheetName val="[SHOPLIST.xls]_SHOPLIST_xl_1001"/>
      <sheetName val="[SHOPLIST.xls]_SHOPLIST_xl_1002"/>
      <sheetName val="[SHOPLIST.xls]_SHOPLIST_xl_1076"/>
      <sheetName val="[SHOPLIST.xls]_SHOPLIST_xl_1003"/>
      <sheetName val="[SHOPLIST.xls]_SHOPLIST_xl_1004"/>
      <sheetName val="[SHOPLIST.xls]_SHOPLIST_xl_1005"/>
      <sheetName val="[SHOPLIST.xls]_SHOPLIST_xl_1006"/>
      <sheetName val="[SHOPLIST.xls]_SHOPLIST_xl_1007"/>
      <sheetName val="[SHOPLIST.xls]_SHOPLIST_xl_1008"/>
      <sheetName val="[SHOPLIST.xls]_SHOPLIST_xl_1009"/>
      <sheetName val="[SHOPLIST.xls]_SHOPLIST_xl_1010"/>
      <sheetName val="[SHOPLIST.xls]_SHOPLIST_xl_1011"/>
      <sheetName val="[SHOPLIST.xls]_SHOPLIST_xl_1012"/>
      <sheetName val="[SHOPLIST.xls]_SHOPLIST_xl_1013"/>
      <sheetName val="[SHOPLIST.xls]_SHOPLIST_xl_1014"/>
      <sheetName val="[SHOPLIST.xls]_SHOPLIST_xl_1015"/>
      <sheetName val="[SHOPLIST.xls]_SHOPLIST_xl_1016"/>
      <sheetName val="[SHOPLIST.xls]_SHOPLIST_xl_1017"/>
      <sheetName val="[SHOPLIST.xls]_SHOPLIST_xl_1018"/>
      <sheetName val="[SHOPLIST.xls]_SHOPLIST_xl_1019"/>
      <sheetName val="[SHOPLIST.xls]_SHOPLIST_xl_1020"/>
      <sheetName val="[SHOPLIST.xls]_SHOPLIST_xl_1077"/>
      <sheetName val="[SHOPLIST.xls]_SHOPLIST_xl_1021"/>
      <sheetName val="[SHOPLIST.xls]_SHOPLIST_xl_1022"/>
      <sheetName val="[SHOPLIST.xls]_SHOPLIST_xl_1023"/>
      <sheetName val="[SHOPLIST.xls]_SHOPLIST_xl_1024"/>
      <sheetName val="[SHOPLIST.xls]_SHOPLIST_xl_1025"/>
      <sheetName val="[SHOPLIST.xls]_SHOPLIST_xl_1026"/>
      <sheetName val="[SHOPLIST.xls]_SHOPLIST_xl_1027"/>
      <sheetName val="[SHOPLIST.xls]_SHOPLIST_xl_1028"/>
      <sheetName val="[SHOPLIST.xls]_SHOPLIST_xl_1029"/>
      <sheetName val="[SHOPLIST.xls]_SHOPLIST_xl_1078"/>
      <sheetName val="[SHOPLIST.xls]_SHOPLIST_xl_1030"/>
      <sheetName val="[SHOPLIST.xls]_SHOPLIST_xl_1031"/>
      <sheetName val="[SHOPLIST.xls]_SHOPLIST_xl_1032"/>
      <sheetName val="[SHOPLIST.xls]_SHOPLIST_xl_1033"/>
      <sheetName val="[SHOPLIST.xls]_SHOPLIST_xl_1034"/>
      <sheetName val="[SHOPLIST.xls]_SHOPLIST_xl_1035"/>
      <sheetName val="[SHOPLIST.xls]_SHOPLIST_xl_1036"/>
      <sheetName val="[SHOPLIST.xls]_SHOPLIST_xl_1037"/>
      <sheetName val="[SHOPLIST.xls]_SHOPLIST_xl_1038"/>
      <sheetName val="[SHOPLIST.xls]_SHOPLIST_xl_1079"/>
      <sheetName val="[SHOPLIST.xls]_SHOPLIST_xl_1039"/>
      <sheetName val="[SHOPLIST.xls]_SHOPLIST_xl_1040"/>
      <sheetName val="[SHOPLIST.xls]_SHOPLIST_xl_1041"/>
      <sheetName val="[SHOPLIST.xls]_SHOPLIST_xl_1042"/>
      <sheetName val="[SHOPLIST.xls]_SHOPLIST_xl_1043"/>
      <sheetName val="[SHOPLIST.xls]_SHOPLIST_xl_1044"/>
      <sheetName val="[SHOPLIST.xls]_SHOPLIST_xl_1045"/>
      <sheetName val="[SHOPLIST.xls]70_x005f_x005f_x005f_x0000__8"/>
      <sheetName val="[SHOPLIST.xls]_SHOPLIST_xl_1046"/>
      <sheetName val="[SHOPLIST.xls]_SHOPLIST_xl_1047"/>
      <sheetName val="[SHOPLIST.xls]70___0_s__i____27"/>
      <sheetName val="Лист1"/>
      <sheetName val="Исх"/>
      <sheetName val="Класс"/>
      <sheetName val="В2В"/>
      <sheetName val="Инсп"/>
      <sheetName val="Грайв"/>
      <sheetName val="ГвГ"/>
      <sheetName val="ИК_В2В"/>
      <sheetName val="УК_Город"/>
      <sheetName val="Свод (Бюджет)"/>
      <sheetName val="Name"/>
      <sheetName val="Свод (понедельно)"/>
      <sheetName val="Статьи расходов"/>
      <sheetName val="НСИ"/>
      <sheetName val="Fiyatlar"/>
      <sheetName val="50"/>
      <sheetName val="AN"/>
      <sheetName val="Beach Villas"/>
      <sheetName val="Overwater Villas"/>
      <sheetName val="Presidential Villa"/>
      <sheetName val="Démol_"/>
      <sheetName val="_SUMMARY"/>
      <sheetName val="PREAMBLES_"/>
      <sheetName val="GENERAL_REQUIREMENT"/>
      <sheetName val="B-_SITE_WORK"/>
      <sheetName val="C__CONCRETE_WORKS_"/>
      <sheetName val="D-_MASONRY"/>
      <sheetName val="E__METAL_WORK"/>
      <sheetName val="F__WOOD_WORK_"/>
      <sheetName val="G__THERMAL_&amp;MP"/>
      <sheetName val="H__DOORS___WINDOWS"/>
      <sheetName val="J__FINISHES"/>
      <sheetName val="K_ACCESSO"/>
      <sheetName val="P_CONVEYING_SYSTEM"/>
      <sheetName val="Q_MECHANICAL"/>
      <sheetName val="R_ELECTRICAL"/>
      <sheetName val="S_External_Works"/>
      <sheetName val="T_Provisional_Sum"/>
      <sheetName val="T__MEP_Works"/>
      <sheetName val="U-DAY_WORKS_SCHEDULE"/>
      <sheetName val="Struct__Members"/>
      <sheetName val="GRAPH_DATA"/>
      <sheetName val=" N Finansal Eğri"/>
      <sheetName val="MSH51C"/>
      <sheetName val="hiddenSheet"/>
      <sheetName val="726"/>
      <sheetName val="70,/0s«iÆøí¬i16"/>
      <sheetName val="7011"/>
      <sheetName val="70,11"/>
      <sheetName val="/VW11"/>
      <sheetName val="/VWVU))tÏØ0__55"/>
      <sheetName val="/VWVU))tÏØ0__56"/>
      <sheetName val="[11"/>
      <sheetName val="727"/>
      <sheetName val="/VWVU))tÏØ0__57"/>
      <sheetName val="/VWVU))tÏØ0__58"/>
      <sheetName val="/VWVU))tÏØ0__59"/>
      <sheetName val="70,/0s«_iÆø_í¬_11"/>
      <sheetName val="70?,/0?s«i?Æøí¬11"/>
      <sheetName val="/VWVU))tÏØ0__60"/>
      <sheetName val="728"/>
      <sheetName val="/VWVU))tÏØ0__62"/>
      <sheetName val="/VWVU))tÏØ0__63"/>
      <sheetName val="/VWVU))tÏØ0__81"/>
      <sheetName val="/VWVU))tÏØ0__91"/>
      <sheetName val="70_1"/>
      <sheetName val="70___0_s__i_____2"/>
      <sheetName val="_VW__VU_________2"/>
      <sheetName val="_VW__VU_________3"/>
      <sheetName val="[SHOPLIST_xls]726"/>
      <sheetName val="[SHOPLIST_xls][11"/>
      <sheetName val="[SHOPLIST_xls]727"/>
      <sheetName val="[SHOPLIST_xls]728"/>
      <sheetName val="Detail_Page1"/>
      <sheetName val="Non-Positioin Summary"/>
      <sheetName val="Mnhr Book Updated 11.10.2018"/>
      <sheetName val="プロジェクト概要"/>
      <sheetName val="foot-slab_rein"/>
      <sheetName val="STOCKWTG"/>
      <sheetName val="POLY"/>
      <sheetName val="Advance Recovery"/>
      <sheetName val="SC Cost FEB 03"/>
      <sheetName val="ملخص_المشاريع1"/>
      <sheetName val="عقود_المقاولين1"/>
      <sheetName val="اوامر_الشراء1"/>
      <sheetName val="الحركة_اليومية1"/>
      <sheetName val="محمد_عساف1"/>
      <sheetName val="كشف_الايرادات_والضرائب1"/>
      <sheetName val="حساب_البنك1"/>
      <sheetName val="كشف_الرواتب1"/>
      <sheetName val="SAF_-_عهد_-_سلامي_ابو_فخر1"/>
      <sheetName val="THA_-_عهد_-_ثابت_احمد1"/>
      <sheetName val="AAH_-_عهد_-_انس_هبو1"/>
      <sheetName val="YSA_-_عهد_-_ياسر_السبع1"/>
      <sheetName val="MKJ_-_عهد_-_محمود_قجك1"/>
      <sheetName val="MSH_-_عهد_-_محمد_الشامي1"/>
      <sheetName val="ALW_-_عهد_-_علوان_علي1"/>
      <sheetName val="AHA_-_عهد_-_احمد_الحاج1"/>
      <sheetName val="MOR_-_عهد_-_مرجان_عبدالهادي1"/>
      <sheetName val="MHA_-_عهد_-_محمد_حسون_العلي1"/>
      <sheetName val="MF_-_مكتب_رئيسي1"/>
      <sheetName val="CO_-_مقاولين_-_عقود_(2)1"/>
      <sheetName val="BUR_-_موردين_-_شركة_البروج_1"/>
      <sheetName val="CAP_-_موردين_-_عاصمة_الكهرباء1"/>
      <sheetName val="PO_-_موردين_-_اوامر_شراء1"/>
      <sheetName val="CO_-_مقاولين_-_عقود1"/>
      <sheetName val="Démol_1"/>
      <sheetName val="_SUMMARY1"/>
      <sheetName val="PREAMBLES_1"/>
      <sheetName val="GENERAL_REQUIREMENT1"/>
      <sheetName val="B-_SITE_WORK1"/>
      <sheetName val="C__CONCRETE_WORKS_1"/>
      <sheetName val="D-_MASONRY1"/>
      <sheetName val="E__METAL_WORK1"/>
      <sheetName val="F__WOOD_WORK_1"/>
      <sheetName val="G__THERMAL_&amp;MP1"/>
      <sheetName val="H__DOORS___WINDOWS1"/>
      <sheetName val="J__FINISHES1"/>
      <sheetName val="K_ACCESSO1"/>
      <sheetName val="P_CONVEYING_SYSTEM1"/>
      <sheetName val="Q_MECHANICAL1"/>
      <sheetName val="R_ELECTRICAL1"/>
      <sheetName val="S_External_Works1"/>
      <sheetName val="T_Provisional_Sum1"/>
      <sheetName val="T__MEP_Works1"/>
      <sheetName val="U-DAY_WORKS_SCHEDULE1"/>
      <sheetName val="Struct__Members1"/>
      <sheetName val="_VWVU))tÏØ0__20"/>
      <sheetName val="_SHOPLIST_xls_70,_0s«iÆøí¬i16"/>
      <sheetName val="[SHOPLIST_xls]/VWVU))tÏØ0_108"/>
      <sheetName val="[SHOPLIST_xls]/VWVU))tÏØ0_109"/>
      <sheetName val="_SHOPLIST_xls__SHOPLIST_xls_726"/>
      <sheetName val="_SHOPLIST_xls__SHOPLIST_xls_727"/>
      <sheetName val="개시대사_(2)2"/>
      <sheetName val="Ref_Arch2"/>
      <sheetName val="Div_Summary2"/>
      <sheetName val="___________16"/>
      <sheetName val="_SHOPLIST_xls_70,11"/>
      <sheetName val="_SHOPLIST_xls__VW11"/>
      <sheetName val="_SHOPLIST_xls__VWVU))tÏØ0__55"/>
      <sheetName val="_SHOPLIST_xls__VWVU))tÏØ0__56"/>
      <sheetName val="_SHOPLIST_xls__SHOPLIST_xls__11"/>
      <sheetName val="_SHOPLIST_xls__VWVU))tÏØ0__57"/>
      <sheetName val="_SHOPLIST_xls__VWVU))tÏØ0__58"/>
      <sheetName val="_SHOPLIST_xls__VWVU))tÏØ0__59"/>
      <sheetName val="_SHOPLIST_xls_70,_0s«_iÆø_í¬_11"/>
      <sheetName val="_SHOPLIST_xls_70_,_0_s«i_Æøí¬11"/>
      <sheetName val="_SHOPLIST_xls__VWVU))tÏØ0__60"/>
      <sheetName val="_SUMMARY2"/>
      <sheetName val="PREAMBLES_2"/>
      <sheetName val="GENERAL_REQUIREMENT2"/>
      <sheetName val="B-_SITE_WORK2"/>
      <sheetName val="C__CONCRETE_WORKS_2"/>
      <sheetName val="D-_MASONRY2"/>
      <sheetName val="E__METAL_WORK2"/>
      <sheetName val="F__WOOD_WORK_2"/>
      <sheetName val="G__THERMAL_&amp;MP2"/>
      <sheetName val="H__DOORS___WINDOWS2"/>
      <sheetName val="J__FINISHES2"/>
      <sheetName val="K_ACCESSO2"/>
      <sheetName val="P_CONVEYING_SYSTEM2"/>
      <sheetName val="Q_MECHANICAL2"/>
      <sheetName val="R_ELECTRICAL2"/>
      <sheetName val="S_External_Works2"/>
      <sheetName val="T_Provisional_Sum2"/>
      <sheetName val="T__MEP_Works2"/>
      <sheetName val="U-DAY_WORKS_SCHEDULE2"/>
      <sheetName val="Struct__Members2"/>
      <sheetName val="_SHOPLIST_xls__SHOPLIST_xls_728"/>
      <sheetName val="ملخص_المشاريع2"/>
      <sheetName val="عقود_المقاولين2"/>
      <sheetName val="اوامر_الشراء2"/>
      <sheetName val="الحركة_اليومية2"/>
      <sheetName val="محمد_عساف2"/>
      <sheetName val="كشف_الايرادات_والضرائب2"/>
      <sheetName val="حساب_البنك2"/>
      <sheetName val="كشف_الرواتب2"/>
      <sheetName val="SAF_-_عهد_-_سلامي_ابو_فخر2"/>
      <sheetName val="THA_-_عهد_-_ثابت_احمد2"/>
      <sheetName val="AAH_-_عهد_-_انس_هبو2"/>
      <sheetName val="YSA_-_عهد_-_ياسر_السبع2"/>
      <sheetName val="MKJ_-_عهد_-_محمود_قجك2"/>
      <sheetName val="MSH_-_عهد_-_محمد_الشامي2"/>
      <sheetName val="ALW_-_عهد_-_علوان_علي2"/>
      <sheetName val="AHA_-_عهد_-_احمد_الحاج2"/>
      <sheetName val="MOR_-_عهد_-_مرجان_عبدالهادي2"/>
      <sheetName val="MHA_-_عهد_-_محمد_حسون_العلي2"/>
      <sheetName val="MF_-_مكتب_رئيسي2"/>
      <sheetName val="CO_-_مقاولين_-_عقود_(2)2"/>
      <sheetName val="BUR_-_موردين_-_شركة_البروج_2"/>
      <sheetName val="CAP_-_موردين_-_عاصمة_الكهرباء2"/>
      <sheetName val="PO_-_موردين_-_اوامر_شراء2"/>
      <sheetName val="CO_-_مقاولين_-_عقود2"/>
      <sheetName val="[SHOPLIST_xls]/VWVU))tÏØ0_110"/>
      <sheetName val="[SHOPLIST_xls]/VWVU))tÏØ0_111"/>
      <sheetName val="[SHOPLIST_xls]/VWVU))tÏØ0_112"/>
      <sheetName val="[SHOPLIST_xls]/VWVU))tÏØ0_113"/>
      <sheetName val="Other_Cost_Norms2"/>
      <sheetName val="Div_10-Specialities_2"/>
      <sheetName val="MALE_&amp;_FEMALE_2"/>
      <sheetName val="6_2_Floor_Finishes2"/>
      <sheetName val="BUAs_and_Sales_Forecast2"/>
      <sheetName val="Lagoons_Breakdown_Prices2"/>
      <sheetName val="Cover_HW_Z2_2"/>
      <sheetName val="TOTAL_WORK2"/>
      <sheetName val="part_32"/>
      <sheetName val="pile_Length_for_Easter_fence2"/>
      <sheetName val="_Estimate__2"/>
      <sheetName val="Equip_2"/>
      <sheetName val="Data_2"/>
      <sheetName val="[SHOPLIST_xls]/VWVU))tÏØ0_114"/>
      <sheetName val="Démol_2"/>
      <sheetName val="WATER_DUCT_-_IC_212"/>
      <sheetName val="Asset_Desc2"/>
      <sheetName val="[SHOPLIST_xls]70,/0s«i_x2"/>
      <sheetName val="Account_Codes2"/>
      <sheetName val="[SHOPLIST_xls]/VWVU))tÏØ0_115"/>
      <sheetName val="[SHOPLIST_xls]/VWVU))tÏØ0_116"/>
      <sheetName val="[SHOPLIST_xls]/VWVU))tÏØ0_117"/>
      <sheetName val="[SHOPLIST_xls]/VWVU))tÏØ0_118"/>
      <sheetName val="[SHOPLIST_xls]/VWVU))tÏØ0_119"/>
      <sheetName val="[SHOPLIST_xls]/VWVU))tÏØ0_120"/>
      <sheetName val="[SHOPLIST_xls]/VWVU))tÏØ0_121"/>
      <sheetName val="[SHOPLIST_xls]/VWVU))tÏØ0_122"/>
      <sheetName val="[SHOPLIST_xls][SHOPLIST_xls]7_2"/>
      <sheetName val="[SHOPLIST_xls][SHOPLIST_xls]__2"/>
      <sheetName val="[SHOPLIST_xls][SHOPLIST_xls]__3"/>
      <sheetName val="[SHOPLIST_xls][SHOPLIST_xls]__4"/>
      <sheetName val="[SHOPLIST_xls][SHOPLIST_xls]__5"/>
      <sheetName val="[SHOPLIST_xls][SHOPLIST_xls]__6"/>
      <sheetName val="[SHOPLIST_xls][SHOPLIST_xls]__7"/>
      <sheetName val="[SHOPLIST_xls][SHOPLIST_xls]7_3"/>
      <sheetName val="[SHOPLIST_xls][SHOPLIST_xls]7_4"/>
      <sheetName val="[SHOPLIST_xls][SHOPLIST_xls]__8"/>
      <sheetName val="[SHOPLIST_xls][SHOPLIST_xls]__9"/>
      <sheetName val="[SHOPLIST_xls][SHOPLIST_xls]_10"/>
      <sheetName val="[SHOPLIST_xls][SHOPLIST_xls]7_5"/>
      <sheetName val="[SHOPLIST_xls][SHOPLIST_xls]_11"/>
      <sheetName val="[SHOPLIST_xls][SHOPLIST_xls]_12"/>
      <sheetName val="[SHOPLIST_xls][SHOPLIST_xls]7_6"/>
      <sheetName val="[SHOPLIST_xls][SHOPLIST_xls]_13"/>
      <sheetName val="[SHOPLIST_xls][SHOPLIST_xls]7_7"/>
      <sheetName val="[SHOPLIST_xls][SHOPLIST_xls]_14"/>
      <sheetName val="[SHOPLIST_xls][SHOPLIST_xls]_15"/>
      <sheetName val="_SHOPLIST_xls__VWVU))tÏØ0__62"/>
      <sheetName val="_SHOPLIST_xls__VWVU))tÏØ0__63"/>
      <sheetName val="_SHOPLIST_xls__VWVU))tÏØ0__72"/>
      <sheetName val="_SHOPLIST_xls__SHOPLIST_xls__VW"/>
      <sheetName val="_SHOPLIST_xls__VWVU))tÏØ0__81"/>
      <sheetName val="_SHOPLIST_xls__VWVU))tÏØ0__91"/>
      <sheetName val="8_0_Programme"/>
      <sheetName val="_VWVU))tÏØ0__21"/>
      <sheetName val="_SHOPLIST_xls_70,_0s«iÆøí¬i17"/>
      <sheetName val="[SHOPLIST_xls]/VWVU))tÏØ0_123"/>
      <sheetName val="[SHOPLIST_xls]/VWVU))tÏØ0_124"/>
      <sheetName val="[SHOPLIST_xls]/VWVU))tÏØ0_125"/>
      <sheetName val="[SHOPLIST_xls]/VWVU))tÏØ0_126"/>
      <sheetName val="[SHOPLIST_xls]/VWVU))tÏØ0_127"/>
      <sheetName val="[SHOPLIST_xls]/VWVU))tÏØ0_128"/>
      <sheetName val="CONSTRUCTION_COMPONENT4"/>
      <sheetName val="[SHOPLIST_xls]/VWVU))tÏØ0_129"/>
      <sheetName val="[SHOPLIST_xls]/VWVU))tÏØ0_130"/>
      <sheetName val="[SHOPLIST_xls]/VWVU))tÏØ0_131"/>
      <sheetName val="Trade_Summary4"/>
      <sheetName val="Sec__A-PQ5"/>
      <sheetName val="Preamble_B5"/>
      <sheetName val="Sec__C-Dayworks5"/>
      <sheetName val="d5_5"/>
      <sheetName val="Tender_Docs4"/>
      <sheetName val="Miral_Emails4"/>
      <sheetName val="LOAs_(061619)4"/>
      <sheetName val="Contract_Conditions_(Tender)4"/>
      <sheetName val="Contract_Qualifications4"/>
      <sheetName val="YVPI_&amp;_GII4"/>
      <sheetName val="LOA_(live_sheet)4"/>
      <sheetName val="LOA_Log_(082419)4"/>
      <sheetName val="Key_Docs_Ref_4"/>
      <sheetName val="To_Mr__Boota_(072519)4"/>
      <sheetName val="Status_Summary5"/>
      <sheetName val="Recon_Template4"/>
      <sheetName val="Quotation_FM_administration3"/>
      <sheetName val="Quotation_Visitor_and_Sec3"/>
      <sheetName val="Service_Charge3"/>
      <sheetName val="CABLES_3"/>
      <sheetName val="Quotation_Offices_108,9,10,11)3"/>
      <sheetName val="Quotation_modification3"/>
      <sheetName val="CIF_COST_ITEM4"/>
      <sheetName val="Rates_for_public_areas4"/>
      <sheetName val="DIV_01_General_Requirements3"/>
      <sheetName val="Bill_(1)_Main_Building3"/>
      <sheetName val="Bill_(2)_General_Site_&amp;_Parkin3"/>
      <sheetName val="wd_points3"/>
      <sheetName val="Bill_(3)_Guest_House3"/>
      <sheetName val="Bill_(4)_Family_Buildings3"/>
      <sheetName val="Bill_(5)_Villa_Buildings3"/>
      <sheetName val="Bill_(6)_Entrance_Building3"/>
      <sheetName val="Bill_(7)_Masjid3"/>
      <sheetName val="Bill_(8)_Auditorium3"/>
      <sheetName val="Bill_(9)_Site_Prep__&amp;_Roadway3"/>
      <sheetName val="Summary_Cost3"/>
      <sheetName val="lighting_points3"/>
      <sheetName val="ESTIMATE_(2)3"/>
      <sheetName val="COM_Summary3"/>
      <sheetName val="_SHOPLIST_xls__SHOPLIST_xls_729"/>
      <sheetName val="_SHOPLIST_xls__SHOPLIST_xls_730"/>
      <sheetName val="GENERAL_SUMMARY3"/>
      <sheetName val="SITE_WORKS3"/>
      <sheetName val="WOOD_WORK3"/>
      <sheetName val="THERMAL_&amp;_MOISTURE_3"/>
      <sheetName val="DOORS_&amp;_WINDOWS3"/>
      <sheetName val="Additional_Items3"/>
      <sheetName val="개시대사_(2)3"/>
      <sheetName val="Ref_Arch3"/>
      <sheetName val="Div_Summary3"/>
      <sheetName val="___________17"/>
      <sheetName val="_SHOPLIST_xls_70,12"/>
      <sheetName val="_SHOPLIST_xls__VW12"/>
      <sheetName val="_SHOPLIST_xls__VWVU))tÏØ0__64"/>
      <sheetName val="_SHOPLIST_xls__VWVU))tÏØ0__65"/>
      <sheetName val="_SHOPLIST_xls__SHOPLIST_xls__12"/>
      <sheetName val="_SHOPLIST_xls__VWVU))tÏØ0__66"/>
      <sheetName val="_SHOPLIST_xls__VWVU))tÏØ0__67"/>
      <sheetName val="_SHOPLIST_xls__VWVU))tÏØ0__68"/>
      <sheetName val="_SHOPLIST_xls_70,_0s«_iÆø_í¬_12"/>
      <sheetName val="_SHOPLIST_xls_70_,_0_s«i_Æøí¬12"/>
      <sheetName val="_SHOPLIST_xls__VWVU))tÏØ0__69"/>
      <sheetName val="TB_ALJADA3"/>
      <sheetName val="Plot_Area3"/>
      <sheetName val="Closing_entries3"/>
      <sheetName val="Executive_Summary3"/>
      <sheetName val="Sales_Tracking_Report_(STR)3"/>
      <sheetName val="Blocking_Tracking_Report_(BTR)3"/>
      <sheetName val="Bill_No_13"/>
      <sheetName val="[SHOPLIST_xls]70,/0s«iÆøí¬4"/>
      <sheetName val="B2-DV_No_023"/>
      <sheetName val="_SUMMARY3"/>
      <sheetName val="PREAMBLES_3"/>
      <sheetName val="GENERAL_REQUIREMENT3"/>
      <sheetName val="B-_SITE_WORK3"/>
      <sheetName val="C__CONCRETE_WORKS_3"/>
      <sheetName val="D-_MASONRY3"/>
      <sheetName val="E__METAL_WORK3"/>
      <sheetName val="F__WOOD_WORK_3"/>
      <sheetName val="G__THERMAL_&amp;MP3"/>
      <sheetName val="H__DOORS___WINDOWS3"/>
      <sheetName val="J__FINISHES3"/>
      <sheetName val="K_ACCESSO3"/>
      <sheetName val="P_CONVEYING_SYSTEM3"/>
      <sheetName val="Q_MECHANICAL3"/>
      <sheetName val="R_ELECTRICAL3"/>
      <sheetName val="S_External_Works3"/>
      <sheetName val="T_Provisional_Sum3"/>
      <sheetName val="T__MEP_Works3"/>
      <sheetName val="U-DAY_WORKS_SCHEDULE3"/>
      <sheetName val="Struct__Members3"/>
      <sheetName val="MAIN_SUMMARY3"/>
      <sheetName val="_SHOPLIST_xls__SHOPLIST_xls_731"/>
      <sheetName val="L_(4)3"/>
      <sheetName val="ملخص_المشاريع3"/>
      <sheetName val="عقود_المقاولين3"/>
      <sheetName val="اوامر_الشراء3"/>
      <sheetName val="الحركة_اليومية3"/>
      <sheetName val="محمد_عساف3"/>
      <sheetName val="كشف_الايرادات_والضرائب3"/>
      <sheetName val="حساب_البنك3"/>
      <sheetName val="كشف_الرواتب3"/>
      <sheetName val="SAF_-_عهد_-_سلامي_ابو_فخر3"/>
      <sheetName val="THA_-_عهد_-_ثابت_احمد3"/>
      <sheetName val="AAH_-_عهد_-_انس_هبو3"/>
      <sheetName val="YSA_-_عهد_-_ياسر_السبع3"/>
      <sheetName val="MKJ_-_عهد_-_محمود_قجك3"/>
      <sheetName val="MSH_-_عهد_-_محمد_الشامي3"/>
      <sheetName val="ALW_-_عهد_-_علوان_علي3"/>
      <sheetName val="AHA_-_عهد_-_احمد_الحاج3"/>
      <sheetName val="MOR_-_عهد_-_مرجان_عبدالهادي3"/>
      <sheetName val="MHA_-_عهد_-_محمد_حسون_العلي3"/>
      <sheetName val="MF_-_مكتب_رئيسي3"/>
      <sheetName val="CO_-_مقاولين_-_عقود_(2)3"/>
      <sheetName val="BUR_-_موردين_-_شركة_البروج_3"/>
      <sheetName val="CAP_-_موردين_-_عاصمة_الكهرباء3"/>
      <sheetName val="PO_-_موردين_-_اوامر_شراء3"/>
      <sheetName val="CO_-_مقاولين_-_عقود3"/>
      <sheetName val="[SHOPLIST_xls]/VWVU))tÏØ0_132"/>
      <sheetName val="[SHOPLIST_xls]/VWVU))tÏØ0_133"/>
      <sheetName val="Master_data3"/>
      <sheetName val="[SHOPLIST_xls]/VWVU))tÏØ0_134"/>
      <sheetName val="[SHOPLIST_xls]/VWVU))tÏØ0_135"/>
      <sheetName val="[SHOPLIST_xls][SH4"/>
      <sheetName val="P1926-H2B_Pkg_2A&amp;2B4"/>
      <sheetName val="P1940-H2B_Pkg_1_Guestrooms4"/>
      <sheetName val="[SHOPLIST_xls]70_4"/>
      <sheetName val="Other_Cost_Norms3"/>
      <sheetName val="Comp_equip3"/>
      <sheetName val="Basic_Rate3"/>
      <sheetName val="MASTER_RATE_ANALYSIS3"/>
      <sheetName val="P15_Cost_Implications3"/>
      <sheetName val="P15_uPVC_ducts-Rate_Summary3"/>
      <sheetName val="P13_uPVC_ducts3"/>
      <sheetName val="P13_Mass_Concrete3"/>
      <sheetName val="P13_Imported_Fill3"/>
      <sheetName val="P14_uPVC_ducts3"/>
      <sheetName val="P14_Mass_Concrete3"/>
      <sheetName val="P14_Imported_Fill3"/>
      <sheetName val="P14_Sand_bed_to_cable3"/>
      <sheetName val="P15_uPVC_ducts3"/>
      <sheetName val="Div_10-Specialities_3"/>
      <sheetName val="MALE_&amp;_FEMALE_3"/>
      <sheetName val="6_2_Floor_Finishes3"/>
      <sheetName val="BUAs_and_Sales_Forecast3"/>
      <sheetName val="Lagoons_Breakdown_Prices3"/>
      <sheetName val="Cover_HW_Z2_3"/>
      <sheetName val="TOTAL_WORK3"/>
      <sheetName val="part_33"/>
      <sheetName val="pile_Length_for_Easter_fence3"/>
      <sheetName val="_Estimate__3"/>
      <sheetName val="Equip_3"/>
      <sheetName val="Cumulative_Rail_3"/>
      <sheetName val="Data_3"/>
      <sheetName val="[SHOPLIST_xls]/VWVU))tÏØ0_136"/>
      <sheetName val="Staff_OLD_3"/>
      <sheetName val="Portfolio_List3"/>
      <sheetName val="Initial_Data3"/>
      <sheetName val="Package_Status3"/>
      <sheetName val="Appendix-A_-GRAND_SUMMARY3"/>
      <sheetName val="D9_(New_Rate)3"/>
      <sheetName val="Grand_Summary_3"/>
      <sheetName val="Bill_No_01_-_GI_3"/>
      <sheetName val="combined_3"/>
      <sheetName val="summary-Optional_3"/>
      <sheetName val="B14_02_3"/>
      <sheetName val="Prov_Sum_3"/>
      <sheetName val="Démol_3"/>
      <sheetName val="Contractor_Application3"/>
      <sheetName val="08_MEP_Summary3"/>
      <sheetName val="Addnl_works3"/>
      <sheetName val="B3__Material_on_Site-Detail3"/>
      <sheetName val="WATER_DUCT_-_IC_213"/>
      <sheetName val="Asset_Desc3"/>
      <sheetName val="[SHOPLIST_xls]70,/0s«i_x3"/>
      <sheetName val="Account_Codes3"/>
      <sheetName val="[SHOPLIST_xls]/VWVU))tÏØ0_137"/>
      <sheetName val="[SHOPLIST_xls]/VWVU))tÏØ0_138"/>
      <sheetName val="[SHOPLIST_xls]/VWVU))tÏØ0_139"/>
      <sheetName val="[SHOPLIST_xls]/VWVU))tÏØ0_140"/>
      <sheetName val="[SHOPLIST_xls]/VWVU))tÏØ0_141"/>
      <sheetName val="[SHOPLIST_xls]/VWVU))tÏØ0_142"/>
      <sheetName val="[SHOPLIST_xls]/VWVU))tÏØ0_143"/>
      <sheetName val="[SHOPLIST_xls]/VWVU))tÏØ0_144"/>
      <sheetName val="FLOOR_AND_CEILING1"/>
      <sheetName val="area_comp_2011_01_18_(2)1"/>
      <sheetName val="drop_down_lists1"/>
      <sheetName val="PH_51"/>
      <sheetName val="S-Curve_Update1"/>
      <sheetName val="[SHOPLIST_xls][SHOPLIST_xls]7_1"/>
      <sheetName val="[SHOPLIST_xls][SHOPLIST_xls]__1"/>
      <sheetName val="[SHOPLIST_xls][SHOPLIST_xls]_16"/>
      <sheetName val="[SHOPLIST_xls][SHOPLIST_xls]_17"/>
      <sheetName val="[SHOPLIST_xls][SHOPLIST_xls]_18"/>
      <sheetName val="[SHOPLIST_xls][SHOPLIST_xls]_19"/>
      <sheetName val="[SHOPLIST_xls][SHOPLIST_xls]_20"/>
      <sheetName val="[SHOPLIST_xls][SHOPLIST_xls]7_8"/>
      <sheetName val="[SHOPLIST_xls][SHOPLIST_xls]7_9"/>
      <sheetName val="[SHOPLIST_xls][SHOPLIST_xls]_21"/>
      <sheetName val="[SHOPLIST_xls][SHOPLIST_xls]_22"/>
      <sheetName val="[SHOPLIST_xls][SHOPLIST_xls]_23"/>
      <sheetName val="[SHOPLIST_xls][SHOPLIST_xls]_24"/>
      <sheetName val="[SHOPLIST_xls][SHOPLIST_xls]_25"/>
      <sheetName val="[SHOPLIST_xls][SHOPLIST_xls]_26"/>
      <sheetName val="[SHOPLIST_xls][SHOPLIST_xls]_27"/>
      <sheetName val="[SHOPLIST_xls][SHOPLIST_xls]_28"/>
      <sheetName val="[SHOPLIST_xls]70_x005f_x0000_,/0_x001"/>
      <sheetName val="_SHOPLIST_xls__VWVU))tÏØ0__70"/>
      <sheetName val="_SHOPLIST_xls__VWVU))tÏØ0__73"/>
      <sheetName val="_SHOPLIST_xls__VWVU))tÏØ0__74"/>
      <sheetName val="_SHOPLIST_xls__SHOPLIST_xls__V1"/>
      <sheetName val="_SHOPLIST_xls__VWVU))tÏØ0__82"/>
      <sheetName val="_SHOPLIST_xls__VWVU))tÏØ0__92"/>
      <sheetName val="8_0_Programme1"/>
      <sheetName val="Rate_analysis20"/>
      <sheetName val="_VWVU))tÏØ0__22"/>
      <sheetName val="_SHOPLIST_xls_70,_0s«iÆøí¬i18"/>
      <sheetName val="[SHOPLIST_xls]/VWVU))tÏØ0_145"/>
      <sheetName val="[SHOPLIST_xls]/VWVU))tÏØ0_146"/>
      <sheetName val="Summary_5"/>
      <sheetName val="B04-A_-_DIA_SUDEER5"/>
      <sheetName val="04D_-_Tanmyat5"/>
      <sheetName val="13-_B04-B_&amp;_C5"/>
      <sheetName val="_SITE_09_B04-B&amp;C-AFAQ5"/>
      <sheetName val="[SHOPLIST_xls]/VWVU))tÏØ0_147"/>
      <sheetName val="[SHOPLIST_xls]/VWVU))tÏØ0_148"/>
      <sheetName val="[SHOPLIST_xls]/VWVU))tÏØ0_149"/>
      <sheetName val="[SHOPLIST_xls]/VWVU))tÏØ0_150"/>
      <sheetName val="CONSTRUCTION_COMPONENT5"/>
      <sheetName val="Finansal_tamamlanma_Eğrisi6"/>
      <sheetName val="2_Plex6"/>
      <sheetName val="Sheet1_(2)6"/>
      <sheetName val="4_Plex6"/>
      <sheetName val="6_Plex_6"/>
      <sheetName val="Detailed_Summary6"/>
      <sheetName val="Sheet1_(3)6"/>
      <sheetName val="Sheet1_(4)6"/>
      <sheetName val="HB_CEC_schd_4_26"/>
      <sheetName val="HB_CEC_schd_4_36"/>
      <sheetName val="HB_CEC_schd_5_26"/>
      <sheetName val="HB_CEC_schd_6_26"/>
      <sheetName val="HB_CEC_schd_7_26"/>
      <sheetName val="HB_CEC_schd_9_26"/>
      <sheetName val="Doha_Farm6"/>
      <sheetName val="Dropdown_List6"/>
      <sheetName val="New_Bld6"/>
      <sheetName val="[SHOPLIST_xls]/VWVU))tÏØ0_151"/>
      <sheetName val="[SHOPLIST_xls]/VWVU))tÏØ0_152"/>
      <sheetName val="[SHOPLIST_xls]/VWVU))tÏØ0_153"/>
      <sheetName val="1_-_Main_Building6"/>
      <sheetName val="1_-_Summary6"/>
      <sheetName val="2_-_Landscaping_Works6"/>
      <sheetName val="2_-_Summary6"/>
      <sheetName val="4_-_Bldg_Infra6"/>
      <sheetName val="4_-_Summary6"/>
      <sheetName val="Trade_Summary5"/>
      <sheetName val="Sec__A-PQ6"/>
      <sheetName val="Preamble_B6"/>
      <sheetName val="Sec__C-Dayworks6"/>
      <sheetName val="d5_6"/>
      <sheetName val="Tender_Docs5"/>
      <sheetName val="Miral_Emails5"/>
      <sheetName val="LOAs_(061619)5"/>
      <sheetName val="Contract_Conditions_(Tender)5"/>
      <sheetName val="Contract_Qualifications5"/>
      <sheetName val="YVPI_&amp;_GII5"/>
      <sheetName val="LOA_(live_sheet)5"/>
      <sheetName val="LOA_Log_(082419)5"/>
      <sheetName val="Key_Docs_Ref_5"/>
      <sheetName val="To_Mr__Boota_(072519)5"/>
      <sheetName val="Status_Summary6"/>
      <sheetName val="New_Rates5"/>
      <sheetName val="Labour_Rates5"/>
      <sheetName val="Status_5"/>
      <sheetName val="CLIENT_BUDGET5"/>
      <sheetName val="Reco-June_20195"/>
      <sheetName val="REMINING_PROGRESS5"/>
      <sheetName val="OS&amp;E__IT5"/>
      <sheetName val="PAID_AMOUNT5"/>
      <sheetName val="IPA_215"/>
      <sheetName val="Order_by_owner5"/>
      <sheetName val="PERLIM__Sammary5"/>
      <sheetName val="RECOVER_OF_DOUBLE_PAYMENT5"/>
      <sheetName val="rathath_al_matar5"/>
      <sheetName val="INTERNAL_LINE_5"/>
      <sheetName val="MINOVA_AL_DEYAR5"/>
      <sheetName val="BLUE_RHINE5"/>
      <sheetName val="NATIONAL_PAINT5"/>
      <sheetName val="FIRE_RATED5"/>
      <sheetName val="Dashboard_(1)6"/>
      <sheetName val="VO_Agreed_to_Unifier_Sum6"/>
      <sheetName val="VO_Not_yet_Agreed_to_Unifier6"/>
      <sheetName val="VO_Anticipated_to_Unifier6"/>
      <sheetName val="EW_to_Unifier6"/>
      <sheetName val="Prov_Sums6"/>
      <sheetName val="Other_Amounts6"/>
      <sheetName val="Asset_Allocation_(CR)6"/>
      <sheetName val="Project_Benchmarking6"/>
      <sheetName val="Recon_Template5"/>
      <sheetName val="Estimate_for_approval5"/>
      <sheetName val="Quotation_FM_administration4"/>
      <sheetName val="Quotation_Visitor_and_Sec4"/>
      <sheetName val="Service_Charge4"/>
      <sheetName val="CABLES_4"/>
      <sheetName val="Quotation_Offices_108,9,10,11)4"/>
      <sheetName val="Quotation_modification4"/>
      <sheetName val="CIF_COST_ITEM5"/>
      <sheetName val="Rates_for_public_areas5"/>
      <sheetName val="DIV_01_General_Requirements4"/>
      <sheetName val="Bill_(1)_Main_Building4"/>
      <sheetName val="Bill_(2)_General_Site_&amp;_Parkin4"/>
      <sheetName val="wd_points4"/>
      <sheetName val="Bill_(3)_Guest_House4"/>
      <sheetName val="Bill_(4)_Family_Buildings4"/>
      <sheetName val="Bill_(5)_Villa_Buildings4"/>
      <sheetName val="Bill_(6)_Entrance_Building4"/>
      <sheetName val="Bill_(7)_Masjid4"/>
      <sheetName val="Bill_(8)_Auditorium4"/>
      <sheetName val="Bill_(9)_Site_Prep__&amp;_Roadway4"/>
      <sheetName val="Summary_Cost4"/>
      <sheetName val="lighting_points4"/>
      <sheetName val="ESTIMATE_(2)4"/>
      <sheetName val="COM_Summary4"/>
      <sheetName val="Drop_Down_Data4"/>
      <sheetName val="Rules_4"/>
      <sheetName val="Update_list4"/>
      <sheetName val="Sinh_Nam_systems4"/>
      <sheetName val="DIE_profile4"/>
      <sheetName val="Import_tax4"/>
      <sheetName val="TONG_HOP_VL-NC4"/>
      <sheetName val="TONGKE3p_4"/>
      <sheetName val="TH_VL,_NC,_DDHT_Thanhphuoc4"/>
      <sheetName val="DON_GIA4"/>
      <sheetName val="CHITIET_VL-NC4"/>
      <sheetName val="TH_kinh_phi4"/>
      <sheetName val="KLDT_DIEN4"/>
      <sheetName val="Dinh_muc_CP_KTCB_khac4"/>
      <sheetName val="_SHOPLIST_xls__SHOPLIST_xls_732"/>
      <sheetName val="_SHOPLIST_xls__SHOPLIST_xls_733"/>
      <sheetName val="quotation_4"/>
      <sheetName val="Bill_5_-_Carpark4"/>
      <sheetName val="BOQ_-_summary__34"/>
      <sheetName val="NKSC_thue4"/>
      <sheetName val="05__Data_Cash_Flow4"/>
      <sheetName val="MTO_REV_2(ARMOR)4"/>
      <sheetName val="GENERAL_SUMMARY4"/>
      <sheetName val="SITE_WORKS4"/>
      <sheetName val="WOOD_WORK4"/>
      <sheetName val="THERMAL_&amp;_MOISTURE_4"/>
      <sheetName val="DOORS_&amp;_WINDOWS4"/>
      <sheetName val="Additional_Items4"/>
      <sheetName val="개시대사_(2)4"/>
      <sheetName val="Ref_Arch4"/>
      <sheetName val="Div_Summary4"/>
      <sheetName val="___________18"/>
      <sheetName val="_SHOPLIST_xls_70,13"/>
      <sheetName val="_SHOPLIST_xls__VW13"/>
      <sheetName val="_SHOPLIST_xls__VWVU))tÏØ0__75"/>
      <sheetName val="_SHOPLIST_xls__VWVU))tÏØ0__76"/>
      <sheetName val="_SHOPLIST_xls__SHOPLIST_xls__13"/>
      <sheetName val="_SHOPLIST_xls__VWVU))tÏØ0__77"/>
      <sheetName val="_SHOPLIST_xls__VWVU))tÏØ0__78"/>
      <sheetName val="_SHOPLIST_xls__VWVU))tÏØ0__79"/>
      <sheetName val="_SHOPLIST_xls_70,_0s«_iÆø_í¬_13"/>
      <sheetName val="_SHOPLIST_xls_70_,_0_s«i_Æøí¬13"/>
      <sheetName val="_SHOPLIST_xls__VWVU))tÏØ0__80"/>
      <sheetName val="TB_ALJADA4"/>
      <sheetName val="Plot_Area4"/>
      <sheetName val="Closing_entries4"/>
      <sheetName val="Executive_Summary4"/>
      <sheetName val="Sales_Tracking_Report_(STR)4"/>
      <sheetName val="Blocking_Tracking_Report_(BTR)4"/>
      <sheetName val="Bill_No_14"/>
      <sheetName val="[SHOPLIST_xls]70,/0s«iÆøí¬5"/>
      <sheetName val="B2-DV_No_024"/>
      <sheetName val="_SUMMARY4"/>
      <sheetName val="PREAMBLES_4"/>
      <sheetName val="GENERAL_REQUIREMENT4"/>
      <sheetName val="B-_SITE_WORK4"/>
      <sheetName val="C__CONCRETE_WORKS_4"/>
      <sheetName val="D-_MASONRY4"/>
      <sheetName val="E__METAL_WORK4"/>
      <sheetName val="F__WOOD_WORK_4"/>
      <sheetName val="G__THERMAL_&amp;MP4"/>
      <sheetName val="H__DOORS___WINDOWS4"/>
      <sheetName val="J__FINISHES4"/>
      <sheetName val="K_ACCESSO4"/>
      <sheetName val="P_CONVEYING_SYSTEM4"/>
      <sheetName val="Q_MECHANICAL4"/>
      <sheetName val="R_ELECTRICAL4"/>
      <sheetName val="S_External_Works4"/>
      <sheetName val="T_Provisional_Sum4"/>
      <sheetName val="T__MEP_Works4"/>
      <sheetName val="U-DAY_WORKS_SCHEDULE4"/>
      <sheetName val="Struct__Members4"/>
      <sheetName val="MAIN_SUMMARY4"/>
      <sheetName val="L3-WBS_Mapping4"/>
      <sheetName val="BAFO_CCL_Submission4"/>
      <sheetName val="Abs_PMRL4"/>
      <sheetName val="_SHOPLIST_xls__SHOPLIST_xls_734"/>
      <sheetName val="L_(4)4"/>
      <sheetName val="ملخص_المشاريع4"/>
      <sheetName val="عقود_المقاولين4"/>
      <sheetName val="اوامر_الشراء4"/>
      <sheetName val="الحركة_اليومية4"/>
      <sheetName val="محمد_عساف4"/>
      <sheetName val="كشف_الايرادات_والضرائب4"/>
      <sheetName val="حساب_البنك4"/>
      <sheetName val="كشف_الرواتب4"/>
      <sheetName val="SAF_-_عهد_-_سلامي_ابو_فخر4"/>
      <sheetName val="THA_-_عهد_-_ثابت_احمد4"/>
      <sheetName val="AAH_-_عهد_-_انس_هبو4"/>
      <sheetName val="YSA_-_عهد_-_ياسر_السبع4"/>
      <sheetName val="MKJ_-_عهد_-_محمود_قجك4"/>
      <sheetName val="MSH_-_عهد_-_محمد_الشامي4"/>
      <sheetName val="ALW_-_عهد_-_علوان_علي4"/>
      <sheetName val="AHA_-_عهد_-_احمد_الحاج4"/>
      <sheetName val="MOR_-_عهد_-_مرجان_عبدالهادي4"/>
      <sheetName val="MHA_-_عهد_-_محمد_حسون_العلي4"/>
      <sheetName val="MF_-_مكتب_رئيسي4"/>
      <sheetName val="CO_-_مقاولين_-_عقود_(2)4"/>
      <sheetName val="BUR_-_موردين_-_شركة_البروج_4"/>
      <sheetName val="CAP_-_موردين_-_عاصمة_الكهرباء4"/>
      <sheetName val="PO_-_موردين_-_اوامر_شراء4"/>
      <sheetName val="CO_-_مقاولين_-_عقود4"/>
      <sheetName val="[SHOPLIST_xls]/VWVU))tÏØ0_154"/>
      <sheetName val="[SHOPLIST_xls]/VWVU))tÏØ0_155"/>
      <sheetName val="Master_data4"/>
      <sheetName val="[SHOPLIST_xls]/VWVU))tÏØ0_156"/>
      <sheetName val="[SHOPLIST_xls]/VWVU))tÏØ0_157"/>
      <sheetName val="[SHOPLIST_xls][SH5"/>
      <sheetName val="BOQ_1_924"/>
      <sheetName val="P1926-H2B_Pkg_2A&amp;2B5"/>
      <sheetName val="P1940-H2B_Pkg_1_Guestrooms5"/>
      <sheetName val="[SHOPLIST_xls]70_5"/>
      <sheetName val="Other_Cost_Norms4"/>
      <sheetName val="Comp_equip4"/>
      <sheetName val="Basic_Rate4"/>
      <sheetName val="MASTER_RATE_ANALYSIS4"/>
      <sheetName val="P15_Cost_Implications4"/>
      <sheetName val="P15_uPVC_ducts-Rate_Summary4"/>
      <sheetName val="P13_uPVC_ducts4"/>
      <sheetName val="P13_Mass_Concrete4"/>
      <sheetName val="P13_Imported_Fill4"/>
      <sheetName val="P14_uPVC_ducts4"/>
      <sheetName val="P14_Mass_Concrete4"/>
      <sheetName val="P14_Imported_Fill4"/>
      <sheetName val="P14_Sand_bed_to_cable4"/>
      <sheetName val="P15_uPVC_ducts4"/>
      <sheetName val="Div_10-Specialities_4"/>
      <sheetName val="MALE_&amp;_FEMALE_4"/>
      <sheetName val="6_2_Floor_Finishes4"/>
      <sheetName val="BUAs_and_Sales_Forecast4"/>
      <sheetName val="Lagoons_Breakdown_Prices4"/>
      <sheetName val="Cover_HW_Z2_4"/>
      <sheetName val="TOTAL_WORK4"/>
      <sheetName val="part_34"/>
      <sheetName val="pile_Length_for_Easter_fence4"/>
      <sheetName val="_Estimate__4"/>
      <sheetName val="Equip_4"/>
      <sheetName val="Cumulative_Rail_4"/>
      <sheetName val="Data_4"/>
      <sheetName val="[SHOPLIST_xls]/VWVU))tÏØ0_158"/>
      <sheetName val="Staff_OLD_4"/>
      <sheetName val="Portfolio_List4"/>
      <sheetName val="Initial_Data4"/>
      <sheetName val="Package_Status4"/>
      <sheetName val="Appendix-A_-GRAND_SUMMARY4"/>
      <sheetName val="D9_(New_Rate)4"/>
      <sheetName val="Grand_Summary_4"/>
      <sheetName val="Bill_No_01_-_GI_4"/>
      <sheetName val="combined_4"/>
      <sheetName val="summary-Optional_4"/>
      <sheetName val="B14_02_4"/>
      <sheetName val="Prov_Sum_4"/>
      <sheetName val="Démol_4"/>
      <sheetName val="Contractor_Application4"/>
      <sheetName val="08_MEP_Summary4"/>
      <sheetName val="Addnl_works4"/>
      <sheetName val="B3__Material_on_Site-Detail4"/>
      <sheetName val="WATER_DUCT_-_IC_214"/>
      <sheetName val="Asset_Desc4"/>
      <sheetName val="[SHOPLIST_xls]70,/0s«i_x4"/>
      <sheetName val="Account_Codes4"/>
      <sheetName val="[SHOPLIST_xls]/VWVU))tÏØ0_159"/>
      <sheetName val="[SHOPLIST_xls]/VWVU))tÏØ0_160"/>
      <sheetName val="[SHOPLIST_xls]/VWVU))tÏØ0_161"/>
      <sheetName val="[SHOPLIST_xls]/VWVU))tÏØ0_162"/>
      <sheetName val="[SHOPLIST_xls]/VWVU))tÏØ0_163"/>
      <sheetName val="[SHOPLIST_xls]/VWVU))tÏØ0_164"/>
      <sheetName val="[SHOPLIST_xls]/VWVU))tÏØ0_165"/>
      <sheetName val="[SHOPLIST_xls]/VWVU))tÏØ0_166"/>
      <sheetName val="FLOOR_AND_CEILING2"/>
      <sheetName val="area_comp_2011_01_18_(2)2"/>
      <sheetName val="drop_down_lists2"/>
      <sheetName val="PH_52"/>
      <sheetName val="S-Curve_Update2"/>
      <sheetName val="[SHOPLIST_xls][SHOPLIST_xls]744"/>
      <sheetName val="[SHOPLIST_xls][SHOPLIST_xls]_29"/>
      <sheetName val="[SHOPLIST_xls][SHOPLIST_xls]_30"/>
      <sheetName val="[SHOPLIST_xls][SHOPLIST_xls]_31"/>
      <sheetName val="[SHOPLIST_xls][SHOPLIST_xls]_32"/>
      <sheetName val="[SHOPLIST_xls][SHOPLIST_xls]_33"/>
      <sheetName val="[SHOPLIST_xls][SHOPLIST_xls]_34"/>
      <sheetName val="[SHOPLIST_xls][SHOPLIST_xls]745"/>
      <sheetName val="[SHOPLIST_xls][SHOPLIST_xls]746"/>
      <sheetName val="[SHOPLIST_xls][SHOPLIST_xls]_35"/>
      <sheetName val="[SHOPLIST_xls][SHOPLIST_xls]_36"/>
      <sheetName val="[SHOPLIST_xls][SHOPLIST_xls]_37"/>
      <sheetName val="[SHOPLIST_xls][SHOPLIST_xls]747"/>
      <sheetName val="[SHOPLIST_xls][SHOPLIST_xls]_38"/>
      <sheetName val="[SHOPLIST_xls][SHOPLIST_xls]_39"/>
      <sheetName val="[SHOPLIST_xls][SHOPLIST_xls]748"/>
      <sheetName val="[SHOPLIST_xls][SHOPLIST_xls]_40"/>
      <sheetName val="[SHOPLIST_xls][SHOPLIST_xls]749"/>
      <sheetName val="[SHOPLIST_xls][SHOPLIST_xls]_41"/>
      <sheetName val="[SHOPLIST_xls][SHOPLIST_xls]_42"/>
      <sheetName val="[SHOPLIST_xls]70_x005f_x0000_,/0_x002"/>
      <sheetName val="Detail_Page2"/>
      <sheetName val="_SHOPLIST_xls__VWVU))tÏØ0__83"/>
      <sheetName val="_SHOPLIST_xls__VWVU))tÏØ0__84"/>
      <sheetName val="_SHOPLIST_xls__VWVU))tÏØ0__85"/>
      <sheetName val="_SHOPLIST_xls__SHOPLIST_xls__V2"/>
      <sheetName val="_SHOPLIST_xls__VWVU))tÏØ0__86"/>
      <sheetName val="_SHOPLIST_xls__VWVU))tÏØ0__93"/>
      <sheetName val="8_0_Programme2"/>
      <sheetName val="DVM Sizing Calculator- 10 ips "/>
      <sheetName val="BT3-Package 05"/>
      <sheetName val="BOQ-Civil"/>
      <sheetName val="[SHOPLIST.xls]_VW__VU________18"/>
      <sheetName val="[SHOPLIST.xls]_VW__VU________19"/>
      <sheetName val="[SHOPLIST.xls]70_x005f_x0000___0_x_10"/>
      <sheetName val="[SHOPLIST.xls]70___0_s__i____28"/>
      <sheetName val="[SHOPLIST.xls]70___0_s__i____29"/>
      <sheetName val="[SHOPLIST.xls][SHOPLIST_xls]/VW"/>
      <sheetName val="Index sheet"/>
      <sheetName val="BULD_3"/>
      <sheetName val="BLOCK_K"/>
      <sheetName val="제출내역_(2)"/>
      <sheetName val="satış planı (2)"/>
      <sheetName val="Tahsilat"/>
      <sheetName val="REQ_REMARKS"/>
      <sheetName val="70_x005f_x0000___0_x0_2"/>
      <sheetName val="70___0_s__i_____3"/>
      <sheetName val="[SHOPLIST.xls]7_2"/>
      <sheetName val="[SHOPLIST.xls]__2"/>
      <sheetName val="[SHOPLIST.xls]7_3"/>
      <sheetName val="[SHOPLIST.xls]__3"/>
      <sheetName val="[SHOPLIST.xls]__4"/>
      <sheetName val="[SHOPLIST.xls]__5"/>
      <sheetName val="[SHOPLIST.xls]__6"/>
      <sheetName val="[SHOPLIST.xls]__7"/>
      <sheetName val="70___0_s__i_____4"/>
      <sheetName val="[SHOPLIST.xls]7_4"/>
      <sheetName val="[SHOPLIST_xls]7_2"/>
      <sheetName val="[SHOPLIST_xls]7_3"/>
      <sheetName val="[SHOPLIST_xls]7_4"/>
      <sheetName val="[SHOPLIST_xls]7_5"/>
      <sheetName val="[SHOPLIST_xls]7_6"/>
      <sheetName val="[SHOPLIST_xls]7_7"/>
      <sheetName val="[SHOPLIST_xls]7_8"/>
      <sheetName val="[SHOPLIST.xls]__8"/>
      <sheetName val="[SHOPLIST.xls]7_5"/>
      <sheetName val="[SHOPLIST.xls]7_6"/>
      <sheetName val="[SHOPLIST.xls]__9"/>
      <sheetName val="[SHOPLIST_xls]__2"/>
      <sheetName val="[SHOPLIST_xls]__3"/>
      <sheetName val="[SHOPLIST_xls]__4"/>
      <sheetName val="[SHOPLIST_xls]7_9"/>
      <sheetName val="[SHOPLIST_xls]__5"/>
      <sheetName val="[SHOPLIST_xls]__6"/>
      <sheetName val="[SHOPLIST_xls]__7"/>
      <sheetName val="[SHOPLIST_xls]__8"/>
      <sheetName val="[SHOPLIST_xls]_10"/>
      <sheetName val="[SHOPLIST_xls]_11"/>
      <sheetName val="[SHOPLIST_xls]_12"/>
      <sheetName val="[SHOPLIST_xls]__9"/>
      <sheetName val="[SHOPLIST_xls]_13"/>
      <sheetName val="[SHOPLIST_xls]_14"/>
      <sheetName val="[SHOPLIST_xls]_15"/>
      <sheetName val="[SHOPLIST_xls]_16"/>
      <sheetName val="[SHOPLIST_xls]_17"/>
      <sheetName val="[SHOPLIST_xls]_18"/>
      <sheetName val="[SHOPLIST_xls]_19"/>
      <sheetName val="[SHOPLIST_xls]_20"/>
      <sheetName val="[SHOPLIST_xls]_21"/>
      <sheetName val="[SHOPLIST_xls]_22"/>
      <sheetName val="[SHOPLIST_xls]_23"/>
      <sheetName val="[SHOPLIST_xls]_24"/>
      <sheetName val="[SHOPLIST_xls]_25"/>
      <sheetName val="[SHOPLIST_xls]_26"/>
      <sheetName val="[SHOPLIST_xls]_27"/>
      <sheetName val="[SHOPLIST_xls]_28"/>
      <sheetName val="[SHOPLIST.xls]_10"/>
      <sheetName val="[SHOPLIST.xls]_11"/>
      <sheetName val="[SHOPLIST.xls]_12"/>
      <sheetName val="[SHOPLIST_xls]_29"/>
      <sheetName val="[SHOPLIST_xls]_30"/>
      <sheetName val="[SHOPLIST_xls]_31"/>
      <sheetName val="[SHOPLIST_xls]_32"/>
      <sheetName val="[SHOPLIST_xls]_33"/>
      <sheetName val="[SHOPLIST_xls]_34"/>
      <sheetName val="[SHOPLIST_xls]_35"/>
      <sheetName val="[SHOPLIST_xls]_36"/>
      <sheetName val="[SHOPLIST_xls]_37"/>
      <sheetName val="[SHOPLIST_xls]_38"/>
      <sheetName val="[SHOPLIST_xls]_39"/>
      <sheetName val="[SHOPLIST_xls]_40"/>
      <sheetName val="[SHOPLIST_xls]_41"/>
      <sheetName val="[SHOPLIST_xls]_42"/>
      <sheetName val="[SHOPLIST_xls]_43"/>
      <sheetName val="[SHOPLIST_xls]_44"/>
      <sheetName val="[SHOPLIST_xls]_45"/>
      <sheetName val="[SHOPLIST_xls]_46"/>
      <sheetName val="[SHOPLIST_xls]_47"/>
      <sheetName val="[SHOPLIST_xls]_48"/>
      <sheetName val="[SHOPLIST_xls]_49"/>
      <sheetName val="[SHOPLIST_xls]_50"/>
      <sheetName val="[SHOPLIST_xls]_51"/>
      <sheetName val="[SHOPLIST_xls]_52"/>
      <sheetName val="[SHOPLIST_xls]_53"/>
      <sheetName val="[SHOPLIST_xls]_54"/>
      <sheetName val="[SHOPLIST_xls]_55"/>
      <sheetName val="[SHOPLIST_xls]_56"/>
      <sheetName val="[SHOPLIST_xls]_57"/>
      <sheetName val="[SHOPLIST_xls]_58"/>
      <sheetName val="[SHOPLIST_xls]_59"/>
      <sheetName val="[SHOPLIST_xls]_60"/>
      <sheetName val="[SHOPLIST_xls]_61"/>
      <sheetName val="[SHOPLIST_xls]_62"/>
      <sheetName val="[SHOPLIST_xls]_63"/>
      <sheetName val="[SHOPLIST_xls]_64"/>
      <sheetName val="[SHOPLIST_xls]_65"/>
      <sheetName val="[SHOPLIST_xls]_66"/>
      <sheetName val="[SHOPLIST_xls]_67"/>
      <sheetName val="[SHOPLIST_xls]_68"/>
      <sheetName val="[SHOPLIST_xls]_69"/>
      <sheetName val="[SHOPLIST_xls]_70"/>
      <sheetName val="[SHOPLIST_xls]_71"/>
      <sheetName val="[SHOPLIST_xls]_72"/>
      <sheetName val="[SHOPLIST_xls]_73"/>
      <sheetName val="[SHOPLIST_xls]_74"/>
      <sheetName val="[SHOPLIST_xls]_75"/>
      <sheetName val="[SHOPLIST_xls]_76"/>
      <sheetName val="[SHOPLIST_xls]_77"/>
      <sheetName val="[SHOPLIST_xls]_78"/>
      <sheetName val="[SHOPLIST_xls]_79"/>
      <sheetName val="[SHOPLIST_xls]_80"/>
      <sheetName val="[SHOPLIST_xls]_81"/>
      <sheetName val="[SHOPLIST_xls]_82"/>
      <sheetName val="[SHOPLIST.xls]_13"/>
      <sheetName val="[SHOPLIST_xls]_83"/>
      <sheetName val="[SHOPLIST_xls]_84"/>
      <sheetName val="[SHOPLIST_xls]_85"/>
      <sheetName val="[SHOPLIST_xls]_86"/>
      <sheetName val="[SHOPLIST_xls]_87"/>
      <sheetName val="[SHOPLIST_xls]_88"/>
      <sheetName val="[SHOPLIST_xls]_89"/>
      <sheetName val="[SHOPLIST_xls]_90"/>
      <sheetName val="[SHOPLIST_xls]_91"/>
      <sheetName val="[SHOPLIST_xls]_92"/>
      <sheetName val="[SHOPLIST_xls]_93"/>
      <sheetName val="[SHOPLIST_xls]_94"/>
      <sheetName val="[SHOPLIST_xls]_95"/>
      <sheetName val="[SHOPLIST_xls]_96"/>
      <sheetName val="[SHOPLIST_xls]_97"/>
      <sheetName val="[SHOPLIST_xls]_98"/>
      <sheetName val="[SHOPLIST_xls]_99"/>
      <sheetName val="_SHOPLIST_xls_100"/>
      <sheetName val="[SHOPLIST.xls]_14"/>
      <sheetName val="[SHOPLIST.xls]_15"/>
      <sheetName val="[SHOPLIST.xls]7_7"/>
      <sheetName val="[SHOPLIST.xls]_16"/>
      <sheetName val="[SHOPLIST.xls]_17"/>
      <sheetName val="[SHOPLIST.xls]7_8"/>
      <sheetName val="70_x005f_x005f_x005f_x0000__2"/>
      <sheetName val="_SHOPLIST_xls_101"/>
      <sheetName val="_SHOPLIST_xls_102"/>
      <sheetName val="_SHOPLIST_xls_103"/>
      <sheetName val="[SHOPLIST.xls]70?"/>
      <sheetName val="/VWVU))tÏØ0__72"/>
      <sheetName val="[SH1"/>
      <sheetName val="/VWVU))tÏØ0__64"/>
      <sheetName val="/VWVU))tÏØ0__65"/>
      <sheetName val="/VWVU))tÏØ0__66"/>
      <sheetName val="[SHOPLIST.xls]7_9"/>
      <sheetName val="70___0_s__i_____5"/>
      <sheetName val="_VW__VU_________4"/>
      <sheetName val="70___0_s__i_____6"/>
      <sheetName val="70_x005f_x0000___0_x0_3"/>
      <sheetName val="70___0_s__i_____7"/>
      <sheetName val="_VW__VU_________5"/>
      <sheetName val="[SHOPLIST.xls]_18"/>
      <sheetName val="[SHOPLIST.xls]_19"/>
      <sheetName val="[SHOPLIST.xls]_20"/>
      <sheetName val="[SHOPLIST.xls]_21"/>
      <sheetName val="[SHOPLIST.xls]_22"/>
      <sheetName val="[SHOPLIST.xls]_23"/>
      <sheetName val="[SHOPLIST.xls]_24"/>
      <sheetName val="[SHOPLIST.xls]_25"/>
      <sheetName val="[SHOPLIST.xls]_26"/>
      <sheetName val="[SHOPLIST.xls]_27"/>
      <sheetName val="[SHOPLIST.xls]_28"/>
      <sheetName val="[SHOPLIST.xls]_29"/>
      <sheetName val="[SHOPLIST.xls]_30"/>
      <sheetName val="[SHOPLIST.xls]_31"/>
      <sheetName val="[SHOPLIST.xls]_32"/>
      <sheetName val="[SHOPLIST.xls]_33"/>
      <sheetName val="[SHOPLIST.xls]_34"/>
      <sheetName val="[SHOPLIST.xls]_35"/>
      <sheetName val="[SHOPLIST.xls]_36"/>
      <sheetName val="70___0_s__i_____8"/>
      <sheetName val="_VW__VU_________6"/>
      <sheetName val="70___0_s__i_____9"/>
      <sheetName val="70_x005f_x0000___0_x0_4"/>
      <sheetName val="70___0_s__i____10"/>
      <sheetName val="[SHOPLIST.xls]_37"/>
      <sheetName val="_VW__VU_________7"/>
      <sheetName val="[SHOPLIST.xls]_38"/>
      <sheetName val="[SHOPLIST.xls]_39"/>
      <sheetName val="[SHOPLIST.xls]_40"/>
      <sheetName val="[SHOPLIST.xls]_41"/>
      <sheetName val="[SHOPLIST.xls]_42"/>
      <sheetName val="[SHOPLIST.xls]_43"/>
      <sheetName val="[SHOPLIST.xls]_44"/>
      <sheetName val="[SHOPLIST.xls]_45"/>
      <sheetName val="[SHOPLIST.xls]_46"/>
      <sheetName val="[SHOPLIST.xls]_47"/>
      <sheetName val="[SHOPLIST.xls]_48"/>
      <sheetName val="[SHOPLIST.xls]_49"/>
      <sheetName val="[SHOPLIST.xls]_50"/>
      <sheetName val="[SHOPLIST.xls]_51"/>
      <sheetName val="[SHOPLIST.xls]_52"/>
      <sheetName val="[SHOPLIST.xls]_53"/>
      <sheetName val="[SHOPLIST.xls]_54"/>
      <sheetName val="[SHOPLIST.xls]_55"/>
      <sheetName val="[SHOPLIST.xls]_56"/>
      <sheetName val="[SHOPLIST.xls]_57"/>
      <sheetName val="_SHOPLIST_xls_104"/>
      <sheetName val="_SHOPLIST_xls_105"/>
      <sheetName val="_SHOPLIST_xls_106"/>
      <sheetName val="_SHOPLIST_xls_107"/>
      <sheetName val="_SHOPLIST_xls_108"/>
      <sheetName val="_SHOPLIST_xls_109"/>
      <sheetName val="_SHOPLIST_xls_110"/>
      <sheetName val="_SHOPLIST_xls_111"/>
      <sheetName val="_SHOPLIST_xls_112"/>
      <sheetName val="_SHOPLIST_xls_113"/>
      <sheetName val="_SHOPLIST_xls_114"/>
      <sheetName val="_SHOPLIST_xls_115"/>
      <sheetName val="_SHOPLIST_xls_116"/>
      <sheetName val="_SHOPLIST_xls_117"/>
      <sheetName val="_SHOPLIST_xls_118"/>
      <sheetName val="_SHOPLIST_xls_119"/>
      <sheetName val="_SHOPLIST_xls_120"/>
      <sheetName val="_SHOPLIST_xls_121"/>
      <sheetName val="_SHOPLIST_xls_122"/>
      <sheetName val="_SHOPLIST_xls_123"/>
      <sheetName val="_SHOPLIST_xls_124"/>
      <sheetName val="_SHOPLIST_xls_125"/>
      <sheetName val="_SHOPLIST_xls_126"/>
      <sheetName val="_SHOPLIST_xls_127"/>
      <sheetName val="_SHOPLIST_xls_128"/>
      <sheetName val="_SHOPLIST_xls_129"/>
      <sheetName val="_SHOPLIST_xls_130"/>
      <sheetName val="_SHOPLIST_xls_131"/>
      <sheetName val="_SHOPLIST_xls_132"/>
      <sheetName val="_SHOPLIST_xls_133"/>
      <sheetName val="_SHOPLIST_xls_134"/>
      <sheetName val="_SHOPLIST_xls_135"/>
      <sheetName val="_SHOPLIST_xls_136"/>
      <sheetName val="_SHOPLIST_xls_137"/>
      <sheetName val="_SHOPLIST_xls_138"/>
      <sheetName val="_SHOPLIST_xls_139"/>
      <sheetName val="_SHOPLIST_xls_140"/>
      <sheetName val="_SHOPLIST_xls_141"/>
      <sheetName val="_SHOPLIST_xls_142"/>
      <sheetName val="_SHOPLIST_xls_143"/>
      <sheetName val="_SHOPLIST_xls_144"/>
      <sheetName val="_SHOPLIST_xls_145"/>
      <sheetName val="_SHOPLIST_xls_146"/>
      <sheetName val="_SHOPLIST_xls_147"/>
      <sheetName val="_SHOPLIST_xls_148"/>
      <sheetName val="_SHOPLIST_xls_149"/>
      <sheetName val="_SHOPLIST_xls_150"/>
      <sheetName val="_SHOPLIST_xls_151"/>
      <sheetName val="_SHOPLIST_xls_152"/>
      <sheetName val="_SHOPLIST_xls_153"/>
      <sheetName val="_SHOPLIST_xls_154"/>
      <sheetName val="_SHOPLIST_xls_155"/>
      <sheetName val="_SHOPLIST_xls_156"/>
      <sheetName val="_SHOPLIST_xls_157"/>
      <sheetName val="_SHOPLIST_xls_158"/>
      <sheetName val="_SHOPLIST_xls_159"/>
      <sheetName val="[SHOPLIST.xls]_58"/>
      <sheetName val="[SHOPLIST.xls]_59"/>
      <sheetName val="70___0_s__i____11"/>
      <sheetName val="_VW__VU_________8"/>
      <sheetName val="70___0_s__i____12"/>
      <sheetName val="70_x005f_x0000___0_x0_5"/>
      <sheetName val="70___0_s__i____13"/>
      <sheetName val="[SHOPLIST.xls]_60"/>
      <sheetName val="_VW__VU_________9"/>
      <sheetName val="_SHOPLIST_xls_160"/>
      <sheetName val="_SHOPLIST_xls_161"/>
      <sheetName val="[SHOPLIST.xls]_61"/>
      <sheetName val="[SHOPLIST.xls]_62"/>
      <sheetName val="_SHOPLIST_xls_162"/>
      <sheetName val="_SHOPLIST_xls_163"/>
      <sheetName val="[SHOPLIST.xls]_63"/>
      <sheetName val="[SHOPLIST.xls]_64"/>
      <sheetName val="[SHOPLIST.xls]_65"/>
      <sheetName val="_SHOPLIST_xls_164"/>
      <sheetName val="_SHOPLIST_xls_165"/>
      <sheetName val="[SHOPLIST.xls]_66"/>
      <sheetName val="[SHOPLIST.xls]_67"/>
      <sheetName val="[SHOPLIST.xls]_68"/>
      <sheetName val="[SHOPLIST.xls]_69"/>
      <sheetName val="[SHOPLIST.xls]_70"/>
      <sheetName val="[SHOPLIST.xls]_71"/>
      <sheetName val="[SHOPLIST.xls]_72"/>
      <sheetName val="[SHOPLIST.xls]_73"/>
      <sheetName val="_SHOPLIST_xls_166"/>
      <sheetName val="_SHOPLIST_xls_167"/>
      <sheetName val="_SHOPLIST_xls_168"/>
      <sheetName val="_SHOPLIST_xls_169"/>
      <sheetName val="_SHOPLIST_xls_170"/>
      <sheetName val="_SHOPLIST_xls_171"/>
      <sheetName val="_SHOPLIST_xls_172"/>
      <sheetName val="_SHOPLIST_xls_173"/>
      <sheetName val="_SHOPLIST_xls_174"/>
      <sheetName val="_SHOPLIST_xls_175"/>
      <sheetName val="_SHOPLIST_xls_176"/>
      <sheetName val="[SHOPLIST.xls]_74"/>
      <sheetName val="[SHOPLIST.xls]_75"/>
      <sheetName val="[SHOPLIST.xls]_76"/>
      <sheetName val="[SHOPLIST.xls]_77"/>
      <sheetName val="_SHOPLIST_xls_177"/>
      <sheetName val="_SHOPLIST_xls_178"/>
      <sheetName val="_SHOPLIST_xls_179"/>
      <sheetName val="_SHOPLIST_xls_180"/>
      <sheetName val="_SHOPLIST_xls_181"/>
      <sheetName val="_SHOPLIST_xls_182"/>
      <sheetName val="_SHOPLIST_xls_183"/>
      <sheetName val="_SHOPLIST_xls_184"/>
      <sheetName val="_SHOPLIST_xls_185"/>
      <sheetName val="_SHOPLIST_xls_186"/>
      <sheetName val="_SHOPLIST_xls_187"/>
      <sheetName val="_SHOPLIST_xls_188"/>
      <sheetName val="[SHOPLIST.xls]_78"/>
      <sheetName val="[SHOPLIST.xls]_79"/>
      <sheetName val="_SHOPLIST_xls_189"/>
      <sheetName val="_SHOPLIST_xls_190"/>
      <sheetName val="_SHOPLIST_xls_191"/>
      <sheetName val="_SHOPLIST_xls_192"/>
      <sheetName val="_SHOPLIST_xls_193"/>
      <sheetName val="_SHOPLIST_xls_194"/>
      <sheetName val="_SHOPLIST_xls_195"/>
      <sheetName val="_SHOPLIST_xls_196"/>
      <sheetName val="_SHOPLIST_xls_197"/>
      <sheetName val="_SHOPLIST_xls_198"/>
      <sheetName val="_SHOPLIST_xls_199"/>
      <sheetName val="_SHOPLIST_xls_200"/>
      <sheetName val="_SHOPLIST_xls_201"/>
      <sheetName val="[SHOPLIST.xls]_80"/>
      <sheetName val="_SHOPLIST_xls_202"/>
      <sheetName val="_SHOPLIST_xls_203"/>
      <sheetName val="_SHOPLIST_xls_204"/>
      <sheetName val="_SHOPLIST_xls_205"/>
      <sheetName val="_SHOPLIST_xls_206"/>
      <sheetName val="_SHOPLIST_xls_207"/>
      <sheetName val="_SHOPLIST_xls_208"/>
      <sheetName val="_SHOPLIST_xls_209"/>
      <sheetName val="_SHOPLIST_xls_210"/>
      <sheetName val="_SHOPLIST_xls_211"/>
      <sheetName val="_SHOPLIST_xls_212"/>
      <sheetName val="_SHOPLIST_xls_213"/>
      <sheetName val="_SHOPLIST_xls_214"/>
      <sheetName val="_SHOPLIST_xls_215"/>
      <sheetName val="_SHOPLIST_xls_216"/>
      <sheetName val="_SHOPLIST_xls_217"/>
      <sheetName val="_SHOPLIST_xls_218"/>
      <sheetName val="_SHOPLIST_xls_219"/>
      <sheetName val="_SHOPLIST_xls_220"/>
      <sheetName val="_SHOPLIST_xls_221"/>
      <sheetName val="_SHOPLIST_xls_222"/>
      <sheetName val="_SHOPLIST_xls_223"/>
      <sheetName val="_SHOPLIST_xls_224"/>
      <sheetName val="_SHOPLIST_xls_225"/>
      <sheetName val="_SHOPLIST_xls_226"/>
      <sheetName val="_SHOPLIST_xls_227"/>
      <sheetName val="_SHOPLIST_xls_228"/>
      <sheetName val="_SHOPLIST_xls_229"/>
      <sheetName val="_SHOPLIST_xls_230"/>
      <sheetName val="_SHOPLIST_xls_231"/>
      <sheetName val="_SHOPLIST_xls_232"/>
      <sheetName val="_SHOPLIST_xls_233"/>
      <sheetName val="_SHOPLIST_xls_234"/>
      <sheetName val="_SHOPLIST_xls_235"/>
      <sheetName val="_SHOPLIST_xls_236"/>
      <sheetName val="_SHOPLIST_xls_237"/>
      <sheetName val="_SHOPLIST_xls_238"/>
      <sheetName val="_SHOPLIST_xls_239"/>
      <sheetName val="_SHOPLIST_xls_240"/>
      <sheetName val="_SHOPLIST_xls_241"/>
      <sheetName val="_SHOPLIST_xls_242"/>
      <sheetName val="_SHOPLIST_xls_243"/>
      <sheetName val="_SHOPLIST_xls_244"/>
      <sheetName val="_SHOPLIST_xls_245"/>
      <sheetName val="_SHOPLIST_xls_246"/>
      <sheetName val="_SHOPLIST_xls_247"/>
      <sheetName val="_SHOPLIST_xls_248"/>
      <sheetName val="_SHOPLIST_xls_249"/>
      <sheetName val="_SHOPLIST_xls_250"/>
      <sheetName val="_SHOPLIST_xls_251"/>
      <sheetName val="_SHOPLIST_xls_252"/>
      <sheetName val="_SHOPLIST_xls_253"/>
      <sheetName val="_SHOPLIST_xls_254"/>
      <sheetName val="_SHOPLIST_xls_255"/>
      <sheetName val="_SHOPLIST_xls_256"/>
      <sheetName val="_SHOPLIST_xls_257"/>
      <sheetName val="_SHOPLIST_xls_258"/>
      <sheetName val="_SHOPLIST_xls_259"/>
      <sheetName val="_SHOPLIST_xls_260"/>
      <sheetName val="_SHOPLIST_xls_261"/>
      <sheetName val="_SHOPLIST_xls_262"/>
      <sheetName val="_SHOPLIST_xls_263"/>
      <sheetName val="_SHOPLIST_xls_264"/>
      <sheetName val="_SHOPLIST_xls_265"/>
      <sheetName val="_SHOPLIST_xls_266"/>
      <sheetName val="_SHOPLIST_xls_267"/>
      <sheetName val="70_x005f_x005f_x005f_x0000__3"/>
      <sheetName val="[SHOPLIST.xls]_81"/>
      <sheetName val="[SHOPLIST.xls]_82"/>
      <sheetName val="[SHOPLIST.xls]_83"/>
      <sheetName val="[SHOPLIST.xls]_84"/>
      <sheetName val="[SHOPLIST.xls]_85"/>
      <sheetName val="[SHOPLIST.xls]_86"/>
      <sheetName val="[SHOPLIST.xls]_87"/>
      <sheetName val="[SHOPLIST.xls]_88"/>
      <sheetName val="[SHOPLIST.xls]_89"/>
      <sheetName val="[SHOPLIST.xls]_90"/>
      <sheetName val="[SHOPLIST.xls]_91"/>
      <sheetName val="[SHOPLIST.xls]_92"/>
      <sheetName val="[SHOPLIST.xls]_93"/>
      <sheetName val="[SHOPLIST.xls]_94"/>
      <sheetName val="[SHOPLIST.xls]_95"/>
      <sheetName val="70___0_s__i____14"/>
      <sheetName val="_VW__VU________10"/>
      <sheetName val="70___0_s__i____15"/>
      <sheetName val="70_x005f_x0000___0_x0_6"/>
      <sheetName val="70___0_s__i____16"/>
      <sheetName val="[SHOPLIST.xls]_96"/>
      <sheetName val="_VW__VU________11"/>
      <sheetName val="_SHOPLIST_xls_268"/>
      <sheetName val="_SHOPLIST_xls_269"/>
      <sheetName val="[SHOPLIST.xls]_97"/>
      <sheetName val="[SHOPLIST.xls]_98"/>
      <sheetName val="_SHOPLIST_xls_270"/>
      <sheetName val="_SHOPLIST_xls_271"/>
      <sheetName val="[SHOPLIST.xls]_99"/>
      <sheetName val="_SHOPLIST_xls_272"/>
      <sheetName val="_SHOPLIST_xls_273"/>
      <sheetName val="_SHOPLIST_xls_274"/>
      <sheetName val="_SHOPLIST_xls_275"/>
      <sheetName val="_SHOPLIST_xls_276"/>
      <sheetName val="_SHOPLIST_xls_277"/>
      <sheetName val="_SHOPLIST_xls_278"/>
      <sheetName val="_SHOPLIST_xls_279"/>
      <sheetName val="_SHOPLIST_xls_280"/>
      <sheetName val="_SHOPLIST_xls_281"/>
      <sheetName val="_SHOPLIST_xls_282"/>
      <sheetName val="_SHOPLIST_xls_283"/>
      <sheetName val="_SHOPLIST_xls_284"/>
      <sheetName val="_SHOPLIST_xls_285"/>
      <sheetName val="_SHOPLIST_xls_286"/>
      <sheetName val="_SHOPLIST_xls_287"/>
      <sheetName val="_SHOPLIST_xls_288"/>
      <sheetName val="_SHOPLIST_xls_289"/>
      <sheetName val="_SHOPLIST_xls_290"/>
      <sheetName val="_SHOPLIST_xls_291"/>
      <sheetName val="_SHOPLIST_xls_292"/>
      <sheetName val="_SHOPLIST_xls_293"/>
      <sheetName val="_SHOPLIST_xls_294"/>
      <sheetName val="_SHOPLIST_xls_295"/>
      <sheetName val="_SHOPLIST_xls_296"/>
      <sheetName val="_SHOPLIST_xls_297"/>
      <sheetName val="_SHOPLIST_xls_298"/>
      <sheetName val="_SHOPLIST_xls_299"/>
      <sheetName val="_SHOPLIST_xls_300"/>
      <sheetName val="_SHOPLIST_xls_301"/>
      <sheetName val="_SHOPLIST_xls_302"/>
      <sheetName val="_SHOPLIST_xls_303"/>
      <sheetName val="_SHOPLIST_xls_304"/>
      <sheetName val="_SHOPLIST_xls_305"/>
      <sheetName val="_SHOPLIST_xls_306"/>
      <sheetName val="_SHOPLIST_xls_307"/>
      <sheetName val="_SHOPLIST_xls_308"/>
      <sheetName val="_SHOPLIST_xls_309"/>
      <sheetName val="_SHOPLIST_xls_310"/>
      <sheetName val="_SHOPLIST_xls_311"/>
      <sheetName val="_SHOPLIST_xls_312"/>
      <sheetName val="_SHOPLIST_xls_313"/>
      <sheetName val="_SHOPLIST_xls_314"/>
      <sheetName val="_SHOPLIST_xls_315"/>
      <sheetName val="_SHOPLIST_xls_316"/>
      <sheetName val="_SHOPLIST_xls_317"/>
      <sheetName val="_SHOPLIST_xls_318"/>
      <sheetName val="_SHOPLIST_xls_319"/>
      <sheetName val="_SHOPLIST_xls_320"/>
      <sheetName val="_SHOPLIST_xls_321"/>
      <sheetName val="_SHOPLIST_xls_322"/>
      <sheetName val="_SHOPLIST_xls_323"/>
      <sheetName val="_SHOPLIST_xls_324"/>
      <sheetName val="_SHOPLIST_xls_325"/>
      <sheetName val="_SHOPLIST_xls_326"/>
      <sheetName val="_SHOPLIST_xls_327"/>
      <sheetName val="_SHOPLIST_xls_328"/>
      <sheetName val="_SHOPLIST_xls_329"/>
      <sheetName val="_SHOPLIST_xls_330"/>
      <sheetName val="_SHOPLIST_xls_331"/>
      <sheetName val="_SHOPLIST_xls_332"/>
      <sheetName val="_SHOPLIST_xls_333"/>
      <sheetName val="_SHOPLIST_xls_334"/>
      <sheetName val="_SHOPLIST_xls_335"/>
      <sheetName val="_SHOPLIST_xls_336"/>
      <sheetName val="_SHOPLIST_xls_337"/>
      <sheetName val="_SHOPLIST_xls_338"/>
      <sheetName val="_SHOPLIST_xls_339"/>
      <sheetName val="_SHOPLIST_xls_340"/>
      <sheetName val="_SHOPLIST_xls_341"/>
      <sheetName val="_SHOPLIST_xls_342"/>
      <sheetName val="_SHOPLIST_xls_343"/>
      <sheetName val="_SHOPLIST_xls_344"/>
      <sheetName val="_SHOPLIST_xls_345"/>
      <sheetName val="_SHOPLIST_xls_346"/>
      <sheetName val="_SHOPLIST_xls_347"/>
      <sheetName val="_SHOPLIST_xls_348"/>
      <sheetName val="_SHOPLIST_xls_349"/>
      <sheetName val="_SHOPLIST_xls_350"/>
      <sheetName val="_SHOPLIST_xls_351"/>
      <sheetName val="_SHOPLIST_xls_352"/>
      <sheetName val="_SHOPLIST_xls_353"/>
      <sheetName val="_SHOPLIST_xls_354"/>
      <sheetName val="_SHOPLIST_xls_355"/>
      <sheetName val="_SHOPLIST_xls_356"/>
      <sheetName val="_SHOPLIST_xls_357"/>
      <sheetName val="_SHOPLIST_xls_358"/>
      <sheetName val="_SHOPLIST_xls_359"/>
      <sheetName val="_SHOPLIST_xls_360"/>
      <sheetName val="_SHOPLIST_xls_361"/>
      <sheetName val="_SHOPLIST_xls_362"/>
      <sheetName val="_SHOPLIST_xls_363"/>
      <sheetName val="_SHOPLIST_xls_364"/>
      <sheetName val="_SHOPLIST_xls_365"/>
      <sheetName val="_SHOPLIST_xls_366"/>
      <sheetName val="_SHOPLIST_xls_367"/>
      <sheetName val="_SHOPLIST_xls_368"/>
      <sheetName val="_SHOPLIST_xls_369"/>
      <sheetName val="_SHOPLIST_xls_370"/>
      <sheetName val="_SHOPLIST_xls_371"/>
      <sheetName val="_SHOPLIST_xls_372"/>
      <sheetName val="_SHOPLIST_xls_373"/>
      <sheetName val="_SHOPLIST_xls_374"/>
      <sheetName val="_SHOPLIST_xls_375"/>
      <sheetName val="_SHOPLIST_xls_376"/>
      <sheetName val="_SHOPLIST_xls_377"/>
      <sheetName val="_SHOPLIST_xls_378"/>
      <sheetName val="_SHOPLIST_xls_379"/>
      <sheetName val="_SHOPLIST_xls_380"/>
      <sheetName val="_SHOPLIST_xls_381"/>
      <sheetName val="_SHOPLIST_xls_382"/>
      <sheetName val="_SHOPLIST_xls_383"/>
      <sheetName val="_SHOPLIST_xls_384"/>
      <sheetName val="_SHOPLIST_xls_385"/>
      <sheetName val="_SHOPLIST_xls_386"/>
      <sheetName val="_SHOPLIST_xls_387"/>
      <sheetName val="_SHOPLIST_xls_388"/>
      <sheetName val="_SHOPLIST_xls_389"/>
      <sheetName val="_SHOPLIST_xls_390"/>
      <sheetName val="_SHOPLIST_xls_391"/>
      <sheetName val="_SHOPLIST_xls_392"/>
      <sheetName val="70_x005f_x005f_x005f_x0000__4"/>
      <sheetName val="_SHOPLIST_xls_393"/>
      <sheetName val="_SHOPLIST_xls_394"/>
      <sheetName val="_SHOPLIST_xls_395"/>
      <sheetName val="_SHOPLIST_xls_396"/>
      <sheetName val="_SHOPLIST_xls_397"/>
      <sheetName val="_SHOPLIST_xls_398"/>
      <sheetName val="_SHOPLIST_xls_399"/>
      <sheetName val="_SHOPLIST_xls_400"/>
      <sheetName val="_SHOPLIST_xls_401"/>
      <sheetName val="_SHOPLIST_xls_402"/>
      <sheetName val="_SHOPLIST_xls_403"/>
      <sheetName val="_SHOPLIST_xls_404"/>
      <sheetName val="_SHOPLIST_xls_405"/>
      <sheetName val="_SHOPLIST_xls_406"/>
      <sheetName val="_SHOPLIST_xls_407"/>
      <sheetName val="70___0_s__i____17"/>
      <sheetName val="_VW__VU________12"/>
      <sheetName val="70___0_s__i____18"/>
      <sheetName val="70_x005f_x0000___0_x0_7"/>
      <sheetName val="70___0_s__i____19"/>
      <sheetName val="_SHOPLIST_xls_408"/>
      <sheetName val="_VW__VU________13"/>
      <sheetName val="_SHOPLIST_xls_409"/>
      <sheetName val="_SHOPLIST_xls_410"/>
      <sheetName val="_SHOPLIST_xls_411"/>
      <sheetName val="_SHOPLIST_xls_412"/>
      <sheetName val="_SHOPLIST_xls_413"/>
      <sheetName val="_SHOPLIST_xls_414"/>
      <sheetName val="_SHOPLIST_xls_415"/>
      <sheetName val="_SHOPLIST_xls_416"/>
      <sheetName val="_SHOPLIST_xls_417"/>
      <sheetName val="_SHOPLIST_xls_418"/>
      <sheetName val="_SHOPLIST_xls_419"/>
      <sheetName val="_SHOPLIST_xls_420"/>
      <sheetName val="_SHOPLIST_xls_421"/>
      <sheetName val="_SHOPLIST_xls_422"/>
      <sheetName val="_SHOPLIST_xls_423"/>
      <sheetName val="_SHOPLIST_xls_424"/>
      <sheetName val="_SHOPLIST_xls_425"/>
      <sheetName val="_SHOPLIST_xls_426"/>
      <sheetName val="_SHOPLIST_xls_427"/>
      <sheetName val="_SHOPLIST_xls_428"/>
      <sheetName val="_SHOPLIST_xls_429"/>
      <sheetName val="_SHOPLIST_xls_430"/>
      <sheetName val="_SHOPLIST_xls_431"/>
      <sheetName val="_SHOPLIST_xls_432"/>
      <sheetName val="_SHOPLIST_xls_433"/>
      <sheetName val="_SHOPLIST_xls_434"/>
      <sheetName val="_SHOPLIST_xls_435"/>
      <sheetName val="_SHOPLIST_xls_436"/>
      <sheetName val="_SHOPLIST_xls_437"/>
      <sheetName val="_SHOPLIST_xls_438"/>
      <sheetName val="_SHOPLIST_xls_439"/>
      <sheetName val="_SHOPLIST_xls_440"/>
      <sheetName val="_SHOPLIST_xls_441"/>
      <sheetName val="_SHOPLIST_xls_442"/>
      <sheetName val="_SHOPLIST_xls_443"/>
      <sheetName val="_SHOPLIST_xls_444"/>
      <sheetName val="_SHOPLIST_xls_445"/>
      <sheetName val="_SHOPLIST_xls_446"/>
      <sheetName val="_SHOPLIST_xls_447"/>
      <sheetName val="_SHOPLIST_xls_448"/>
      <sheetName val="_SHOPLIST_xls_449"/>
      <sheetName val="_SHOPLIST_xls_450"/>
      <sheetName val="_SHOPLIST_xls_451"/>
      <sheetName val="_SHOPLIST_xls_452"/>
      <sheetName val="_SHOPLIST_xls_453"/>
      <sheetName val="_SHOPLIST_xls_454"/>
      <sheetName val="_SHOPLIST_xls_455"/>
      <sheetName val="_SHOPLIST_xls_456"/>
      <sheetName val="_SHOPLIST_xls_457"/>
      <sheetName val="_SHOPLIST_xls_458"/>
      <sheetName val="_SHOPLIST_xls_459"/>
      <sheetName val="_SHOPLIST_xls_460"/>
      <sheetName val="_SHOPLIST_xls_461"/>
      <sheetName val="_SHOPLIST_xls_462"/>
      <sheetName val="_SHOPLIST_xls_463"/>
      <sheetName val="_SHOPLIST_xls_464"/>
      <sheetName val="_SHOPLIST_xls_465"/>
      <sheetName val="_SHOPLIST_xls_466"/>
      <sheetName val="_SHOPLIST_xls_467"/>
      <sheetName val="_SHOPLIST_xls_468"/>
      <sheetName val="_SHOPLIST_xls_469"/>
      <sheetName val="_SHOPLIST_xls_470"/>
      <sheetName val="_SHOPLIST_xls_471"/>
      <sheetName val="_SHOPLIST_xls_472"/>
      <sheetName val="_SHOPLIST_xls_473"/>
      <sheetName val="_SHOPLIST_xls_474"/>
      <sheetName val="_SHOPLIST_xls_475"/>
      <sheetName val="_SHOPLIST_xls_476"/>
      <sheetName val="_SHOPLIST_xls_477"/>
      <sheetName val="_SHOPLIST_xls_478"/>
      <sheetName val="_SHOPLIST_xls_479"/>
      <sheetName val="_SHOPLIST_xls_480"/>
      <sheetName val="_SHOPLIST_xls_481"/>
      <sheetName val="_SHOPLIST_xls_482"/>
      <sheetName val="_SHOPLIST_xls_483"/>
      <sheetName val="_SHOPLIST_xls_484"/>
      <sheetName val="_SHOPLIST_xls_485"/>
      <sheetName val="_SHOPLIST_xls_486"/>
      <sheetName val="_SHOPLIST_xls_487"/>
      <sheetName val="_SHOPLIST_xls_488"/>
      <sheetName val="_SHOPLIST_xls_489"/>
      <sheetName val="_SHOPLIST_xls_490"/>
      <sheetName val="_SHOPLIST_xls_491"/>
      <sheetName val="_SHOPLIST_xls_492"/>
      <sheetName val="_SHOPLIST_xls_493"/>
      <sheetName val="_SHOPLIST_xls_494"/>
      <sheetName val="_SHOPLIST_xls_495"/>
      <sheetName val="_SHOPLIST_xls_496"/>
      <sheetName val="_SHOPLIST_xls_497"/>
      <sheetName val="_SHOPLIST_xls_498"/>
      <sheetName val="_SHOPLIST_xls_499"/>
      <sheetName val="_SHOPLIST_xls_500"/>
      <sheetName val="_SHOPLIST_xls_501"/>
      <sheetName val="_SHOPLIST_xls_502"/>
      <sheetName val="_SHOPLIST_xls_503"/>
      <sheetName val="_SHOPLIST_xls_504"/>
      <sheetName val="_SHOPLIST_xls_505"/>
      <sheetName val="_SHOPLIST_xls_506"/>
      <sheetName val="_SHOPLIST_xls_507"/>
      <sheetName val="_SHOPLIST_xls_508"/>
      <sheetName val="_SHOPLIST_xls_509"/>
      <sheetName val="_SHOPLIST_xls_510"/>
      <sheetName val="_SHOPLIST_xls_511"/>
      <sheetName val="_SHOPLIST_xls_512"/>
      <sheetName val="_SHOPLIST_xls_513"/>
      <sheetName val="_SHOPLIST_xls_514"/>
      <sheetName val="_SHOPLIST_xls_515"/>
      <sheetName val="_SHOPLIST_xls_516"/>
      <sheetName val="_SHOPLIST_xls_517"/>
      <sheetName val="_SHOPLIST_xls_518"/>
      <sheetName val="_SHOPLIST_xls_519"/>
      <sheetName val="_SHOPLIST_xls_520"/>
      <sheetName val="_SHOPLIST_xls_521"/>
      <sheetName val="_SHOPLIST_xls_522"/>
      <sheetName val="_SHOPLIST_xls_523"/>
      <sheetName val="_SHOPLIST_xls_524"/>
      <sheetName val="_SHOPLIST_xls_525"/>
      <sheetName val="_SHOPLIST_xls_526"/>
      <sheetName val="_SHOPLIST_xls_527"/>
      <sheetName val="_SHOPLIST_xls_528"/>
      <sheetName val="_SHOPLIST_xls_529"/>
      <sheetName val="_SHOPLIST_xls_530"/>
      <sheetName val="_SHOPLIST_xls_531"/>
      <sheetName val="_SHOPLIST_xls_532"/>
      <sheetName val="_SHOPLIST_xls_533"/>
      <sheetName val="_SHOPLIST_xls_534"/>
      <sheetName val="_SHOPLIST_xls_535"/>
      <sheetName val="_SHOPLIST_xls_536"/>
      <sheetName val="70_x005f_x005f_x005f_x0000__5"/>
      <sheetName val="_SHOPLIST_xls_537"/>
      <sheetName val="_SHOPLIST_xls_538"/>
      <sheetName val="_SHOPLIST_xls_539"/>
      <sheetName val="_SHOPLIST_xls_540"/>
      <sheetName val="_SHOPLIST_xls_541"/>
      <sheetName val="_SHOPLIST_xls_542"/>
      <sheetName val="_SHOPLIST_xls_543"/>
      <sheetName val="_SHOPLIST_xls_544"/>
      <sheetName val="_SHOPLIST_xls_545"/>
      <sheetName val="_SHOPLIST_xls_546"/>
      <sheetName val="_SHOPLIST_xls_547"/>
      <sheetName val="_SHOPLIST_xls_548"/>
      <sheetName val="_SHOPLIST_xls_549"/>
      <sheetName val="_SHOPLIST_xls_550"/>
      <sheetName val="_SHOPLIST_xls_551"/>
      <sheetName val="_SHOPLIST_xls_552"/>
      <sheetName val="_SHOPLIST_xls_553"/>
      <sheetName val="_SHOPLIST_xls_554"/>
      <sheetName val="_SHOPLIST_xls_555"/>
      <sheetName val="_SHOPLIST_xls_556"/>
      <sheetName val="_SHOPLIST_xls_557"/>
      <sheetName val="_SHOPLIST_xls_558"/>
      <sheetName val="_SHOPLIST_xls_559"/>
      <sheetName val="_SHOPLIST_xls_560"/>
      <sheetName val="_SHOPLIST_xls_561"/>
      <sheetName val="_SHOPLIST_xls_562"/>
      <sheetName val="_SHOPLIST_xls_563"/>
      <sheetName val="_SHOPLIST_xls_564"/>
      <sheetName val="_SHOPLIST_xls_565"/>
      <sheetName val="_SHOPLIST_xls_566"/>
      <sheetName val="_SHOPLIST_xls_567"/>
      <sheetName val="_SHOPLIST_xls_568"/>
      <sheetName val="_SHOPLIST_xls_569"/>
      <sheetName val="_SHOPLIST_xls_570"/>
      <sheetName val="_SHOPLIST_xls_571"/>
      <sheetName val="_SHOPLIST_xls_572"/>
      <sheetName val="_SHOPLIST_xls_573"/>
      <sheetName val="_SHOPLIST_xls_574"/>
      <sheetName val="_SHOPLIST_xls_575"/>
      <sheetName val="_SHOPLIST_xls_576"/>
      <sheetName val="_SHOPLIST_xls_577"/>
      <sheetName val="_SHOPLIST_xls_578"/>
      <sheetName val="_SHOPLIST_xls_579"/>
      <sheetName val="_SHOPLIST_xls_580"/>
      <sheetName val="_SHOPLIST_xls_581"/>
      <sheetName val="_SHOPLIST_xls_582"/>
      <sheetName val="70___0_s__i____20"/>
      <sheetName val="_VW__VU________14"/>
      <sheetName val="70___0_s__i____21"/>
      <sheetName val="70_x005f_x0000___0_x0_8"/>
      <sheetName val="70___0_s__i____22"/>
      <sheetName val="_SHOPLIST_xls_583"/>
      <sheetName val="_VW__VU________15"/>
      <sheetName val="_SHOPLIST_xls_584"/>
      <sheetName val="_SHOPLIST_xls_585"/>
      <sheetName val="_SHOPLIST_xls_586"/>
      <sheetName val="_SHOPLIST_xls_587"/>
      <sheetName val="_SHOPLIST_xls_588"/>
      <sheetName val="_SHOPLIST_xls_589"/>
      <sheetName val="_SHOPLIST_xls_590"/>
      <sheetName val="_SHOPLIST_xls_591"/>
      <sheetName val="_SHOPLIST_xls_592"/>
      <sheetName val="_SHOPLIST_xls_593"/>
      <sheetName val="_SHOPLIST_xls_594"/>
      <sheetName val="_SHOPLIST_xls_595"/>
      <sheetName val="_SHOPLIST_xls_596"/>
      <sheetName val="_SHOPLIST_xls_597"/>
      <sheetName val="_SHOPLIST_xls_598"/>
      <sheetName val="_SHOPLIST_xls_599"/>
      <sheetName val="_SHOPLIST_xls_600"/>
      <sheetName val="_SHOPLIST_xls_601"/>
      <sheetName val="_SHOPLIST_xls_602"/>
      <sheetName val="_SHOPLIST_xls_603"/>
      <sheetName val="_SHOPLIST_xls_604"/>
      <sheetName val="_SHOPLIST_xls_605"/>
      <sheetName val="_SHOPLIST_xls_606"/>
      <sheetName val="_SHOPLIST_xls_607"/>
      <sheetName val="_SHOPLIST_xls_608"/>
      <sheetName val="_SHOPLIST_xls_609"/>
      <sheetName val="_SHOPLIST_xls_610"/>
      <sheetName val="_SHOPLIST_xls_611"/>
      <sheetName val="_SHOPLIST_xls_612"/>
      <sheetName val="_SHOPLIST_xls_613"/>
      <sheetName val="_SHOPLIST_xls_614"/>
      <sheetName val="_SHOPLIST_xls_615"/>
      <sheetName val="_SHOPLIST_xls_616"/>
      <sheetName val="_SHOPLIST_xls_617"/>
      <sheetName val="_SHOPLIST_xls_618"/>
      <sheetName val="_SHOPLIST_xls_619"/>
      <sheetName val="_SHOPLIST_xls_620"/>
      <sheetName val="_SHOPLIST_xls_621"/>
      <sheetName val="_SHOPLIST_xls_622"/>
      <sheetName val="_SHOPLIST_xls_623"/>
      <sheetName val="_SHOPLIST_xls_624"/>
      <sheetName val="_SHOPLIST_xls_625"/>
      <sheetName val="_SHOPLIST_xls_626"/>
      <sheetName val="_SHOPLIST_xls_627"/>
      <sheetName val="_SHOPLIST_xls_628"/>
      <sheetName val="_SHOPLIST_xls_629"/>
      <sheetName val="_SHOPLIST_xls_630"/>
      <sheetName val="_SHOPLIST_xls_631"/>
      <sheetName val="_SHOPLIST_xls_632"/>
      <sheetName val="_SHOPLIST_xls_633"/>
      <sheetName val="_SHOPLIST_xls_634"/>
      <sheetName val="_SHOPLIST_xls_635"/>
      <sheetName val="_SHOPLIST_xls_636"/>
      <sheetName val="_SHOPLIST_xls_637"/>
      <sheetName val="_SHOPLIST_xls_638"/>
      <sheetName val="_SHOPLIST_xls_639"/>
      <sheetName val="_SHOPLIST_xls_640"/>
      <sheetName val="_SHOPLIST_xls_641"/>
      <sheetName val="_SHOPLIST_xls_642"/>
      <sheetName val="_SHOPLIST_xls_643"/>
      <sheetName val="_SHOPLIST_xls_644"/>
      <sheetName val="_SHOPLIST_xls_645"/>
      <sheetName val="_SHOPLIST_xls_646"/>
      <sheetName val="_SHOPLIST_xls_647"/>
      <sheetName val="_SHOPLIST_xls_648"/>
      <sheetName val="_SHOPLIST_xls_649"/>
      <sheetName val="_SHOPLIST_xls_650"/>
      <sheetName val="_SHOPLIST_xls_651"/>
      <sheetName val="_SHOPLIST_xls_652"/>
      <sheetName val="_SHOPLIST_xls_653"/>
      <sheetName val="_SHOPLIST_xls_654"/>
      <sheetName val="_SHOPLIST_xls_655"/>
      <sheetName val="_SHOPLIST_xls_656"/>
      <sheetName val="_SHOPLIST_xls_657"/>
      <sheetName val="_SHOPLIST_xls_658"/>
      <sheetName val="_SHOPLIST_xls_659"/>
      <sheetName val="_SHOPLIST_xls_660"/>
      <sheetName val="_SHOPLIST_xls_661"/>
      <sheetName val="_SHOPLIST_xls_662"/>
      <sheetName val="_SHOPLIST_xls_663"/>
      <sheetName val="_SHOPLIST_xls_664"/>
      <sheetName val="_SHOPLIST_xls_665"/>
      <sheetName val="_SHOPLIST_xls_666"/>
      <sheetName val="_SHOPLIST_xls_667"/>
      <sheetName val="_SHOPLIST_xls_668"/>
      <sheetName val="_SHOPLIST_xls_669"/>
      <sheetName val="_SHOPLIST_xls_670"/>
      <sheetName val="_SHOPLIST_xls_671"/>
      <sheetName val="_SHOPLIST_xls_672"/>
      <sheetName val="_SHOPLIST_xls_673"/>
      <sheetName val="_SHOPLIST_xls_674"/>
      <sheetName val="_SHOPLIST_xls_675"/>
      <sheetName val="_SHOPLIST_xls_676"/>
      <sheetName val="_SHOPLIST_xls_677"/>
      <sheetName val="_SHOPLIST_xls_678"/>
      <sheetName val="_SHOPLIST_xls_679"/>
      <sheetName val="_SHOPLIST_xls_680"/>
      <sheetName val="_SHOPLIST_xls_681"/>
      <sheetName val="_SHOPLIST_xls_682"/>
      <sheetName val="_SHOPLIST_xls_683"/>
      <sheetName val="_SHOPLIST_xls_684"/>
      <sheetName val="_SHOPLIST_xls_685"/>
      <sheetName val="_SHOPLIST_xls_686"/>
      <sheetName val="_SHOPLIST_xls_687"/>
      <sheetName val="_SHOPLIST_xls_688"/>
      <sheetName val="_SHOPLIST_xls_689"/>
      <sheetName val="_SHOPLIST_xls_690"/>
      <sheetName val="_SHOPLIST_xls_691"/>
      <sheetName val="_SHOPLIST_xls_692"/>
      <sheetName val="_SHOPLIST_xls_693"/>
      <sheetName val="_SHOPLIST_xls_694"/>
      <sheetName val="70_x005f_x005f_x005f_x0000__6"/>
      <sheetName val="_SHOPLIST_xls_695"/>
      <sheetName val="_SHOPLIST_xls_696"/>
      <sheetName val="_SHOPLIST_xls_697"/>
      <sheetName val="_SHOPLIST_xls_698"/>
      <sheetName val="_SHOPLIST_xls_699"/>
      <sheetName val="_SHOPLIST_xls_700"/>
      <sheetName val="_SHOPLIST_xls_710"/>
      <sheetName val="_SHOPLIST_xls_711"/>
      <sheetName val="_SHOPLIST_xls_712"/>
      <sheetName val="_SHOPLIST_xls_713"/>
      <sheetName val="_SHOPLIST_xls_714"/>
      <sheetName val="_SHOPLIST_xls_715"/>
      <sheetName val="_SHOPLIST_xls_716"/>
      <sheetName val="_SHOPLIST_xls_717"/>
      <sheetName val="_SHOPLIST_xls_718"/>
      <sheetName val="_SHOPLIST_xls_719"/>
      <sheetName val="_SHOPLIST_xls_720"/>
      <sheetName val="_SHOPLIST_xls_721"/>
      <sheetName val="_SHOPLIST_xls_722"/>
      <sheetName val="_SHOPLIST_xls_723"/>
      <sheetName val="_SHOPLIST_xls_724"/>
      <sheetName val="_SHOPLIST_xls_725"/>
      <sheetName val="_SHOPLIST_xls_726"/>
      <sheetName val="70___0_s__i____23"/>
      <sheetName val="_VW__VU________16"/>
      <sheetName val="70___0_s__i____24"/>
      <sheetName val="70_x005f_x0000___0_x0_9"/>
      <sheetName val="70___0_s__i____25"/>
      <sheetName val="_SHOPLIST_xls_727"/>
      <sheetName val="_VW__VU________17"/>
      <sheetName val="_SHOPLIST_xls_728"/>
      <sheetName val="_SHOPLIST_xls_729"/>
      <sheetName val="_SHOPLIST_xls_730"/>
      <sheetName val="_SHOPLIST_xls_731"/>
      <sheetName val="_SHOPLIST_xls_732"/>
      <sheetName val="_SHOPLIST_xls_733"/>
      <sheetName val="_SHOPLIST_xls_734"/>
      <sheetName val="_SHOPLIST_xls_735"/>
      <sheetName val="_SHOPLIST_xls_736"/>
      <sheetName val="_SHOPLIST_xls_737"/>
      <sheetName val="_SHOPLIST_xls_738"/>
      <sheetName val="_SHOPLIST_xls_739"/>
      <sheetName val="_SHOPLIST_xls_740"/>
      <sheetName val="_SHOPLIST_xls_741"/>
      <sheetName val="_SHOPLIST_xls_742"/>
      <sheetName val="_SHOPLIST_xls_743"/>
      <sheetName val="_SHOPLIST_xls_744"/>
      <sheetName val="_SHOPLIST_xls_745"/>
      <sheetName val="_SHOPLIST_xls_746"/>
      <sheetName val="_SHOPLIST_xls_747"/>
      <sheetName val="_SHOPLIST_xls_748"/>
      <sheetName val="_SHOPLIST_xls_749"/>
      <sheetName val="_SHOPLIST_xls_750"/>
      <sheetName val="_SHOPLIST_xls_751"/>
      <sheetName val="_SHOPLIST_xls_752"/>
      <sheetName val="_SHOPLIST_xls_753"/>
      <sheetName val="_SHOPLIST_xls_754"/>
      <sheetName val="_SHOPLIST_xls_755"/>
      <sheetName val="_SHOPLIST_xls_756"/>
      <sheetName val="_SHOPLIST_xls_757"/>
      <sheetName val="_SHOPLIST_xls_758"/>
      <sheetName val="_SHOPLIST_xls_759"/>
      <sheetName val="_SHOPLIST_xls_760"/>
      <sheetName val="_SHOPLIST_xls_761"/>
      <sheetName val="_SHOPLIST_xls_762"/>
      <sheetName val="_SHOPLIST_xls_763"/>
      <sheetName val="_SHOPLIST_xls_764"/>
      <sheetName val="_SHOPLIST_xls_765"/>
      <sheetName val="_SHOPLIST_xls_766"/>
      <sheetName val="_SHOPLIST_xls_767"/>
      <sheetName val="_SHOPLIST_xls_768"/>
      <sheetName val="_SHOPLIST_xls_769"/>
      <sheetName val="_SHOPLIST_xls_770"/>
      <sheetName val="_SHOPLIST_xls_771"/>
      <sheetName val="_SHOPLIST_xls_772"/>
      <sheetName val="_SHOPLIST_xls_773"/>
      <sheetName val="_SHOPLIST_xls_774"/>
      <sheetName val="_SHOPLIST_xls_775"/>
      <sheetName val="_SHOPLIST_xls_776"/>
      <sheetName val="_SHOPLIST_xls_777"/>
      <sheetName val="_SHOPLIST_xls_778"/>
      <sheetName val="_SHOPLIST_xls_779"/>
      <sheetName val="_SHOPLIST_xls_780"/>
      <sheetName val="_SHOPLIST_xls_781"/>
      <sheetName val="_SHOPLIST_xls_782"/>
      <sheetName val="_SHOPLIST_xls_783"/>
      <sheetName val="_SHOPLIST_xls_784"/>
      <sheetName val="_SHOPLIST_xls_785"/>
      <sheetName val="_SHOPLIST_xls_786"/>
      <sheetName val="_SHOPLIST_xls_787"/>
      <sheetName val="_SHOPLIST_xls_788"/>
      <sheetName val="_SHOPLIST_xls_789"/>
      <sheetName val="_SHOPLIST_xls_790"/>
      <sheetName val="_SHOPLIST_xls_791"/>
      <sheetName val="_SHOPLIST_xls_792"/>
      <sheetName val="_SHOPLIST_xls_793"/>
      <sheetName val="_SHOPLIST_xls_794"/>
      <sheetName val="_SHOPLIST_xls_795"/>
      <sheetName val="_SHOPLIST_xls_796"/>
      <sheetName val="_SHOPLIST_xls_797"/>
      <sheetName val="_SHOPLIST_xls_798"/>
      <sheetName val="_SHOPLIST_xls_799"/>
      <sheetName val="_SHOPLIST_xls_800"/>
      <sheetName val="_SHOPLIST_xls_801"/>
      <sheetName val="_SHOPLIST_xls_802"/>
      <sheetName val="_SHOPLIST_xls_803"/>
      <sheetName val="_SHOPLIST_xls_804"/>
      <sheetName val="_SHOPLIST_xls_805"/>
      <sheetName val="_SHOPLIST_xls_806"/>
      <sheetName val="_SHOPLIST_xls_807"/>
      <sheetName val="_SHOPLIST_xls_808"/>
      <sheetName val="_SHOPLIST_xls_809"/>
      <sheetName val="_SHOPLIST_xls_810"/>
      <sheetName val="_SHOPLIST_xls_811"/>
      <sheetName val="_SHOPLIST_xls_812"/>
      <sheetName val="_SHOPLIST_xls_813"/>
      <sheetName val="_SHOPLIST_xls_814"/>
      <sheetName val="_SHOPLIST_xls_815"/>
      <sheetName val="_SHOPLIST_xls_816"/>
      <sheetName val="_SHOPLIST_xls_817"/>
      <sheetName val="_SHOPLIST_xls_818"/>
      <sheetName val="_SHOPLIST_xls_819"/>
      <sheetName val="_SHOPLIST_xls_820"/>
      <sheetName val="_SHOPLIST_xls_821"/>
      <sheetName val="_SHOPLIST_xls_822"/>
      <sheetName val="_SHOPLIST_xls_823"/>
      <sheetName val="_SHOPLIST_xls_824"/>
      <sheetName val="_SHOPLIST_xls_825"/>
      <sheetName val="_SHOPLIST_xls_826"/>
      <sheetName val="_SHOPLIST_xls_827"/>
      <sheetName val="_SHOPLIST_xls_828"/>
      <sheetName val="_SHOPLIST_xls_829"/>
      <sheetName val="_SHOPLIST_xls_830"/>
      <sheetName val="_SHOPLIST_xls_831"/>
      <sheetName val="_SHOPLIST_xls_832"/>
      <sheetName val="_SHOPLIST_xls_833"/>
      <sheetName val="_SHOPLIST_xls_834"/>
      <sheetName val="_SHOPLIST_xls_835"/>
      <sheetName val="_SHOPLIST_xls_836"/>
      <sheetName val="_SHOPLIST_xls_837"/>
      <sheetName val="_SHOPLIST_xls_838"/>
      <sheetName val="70_x005f_x005f_x005f_x0000__7"/>
      <sheetName val="70,/0s«iÆøí¬i17"/>
      <sheetName val="[SHOPLIST_xls]729"/>
      <sheetName val="7012"/>
      <sheetName val="70,12"/>
      <sheetName val="[SHOPLIST_xls]730"/>
      <sheetName val="/VW12"/>
      <sheetName val="[SHOPLIST_xls][12"/>
      <sheetName val="/VWVU))tÏØ0__67"/>
      <sheetName val="70,/0s«_iÆø_í¬_12"/>
      <sheetName val="70?,/0?s«i?Æøí¬12"/>
      <sheetName val="/VWVU))tÏØ0__68"/>
      <sheetName val="[SHOPLIST_xls]731"/>
      <sheetName val="/VWVU))tÏØ0__69"/>
      <sheetName val="/VWVU))tÏØ0__70"/>
      <sheetName val="[SHOPLIST_xls]/V1"/>
      <sheetName val="/VWVU))tÏØ0__82"/>
      <sheetName val="/VWVU))tÏØ0__92"/>
      <sheetName val="/VWVU))tÏØ0__73"/>
      <sheetName val="/VWVU))tÏØ0__74"/>
      <sheetName val="/VWVU))tÏØ0__75"/>
      <sheetName val="70,/0s«iÆøí¬1"/>
      <sheetName val="70,/0s«iÆøí¬i18"/>
      <sheetName val="[SHOPLIST_xls]732"/>
      <sheetName val="7013"/>
      <sheetName val="70,13"/>
      <sheetName val="[SHOPLIST_xls]733"/>
      <sheetName val="/VW13"/>
      <sheetName val="/VWVU))tÏØ0__76"/>
      <sheetName val="/VWVU))tÏØ0__77"/>
      <sheetName val="[SHOPLIST_xls][13"/>
      <sheetName val="/VWVU))tÏØ0__78"/>
      <sheetName val="/VWVU))tÏØ0__79"/>
      <sheetName val="/VWVU))tÏØ0__80"/>
      <sheetName val="70,/0s«_iÆø_í¬_13"/>
      <sheetName val="70?,/0?s«i?Æøí¬13"/>
      <sheetName val="/VWVU))tÏØ0__83"/>
      <sheetName val="[SHOPLIST_xls]734"/>
      <sheetName val="/VWVU))tÏØ0__84"/>
      <sheetName val="/VWVU))tÏØ0__85"/>
      <sheetName val="/VWVU))tÏØ0__86"/>
      <sheetName val="[SHOPLIST_xls]/V2"/>
      <sheetName val="/VWVU))tÏØ0__87"/>
      <sheetName val="/VWVU))tÏØ0__93"/>
      <sheetName val="[SH2"/>
      <sheetName val="70_2"/>
      <sheetName val="/VWVU))tÏØ0__88"/>
      <sheetName val="/VWVU))tÏØ0__89"/>
      <sheetName val="/VWVU))tÏØ0__90"/>
      <sheetName val="70,/0s«iÆøí¬2"/>
      <sheetName val="70,/0s«iÆøí¬i19"/>
      <sheetName val="[SHOPLIST_xls]735"/>
      <sheetName val="7014"/>
      <sheetName val="70,14"/>
      <sheetName val="[SHOPLIST_xls]736"/>
      <sheetName val="/VW14"/>
      <sheetName val="/VWVU))tÏØ0__94"/>
      <sheetName val="/VWVU))tÏØ0__95"/>
      <sheetName val="[SHOPLIST_xls][14"/>
      <sheetName val="/VWVU))tÏØ0__96"/>
      <sheetName val="/VWVU))tÏØ0__97"/>
      <sheetName val="/VWVU))tÏØ0__98"/>
      <sheetName val="70,/0s«_iÆø_í¬_14"/>
      <sheetName val="70?,/0?s«i?Æøí¬14"/>
      <sheetName val="/VWVU))tÏØ0__99"/>
      <sheetName val="[SHOPLIST_xls]737"/>
      <sheetName val="/VWVU))tÏØ0_100"/>
      <sheetName val="/VWVU))tÏØ0_101"/>
      <sheetName val="/VWVU))tÏØ0_102"/>
      <sheetName val="[SHOPLIST_xls]/V3"/>
      <sheetName val="/VWVU))tÏØ0_103"/>
      <sheetName val="/VWVU))tÏØ0_104"/>
      <sheetName val="[SH3"/>
      <sheetName val="70_3"/>
      <sheetName val="/VWVU))tÏØ0_105"/>
      <sheetName val="/VWVU))tÏØ0_106"/>
      <sheetName val="/VWVU))tÏØ0_107"/>
      <sheetName val="70,/0s«iÆøí¬3"/>
      <sheetName val="SoW_Assess_Blank_Form"/>
      <sheetName val="VO_Breakdown"/>
      <sheetName val="Measurement_Sheet"/>
      <sheetName val="Schedule_of_Drawings"/>
      <sheetName val="SI_Schedule"/>
      <sheetName val="ContraCharge_Schedule"/>
      <sheetName val="[SHOPLIST_xls][SHOPLIST_xls]70?"/>
      <sheetName val="Spacing_of_Delineators"/>
      <sheetName val="SoW_Assess_Blank_Form1"/>
      <sheetName val="VO_Breakdown1"/>
      <sheetName val="Measurement_Sheet1"/>
      <sheetName val="Schedule_of_Drawings1"/>
      <sheetName val="SI_Schedule1"/>
      <sheetName val="ContraCharge_Schedule1"/>
      <sheetName val="VESSELS_1"/>
      <sheetName val="Mp-team 1"/>
      <sheetName val="Bill_3_Boutique"/>
      <sheetName val="Landscape_No_1"/>
      <sheetName val="MEP_No_3"/>
      <sheetName val="Cover_Sheet"/>
      <sheetName val="Pay_Cert"/>
      <sheetName val="Reconcilliation_Sheet"/>
      <sheetName val="EPMS-Total_"/>
      <sheetName val="EPMS_Earned_-GR"/>
      <sheetName val="EPMS_Earned_Electrical_Utilitie"/>
      <sheetName val="EPMS_-_Materials"/>
      <sheetName val="EPMS_-_Variations"/>
      <sheetName val="Variations_"/>
      <sheetName val="EPMS_-_Claims"/>
      <sheetName val="Advance_d_1"/>
      <sheetName val="Prev_Pay_Certs"/>
      <sheetName val="Monthly_Summary_01_Aug-25Sept"/>
      <sheetName val="Bond_calculation_(Verifi)"/>
      <sheetName val="IPC_10_Prog"/>
      <sheetName val="Grand_Summary"/>
      <sheetName val="Comparison_per_subzone"/>
      <sheetName val="Base_Course"/>
      <sheetName val="Item_List_OLD"/>
      <sheetName val="[SHOPLIST_xls]70___0_s__i_____4"/>
      <sheetName val="[SHOPLIST_xls][SHOPLIST_xls]_43"/>
      <sheetName val="[SHOPLIST_xls][SHOPLIST_xls]_44"/>
      <sheetName val="[SHOPLIST_xls][SHOPLIST_xls]_45"/>
      <sheetName val="[SHOPLIST_xls][SHOPLIST_xls]_46"/>
      <sheetName val="[SHOPLIST_xls][SHOPLIST_xls]_47"/>
      <sheetName val="[SHOPLIST_xls][SHOPLIST_xls]_48"/>
      <sheetName val="[SHOPLIST_xls][SHOPLIST_xls]_49"/>
      <sheetName val="[SHOPLIST_xls][SHOPLIST_xls]_50"/>
      <sheetName val="[SHOPLIST_xls][SHOPLIST_xls]_51"/>
      <sheetName val="[SHOPLIST_xls][SHOPLIST_xls]_52"/>
      <sheetName val="[SHOPLIST_xls][SHOPLIST_xls]_53"/>
      <sheetName val="[SHOPLIST_xls][SHOPLIST_xls]_54"/>
      <sheetName val="[SHOPLIST_xls][SHOPLIST_xls]_55"/>
      <sheetName val="[SHOPLIST_xls][SHOPLIST_xls]_56"/>
      <sheetName val="[SHOPLIST_xls][SHOPLIST_xls]_57"/>
      <sheetName val="[SHOPLIST_xls][SHOPLIST_xls]_58"/>
      <sheetName val="[SHOPLIST_xls][SHOPLIST_xls]_59"/>
      <sheetName val="[SHOPLIST_xls][SHOPLIST_xls]_60"/>
      <sheetName val="[SHOPLIST_xls][SHOPLIST_xls]_61"/>
      <sheetName val="[SHOPLIST_xls][SHOPLIST_xls]_62"/>
      <sheetName val="[SHOPLIST_xls][SHOPLIST_xls]_63"/>
      <sheetName val="[SHOPLIST_xls][SHOPLIST_xls]_64"/>
      <sheetName val="[SHOPLIST_xls][SHOPLIST_xls]_65"/>
      <sheetName val="[SHOPLIST_xls][SHOPLIST_xls]_66"/>
      <sheetName val="[SHOPLIST_xls][SHOPLIST_xls]_67"/>
      <sheetName val="[SHOPLIST_xls][SHOPLIST_xls]_68"/>
      <sheetName val="[SHOPLIST_xls][SHOPLIST_xls]_69"/>
      <sheetName val="[SHOPLIST_xls][SHOPLIST_xls]_70"/>
      <sheetName val="[SHOPLIST_xls][SHOPLIST_xls]_71"/>
      <sheetName val="[SHOPLIST_xls][SHOPLIST_xls]_72"/>
      <sheetName val="[SHOPLIST_xls][SHOPLIST_xls]_73"/>
      <sheetName val="[SHOPLIST_xls][SHOPLIST_xls]_74"/>
      <sheetName val="[SHOPLIST_xls][SHOPLIST_xls]_75"/>
      <sheetName val="[SHOPLIST_xls][SHOPLIST_xls]_76"/>
      <sheetName val="[SHOPLIST_xls][SHOPLIST_xls]_77"/>
      <sheetName val="[SHOPLIST_xls][SHOPLIST_xls]_78"/>
      <sheetName val="[SHOPLIST_xls][SHOPLIST_xls]_79"/>
      <sheetName val="[SHOPLIST_xls][SHOPLIST_xls]_80"/>
      <sheetName val="[SHOPLIST_xls][SHOPLIST_xls]_81"/>
      <sheetName val="[SHOPLIST_xls][SHOPLIST_xls]_82"/>
      <sheetName val="[SHOPLIST_xls][SHOPLIST_xls]_83"/>
      <sheetName val="[SHOPLIST_xls][SHOPLIST_xls]_84"/>
      <sheetName val="[SHOPLIST_xls][SHOPLIST_xls]_85"/>
      <sheetName val="[SHOPLIST_xls][SHOPLIST_xls]_86"/>
      <sheetName val="[SHOPLIST_xls][SHOPLIST_xls]_87"/>
      <sheetName val="[SHOPLIST_xls][SHOPLIST_xls]_88"/>
      <sheetName val="[SHOPLIST_xls][SHOPLIST_xls]_89"/>
      <sheetName val="[SHOPLIST_xls][SHOPLIST_xls]_90"/>
      <sheetName val="[SHOPLIST_xls][SHOPLIST_xls]_91"/>
      <sheetName val="[SHOPLIST_xls][SHOPLIST_xls]_92"/>
      <sheetName val="[SHOPLIST_xls][SHOPLIST_xls]_93"/>
      <sheetName val="[SHOPLIST_xls][SHOPLIST_xls]_94"/>
      <sheetName val="[SHOPLIST_xls][SHOPLIST_xls]_95"/>
      <sheetName val="[SHOPLIST_xls][SHOPLIST_xls]_96"/>
      <sheetName val="[SHOPLIST_xls][SHOPLIST_xls]_97"/>
      <sheetName val="[SHOPLIST_xls][SHOPLIST_xls]_98"/>
      <sheetName val="[SHOPLIST_xls][SHOPLIST_xls]_99"/>
      <sheetName val="[SHOPLIST_xls][SHOPLIST_xls]100"/>
      <sheetName val="[SHOPLIST_xls][SHOPLIST_xls]101"/>
      <sheetName val="[SHOPLIST_xls][SHOPLIST_xls]102"/>
      <sheetName val="[SHOPLIST_xls][SHOPLIST_xls]103"/>
      <sheetName val="[SHOPLIST_xls][SHOPLIST_xls]104"/>
      <sheetName val="[SHOPLIST_xls][SHOPLIST_xls]105"/>
      <sheetName val="[SHOPLIST_xls][SHOPLIST_xls]106"/>
      <sheetName val="[SHOPLIST_xls][SHOPLIST_xls]107"/>
      <sheetName val="[SHOPLIST_xls][SHOPLIST_xls]108"/>
      <sheetName val="[SHOPLIST_xls][SHOPLIST_xls]109"/>
      <sheetName val="[SHOPLIST_xls][SHOPLIST_xls]110"/>
      <sheetName val="[SHOPLIST_xls][SHOPLIST_xls]111"/>
      <sheetName val="[SHOPLIST_xls][SHOPLIST_xls]112"/>
      <sheetName val="[SHOPLIST_xls]_SHOPLIST_xls_100"/>
      <sheetName val="[SHOPLIST_xls][SHOPLIST_xls]113"/>
      <sheetName val="[SHOPLIST_xls][SHOPLIST_xls]114"/>
      <sheetName val="[SHOPLIST_xls]/VWVU))1"/>
      <sheetName val="[SHOPLIST_xls]70_x005f_x005f_x005f_x0000__2"/>
      <sheetName val="[SHOPLIST_xls]_SHOPLIST_xls_101"/>
      <sheetName val="[SHOPLIST_xls]_SHOPLIST_xls_102"/>
      <sheetName val="[SHOPLIST_xls]_SHOPLIST_xls_103"/>
      <sheetName val="Gene��i"/>
      <sheetName val="_Structural"/>
      <sheetName val="Travel_Cranes"/>
      <sheetName val="Recap_Travel_Crane"/>
      <sheetName val="Recap_Architect"/>
      <sheetName val="Recap_External"/>
      <sheetName val="Recap_Struct"/>
      <sheetName val="Package_1"/>
      <sheetName val="Recap_Lift"/>
      <sheetName val="P-Ins_&amp;_Bonds1"/>
      <sheetName val="PC_"/>
      <sheetName val="App_-_A_"/>
      <sheetName val="App-_B_"/>
      <sheetName val="App_-_C_"/>
      <sheetName val="App_-_D_"/>
      <sheetName val="App_-_E_"/>
      <sheetName val="App_-_F"/>
      <sheetName val="App_-_G_"/>
      <sheetName val="App_-_H"/>
      <sheetName val="Concrete_Breakdown"/>
      <sheetName val="Masonry_Breakdown"/>
      <sheetName val="[SHOPLIST_xls]/VW1"/>
      <sheetName val="[SHOPLIST_xls]70,/0s«iÆøí¬i110"/>
      <sheetName val="Bill_3_Boutique1"/>
      <sheetName val="[SHOPLIST_xls][SHOPLIST_xls]115"/>
      <sheetName val="[SHOPLIST_xls][SHOPLIST_xls]116"/>
      <sheetName val="[SHOPLIST_xls][SHOPLIST_xls]117"/>
      <sheetName val="[SHOPLIST_xls][SHOPLIST_xls]118"/>
      <sheetName val="[SHOPLIST_xls][SHOPLIST_xls]119"/>
      <sheetName val="[SHOPLIST_xls][SHOPLIST_xls]120"/>
      <sheetName val="[SHOPLIST_xls][SHOPLIST_xls]121"/>
      <sheetName val="[SHOPLIST_xls][SHOPLIST_xls]122"/>
      <sheetName val="[SHOPLIST_xls][SHOPLIST_xls]123"/>
      <sheetName val="[SHOPLIST_xls][SHOPLIST_xls]124"/>
      <sheetName val="[SHOPLIST_xls][SHOPLIST_xls]125"/>
      <sheetName val="[SHOPLIST_xls][SHOPLIST_xls]126"/>
      <sheetName val="[SHOPLIST_xls][SHOPLIST_xls]127"/>
      <sheetName val="[SHOPLIST_xls][SHOPLIST_xls]128"/>
      <sheetName val="[SHOPLIST_xls]70___0_s__i_____1"/>
      <sheetName val="[SHOPLIST_xls]_VW__VU_________1"/>
      <sheetName val="[SHOPLIST_xls]_VW__VU_________4"/>
      <sheetName val="Landscape_No_11"/>
      <sheetName val="MEP_No_31"/>
      <sheetName val="BULD_31"/>
      <sheetName val="BLOCK_K1"/>
      <sheetName val="_boaboard_(1)1"/>
      <sheetName val="[SHOPLIST_xls]70_x005f_x0000___0_x0_1"/>
      <sheetName val="Cover_Sheet1"/>
      <sheetName val="Pay_Cert1"/>
      <sheetName val="Reconcilliation_Sheet1"/>
      <sheetName val="EPMS-Total_1"/>
      <sheetName val="EPMS_Earned_-GR1"/>
      <sheetName val="EPMS_Earned_Electrical_Utiliti1"/>
      <sheetName val="EPMS_-_Materials1"/>
      <sheetName val="EPMS_-_Variations1"/>
      <sheetName val="Variations_1"/>
      <sheetName val="EPMS_-_Claims1"/>
      <sheetName val="Advance_d_11"/>
      <sheetName val="Prev_Pay_Certs1"/>
      <sheetName val="Monthly_Summary_01_Aug-25Sept1"/>
      <sheetName val="Bond_calculation_(Verifi)1"/>
      <sheetName val="IPC_10_Prog1"/>
      <sheetName val="Grand_Summary1"/>
      <sheetName val="Comparison_per_subzone1"/>
      <sheetName val="Base_Course1"/>
      <sheetName val="Item_List_OLD1"/>
      <sheetName val="[SHOPLIST_xls]70___0_s__i_____5"/>
      <sheetName val="제출내역_(2)1"/>
      <sheetName val="[SHOPLIST_xls]70___0_s__i_____6"/>
      <sheetName val="[SHOPLIST_xls][SHOPLIST_xls]750"/>
      <sheetName val="[SHOPLIST_xls][SHOPLIST_xls]751"/>
      <sheetName val="[SHOPLIST_xls][SHOPLIST_xls]752"/>
      <sheetName val="[SHOPLIST_xls][SHOPLIST_xls]753"/>
      <sheetName val="[SHOPLIST_xls][SHOPLIST_xls]754"/>
      <sheetName val="[SHOPLIST_xls][SHOPLIST_xls]755"/>
      <sheetName val="[SHOPLIST_xls][SHOPLIST_xls]756"/>
      <sheetName val="[SHOPLIST_xls][SHOPLIST_xls]129"/>
      <sheetName val="[SHOPLIST_xls][SHOPLIST_xls]130"/>
      <sheetName val="[SHOPLIST_xls][SHOPLIST_xls]131"/>
      <sheetName val="[SHOPLIST_xls][SHOPLIST_xls]757"/>
      <sheetName val="[SHOPLIST_xls][SHOPLIST_xls]132"/>
      <sheetName val="[SHOPLIST_xls][SHOPLIST_xls]133"/>
      <sheetName val="[SHOPLIST_xls][SHOPLIST_xls]134"/>
      <sheetName val="[SHOPLIST_xls][SHOPLIST_xls]135"/>
      <sheetName val="[SHOPLIST_xls][SHOPLIST_xls]136"/>
      <sheetName val="[SHOPLIST_xls][SHOPLIST_xls]137"/>
      <sheetName val="[SHOPLIST_xls][SHOPLIST_xls]138"/>
      <sheetName val="[SHOPLIST_xls][SHOPLIST_xls]139"/>
      <sheetName val="[SHOPLIST_xls][SHOPLIST_xls]140"/>
      <sheetName val="[SHOPLIST_xls][SHOPLIST_xls]141"/>
      <sheetName val="[SHOPLIST_xls][SHOPLIST_xls]142"/>
      <sheetName val="[SHOPLIST_xls][SHOPLIST_xls]143"/>
      <sheetName val="[SHOPLIST_xls][SHOPLIST_xls]144"/>
      <sheetName val="[SHOPLIST_xls][SHOPLIST_xls]145"/>
      <sheetName val="[SHOPLIST_xls][SHOPLIST_xls]146"/>
      <sheetName val="[SHOPLIST_xls][SHOPLIST_xls]147"/>
      <sheetName val="[SHOPLIST_xls][SHOPLIST_xls]148"/>
      <sheetName val="[SHOPLIST_xls][SHOPLIST_xls]149"/>
      <sheetName val="[SHOPLIST_xls][SHOPLIST_xls]150"/>
      <sheetName val="[SHOPLIST_xls][SHOPLIST_xls]151"/>
      <sheetName val="[SHOPLIST_xls][SHOPLIST_xls]152"/>
      <sheetName val="[SHOPLIST_xls][SHOPLIST_xls]153"/>
      <sheetName val="[SHOPLIST_xls][SHOPLIST_xls]154"/>
      <sheetName val="[SHOPLIST_xls][SHOPLIST_xls]155"/>
      <sheetName val="[SHOPLIST_xls][SHOPLIST_xls]156"/>
      <sheetName val="[SHOPLIST_xls][SHOPLIST_xls]157"/>
      <sheetName val="[SHOPLIST_xls][SHOPLIST_xls]158"/>
      <sheetName val="[SHOPLIST_xls][SHOPLIST_xls]159"/>
      <sheetName val="[SHOPLIST_xls][SHOPLIST_xls]160"/>
      <sheetName val="[SHOPLIST_xls][SHOPLIST_xls]161"/>
      <sheetName val="[SHOPLIST_xls][SHOPLIST_xls]162"/>
      <sheetName val="[SHOPLIST_xls][SHOPLIST_xls]163"/>
      <sheetName val="[SHOPLIST_xls][SHOPLIST_xls]164"/>
      <sheetName val="[SHOPLIST_xls][SHOPLIST_xls]165"/>
      <sheetName val="[SHOPLIST_xls][SHOPLIST_xls]166"/>
      <sheetName val="[SHOPLIST_xls][SHOPLIST_xls]167"/>
      <sheetName val="[SHOPLIST_xls][SHOPLIST_xls]168"/>
      <sheetName val="[SHOPLIST_xls][SHOPLIST_xls]169"/>
      <sheetName val="[SHOPLIST_xls][SHOPLIST_xls]170"/>
      <sheetName val="[SHOPLIST_xls][SHOPLIST_xls]171"/>
      <sheetName val="[SHOPLIST_xls][SHOPLIST_xls]172"/>
      <sheetName val="[SHOPLIST_xls][SHOPLIST_xls]173"/>
      <sheetName val="[SHOPLIST_xls][SHOPLIST_xls]174"/>
      <sheetName val="[SHOPLIST_xls][SHOPLIST_xls]175"/>
      <sheetName val="[SHOPLIST_xls][SHOPLIST_xls]176"/>
      <sheetName val="[SHOPLIST_xls][SHOPLIST_xls]177"/>
      <sheetName val="[SHOPLIST_xls][SHOPLIST_xls]178"/>
      <sheetName val="[SHOPLIST_xls][SHOPLIST_xls]179"/>
      <sheetName val="[SHOPLIST_xls][SHOPLIST_xls]180"/>
      <sheetName val="[SHOPLIST_xls][SHOPLIST_xls]181"/>
      <sheetName val="[SHOPLIST_xls][SHOPLIST_xls]182"/>
      <sheetName val="[SHOPLIST_xls][SHOPLIST_xls]183"/>
      <sheetName val="[SHOPLIST_xls][SHOPLIST_xls]184"/>
      <sheetName val="[SHOPLIST_xls][SHOPLIST_xls]185"/>
      <sheetName val="[SHOPLIST_xls][SHOPLIST_xls]186"/>
      <sheetName val="[SHOPLIST_xls][SHOPLIST_xls]187"/>
      <sheetName val="[SHOPLIST_xls][SHOPLIST_xls]188"/>
      <sheetName val="[SHOPLIST_xls][SHOPLIST_xls]189"/>
      <sheetName val="[SHOPLIST_xls][SHOPLIST_xls]190"/>
      <sheetName val="[SHOPLIST_xls][SHOPLIST_xls]191"/>
      <sheetName val="[SHOPLIST_xls][SHOPLIST_xls]192"/>
      <sheetName val="[SHOPLIST_xls][SHOPLIST_xls]193"/>
      <sheetName val="[SHOPLIST_xls][SHOPLIST_xls]194"/>
      <sheetName val="[SHOPLIST_xls][SHOPLIST_xls]195"/>
      <sheetName val="[SHOPLIST_xls][SHOPLIST_xls]196"/>
      <sheetName val="[SHOPLIST_xls][SHOPLIST_xls]197"/>
      <sheetName val="[SHOPLIST_xls][SHOPLIST_xls]198"/>
      <sheetName val="[SHOPLIST_xls][SHOPLIST_xls]199"/>
      <sheetName val="[SHOPLIST_xls][SHOPLIST_xls]200"/>
      <sheetName val="[SHOPLIST_xls][SHOPLIST_xls]201"/>
      <sheetName val="[SHOPLIST_xls][SHOPLIST_xls]202"/>
      <sheetName val="[SHOPLIST_xls][SHOPLIST_xls]203"/>
      <sheetName val="[SHOPLIST_xls][SHOPLIST_xls]204"/>
      <sheetName val="[SHOPLIST_xls][SHOPLIST_xls]205"/>
      <sheetName val="[SHOPLIST_xls][SHOPLIST_xls]206"/>
      <sheetName val="[SHOPLIST_xls][SHOPLIST_xls]207"/>
      <sheetName val="[SHOPLIST_xls][SHOPLIST_xls]208"/>
      <sheetName val="[SHOPLIST_xls][SHOPLIST_xls]209"/>
      <sheetName val="[SHOPLIST_xls][SHOPLIST_xls]210"/>
      <sheetName val="[SHOPLIST_xls][SHOPLIST_xls]211"/>
      <sheetName val="[SHOPLIST_xls][SHOPLIST_xls]212"/>
      <sheetName val="[SHOPLIST_xls][SHOPLIST_xls]213"/>
      <sheetName val="[SHOPLIST_xls][SHOPLIST_xls]214"/>
      <sheetName val="[SHOPLIST_xls][SHOPLIST_xls]215"/>
      <sheetName val="[SHOPLIST_xls][SHOPLIST_xls]216"/>
      <sheetName val="[SHOPLIST_xls][SHOPLIST_xls]217"/>
      <sheetName val="[SHOPLIST_xls][SHOPLIST_xls]218"/>
      <sheetName val="[SHOPLIST_xls][SHOPLIST_xls]219"/>
      <sheetName val="[SHOPLIST_xls][SHOPLIST_xls]220"/>
      <sheetName val="[SHOPLIST_xls][SHOPLIST_xls]221"/>
      <sheetName val="[SHOPLIST_xls][SHOPLIST_xls]222"/>
      <sheetName val="[SHOPLIST_xls][SHOPLIST_xls]223"/>
      <sheetName val="[SHOPLIST_xls][SHOPLIST_xls]224"/>
      <sheetName val="[SHOPLIST_xls][SHOPLIST_xls]225"/>
      <sheetName val="[SHOPLIST_xls][SHOPLIST_xls]226"/>
      <sheetName val="[SHOPLIST_xls]_SHOPLIST_xls_104"/>
      <sheetName val="[SHOPLIST_xls][SHOPLIST_xls]227"/>
      <sheetName val="[SHOPLIST_xls][SHOPLIST_xls]228"/>
      <sheetName val="[SHOPLIST_xls][SHOPLIST_xls]758"/>
      <sheetName val="[SHOPLIST_xls]/VWVU))2"/>
      <sheetName val="[SHOPLIST_xls]70_x005f_x005f_x005f_x0000__1"/>
      <sheetName val="[SHOPLIST_xls]_SHOPLIST_xls_105"/>
      <sheetName val="[SHOPLIST_xls]_SHOPLIST_xls_106"/>
      <sheetName val="[SHOPLIST_xls]_SHOPLIST_xls_107"/>
      <sheetName val="_Structural1"/>
      <sheetName val="Travel_Cranes1"/>
      <sheetName val="Recap_Travel_Crane1"/>
      <sheetName val="Recap_Architect1"/>
      <sheetName val="Recap_External1"/>
      <sheetName val="Recap_Struct1"/>
      <sheetName val="Package_11"/>
      <sheetName val="Recap_Lift1"/>
      <sheetName val="[SHOPLIST_xls][SHOPLIST_xls]759"/>
      <sheetName val="Spacing_of_Delineators1"/>
      <sheetName val="P-Ins_&amp;_Bonds2"/>
      <sheetName val="PC_1"/>
      <sheetName val="App_-_A_1"/>
      <sheetName val="App-_B_1"/>
      <sheetName val="App_-_C_1"/>
      <sheetName val="App_-_D_1"/>
      <sheetName val="App_-_E_1"/>
      <sheetName val="App_-_F1"/>
      <sheetName val="App_-_G_1"/>
      <sheetName val="App_-_H1"/>
      <sheetName val="Concrete_Breakdown1"/>
      <sheetName val="Masonry_Breakdown1"/>
      <sheetName val="URA-C1"/>
      <sheetName val="Macro custom function"/>
      <sheetName val="Inventory "/>
      <sheetName val="Note"/>
      <sheetName val="JAN"/>
      <sheetName val="Tender Stage"/>
      <sheetName val="Delay Clasifications"/>
      <sheetName val="PA Milestones"/>
      <sheetName val="BOQ Revenue &amp; Cost"/>
      <sheetName val="Invoice Certification"/>
      <sheetName val="Direct Labour"/>
      <sheetName val="Cap. Exp. (Depreciation)"/>
      <sheetName val="Mobaliziation &amp; Consultancy"/>
      <sheetName val="Staff Cost"/>
      <sheetName val="Running Cost"/>
      <sheetName val="Finance, BG &amp; Insurance"/>
      <sheetName val="Risk &amp; Contingency"/>
      <sheetName val="information"/>
      <sheetName val="1 Summary"/>
      <sheetName val="co-no.2"/>
      <sheetName val="Lstsub"/>
      <sheetName val="Arch"/>
      <sheetName val="DB"/>
      <sheetName val="DIRLBR"/>
      <sheetName val="2.0 Cover Sum"/>
      <sheetName val="G29A"/>
      <sheetName val="PRO_DCI"/>
      <sheetName val="Cover_Page3"/>
      <sheetName val="Approved_INR_Claimed_Log_(2)3"/>
      <sheetName val="INR_Data3"/>
      <sheetName val="Dec_OCR3"/>
      <sheetName val="OCR_(APR3"/>
      <sheetName val="Survey_3"/>
      <sheetName val="INR_Summary_Sheet3"/>
      <sheetName val="ITR_Form_(Rev0)3"/>
      <sheetName val="ITR_Form_(SS)3"/>
      <sheetName val="ITR_Form_(Rev1)3"/>
      <sheetName val="Method_Statements3"/>
      <sheetName val="SI_223"/>
      <sheetName val="TO_List3"/>
      <sheetName val="CCTV_DATA3"/>
      <sheetName val="FAL_intern3"/>
      <sheetName val="Fdata"/>
      <sheetName val="Drop_down2"/>
      <sheetName val="Joseph_Record3"/>
      <sheetName val="[SHOPLIST_xls]_VW__VU_________5"/>
      <sheetName val="[SHOPLIST_xls]70_x005f_x0000___0_x0_3"/>
      <sheetName val="[SHOPLIST_xls]70___0_s__i_____7"/>
      <sheetName val="[SHOPLIST_xls]_SHOPLIST_xls_108"/>
      <sheetName val="[SHOPLIST_xls]_SHOPLIST_xls_109"/>
      <sheetName val="[SHOPLIST_xls]_SHOPLIST_xls_110"/>
      <sheetName val="[SHOPLIST_xls]_SHOPLIST_xls_111"/>
      <sheetName val="[SHOPLIST_xls]_SHOPLIST_xls_112"/>
      <sheetName val="[SHOPLIST_xls]_SHOPLIST_xls_113"/>
      <sheetName val="[SHOPLIST_xls]_SHOPLIST_xls_114"/>
      <sheetName val="[SHOPLIST_xls]_SHOPLIST_xls_115"/>
      <sheetName val="[SHOPLIST_xls]_SHOPLIST_xls_116"/>
      <sheetName val="[SHOPLIST_xls]_SHOPLIST_xls_117"/>
      <sheetName val="[SHOPLIST_xls]_SHOPLIST_xls_118"/>
      <sheetName val="[SHOPLIST_xls]_SHOPLIST_xls_119"/>
      <sheetName val="[SHOPLIST_xls]_SHOPLIST_xls_120"/>
      <sheetName val="[SHOPLIST_xls]_SHOPLIST_xls_121"/>
      <sheetName val="[SHOPLIST_xls]_SHOPLIST_xls_122"/>
      <sheetName val="[SHOPLIST_xls]_SHOPLIST_xls_123"/>
      <sheetName val="[SHOPLIST_xls]_SHOPLIST_xls_124"/>
      <sheetName val="[SHOPLIST_xls]_SHOPLIST_xls_125"/>
      <sheetName val="[SHOPLIST_xls]_SHOPLIST_xls_126"/>
      <sheetName val="[SHOPLIST_xls]_SHOPLIST_xls_127"/>
      <sheetName val="[SHOPLIST_xls]_SHOPLIST_xls_128"/>
      <sheetName val="[SHOPLIST_xls]_SHOPLIST_xls_129"/>
      <sheetName val="[SHOPLIST_xls]_SHOPLIST_xls_130"/>
      <sheetName val="[SHOPLIST_xls]_SHOPLIST_xls_131"/>
      <sheetName val="[SHOPLIST_xls]_SHOPLIST_xls_132"/>
      <sheetName val="[SHOPLIST_xls]_SHOPLIST_xls_133"/>
      <sheetName val="[SHOPLIST_xls]_SHOPLIST_xls_134"/>
      <sheetName val="[SHOPLIST_xls]_SHOPLIST_xls_135"/>
      <sheetName val="[SHOPLIST_xls]_SHOPLIST_xls_136"/>
      <sheetName val="[SHOPLIST_xls]_SHOPLIST_xls_137"/>
      <sheetName val="[SHOPLIST_xls]_SHOPLIST_xls_138"/>
      <sheetName val="[SHOPLIST_xls]_SHOPLIST_xls_139"/>
      <sheetName val="[SHOPLIST_xls]_SHOPLIST_xls_140"/>
      <sheetName val="[SHOPLIST_xls]_SHOPLIST_xls_141"/>
      <sheetName val="[SHOPLIST_xls]_SHOPLIST_xls_142"/>
      <sheetName val="[SHOPLIST_xls]_SHOPLIST_xls_143"/>
      <sheetName val="[SHOPLIST_xls]_SHOPLIST_xls_144"/>
      <sheetName val="[SHOPLIST_xls]_SHOPLIST_xls_145"/>
      <sheetName val="[SHOPLIST_xls]_SHOPLIST_xls_146"/>
      <sheetName val="[SHOPLIST_xls]_SHOPLIST_xls_147"/>
      <sheetName val="[SHOPLIST_xls]_SHOPLIST_xls_148"/>
      <sheetName val="[SHOPLIST_xls]_SHOPLIST_xls_149"/>
      <sheetName val="[SHOPLIST_xls]_SHOPLIST_xls_150"/>
      <sheetName val="[SHOPLIST_xls]_SHOPLIST_xls_151"/>
      <sheetName val="[SHOPLIST_xls]_SHOPLIST_xls_152"/>
      <sheetName val="[SHOPLIST_xls]_SHOPLIST_xls_153"/>
      <sheetName val="[SHOPLIST_xls]_SHOPLIST_xls_154"/>
      <sheetName val="[SHOPLIST_xls]_SHOPLIST_xls_155"/>
      <sheetName val="[SHOPLIST_xls]_SHOPLIST_xls_156"/>
      <sheetName val="[SHOPLIST_xls]_SHOPLIST_xls_157"/>
      <sheetName val="[SHOPLIST_xls]_SHOPLIST_xls_158"/>
      <sheetName val="[SHOPLIST_xls]_SHOPLIST_xls_159"/>
      <sheetName val="[SHOPLIST_xls]_SHOPLIST_xls_160"/>
      <sheetName val="[SHOPLIST_xls]_SHOPLIST_xls_161"/>
      <sheetName val="[SHOPLIST_xls]_SHOPLIST_xls_162"/>
      <sheetName val="[SHOPLIST_xls]_SHOPLIST_xls_163"/>
      <sheetName val="[SHOPLIST_xls]_SHOPLIST_xls_164"/>
      <sheetName val="[SHOPLIST_xls]_SHOPLIST_xls_165"/>
      <sheetName val="[SHOPLIST_xls]_SHOPLIST_xls_166"/>
      <sheetName val="[SHOPLIST_xls]_SHOPLIST_xls_167"/>
      <sheetName val="[SHOPLIST_xls]_SHOPLIST_xls_168"/>
      <sheetName val="[SHOPLIST_xls]_SHOPLIST_xls_169"/>
      <sheetName val="[SHOPLIST_xls]_SHOPLIST_xls_170"/>
      <sheetName val="[SHOPLIST_xls]_SHOPLIST_xls_171"/>
      <sheetName val="[SHOPLIST_xls]_SHOPLIST_xls_172"/>
      <sheetName val="[SHOPLIST_xls]_SHOPLIST_xls_173"/>
      <sheetName val="[SHOPLIST_xls]_SHOPLIST_xls_174"/>
      <sheetName val="[SHOPLIST_xls]_SHOPLIST_xls_175"/>
      <sheetName val="[SHOPLIST_xls]_SHOPLIST_xls_176"/>
      <sheetName val="[SHOPLIST_xls]_SHOPLIST_xls_177"/>
      <sheetName val="[SHOPLIST_xls]_SHOPLIST_xls_178"/>
      <sheetName val="[SHOPLIST_xls]_SHOPLIST_xls_179"/>
      <sheetName val="[SHOPLIST_xls]_SHOPLIST_xls_180"/>
      <sheetName val="[SHOPLIST_xls]_SHOPLIST_xls_181"/>
      <sheetName val="[SHOPLIST_xls]_SHOPLIST_xls_182"/>
      <sheetName val="[SHOPLIST_xls]_SHOPLIST_xls_183"/>
      <sheetName val="[SHOPLIST_xls]_SHOPLIST_xls_184"/>
      <sheetName val="[SHOPLIST_xls]_SHOPLIST_xls_185"/>
      <sheetName val="[SHOPLIST_xls]_SHOPLIST_xls_186"/>
      <sheetName val="[SHOPLIST_xls]_SHOPLIST_xls_187"/>
      <sheetName val="[SHOPLIST_xls]_SHOPLIST_xls_188"/>
      <sheetName val="[SHOPLIST_xls]_SHOPLIST_xls_189"/>
      <sheetName val="[SHOPLIST_xls]_SHOPLIST_xls_190"/>
      <sheetName val="[SHOPLIST_xls]_SHOPLIST_xls_191"/>
      <sheetName val="[SHOPLIST_xls]_SHOPLIST_xls_192"/>
      <sheetName val="[SHOPLIST_xls]_SHOPLIST_xls_193"/>
      <sheetName val="[SHOPLIST_xls]_SHOPLIST_xls_194"/>
      <sheetName val="[SHOPLIST_xls]_SHOPLIST_xls_195"/>
      <sheetName val="[SHOPLIST_xls]_SHOPLIST_xls_196"/>
      <sheetName val="[SHOPLIST_xls]_SHOPLIST_xls_197"/>
      <sheetName val="[SHOPLIST_xls]_SHOPLIST_xls_198"/>
      <sheetName val="[SHOPLIST_xls]_SHOPLIST_xls_199"/>
      <sheetName val="[SHOPLIST_xls]_SHOPLIST_xls_200"/>
      <sheetName val="[SHOPLIST_xls]_SHOPLIST_xls_201"/>
      <sheetName val="[SHOPLIST_xls]_SHOPLIST_xls_202"/>
      <sheetName val="[SHOPLIST_xls]_SHOPLIST_xls_203"/>
      <sheetName val="[SHOPLIST_xls]_SHOPLIST_xls_204"/>
      <sheetName val="[SHOPLIST_xls]_SHOPLIST_xls_205"/>
      <sheetName val="[SHOPLIST_xls]_SHOPLIST_xls_206"/>
      <sheetName val="[SHOPLIST_xls]_SHOPLIST_xls_207"/>
      <sheetName val="[SHOPLIST_xls]_SHOPLIST_xls_208"/>
      <sheetName val="[SHOPLIST_xls]_SHOPLIST_xls_209"/>
      <sheetName val="Fee Rate Summary"/>
      <sheetName val="NPV"/>
      <sheetName val="P Staff fac"/>
      <sheetName val="foot-slab_reinø"/>
      <sheetName val="Internal"/>
      <sheetName val="Summary year Plan"/>
      <sheetName val="RateAnalysis"/>
      <sheetName val="maingirder"/>
      <sheetName val="basic-data"/>
      <sheetName val="Enquire"/>
      <sheetName val="ROY"/>
      <sheetName val="12"/>
      <sheetName val="BS "/>
      <sheetName val="Accounts"/>
      <sheetName val="footing for SP"/>
      <sheetName val="C-7-9-1-J (ESU 1,2,3,4)"/>
      <sheetName val="bill no 2"/>
      <sheetName val="bill no 3"/>
      <sheetName val="bill no 4"/>
      <sheetName val="bill no 5"/>
      <sheetName val="bill no 6"/>
      <sheetName val="bill no 7"/>
      <sheetName val="bill no 8"/>
      <sheetName val="EW01-B7"/>
      <sheetName val="EW02-B7"/>
      <sheetName val="EW03-B7"/>
      <sheetName val="EW04-B7"/>
      <sheetName val="EW05-B7"/>
      <sheetName val="VO ( Bus Bays &amp; Park)"/>
      <sheetName val="VO (Fair face wall)"/>
      <sheetName val="VO (Heavy Veh.Access)"/>
      <sheetName val="VO-Pipe&amp;Slab Culvt"/>
      <sheetName val="VO (Raised foot walk)"/>
      <sheetName val="VO Bill-4 &amp; 5"/>
      <sheetName val="VO (WATCHER's HUT)"/>
      <sheetName val="VO (Water Tank)"/>
      <sheetName val="M-480"/>
      <sheetName val="M-519"/>
      <sheetName val="Rate_analysis21"/>
      <sheetName val="_VWVU))tÏØ0__23"/>
      <sheetName val="_SHOPLIST_xls_7014"/>
      <sheetName val="_SHOPLIST_xls_70,_0s«iÆøí¬i19"/>
      <sheetName val="[SHOPLIST_xls]/VWVU))tÏØ0_167"/>
      <sheetName val="[SHOPLIST_xls]/VWVU))tÏØ0_168"/>
      <sheetName val="Summary_6"/>
      <sheetName val="B04-A_-_DIA_SUDEER6"/>
      <sheetName val="04D_-_Tanmyat6"/>
      <sheetName val="13-_B04-B_&amp;_C6"/>
      <sheetName val="_SITE_09_B04-B&amp;C-AFAQ6"/>
      <sheetName val="[SHOPLIST_xls]/VWVU))tÏØ0_169"/>
      <sheetName val="[SHOPLIST_xls]/VWVU))tÏØ0_170"/>
      <sheetName val="[SHOPLIST_xls]/VWVU))tÏØ0_171"/>
      <sheetName val="[SHOPLIST_xls]/VWVU))tÏØ0_172"/>
      <sheetName val="CONSTRUCTION_COMPONENT6"/>
      <sheetName val="Finansal_tamamlanma_Eğrisi7"/>
      <sheetName val="2_Plex7"/>
      <sheetName val="Sheet1_(2)7"/>
      <sheetName val="4_Plex7"/>
      <sheetName val="6_Plex_7"/>
      <sheetName val="Detailed_Summary7"/>
      <sheetName val="Sheet1_(3)7"/>
      <sheetName val="Sheet1_(4)7"/>
      <sheetName val="May_058"/>
      <sheetName val="April_058"/>
      <sheetName val="Aug_058"/>
      <sheetName val="July_058"/>
      <sheetName val="June_058"/>
      <sheetName val="Nov_058"/>
      <sheetName val="Oct_058"/>
      <sheetName val="Sep_058"/>
      <sheetName val="HB_CEC_schd_4_27"/>
      <sheetName val="HB_CEC_schd_4_37"/>
      <sheetName val="HB_CEC_schd_5_27"/>
      <sheetName val="HB_CEC_schd_6_27"/>
      <sheetName val="HB_CEC_schd_7_27"/>
      <sheetName val="HB_CEC_schd_9_27"/>
      <sheetName val="Doha_Farm7"/>
      <sheetName val="Dropdown_List7"/>
      <sheetName val="New_Bld7"/>
      <sheetName val="B-3_2_EB6"/>
      <sheetName val="[SHOPLIST_xls]/VWVU))tÏØ0_173"/>
      <sheetName val="[SHOPLIST_xls]/VWVU))tÏØ0_174"/>
      <sheetName val="[SHOPLIST_xls]/VWVU))tÏØ0_175"/>
      <sheetName val="1_-_Main_Building7"/>
      <sheetName val="1_-_Summary7"/>
      <sheetName val="2_-_Landscaping_Works7"/>
      <sheetName val="2_-_Summary7"/>
      <sheetName val="4_-_Bldg_Infra7"/>
      <sheetName val="4_-_Summary7"/>
      <sheetName val="Trade_Summary6"/>
      <sheetName val="Sheet_Index6"/>
      <sheetName val="Sec__A-PQ7"/>
      <sheetName val="Preamble_B7"/>
      <sheetName val="Sec__C-Dayworks7"/>
      <sheetName val="d5_7"/>
      <sheetName val="AOP_Summary-28"/>
      <sheetName val="Tender_Docs6"/>
      <sheetName val="Miral_Emails6"/>
      <sheetName val="LOAs_(061619)6"/>
      <sheetName val="Contract_Conditions_(Tender)6"/>
      <sheetName val="Contract_Qualifications6"/>
      <sheetName val="YVPI_&amp;_GII6"/>
      <sheetName val="LOA_(live_sheet)6"/>
      <sheetName val="LOA_Log_(082419)6"/>
      <sheetName val="Key_Docs_Ref_6"/>
      <sheetName val="To_Mr__Boota_(072519)6"/>
      <sheetName val="Balance_Sheet6"/>
      <sheetName val="Status_Summary7"/>
      <sheetName val="New_Rates6"/>
      <sheetName val="Labour_Rates6"/>
      <sheetName val="Status_6"/>
      <sheetName val="CLIENT_BUDGET6"/>
      <sheetName val="Reco-June_20196"/>
      <sheetName val="REMINING_PROGRESS6"/>
      <sheetName val="OS&amp;E__IT6"/>
      <sheetName val="PAID_AMOUNT6"/>
      <sheetName val="IPA_216"/>
      <sheetName val="Order_by_owner6"/>
      <sheetName val="PERLIM__Sammary6"/>
      <sheetName val="RECOVER_OF_DOUBLE_PAYMENT6"/>
      <sheetName val="rathath_al_matar6"/>
      <sheetName val="INTERNAL_LINE_6"/>
      <sheetName val="MINOVA_AL_DEYAR6"/>
      <sheetName val="BLUE_RHINE6"/>
      <sheetName val="NATIONAL_PAINT6"/>
      <sheetName val="FIRE_RATED6"/>
      <sheetName val="Dashboard_(1)7"/>
      <sheetName val="VO_Agreed_to_Unifier_Sum7"/>
      <sheetName val="VO_Not_yet_Agreed_to_Unifier7"/>
      <sheetName val="VO_Anticipated_to_Unifier7"/>
      <sheetName val="EW_to_Unifier7"/>
      <sheetName val="Prov_Sums7"/>
      <sheetName val="Other_Amounts7"/>
      <sheetName val="Asset_Allocation_(CR)7"/>
      <sheetName val="Project_Benchmarking7"/>
      <sheetName val="Recon_Template6"/>
      <sheetName val="Estimate_for_approval6"/>
      <sheetName val="Quotation_FM_administration5"/>
      <sheetName val="Quotation_Visitor_and_Sec5"/>
      <sheetName val="Service_Charge5"/>
      <sheetName val="CABLES_5"/>
      <sheetName val="Quotation_Offices_108,9,10,11)5"/>
      <sheetName val="Quotation_modification5"/>
      <sheetName val="CIF_COST_ITEM6"/>
      <sheetName val="Rates_for_public_areas6"/>
      <sheetName val="DIV_01_General_Requirements5"/>
      <sheetName val="Bill_(1)_Main_Building5"/>
      <sheetName val="Bill_(2)_General_Site_&amp;_Parkin5"/>
      <sheetName val="wd_points5"/>
      <sheetName val="Bill_(3)_Guest_House5"/>
      <sheetName val="Bill_(4)_Family_Buildings5"/>
      <sheetName val="Bill_(5)_Villa_Buildings5"/>
      <sheetName val="Bill_(6)_Entrance_Building5"/>
      <sheetName val="Bill_(7)_Masjid5"/>
      <sheetName val="Bill_(8)_Auditorium5"/>
      <sheetName val="Bill_(9)_Site_Prep__&amp;_Roadway5"/>
      <sheetName val="Summary_Cost5"/>
      <sheetName val="lighting_points5"/>
      <sheetName val="ESTIMATE_(2)5"/>
      <sheetName val="COM_Summary5"/>
      <sheetName val="Drop_Down_Data5"/>
      <sheetName val="Rules_5"/>
      <sheetName val="Update_list5"/>
      <sheetName val="Sinh_Nam_systems5"/>
      <sheetName val="DIE_profile5"/>
      <sheetName val="Import_tax5"/>
      <sheetName val="TONG_HOP_VL-NC5"/>
      <sheetName val="TONGKE3p_5"/>
      <sheetName val="TH_VL,_NC,_DDHT_Thanhphuoc5"/>
      <sheetName val="DON_GIA5"/>
      <sheetName val="CHITIET_VL-NC5"/>
      <sheetName val="TH_kinh_phi5"/>
      <sheetName val="KLDT_DIEN5"/>
      <sheetName val="Dinh_muc_CP_KTCB_khac5"/>
      <sheetName val="_SHOPLIST_xls__SHOPLIST_xls_735"/>
      <sheetName val="_SHOPLIST_xls__SHOPLIST_xls_736"/>
      <sheetName val="quotation_5"/>
      <sheetName val="Bill_5_-_Carpark5"/>
      <sheetName val="BOQ_-_summary__35"/>
      <sheetName val="NKSC_thue5"/>
      <sheetName val="05__Data_Cash_Flow5"/>
      <sheetName val="MTO_REV_2(ARMOR)5"/>
      <sheetName val="GENERAL_SUMMARY5"/>
      <sheetName val="SITE_WORKS5"/>
      <sheetName val="WOOD_WORK5"/>
      <sheetName val="THERMAL_&amp;_MOISTURE_5"/>
      <sheetName val="DOORS_&amp;_WINDOWS5"/>
      <sheetName val="Additional_Items5"/>
      <sheetName val="개시대사_(2)5"/>
      <sheetName val="Ref_Arch5"/>
      <sheetName val="Div_Summary5"/>
      <sheetName val="___________19"/>
      <sheetName val="_SHOPLIST_xls_70,14"/>
      <sheetName val="_SHOPLIST_xls__VW14"/>
      <sheetName val="_SHOPLIST_xls__VWVU))tÏØ0__87"/>
      <sheetName val="_SHOPLIST_xls__VWVU))tÏØ0__88"/>
      <sheetName val="_SHOPLIST_xls__SHOPLIST_xls__14"/>
      <sheetName val="_SHOPLIST_xls__VWVU))tÏØ0__89"/>
      <sheetName val="_SHOPLIST_xls__VWVU))tÏØ0__90"/>
      <sheetName val="_SHOPLIST_xls__VWVU))tÏØ0__94"/>
      <sheetName val="_SHOPLIST_xls_70,_0s«_iÆø_í¬_14"/>
      <sheetName val="_SHOPLIST_xls_70_,_0_s«i_Æøí¬14"/>
      <sheetName val="_SHOPLIST_xls__VWVU))tÏØ0__95"/>
      <sheetName val="TB_ALJADA5"/>
      <sheetName val="Plot_Area5"/>
      <sheetName val="Closing_entries5"/>
      <sheetName val="Executive_Summary5"/>
      <sheetName val="Sales_Tracking_Report_(STR)5"/>
      <sheetName val="Blocking_Tracking_Report_(BTR)5"/>
      <sheetName val="Bill_No_15"/>
      <sheetName val="[SHOPLIST_xls]70,/0s«iÆøí¬6"/>
      <sheetName val="B2-DV_No_025"/>
      <sheetName val="_SUMMARY5"/>
      <sheetName val="PREAMBLES_5"/>
      <sheetName val="GENERAL_REQUIREMENT5"/>
      <sheetName val="B-_SITE_WORK5"/>
      <sheetName val="C__CONCRETE_WORKS_5"/>
      <sheetName val="D-_MASONRY5"/>
      <sheetName val="E__METAL_WORK5"/>
      <sheetName val="F__WOOD_WORK_5"/>
      <sheetName val="G__THERMAL_&amp;MP5"/>
      <sheetName val="H__DOORS___WINDOWS5"/>
      <sheetName val="J__FINISHES5"/>
      <sheetName val="K_ACCESSO5"/>
      <sheetName val="P_CONVEYING_SYSTEM5"/>
      <sheetName val="Q_MECHANICAL5"/>
      <sheetName val="R_ELECTRICAL5"/>
      <sheetName val="S_External_Works5"/>
      <sheetName val="T_Provisional_Sum5"/>
      <sheetName val="T__MEP_Works5"/>
      <sheetName val="U-DAY_WORKS_SCHEDULE5"/>
      <sheetName val="Struct__Members5"/>
      <sheetName val="MAIN_SUMMARY5"/>
      <sheetName val="L3-WBS_Mapping5"/>
      <sheetName val="BAFO_CCL_Submission5"/>
      <sheetName val="Core_Data6"/>
      <sheetName val="Abs_PMRL5"/>
      <sheetName val="_SHOPLIST_xls__SHOPLIST_xls_737"/>
      <sheetName val="L_(4)5"/>
      <sheetName val="ملخص_المشاريع5"/>
      <sheetName val="عقود_المقاولين5"/>
      <sheetName val="اوامر_الشراء5"/>
      <sheetName val="الحركة_اليومية5"/>
      <sheetName val="محمد_عساف5"/>
      <sheetName val="كشف_الايرادات_والضرائب5"/>
      <sheetName val="حساب_البنك5"/>
      <sheetName val="كشف_الرواتب5"/>
      <sheetName val="SAF_-_عهد_-_سلامي_ابو_فخر5"/>
      <sheetName val="THA_-_عهد_-_ثابت_احمد5"/>
      <sheetName val="AAH_-_عهد_-_انس_هبو5"/>
      <sheetName val="YSA_-_عهد_-_ياسر_السبع5"/>
      <sheetName val="MKJ_-_عهد_-_محمود_قجك5"/>
      <sheetName val="MSH_-_عهد_-_محمد_الشامي5"/>
      <sheetName val="ALW_-_عهد_-_علوان_علي5"/>
      <sheetName val="AHA_-_عهد_-_احمد_الحاج5"/>
      <sheetName val="MOR_-_عهد_-_مرجان_عبدالهادي5"/>
      <sheetName val="MHA_-_عهد_-_محمد_حسون_العلي5"/>
      <sheetName val="MF_-_مكتب_رئيسي5"/>
      <sheetName val="CO_-_مقاولين_-_عقود_(2)5"/>
      <sheetName val="BUR_-_موردين_-_شركة_البروج_5"/>
      <sheetName val="CAP_-_موردين_-_عاصمة_الكهرباء5"/>
      <sheetName val="PO_-_موردين_-_اوامر_شراء5"/>
      <sheetName val="CO_-_مقاولين_-_عقود5"/>
      <sheetName val="[SHOPLIST_xls]/VWVU))tÏØ0_176"/>
      <sheetName val="[SHOPLIST_xls]/VWVU))tÏØ0_177"/>
      <sheetName val="Master_data5"/>
      <sheetName val="[SHOPLIST_xls]/VWVU))tÏØ0_178"/>
      <sheetName val="[SHOPLIST_xls]/VWVU))tÏØ0_179"/>
      <sheetName val="[SHOPLIST_xls][SH6"/>
      <sheetName val="BOQ_1_925"/>
      <sheetName val="P1926-H2B_Pkg_2A&amp;2B6"/>
      <sheetName val="P1940-H2B_Pkg_1_Guestrooms6"/>
      <sheetName val="[SHOPLIST_xls]70_6"/>
      <sheetName val="Other_Cost_Norms5"/>
      <sheetName val="Comp_equip5"/>
      <sheetName val="Basic_Rate5"/>
      <sheetName val="MASTER_RATE_ANALYSIS5"/>
      <sheetName val="P15_Cost_Implications5"/>
      <sheetName val="P15_uPVC_ducts-Rate_Summary5"/>
      <sheetName val="P13_uPVC_ducts5"/>
      <sheetName val="P13_Mass_Concrete5"/>
      <sheetName val="P13_Imported_Fill5"/>
      <sheetName val="P14_uPVC_ducts5"/>
      <sheetName val="P14_Mass_Concrete5"/>
      <sheetName val="P14_Imported_Fill5"/>
      <sheetName val="P14_Sand_bed_to_cable5"/>
      <sheetName val="P15_uPVC_ducts5"/>
      <sheetName val="Div_10-Specialities_5"/>
      <sheetName val="MALE_&amp;_FEMALE_5"/>
      <sheetName val="6_2_Floor_Finishes5"/>
      <sheetName val="BUAs_and_Sales_Forecast5"/>
      <sheetName val="Lagoons_Breakdown_Prices5"/>
      <sheetName val="Cover_HW_Z2_5"/>
      <sheetName val="TOTAL_WORK5"/>
      <sheetName val="part_35"/>
      <sheetName val="pile_Length_for_Easter_fence5"/>
      <sheetName val="_Estimate__5"/>
      <sheetName val="Equip_5"/>
      <sheetName val="Cumulative_Rail_5"/>
      <sheetName val="Data_5"/>
      <sheetName val="[SHOPLIST_xls]/VWVU))tÏØ0_180"/>
      <sheetName val="Staff_OLD_5"/>
      <sheetName val="Portfolio_List5"/>
      <sheetName val="Initial_Data5"/>
      <sheetName val="Package_Status5"/>
      <sheetName val="Appendix-A_-GRAND_SUMMARY5"/>
      <sheetName val="D9_(New_Rate)5"/>
      <sheetName val="Grand_Summary_5"/>
      <sheetName val="Bill_No_01_-_GI_5"/>
      <sheetName val="combined_5"/>
      <sheetName val="summary-Optional_5"/>
      <sheetName val="B14_02_5"/>
      <sheetName val="Prov_Sum_5"/>
      <sheetName val="Démol_5"/>
      <sheetName val="Contractor_Application5"/>
      <sheetName val="08_MEP_Summary5"/>
      <sheetName val="Addnl_works5"/>
      <sheetName val="B3__Material_on_Site-Detail5"/>
      <sheetName val="WATER_DUCT_-_IC_215"/>
      <sheetName val="Asset_Desc5"/>
      <sheetName val="[SHOPLIST_xls]70,/0s«i_x5"/>
      <sheetName val="Account_Codes5"/>
      <sheetName val="[SHOPLIST_xls]/VWVU))tÏØ0_181"/>
      <sheetName val="[SHOPLIST_xls]/VWVU))tÏØ0_182"/>
      <sheetName val="[SHOPLIST_xls]/VWVU))tÏØ0_183"/>
      <sheetName val="[SHOPLIST_xls]/VWVU))tÏØ0_184"/>
      <sheetName val="[SHOPLIST_xls]/VWVU))tÏØ0_185"/>
      <sheetName val="[SHOPLIST_xls]/VWVU))tÏØ0_186"/>
      <sheetName val="[SHOPLIST_xls]/VWVU))tÏØ0_187"/>
      <sheetName val="[SHOPLIST_xls]/VWVU))tÏØ0_188"/>
      <sheetName val="FLOOR_AND_CEILING3"/>
      <sheetName val="area_comp_2011_01_18_(2)3"/>
      <sheetName val="drop_down_lists3"/>
      <sheetName val="PH_53"/>
      <sheetName val="S-Curve_Update3"/>
      <sheetName val="[SHOPLIST_xls]70_x005f_x0000_,/0_x003"/>
      <sheetName val="Detail_Page3"/>
      <sheetName val="_SHOPLIST_xls__VWVU))tÏØ0__96"/>
      <sheetName val="_SHOPLIST_xls__VWVU))tÏØ0__97"/>
      <sheetName val="_SHOPLIST_xls__VWVU))tÏØ0__98"/>
      <sheetName val="_SHOPLIST_xls__SHOPLIST_xls__V3"/>
      <sheetName val="_SHOPLIST_xls__VWVU))tÏØ0__99"/>
      <sheetName val="_SHOPLIST_xls__VWVU))tÏØ0_100"/>
      <sheetName val="8_0_Programme3"/>
      <sheetName val="SUBS_SUM"/>
      <sheetName val="tower_and_monopoles_"/>
      <sheetName val="ASD_Sum_of_Parts"/>
      <sheetName val="Administrative_Prices"/>
      <sheetName val="11B_"/>
      <sheetName val="EATON_SUMMARY1"/>
      <sheetName val="Outline_Cost_-_Five_star_Hotel1"/>
      <sheetName val="Field_Values"/>
      <sheetName val="CFForecast_detail"/>
      <sheetName val="Mat_Cost"/>
      <sheetName val="ACAD_Finishes"/>
      <sheetName val="Site_Details"/>
      <sheetName val="Site_Area_Statement"/>
      <sheetName val="GM_&amp;_TA"/>
      <sheetName val="10__&amp;_11__Rate_Code_&amp;_BQ"/>
      <sheetName val="key_dates"/>
      <sheetName val="Basement_Budget"/>
      <sheetName val="[SHOPLIST_xls][SHOPLIST_xls]760"/>
      <sheetName val="[SHOPLIST_xls][SHOPLIST_xls]761"/>
      <sheetName val="[SHOPLIST_xls][SHOPLIST_xls]762"/>
      <sheetName val="[SHOPLIST_xls][SHOPLIST_xls]763"/>
      <sheetName val="[SHOPLIST_xls][SHOPLIST_xls]764"/>
      <sheetName val="[SHOPLIST_xls][SHOPLIST_xls]765"/>
      <sheetName val="[SHOPLIST_xls][SHOPLIST_xls]766"/>
      <sheetName val="[SHOPLIST_xls][SHOPLIST_xls]767"/>
      <sheetName val="[SHOPLIST_xls][SHOPLIST_xls]768"/>
      <sheetName val="[SHOPLIST_xls][SHOPLIST_xls]229"/>
      <sheetName val="[SHOPLIST_xls][SHOPLIST_xls]230"/>
      <sheetName val="[SHOPLIST_xls][SHOPLIST_xls]231"/>
      <sheetName val="[SHOPLIST_xls][SHOPLIST_xls]232"/>
      <sheetName val="[SHOPLIST_xls]70___0_s__i_____8"/>
      <sheetName val="[SHOPLIST_xls]_VW__VU_________6"/>
      <sheetName val="[SHOPLIST_xls]_VW__VU_________7"/>
      <sheetName val="[SHOPLIST_xls]70___0_s__i_____9"/>
      <sheetName val="[SHOPLIST_xls]70_x005f_x0000___0_x0_4"/>
      <sheetName val="[SHOPLIST_xls][SHOPLIST_xls]233"/>
      <sheetName val="[SHOPLIST_xls]70___0_s__i____10"/>
      <sheetName val="[SHOPLIST_xls]_SHOPLIST_xls_210"/>
      <sheetName val="[SHOPLIST_xls]_SHOPLIST_xls_211"/>
      <sheetName val="[SHOPLIST_xls][SHOPLIST_xls]234"/>
      <sheetName val="[SHOPLIST_xls][SHOPLIST_xls]235"/>
      <sheetName val="[SHOPLIST_xls]_SHOPLIST_xls_212"/>
      <sheetName val="[SHOPLIST_xls]_SHOPLIST_xls_213"/>
      <sheetName val="[SHOPLIST_xls]_SHOPLIST_xls_214"/>
      <sheetName val="[SHOPLIST_xls]_SHOPLIST_xls_215"/>
      <sheetName val="[SHOPLIST_xls]_SHOPLIST_xls_216"/>
      <sheetName val="[SHOPLIST_xls]_SHOPLIST_xls_217"/>
      <sheetName val="[SHOPLIST_xls]_SHOPLIST_xls_218"/>
      <sheetName val="[SHOPLIST_xls]_SHOPLIST_xls_219"/>
      <sheetName val="[SHOPLIST_xls]_SHOPLIST_xls_220"/>
      <sheetName val="[SHOPLIST_xls]_SHOPLIST_xls_221"/>
      <sheetName val="[SHOPLIST_xls]_SHOPLIST_xls_222"/>
      <sheetName val="[SHOPLIST_xls]_SHOPLIST_xls_223"/>
      <sheetName val="[SHOPLIST_xls]_SHOPLIST_xls_224"/>
      <sheetName val="[SHOPLIST_xls]_SHOPLIST_xls_225"/>
      <sheetName val="[SHOPLIST_xls]_SHOPLIST_xls_226"/>
      <sheetName val="[SHOPLIST_xls]_SHOPLIST_xls_227"/>
      <sheetName val="[SHOPLIST_xls]_SHOPLIST_xls_228"/>
      <sheetName val="[SHOPLIST_xls]_SHOPLIST_xls_229"/>
      <sheetName val="[SHOPLIST_xls]_SHOPLIST_xls_230"/>
      <sheetName val="[SHOPLIST_xls]_SHOPLIST_xls_231"/>
      <sheetName val="[SHOPLIST_xls]_SHOPLIST_xls_232"/>
      <sheetName val="[SHOPLIST_xls]_SHOPLIST_xls_233"/>
      <sheetName val="[SHOPLIST_xls]_SHOPLIST_xls_234"/>
      <sheetName val="[SHOPLIST_xls]_SHOPLIST_xls_235"/>
      <sheetName val="[SHOPLIST_xls]_SHOPLIST_xls_236"/>
      <sheetName val="[SHOPLIST_xls]_SHOPLIST_xls_237"/>
      <sheetName val="[SHOPLIST_xls]_SHOPLIST_xls_238"/>
      <sheetName val="[SHOPLIST_xls]_SHOPLIST_xls_239"/>
      <sheetName val="[SHOPLIST_xls]_SHOPLIST_xls_240"/>
      <sheetName val="[SHOPLIST_xls]_SHOPLIST_xls_241"/>
      <sheetName val="[SHOPLIST_xls]_SHOPLIST_xls_242"/>
      <sheetName val="[SHOPLIST_xls]_SHOPLIST_xls_243"/>
      <sheetName val="[SHOPLIST_xls]_SHOPLIST_xls_244"/>
      <sheetName val="[SHOPLIST_xls]_SHOPLIST_xls_245"/>
      <sheetName val="[SHOPLIST_xls]_SHOPLIST_xls_246"/>
      <sheetName val="[SHOPLIST_xls]_SHOPLIST_xls_247"/>
      <sheetName val="[SHOPLIST_xls]_SHOPLIST_xls_248"/>
      <sheetName val="[SHOPLIST_xls]_SHOPLIST_xls_249"/>
      <sheetName val="[SHOPLIST_xls]_SHOPLIST_xls_250"/>
      <sheetName val="[SHOPLIST_xls][SHOPLIST_xls]236"/>
      <sheetName val="[SHOPLIST_xls]_SHOPLIST_xls_251"/>
      <sheetName val="[SHOPLIST_xls]_SHOPLIST_xls_252"/>
      <sheetName val="[SHOPLIST_xls]_SHOPLIST_xls_253"/>
      <sheetName val="[SHOPLIST_xls]_SHOPLIST_xls_254"/>
      <sheetName val="[SHOPLIST_xls]_SHOPLIST_xls_255"/>
      <sheetName val="[SHOPLIST_xls]_SHOPLIST_xls_256"/>
      <sheetName val="[SHOPLIST_xls]_SHOPLIST_xls_257"/>
      <sheetName val="[SHOPLIST_xls]_SHOPLIST_xls_258"/>
      <sheetName val="[SHOPLIST_xls]_SHOPLIST_xls_259"/>
      <sheetName val="[SHOPLIST_xls]_SHOPLIST_xls_260"/>
      <sheetName val="[SHOPLIST_xls]_SHOPLIST_xls_261"/>
      <sheetName val="[SHOPLIST_xls]_SHOPLIST_xls_262"/>
      <sheetName val="[SHOPLIST_xls]_SHOPLIST_xls_263"/>
      <sheetName val="[SHOPLIST_xls]_SHOPLIST_xls_264"/>
      <sheetName val="[SHOPLIST_xls]_SHOPLIST_xls_265"/>
      <sheetName val="[SHOPLIST_xls]_SHOPLIST_xls_266"/>
      <sheetName val="[SHOPLIST_xls]_SHOPLIST_xls_267"/>
      <sheetName val="[SHOPLIST_xls]_SHOPLIST_xls_268"/>
      <sheetName val="[SHOPLIST_xls]_SHOPLIST_xls_269"/>
      <sheetName val="[SHOPLIST_xls]_SHOPLIST_xls_270"/>
      <sheetName val="[SHOPLIST_xls]_SHOPLIST_xls_271"/>
      <sheetName val="[SHOPLIST_xls]_SHOPLIST_xls_272"/>
      <sheetName val="[SHOPLIST_xls]_SHOPLIST_xls_273"/>
      <sheetName val="[SHOPLIST_xls]_SHOPLIST_xls_274"/>
      <sheetName val="[SHOPLIST_xls]_SHOPLIST_xls_275"/>
      <sheetName val="[SHOPLIST_xls]_SHOPLIST_xls_276"/>
      <sheetName val="[SHOPLIST_xls]_SHOPLIST_xls_277"/>
      <sheetName val="[SHOPLIST_xls]_SHOPLIST_xls_278"/>
      <sheetName val="[SHOPLIST_xls]_SHOPLIST_xls_279"/>
      <sheetName val="[SHOPLIST_xls]_SHOPLIST_xls_280"/>
      <sheetName val="[SHOPLIST_xls]_SHOPLIST_xls_281"/>
      <sheetName val="[SHOPLIST_xls]_SHOPLIST_xls_282"/>
      <sheetName val="[SHOPLIST_xls]_SHOPLIST_xls_283"/>
      <sheetName val="[SHOPLIST_xls]_SHOPLIST_xls_284"/>
      <sheetName val="[SHOPLIST_xls]_SHOPLIST_xls_285"/>
      <sheetName val="[SHOPLIST_xls]_SHOPLIST_xls_286"/>
      <sheetName val="[SHOPLIST_xls]_SHOPLIST_xls_287"/>
      <sheetName val="[SHOPLIST_xls]_SHOPLIST_xls_288"/>
      <sheetName val="[SHOPLIST_xls]_SHOPLIST_xls_289"/>
      <sheetName val="[SHOPLIST_xls]_SHOPLIST_xls_290"/>
      <sheetName val="[SHOPLIST_xls]_SHOPLIST_xls_291"/>
      <sheetName val="[SHOPLIST_xls]_SHOPLIST_xls_292"/>
      <sheetName val="[SHOPLIST_xls]_SHOPLIST_xls_293"/>
      <sheetName val="[SHOPLIST_xls]_SHOPLIST_xls_294"/>
      <sheetName val="[SHOPLIST_xls]_SHOPLIST_xls_295"/>
      <sheetName val="[SHOPLIST_xls]_SHOPLIST_xls_296"/>
      <sheetName val="[SHOPLIST_xls]_SHOPLIST_xls_297"/>
      <sheetName val="[SHOPLIST_xls]_SHOPLIST_xls_298"/>
      <sheetName val="[SHOPLIST_xls]_SHOPLIST_xls_299"/>
      <sheetName val="[SHOPLIST_xls]_SHOPLIST_xls_300"/>
      <sheetName val="[SHOPLIST_xls]_SHOPLIST_xls_301"/>
      <sheetName val="[SHOPLIST_xls]_SHOPLIST_xls_302"/>
      <sheetName val="[SHOPLIST_xls]_SHOPLIST_xls_303"/>
      <sheetName val="[SHOPLIST_xls]_SHOPLIST_xls_304"/>
      <sheetName val="[SHOPLIST_xls]_SHOPLIST_xls_305"/>
      <sheetName val="[SHOPLIST_xls]_SHOPLIST_xls_306"/>
      <sheetName val="[SHOPLIST_xls]_SHOPLIST_xls_307"/>
      <sheetName val="[SHOPLIST_xls]_SHOPLIST_xls_308"/>
      <sheetName val="[SHOPLIST_xls]_SHOPLIST_xls_309"/>
      <sheetName val="[SHOPLIST_xls]_SHOPLIST_xls_310"/>
      <sheetName val="[SHOPLIST_xls]_SHOPLIST_xls_311"/>
      <sheetName val="[SHOPLIST_xls]_SHOPLIST_xls_312"/>
      <sheetName val="[SHOPLIST_xls]_SHOPLIST_xls_313"/>
      <sheetName val="[SHOPLIST_xls]_SHOPLIST_xls_314"/>
      <sheetName val="[SHOPLIST_xls]_SHOPLIST_xls_315"/>
      <sheetName val="[SHOPLIST_xls]_SHOPLIST_xls_316"/>
      <sheetName val="[SHOPLIST_xls]_SHOPLIST_xls_317"/>
      <sheetName val="[SHOPLIST_xls][SHOPLIST_xls]237"/>
      <sheetName val="[SHOPLIST_xls][SHOPLIST_xls]238"/>
      <sheetName val="[SHOPLIST_xls]_SHOPLIST_xls_320"/>
      <sheetName val="[SHOPLIST_xls]_SHOPLIST_xls_321"/>
      <sheetName val="[SHOPLIST_xls]_SHOPLIST_xls_322"/>
      <sheetName val="[SHOPLIST_xls]_SHOPLIST_xls_323"/>
      <sheetName val="[SHOPLIST_xls]_SHOPLIST_xls_324"/>
      <sheetName val="[SHOPLIST_xls]_SHOPLIST_xls_325"/>
      <sheetName val="[SHOPLIST_xls]_SHOPLIST_xls_326"/>
      <sheetName val="[SHOPLIST_xls]_SHOPLIST_xls_327"/>
      <sheetName val="[SHOPLIST_xls]_SHOPLIST_xls_328"/>
      <sheetName val="[SHOPLIST_xls]_SHOPLIST_xls_329"/>
      <sheetName val="[SHOPLIST_xls]_SHOPLIST_xls_330"/>
      <sheetName val="[SHOPLIST_xls]_SHOPLIST_xls_331"/>
      <sheetName val="[SHOPLIST_xls]_SHOPLIST_xls_332"/>
      <sheetName val="[SHOPLIST_xls]_SHOPLIST_xls_333"/>
      <sheetName val="[SHOPLIST_xls]_SHOPLIST_xls_334"/>
      <sheetName val="[SHOPLIST_xls]_SHOPLIST_xls_335"/>
      <sheetName val="[SHOPLIST_xls]_SHOPLIST_xls_336"/>
      <sheetName val="[SHOPLIST_xls]_SHOPLIST_xls_337"/>
      <sheetName val="[SHOPLIST_xls]_SHOPLIST_xls_338"/>
      <sheetName val="[SHOPLIST_xls]_SHOPLIST_xls_339"/>
      <sheetName val="[SHOPLIST_xls]_SHOPLIST_xls_340"/>
      <sheetName val="[SHOPLIST_xls]_SHOPLIST_xls_341"/>
      <sheetName val="[SHOPLIST_xls]_SHOPLIST_xls_342"/>
      <sheetName val="[SHOPLIST_xls]_SHOPLIST_xls_343"/>
      <sheetName val="[SHOPLIST_xls]_SHOPLIST_xls_344"/>
      <sheetName val="[SHOPLIST_xls]_SHOPLIST_xls_345"/>
      <sheetName val="[SHOPLIST_xls]_SHOPLIST_xls_346"/>
      <sheetName val="[SHOPLIST_xls]_SHOPLIST_xls_347"/>
      <sheetName val="[SHOPLIST_xls]_SHOPLIST_xls_348"/>
      <sheetName val="[SHOPLIST_xls]_SHOPLIST_xls_349"/>
      <sheetName val="[SHOPLIST_xls]70___0_s__i____11"/>
      <sheetName val="[SHOPLIST_xls]_VW__VU_________8"/>
      <sheetName val="[SHOPLIST_xls]_VW__VU_________9"/>
      <sheetName val="[SHOPLIST_xls]70___0_s__i____12"/>
      <sheetName val="[SHOPLIST_xls]70_x005f_x0000___0_x0_5"/>
      <sheetName val="[SHOPLIST_xls]_SHOPLIST_xls_350"/>
      <sheetName val="[SHOPLIST_xls]70___0_s__i____13"/>
      <sheetName val="[SHOPLIST_xls]_SHOPLIST_xls_351"/>
      <sheetName val="[SHOPLIST_xls]_SHOPLIST_xls_352"/>
      <sheetName val="[SHOPLIST_xls]_SHOPLIST_xls_353"/>
      <sheetName val="[SHOPLIST_xls]_SHOPLIST_xls_354"/>
      <sheetName val="[SHOPLIST_xls]_SHOPLIST_xls_355"/>
      <sheetName val="[SHOPLIST_xls]_SHOPLIST_xls_356"/>
      <sheetName val="[SHOPLIST_xls]_SHOPLIST_xls_357"/>
      <sheetName val="[SHOPLIST_xls]_SHOPLIST_xls_358"/>
      <sheetName val="[SHOPLIST_xls]_SHOPLIST_xls_359"/>
      <sheetName val="[SHOPLIST_xls]_SHOPLIST_xls_360"/>
      <sheetName val="[SHOPLIST_xls]_SHOPLIST_xls_361"/>
      <sheetName val="[SHOPLIST_xls]_SHOPLIST_xls_362"/>
      <sheetName val="[SHOPLIST_xls]_SHOPLIST_xls_363"/>
      <sheetName val="[SHOPLIST_xls]_SHOPLIST_xls_364"/>
      <sheetName val="[SHOPLIST_xls]_SHOPLIST_xls_365"/>
      <sheetName val="[SHOPLIST_xls]_SHOPLIST_xls_366"/>
      <sheetName val="[SHOPLIST_xls]_SHOPLIST_xls_367"/>
      <sheetName val="[SHOPLIST_xls]_SHOPLIST_xls_368"/>
      <sheetName val="[SHOPLIST_xls]_SHOPLIST_xls_369"/>
      <sheetName val="[SHOPLIST_xls]_SHOPLIST_xls_370"/>
      <sheetName val="[SHOPLIST_xls]_SHOPLIST_xls_371"/>
      <sheetName val="[SHOPLIST_xls]_SHOPLIST_xls_372"/>
      <sheetName val="[SHOPLIST_xls]_SHOPLIST_xls_373"/>
      <sheetName val="[SHOPLIST_xls]_SHOPLIST_xls_374"/>
      <sheetName val="[SHOPLIST_xls]_SHOPLIST_xls_375"/>
      <sheetName val="[SHOPLIST_xls]_SHOPLIST_xls_376"/>
      <sheetName val="[SHOPLIST_xls]_SHOPLIST_xls_377"/>
      <sheetName val="[SHOPLIST_xls]_SHOPLIST_xls_378"/>
      <sheetName val="[SHOPLIST_xls]_SHOPLIST_xls_379"/>
      <sheetName val="[SHOPLIST_xls]_SHOPLIST_xls_380"/>
      <sheetName val="[SHOPLIST_xls]_SHOPLIST_xls_381"/>
      <sheetName val="[SHOPLIST_xls]_SHOPLIST_xls_382"/>
      <sheetName val="[SHOPLIST_xls]_SHOPLIST_xls_383"/>
      <sheetName val="[SHOPLIST_xls]_SHOPLIST_xls_384"/>
      <sheetName val="[SHOPLIST_xls]_SHOPLIST_xls_385"/>
      <sheetName val="[SHOPLIST_xls]_SHOPLIST_xls_386"/>
      <sheetName val="[SHOPLIST_xls]_SHOPLIST_xls_387"/>
      <sheetName val="[SHOPLIST_xls]_SHOPLIST_xls_388"/>
      <sheetName val="[SHOPLIST_xls]_SHOPLIST_xls_389"/>
      <sheetName val="[SHOPLIST_xls]_SHOPLIST_xls_390"/>
      <sheetName val="[SHOPLIST_xls]_SHOPLIST_xls_391"/>
      <sheetName val="[SHOPLIST_xls]_SHOPLIST_xls_392"/>
      <sheetName val="[SHOPLIST_xls]_SHOPLIST_xls_393"/>
      <sheetName val="[SHOPLIST_xls]_SHOPLIST_xls_394"/>
      <sheetName val="[SHOPLIST_xls]_SHOPLIST_xls_395"/>
      <sheetName val="[SHOPLIST_xls]_SHOPLIST_xls_396"/>
      <sheetName val="[SHOPLIST_xls]_SHOPLIST_xls_397"/>
      <sheetName val="[SHOPLIST_xls]_SHOPLIST_xls_398"/>
      <sheetName val="[SHOPLIST_xls]_SHOPLIST_xls_399"/>
      <sheetName val="[SHOPLIST_xls]_SHOPLIST_xls_400"/>
      <sheetName val="[SHOPLIST_xls]_SHOPLIST_xls_401"/>
      <sheetName val="[SHOPLIST_xls]_SHOPLIST_xls_402"/>
      <sheetName val="[SHOPLIST_xls]_SHOPLIST_xls_403"/>
      <sheetName val="[SHOPLIST_xls]_SHOPLIST_xls_404"/>
      <sheetName val="[SHOPLIST_xls]_SHOPLIST_xls_405"/>
      <sheetName val="[SHOPLIST_xls]_SHOPLIST_xls_406"/>
      <sheetName val="[SHOPLIST_xls]_SHOPLIST_xls_407"/>
      <sheetName val="[SHOPLIST_xls]_SHOPLIST_xls_408"/>
      <sheetName val="[SHOPLIST_xls]_SHOPLIST_xls_409"/>
      <sheetName val="[SHOPLIST_xls]_SHOPLIST_xls_410"/>
      <sheetName val="[SHOPLIST_xls]_SHOPLIST_xls_411"/>
      <sheetName val="[SHOPLIST_xls]_SHOPLIST_xls_412"/>
      <sheetName val="[SHOPLIST_xls]_SHOPLIST_xls_413"/>
      <sheetName val="[SHOPLIST_xls]_SHOPLIST_xls_414"/>
      <sheetName val="[SHOPLIST_xls]_SHOPLIST_xls_415"/>
      <sheetName val="[SHOPLIST_xls]_SHOPLIST_xls_416"/>
      <sheetName val="[SHOPLIST_xls]_SHOPLIST_xls_417"/>
      <sheetName val="[SHOPLIST_xls]_SHOPLIST_xls_418"/>
      <sheetName val="[SHOPLIST_xls]_SHOPLIST_xls_419"/>
      <sheetName val="[SHOPLIST_xls]_SHOPLIST_xls_420"/>
      <sheetName val="[SHOPLIST_xls]_SHOPLIST_xls_421"/>
      <sheetName val="[SHOPLIST_xls]_SHOPLIST_xls_422"/>
      <sheetName val="[SHOPLIST_xls]_SHOPLIST_xls_423"/>
      <sheetName val="[SHOPLIST_xls]_SHOPLIST_xls_424"/>
      <sheetName val="[SHOPLIST_xls]_SHOPLIST_xls_425"/>
      <sheetName val="[SHOPLIST_xls]_SHOPLIST_xls_426"/>
      <sheetName val="[SHOPLIST_xls]_SHOPLIST_xls_427"/>
      <sheetName val="[SHOPLIST_xls]_SHOPLIST_xls_428"/>
      <sheetName val="[SHOPLIST_xls]_SHOPLIST_xls_429"/>
      <sheetName val="[SHOPLIST_xls]_SHOPLIST_xls_430"/>
      <sheetName val="[SHOPLIST_xls]_SHOPLIST_xls_431"/>
      <sheetName val="[SHOPLIST_xls]_SHOPLIST_xls_432"/>
      <sheetName val="[SHOPLIST_xls]_SHOPLIST_xls_433"/>
      <sheetName val="[SHOPLIST_xls]_SHOPLIST_xls_434"/>
      <sheetName val="[SHOPLIST_xls]_SHOPLIST_xls_435"/>
      <sheetName val="[SHOPLIST_xls]_SHOPLIST_xls_436"/>
      <sheetName val="[SHOPLIST_xls]_SHOPLIST_xls_437"/>
      <sheetName val="[SHOPLIST_xls]_SHOPLIST_xls_438"/>
      <sheetName val="[SHOPLIST_xls]_SHOPLIST_xls_439"/>
      <sheetName val="[SHOPLIST_xls]_SHOPLIST_xls_440"/>
      <sheetName val="[SHOPLIST_xls]_SHOPLIST_xls_441"/>
      <sheetName val="[SHOPLIST_xls]_SHOPLIST_xls_442"/>
      <sheetName val="[SHOPLIST_xls]_SHOPLIST_xls_443"/>
      <sheetName val="[SHOPLIST_xls]_SHOPLIST_xls_444"/>
      <sheetName val="[SHOPLIST_xls]_SHOPLIST_xls_445"/>
      <sheetName val="[SHOPLIST_xls]_SHOPLIST_xls_446"/>
      <sheetName val="[SHOPLIST_xls]_SHOPLIST_xls_447"/>
      <sheetName val="[SHOPLIST_xls]_SHOPLIST_xls_448"/>
      <sheetName val="[SHOPLIST_xls]_SHOPLIST_xls_449"/>
      <sheetName val="[SHOPLIST_xls]_SHOPLIST_xls_450"/>
      <sheetName val="[SHOPLIST_xls]_SHOPLIST_xls_451"/>
      <sheetName val="[SHOPLIST_xls]_SHOPLIST_xls_452"/>
      <sheetName val="[SHOPLIST_xls]_SHOPLIST_xls_453"/>
      <sheetName val="[SHOPLIST_xls]_SHOPLIST_xls_454"/>
      <sheetName val="[SHOPLIST_xls]_SHOPLIST_xls_455"/>
      <sheetName val="[SHOPLIST_xls]_SHOPLIST_xls_456"/>
      <sheetName val="[SHOPLIST_xls]_SHOPLIST_xls_457"/>
      <sheetName val="[SHOPLIST_xls]_SHOPLIST_xls_458"/>
      <sheetName val="[SHOPLIST_xls]_SHOPLIST_xls_459"/>
      <sheetName val="[SHOPLIST_xls]_SHOPLIST_xls_460"/>
      <sheetName val="[SHOPLIST_xls]_SHOPLIST_xls_461"/>
      <sheetName val="[SHOPLIST_xls]70_x005f_x005f_x005f_x0000__4"/>
      <sheetName val="[SHOPLIST_xls]_SHOPLIST_xls_462"/>
      <sheetName val="[SHOPLIST_xls]_SHOPLIST_xls_463"/>
      <sheetName val="[SHOPLIST_xls]70_x005f_x005f_x005f_x0000__3"/>
      <sheetName val="[SHOPLIST_xls]_SHOPLIST_xls_318"/>
      <sheetName val="[SHOPLIST_xls]_SHOPLIST_xls_319"/>
      <sheetName val="Income_Statement"/>
      <sheetName val="Data_Works"/>
      <sheetName val="Control_Panel"/>
      <sheetName val="Sheet"/>
      <sheetName val="14267"/>
      <sheetName val="shuttering"/>
      <sheetName val="CFS3"/>
      <sheetName val="Structured Cabling"/>
      <sheetName val="IS"/>
      <sheetName val="Configurations"/>
      <sheetName val="Technical"/>
      <sheetName val="BUR"/>
      <sheetName val="FSA"/>
      <sheetName val="Services_InitialEst_UtilityServ"/>
      <sheetName val="70_x005f_x0000_,/0_x005f_x0000_"/>
      <sheetName val="Currency Rate"/>
      <sheetName val="contents "/>
      <sheetName val="Div.8 - Opening"/>
      <sheetName val="Div .9- Finishes"/>
      <sheetName val="Total "/>
      <sheetName val="Projects Name"/>
      <sheetName val="B_Room_W_Done_Progress"/>
      <sheetName val="SUMMARY_(ROOM)"/>
      <sheetName val="W_D_Prgress_Public_area"/>
      <sheetName val="SUMMARY_Public"/>
      <sheetName val="Cover_Page4"/>
      <sheetName val="Approved_INR_Claimed_Log_(2)4"/>
      <sheetName val="INR_Data4"/>
      <sheetName val="Dec_OCR4"/>
      <sheetName val="OCR_(APR4"/>
      <sheetName val="Survey_4"/>
      <sheetName val="INR_Summary_Sheet4"/>
      <sheetName val="ITR_Form_(Rev0)4"/>
      <sheetName val="ITR_Form_(SS)4"/>
      <sheetName val="ITR_Form_(Rev1)4"/>
      <sheetName val="Method_Statements4"/>
      <sheetName val="SI_224"/>
      <sheetName val="TO_List4"/>
      <sheetName val="CCTV_DATA4"/>
      <sheetName val="FAL_intern4"/>
      <sheetName val="B_Room_W_Done_Progress1"/>
      <sheetName val="SUMMARY_(ROOM)1"/>
      <sheetName val="W_D_Prgress_Public_area1"/>
      <sheetName val="SUMMARY_Public1"/>
      <sheetName val="Tender_Stage"/>
      <sheetName val="Delay_Clasifications"/>
      <sheetName val="PA_Milestones"/>
      <sheetName val="VD-CALC"/>
      <sheetName val="内訳書"/>
      <sheetName val="[SHOPLIST.xls]_VW__VU________20"/>
      <sheetName val="[SHOPLIST.xls]_VW__VU________21"/>
      <sheetName val="[SHOPLIST.xls]70_x005f_x0000___0_x_11"/>
      <sheetName val="[SHOPLIST.xls]70___0_s__i____30"/>
      <sheetName val="[SHOPLIST.xls]70___0_s__i____31"/>
      <sheetName val="[SHOPLIST.xls]70_x005f_x005f_x005f_x0000__9"/>
      <sheetName val="5.1-AB"/>
      <sheetName val="[SHOPLIST.xls]70_x005f_x005f_x005f_x0000_10"/>
      <sheetName val="[SHOPLIST.xls]70___0_s__i____32"/>
      <sheetName val="[SHOPLIST.xls]_VW__VU________22"/>
      <sheetName val="[SHOPLIST.xls]_VW__VU________23"/>
      <sheetName val="[SHOPLIST.xls]70_x005f_x0000___0_x_12"/>
      <sheetName val="[SHOPLIST.xls]70___0_s__i____33"/>
      <sheetName val="[SHOPLIST.xls]70___0_s__i____34"/>
      <sheetName val="[SHOPLIST.xls]70___0_s__i____35"/>
      <sheetName val="[SHOPLIST.xls]70_x005f_x005f_x005f_x0000_11"/>
      <sheetName val="cables"/>
      <sheetName val="[SHOPLIST.xls]_SHOPLIST_xl_1193"/>
      <sheetName val="[SHOPLIST.xls]_SHOPLIST_xl_1194"/>
      <sheetName val="[SHOPLIST.xls]_SHOPLIST_xl_1195"/>
      <sheetName val="[SHOPLIST.xls]_SHOPLIST_xl_1196"/>
      <sheetName val="[SHOPLIST.xls]_SHOPLIST_xl_1197"/>
      <sheetName val="[SHOPLIST.xls]_SHOPLIST_xl_1198"/>
      <sheetName val="[SHOPLIST.xls]_SHOPLIST_xl_1199"/>
      <sheetName val="[SHOPLIST.xls]_SHOPLIST_xl_1200"/>
      <sheetName val="[SHOPLIST.xls]_SHOPLIST_xl_1201"/>
      <sheetName val="[SHOPLIST.xls]_SHOPLIST_xl_1202"/>
      <sheetName val="[SHOPLIST.xls]_SHOPLIST_xl_1203"/>
      <sheetName val="[SHOPLIST.xls]_SHOPLIST_xl_1204"/>
      <sheetName val="[SHOPLIST.xls]_SHOPLIST_xl_1205"/>
      <sheetName val="[SHOPLIST.xls]_SHOPLIST_xl_1206"/>
      <sheetName val="[SHOPLIST.xls]_SHOPLIST_xl_1207"/>
      <sheetName val="[SHOPLIST.xls]_SHOPLIST_xl_1208"/>
      <sheetName val="[SHOPLIST.xls]_SHOPLIST_xl_1209"/>
      <sheetName val="[SHOPLIST.xls]_SHOPLIST_xl_1210"/>
      <sheetName val="[SHOPLIST.xls]_SHOPLIST_xl_1211"/>
      <sheetName val="[SHOPLIST.xls]_SHOPLIST_xl_1212"/>
      <sheetName val="[SHOPLIST.xls]_SHOPLIST_xl_1213"/>
      <sheetName val="[SHOPLIST.xls]_SHOPLIST_xl_1214"/>
      <sheetName val="[SHOPLIST.xls]_SHOPLIST_xl_1215"/>
      <sheetName val="[SHOPLIST.xls]_SHOPLIST_xl_1216"/>
      <sheetName val="[SHOPLIST.xls]_SHOPLIST_xl_1217"/>
      <sheetName val="[SHOPLIST.xls]_SHOPLIST_xl_1218"/>
      <sheetName val="[SHOPLIST.xls]_SHOPLIST_xl_1219"/>
      <sheetName val="[SHOPLIST.xls]_SHOPLIST_xl_1220"/>
      <sheetName val="[SHOPLIST.xls]_SHOPLIST_xl_1221"/>
      <sheetName val="[SHOPLIST.xls]_SHOPLIST_xl_1222"/>
      <sheetName val="[SHOPLIST.xls]_VW__VU________24"/>
      <sheetName val="[SHOPLIST.xls]_VW__VU________25"/>
      <sheetName val="[SHOPLIST.xls]70_x005f_x0000___0_x_13"/>
      <sheetName val="[SHOPLIST.xls]70___0_s__i____36"/>
      <sheetName val="[SHOPLIST.xls]70___0_s__i____37"/>
      <sheetName val="[SHOPLIST.xls]_SHOPLIST_xl_1223"/>
      <sheetName val="[SHOPLIST.xls]_SHOPLIST_xl_1224"/>
      <sheetName val="[SHOPLIST.xls]_SHOPLIST_xl_1225"/>
      <sheetName val="[SHOPLIST.xls]_SHOPLIST_xl_1226"/>
      <sheetName val="[SHOPLIST.xls]_SHOPLIST_xl_1227"/>
      <sheetName val="[SHOPLIST.xls]_SHOPLIST_xl_1228"/>
      <sheetName val="[SHOPLIST.xls]_SHOPLIST_xl_1229"/>
      <sheetName val="[SHOPLIST.xls]_SHOPLIST_xl_1230"/>
      <sheetName val="[SHOPLIST.xls]_SHOPLIST_xl_1231"/>
      <sheetName val="[SHOPLIST.xls]_SHOPLIST_xl_1232"/>
      <sheetName val="[SHOPLIST.xls]_SHOPLIST_xl_1233"/>
      <sheetName val="[SHOPLIST.xls]_SHOPLIST_xl_1234"/>
      <sheetName val="[SHOPLIST.xls]_SHOPLIST_xl_1235"/>
      <sheetName val="[SHOPLIST.xls]_SHOPLIST_xl_1236"/>
      <sheetName val="[SHOPLIST.xls]_SHOPLIST_xl_1237"/>
      <sheetName val="[SHOPLIST.xls]_SHOPLIST_xl_1238"/>
      <sheetName val="[SHOPLIST.xls]_SHOPLIST_xl_1239"/>
      <sheetName val="[SHOPLIST.xls]_SHOPLIST_xl_1240"/>
      <sheetName val="[SHOPLIST.xls]_SHOPLIST_xl_1241"/>
      <sheetName val="[SHOPLIST.xls]_SHOPLIST_xl_1242"/>
      <sheetName val="[SHOPLIST.xls]_SHOPLIST_xl_1243"/>
      <sheetName val="[SHOPLIST.xls]_SHOPLIST_xl_1244"/>
      <sheetName val="[SHOPLIST.xls]_SHOPLIST_xl_1245"/>
      <sheetName val="[SHOPLIST.xls]_SHOPLIST_xl_1246"/>
      <sheetName val="[SHOPLIST.xls]_SHOPLIST_xl_1247"/>
      <sheetName val="[SHOPLIST.xls]_SHOPLIST_xl_1248"/>
      <sheetName val="[SHOPLIST.xls]_SHOPLIST_xl_1249"/>
      <sheetName val="[SHOPLIST.xls]_SHOPLIST_xl_1250"/>
      <sheetName val="[SHOPLIST.xls]_SHOPLIST_xl_1251"/>
      <sheetName val="[SHOPLIST.xls]_SHOPLIST_xl_1252"/>
      <sheetName val="[SHOPLIST.xls]_SHOPLIST_xl_1253"/>
      <sheetName val="[SHOPLIST.xls]_SHOPLIST_xl_1254"/>
      <sheetName val="[SHOPLIST.xls]_SHOPLIST_xl_1255"/>
      <sheetName val="[SHOPLIST.xls]_SHOPLIST_xl_1256"/>
      <sheetName val="[SHOPLIST.xls]_SHOPLIST_xl_1257"/>
      <sheetName val="[SHOPLIST.xls]_SHOPLIST_xl_1258"/>
      <sheetName val="[SHOPLIST.xls]_SHOPLIST_xl_1259"/>
      <sheetName val="[SHOPLIST.xls]_SHOPLIST_xl_1260"/>
      <sheetName val="[SHOPLIST.xls]_SHOPLIST_xl_1261"/>
      <sheetName val="[SHOPLIST.xls]_SHOPLIST_xl_1262"/>
      <sheetName val="[SHOPLIST.xls]_SHOPLIST_xl_1263"/>
      <sheetName val="[SHOPLIST.xls]_SHOPLIST_xl_1264"/>
      <sheetName val="[SHOPLIST.xls]_SHOPLIST_xl_1265"/>
      <sheetName val="[SHOPLIST.xls]_SHOPLIST_xl_1266"/>
      <sheetName val="[SHOPLIST.xls]_SHOPLIST_xl_1267"/>
      <sheetName val="[SHOPLIST.xls]_SHOPLIST_xl_1268"/>
      <sheetName val="[SHOPLIST.xls]_SHOPLIST_xl_1269"/>
      <sheetName val="[SHOPLIST.xls]_SHOPLIST_xl_1270"/>
      <sheetName val="[SHOPLIST.xls]_SHOPLIST_xl_1271"/>
      <sheetName val="[SHOPLIST.xls]_SHOPLIST_xl_1272"/>
      <sheetName val="[SHOPLIST.xls]_SHOPLIST_xl_1273"/>
      <sheetName val="[SHOPLIST.xls]_SHOPLIST_xl_1274"/>
      <sheetName val="[SHOPLIST.xls]_SHOPLIST_xl_1275"/>
      <sheetName val="[SHOPLIST.xls]_SHOPLIST_xl_1276"/>
      <sheetName val="[SHOPLIST.xls]_SHOPLIST_xl_1277"/>
      <sheetName val="[SHOPLIST.xls]_SHOPLIST_xl_1278"/>
      <sheetName val="[SHOPLIST.xls]_SHOPLIST_xl_1279"/>
      <sheetName val="[SHOPLIST.xls]_SHOPLIST_xl_1280"/>
      <sheetName val="[SHOPLIST.xls]_SHOPLIST_xl_1281"/>
      <sheetName val="[SHOPLIST.xls]_SHOPLIST_xl_1282"/>
      <sheetName val="[SHOPLIST.xls]_SHOPLIST_xl_1283"/>
      <sheetName val="[SHOPLIST.xls]_SHOPLIST_xl_1284"/>
      <sheetName val="[SHOPLIST.xls]_SHOPLIST_xl_1285"/>
      <sheetName val="[SHOPLIST.xls]_SHOPLIST_xl_1286"/>
      <sheetName val="[SHOPLIST.xls]_SHOPLIST_xl_1287"/>
      <sheetName val="[SHOPLIST.xls]_SHOPLIST_xl_1288"/>
      <sheetName val="[SHOPLIST.xls]_SHOPLIST_xl_1289"/>
      <sheetName val="[SHOPLIST.xls]_SHOPLIST_xl_1290"/>
      <sheetName val="[SHOPLIST.xls]_SHOPLIST_xl_1291"/>
      <sheetName val="[SHOPLIST.xls]_SHOPLIST_xl_1292"/>
      <sheetName val="[SHOPLIST.xls]_SHOPLIST_xl_1293"/>
      <sheetName val="[SHOPLIST.xls]_SHOPLIST_xl_1294"/>
      <sheetName val="[SHOPLIST.xls]_SHOPLIST_xl_1295"/>
      <sheetName val="[SHOPLIST.xls]_SHOPLIST_xl_1296"/>
      <sheetName val="[SHOPLIST.xls]_SHOPLIST_xl_1297"/>
      <sheetName val="[SHOPLIST.xls]_SHOPLIST_xl_1298"/>
      <sheetName val="[SHOPLIST.xls]_SHOPLIST_xl_1299"/>
      <sheetName val="[SHOPLIST.xls]_SHOPLIST_xl_1300"/>
      <sheetName val="[SHOPLIST.xls]_SHOPLIST_xl_1301"/>
      <sheetName val="[SHOPLIST.xls]_SHOPLIST_xl_1302"/>
      <sheetName val="[SHOPLIST.xls]_SHOPLIST_xl_1303"/>
      <sheetName val="[SHOPLIST.xls]_SHOPLIST_xl_1304"/>
      <sheetName val="[SHOPLIST.xls]_SHOPLIST_xl_1305"/>
      <sheetName val="[SHOPLIST.xls]_SHOPLIST_xl_1306"/>
      <sheetName val="[SHOPLIST.xls]_SHOPLIST_xl_1307"/>
      <sheetName val="[SHOPLIST.xls]_SHOPLIST_xl_1308"/>
      <sheetName val="[SHOPLIST.xls]_SHOPLIST_xl_1309"/>
      <sheetName val="[SHOPLIST.xls]_SHOPLIST_xl_1310"/>
      <sheetName val="[SHOPLIST.xls]_SHOPLIST_xl_1311"/>
      <sheetName val="[SHOPLIST.xls]_SHOPLIST_xl_1312"/>
      <sheetName val="[SHOPLIST.xls]_SHOPLIST_xl_1313"/>
      <sheetName val="[SHOPLIST.xls]70_x005f_x005f_x005f_x0000_13"/>
      <sheetName val="[SHOPLIST.xls]_SHOPLIST_xl_1314"/>
      <sheetName val="[SHOPLIST.xls]_SHOPLIST_xl_1080"/>
      <sheetName val="[SHOPLIST.xls]_SHOPLIST_xl_1081"/>
      <sheetName val="[SHOPLIST.xls]_SHOPLIST_xl_1082"/>
      <sheetName val="[SHOPLIST.xls]_SHOPLIST_xl_1083"/>
      <sheetName val="[SHOPLIST.xls]_SHOPLIST_xl_1084"/>
      <sheetName val="[SHOPLIST.xls]_SHOPLIST_xl_1085"/>
      <sheetName val="[SHOPLIST.xls]_SHOPLIST_xl_1086"/>
      <sheetName val="[SHOPLIST.xls]_SHOPLIST_xl_1087"/>
      <sheetName val="[SHOPLIST.xls]_SHOPLIST_xl_1088"/>
      <sheetName val="[SHOPLIST.xls]_SHOPLIST_xl_1089"/>
      <sheetName val="[SHOPLIST.xls]_SHOPLIST_xl_1090"/>
      <sheetName val="[SHOPLIST.xls]_SHOPLIST_xl_1091"/>
      <sheetName val="[SHOPLIST.xls]_SHOPLIST_xl_1092"/>
      <sheetName val="[SHOPLIST.xls]_SHOPLIST_xl_1093"/>
      <sheetName val="[SHOPLIST.xls]_SHOPLIST_xl_1094"/>
      <sheetName val="[SHOPLIST.xls]_SHOPLIST_xl_1095"/>
      <sheetName val="[SHOPLIST.xls]_SHOPLIST_xl_1096"/>
      <sheetName val="[SHOPLIST.xls]_SHOPLIST_xl_1097"/>
      <sheetName val="[SHOPLIST.xls]_SHOPLIST_xl_1098"/>
      <sheetName val="[SHOPLIST.xls]_SHOPLIST_xl_1099"/>
      <sheetName val="[SHOPLIST.xls]_SHOPLIST_xl_1100"/>
      <sheetName val="[SHOPLIST.xls]_SHOPLIST_xl_1101"/>
      <sheetName val="[SHOPLIST.xls]_SHOPLIST_xl_1102"/>
      <sheetName val="[SHOPLIST.xls]_SHOPLIST_xl_1103"/>
      <sheetName val="[SHOPLIST.xls]_SHOPLIST_xl_1104"/>
      <sheetName val="[SHOPLIST.xls]_SHOPLIST_xl_1105"/>
      <sheetName val="[SHOPLIST.xls]_SHOPLIST_xl_1106"/>
      <sheetName val="[SHOPLIST.xls]_SHOPLIST_xl_1107"/>
      <sheetName val="[SHOPLIST.xls]_SHOPLIST_xl_1108"/>
      <sheetName val="[SHOPLIST.xls]_SHOPLIST_xl_1109"/>
      <sheetName val="[SHOPLIST.xls]_SHOPLIST_xl_1110"/>
      <sheetName val="[SHOPLIST.xls]_SHOPLIST_xl_1111"/>
      <sheetName val="[SHOPLIST.xls]_SHOPLIST_xl_1112"/>
      <sheetName val="[SHOPLIST.xls]_SHOPLIST_xl_1113"/>
      <sheetName val="[SHOPLIST.xls]_SHOPLIST_xl_1114"/>
      <sheetName val="[SHOPLIST.xls]_SHOPLIST_xl_1115"/>
      <sheetName val="[SHOPLIST.xls]_SHOPLIST_xl_1116"/>
      <sheetName val="[SHOPLIST.xls]_SHOPLIST_xl_1117"/>
      <sheetName val="[SHOPLIST.xls]_SHOPLIST_xl_1118"/>
      <sheetName val="[SHOPLIST.xls]_SHOPLIST_xl_1119"/>
      <sheetName val="[SHOPLIST.xls]_SHOPLIST_xl_1120"/>
      <sheetName val="[SHOPLIST.xls]_SHOPLIST_xl_1121"/>
      <sheetName val="[SHOPLIST.xls]_SHOPLIST_xl_1122"/>
      <sheetName val="[SHOPLIST.xls]_SHOPLIST_xl_1123"/>
      <sheetName val="[SHOPLIST.xls]_SHOPLIST_xl_1124"/>
      <sheetName val="[SHOPLIST.xls]_SHOPLIST_xl_1125"/>
      <sheetName val="[SHOPLIST.xls]_SHOPLIST_xl_1126"/>
      <sheetName val="[SHOPLIST.xls]_SHOPLIST_xl_1127"/>
      <sheetName val="[SHOPLIST.xls]_SHOPLIST_xl_1128"/>
      <sheetName val="[SHOPLIST.xls]_SHOPLIST_xl_1129"/>
      <sheetName val="[SHOPLIST.xls]_SHOPLIST_xl_1130"/>
      <sheetName val="[SHOPLIST.xls]_SHOPLIST_xl_1131"/>
      <sheetName val="[SHOPLIST.xls]_SHOPLIST_xl_1132"/>
      <sheetName val="[SHOPLIST.xls]_SHOPLIST_xl_1133"/>
      <sheetName val="[SHOPLIST.xls]_SHOPLIST_xl_1134"/>
      <sheetName val="[SHOPLIST.xls]_SHOPLIST_xl_1135"/>
      <sheetName val="[SHOPLIST.xls]_SHOPLIST_xl_1136"/>
      <sheetName val="[SHOPLIST.xls]_SHOPLIST_xl_1137"/>
      <sheetName val="[SHOPLIST.xls]_SHOPLIST_xl_1138"/>
      <sheetName val="[SHOPLIST.xls]_SHOPLIST_xl_1139"/>
      <sheetName val="[SHOPLIST.xls]_SHOPLIST_xl_1140"/>
      <sheetName val="[SHOPLIST.xls]_SHOPLIST_xl_1141"/>
      <sheetName val="[SHOPLIST.xls]_SHOPLIST_xl_1142"/>
      <sheetName val="[SHOPLIST.xls]_SHOPLIST_xl_1143"/>
      <sheetName val="[SHOPLIST.xls]_SHOPLIST_xl_1144"/>
      <sheetName val="[SHOPLIST.xls]_SHOPLIST_xl_1145"/>
      <sheetName val="[SHOPLIST.xls]_SHOPLIST_xl_1146"/>
      <sheetName val="[SHOPLIST.xls]_SHOPLIST_xl_1147"/>
      <sheetName val="[SHOPLIST.xls]_SHOPLIST_xl_1148"/>
      <sheetName val="[SHOPLIST.xls]_SHOPLIST_xl_1149"/>
      <sheetName val="[SHOPLIST.xls]_SHOPLIST_xl_1150"/>
      <sheetName val="[SHOPLIST.xls]_SHOPLIST_xl_1151"/>
      <sheetName val="[SHOPLIST.xls]_SHOPLIST_xl_1152"/>
      <sheetName val="[SHOPLIST.xls]_SHOPLIST_xl_1153"/>
      <sheetName val="[SHOPLIST.xls]_SHOPLIST_xl_1154"/>
      <sheetName val="[SHOPLIST.xls]_SHOPLIST_xl_1155"/>
      <sheetName val="[SHOPLIST.xls]_SHOPLIST_xl_1156"/>
      <sheetName val="[SHOPLIST.xls]_SHOPLIST_xl_1157"/>
      <sheetName val="[SHOPLIST.xls]_SHOPLIST_xl_1158"/>
      <sheetName val="[SHOPLIST.xls]_SHOPLIST_xl_1159"/>
      <sheetName val="[SHOPLIST.xls]_SHOPLIST_xl_1160"/>
      <sheetName val="[SHOPLIST.xls]_SHOPLIST_xl_1161"/>
      <sheetName val="[SHOPLIST.xls]_SHOPLIST_xl_1162"/>
      <sheetName val="[SHOPLIST.xls]_SHOPLIST_xl_1163"/>
      <sheetName val="[SHOPLIST.xls]_SHOPLIST_xl_1164"/>
      <sheetName val="[SHOPLIST.xls]_SHOPLIST_xl_1165"/>
      <sheetName val="[SHOPLIST.xls]_SHOPLIST_xl_1166"/>
      <sheetName val="[SHOPLIST.xls]_SHOPLIST_xl_1167"/>
      <sheetName val="[SHOPLIST.xls]_SHOPLIST_xl_1168"/>
      <sheetName val="[SHOPLIST.xls]_SHOPLIST_xl_1169"/>
      <sheetName val="[SHOPLIST.xls]_SHOPLIST_xl_1170"/>
      <sheetName val="[SHOPLIST.xls]_SHOPLIST_xl_1171"/>
      <sheetName val="[SHOPLIST.xls]_SHOPLIST_xl_1172"/>
      <sheetName val="[SHOPLIST.xls]_SHOPLIST_xl_1173"/>
      <sheetName val="[SHOPLIST.xls]_SHOPLIST_xl_1174"/>
      <sheetName val="[SHOPLIST.xls]_SHOPLIST_xl_1175"/>
      <sheetName val="[SHOPLIST.xls]_SHOPLIST_xl_1176"/>
      <sheetName val="[SHOPLIST.xls]_SHOPLIST_xl_1177"/>
      <sheetName val="[SHOPLIST.xls]_SHOPLIST_xl_1178"/>
      <sheetName val="[SHOPLIST.xls]_SHOPLIST_xl_1179"/>
      <sheetName val="[SHOPLIST.xls]_SHOPLIST_xl_1180"/>
      <sheetName val="[SHOPLIST.xls]_SHOPLIST_xl_1181"/>
      <sheetName val="[SHOPLIST.xls]_SHOPLIST_xl_1182"/>
      <sheetName val="[SHOPLIST.xls]_SHOPLIST_xl_1183"/>
      <sheetName val="[SHOPLIST.xls]_SHOPLIST_xl_1184"/>
      <sheetName val="[SHOPLIST.xls]_SHOPLIST_xl_1185"/>
      <sheetName val="[SHOPLIST.xls]_SHOPLIST_xl_1186"/>
      <sheetName val="[SHOPLIST.xls]70_x005f_x005f_x005f_x0000_12"/>
      <sheetName val="[SHOPLIST.xls]_SHOPLIST_xl_1187"/>
      <sheetName val="[SHOPLIST.xls]_SHOPLIST_xl_1188"/>
      <sheetName val="[SHOPLIST.xls]_SHOPLIST_xl_1189"/>
      <sheetName val="[SHOPLIST.xls]_SHOPLIST_xl_1190"/>
      <sheetName val="[SHOPLIST.xls]_SHOPLIST_xl_1191"/>
      <sheetName val="[SHOPLIST.xls]_SHOPLIST_xl_1192"/>
      <sheetName val="[SHOPLIST_xls]70,/0_x000"/>
      <sheetName val="_SHOPLIST_xls_70_x005f_x0000_,_0_x000"/>
      <sheetName val="[SHOPLIST_xls]70___0_s__i____14"/>
      <sheetName val="[SHOPLIST_xls]_VW__VU________10"/>
      <sheetName val="[SHOPLIST_xls]_VW__VU________11"/>
      <sheetName val="[SHOPLIST_xls]70_x005f_x0000___0_x0_6"/>
      <sheetName val="[SHOPLIST_xls]70___0_s__i____15"/>
      <sheetName val="[SHOPLIST_xls]_SHOPLIST_xls_464"/>
      <sheetName val="[SHOPLIST_xls]_SHOPLIST_xls_465"/>
      <sheetName val="[SHOPLIST_xls]70___0_s__i____16"/>
      <sheetName val="[SHOPLIST_xls]_SHOPLIST_xls_466"/>
      <sheetName val="[SHOPLIST_xls]_SHOPLIST_xls_467"/>
      <sheetName val="[SHOPLIST_xls]_SHOPLIST_xls_468"/>
      <sheetName val="[SHOPLIST_xls]_SHOPLIST_xls_469"/>
      <sheetName val="[SHOPLIST_xls]_SHOPLIST_xls_470"/>
      <sheetName val="[SHOPLIST_xls]_SHOPLIST_xls_471"/>
      <sheetName val="[SHOPLIST_xls]_SHOPLIST_xls_472"/>
      <sheetName val="[SHOPLIST_xls]_SHOPLIST_xls_473"/>
      <sheetName val="[SHOPLIST_xls]_SHOPLIST_xls_474"/>
      <sheetName val="[SHOPLIST_xls]_SHOPLIST_xls_475"/>
      <sheetName val="[SHOPLIST_xls]_SHOPLIST_xls_476"/>
      <sheetName val="[SHOPLIST_xls]_SHOPLIST_xls_477"/>
      <sheetName val="[SHOPLIST_xls]_SHOPLIST_xls_478"/>
      <sheetName val="[SHOPLIST_xls]_SHOPLIST_xls_479"/>
      <sheetName val="[SHOPLIST_xls]_SHOPLIST_xls_480"/>
      <sheetName val="[SHOPLIST_xls]_SHOPLIST_xls_481"/>
      <sheetName val="[SHOPLIST_xls]_SHOPLIST_xls_482"/>
      <sheetName val="[SHOPLIST_xls]_SHOPLIST_xls_483"/>
      <sheetName val="[SHOPLIST_xls]_SHOPLIST_xls_484"/>
      <sheetName val="[SHOPLIST_xls]_SHOPLIST_xls_485"/>
      <sheetName val="[SHOPLIST_xls]_SHOPLIST_xls_486"/>
      <sheetName val="[SHOPLIST_xls]_SHOPLIST_xls_487"/>
      <sheetName val="[SHOPLIST_xls]_SHOPLIST_xls_488"/>
      <sheetName val="[SHOPLIST_xls]_SHOPLIST_xls_489"/>
      <sheetName val="[SHOPLIST_xls]_SHOPLIST_xls_490"/>
      <sheetName val="[SHOPLIST_xls]_SHOPLIST_xls_491"/>
      <sheetName val="[SHOPLIST_xls]_SHOPLIST_xls_492"/>
      <sheetName val="[SHOPLIST_xls]_SHOPLIST_xls_493"/>
      <sheetName val="[SHOPLIST_xls]_SHOPLIST_xls_494"/>
      <sheetName val="[SHOPLIST_xls]_SHOPLIST_xls_495"/>
      <sheetName val="[SHOPLIST_xls]_SHOPLIST_xls_496"/>
      <sheetName val="[SHOPLIST_xls]_SHOPLIST_xls_497"/>
      <sheetName val="[SHOPLIST_xls]_SHOPLIST_xls_498"/>
      <sheetName val="[SHOPLIST_xls]_SHOPLIST_xls_499"/>
      <sheetName val="[SHOPLIST_xls]_SHOPLIST_xls_500"/>
      <sheetName val="[SHOPLIST_xls]_SHOPLIST_xls_501"/>
      <sheetName val="[SHOPLIST_xls]_SHOPLIST_xls_502"/>
      <sheetName val="[SHOPLIST_xls]_SHOPLIST_xls_503"/>
      <sheetName val="[SHOPLIST_xls]_SHOPLIST_xls_504"/>
      <sheetName val="[SHOPLIST_xls]_SHOPLIST_xls_505"/>
      <sheetName val="[SHOPLIST_xls]_SHOPLIST_xls_506"/>
      <sheetName val="[SHOPLIST_xls]_SHOPLIST_xls_507"/>
      <sheetName val="[SHOPLIST_xls]_SHOPLIST_xls_508"/>
      <sheetName val="[SHOPLIST_xls]_SHOPLIST_xls_509"/>
      <sheetName val="[SHOPLIST_xls]_SHOPLIST_xls_510"/>
      <sheetName val="[SHOPLIST_xls]_SHOPLIST_xls_511"/>
      <sheetName val="[SHOPLIST_xls]_SHOPLIST_xls_512"/>
      <sheetName val="[SHOPLIST_xls]_SHOPLIST_xls_513"/>
      <sheetName val="[SHOPLIST_xls]_SHOPLIST_xls_514"/>
      <sheetName val="[SHOPLIST_xls]_SHOPLIST_xls_515"/>
      <sheetName val="[SHOPLIST_xls]_SHOPLIST_xls_516"/>
      <sheetName val="[SHOPLIST_xls]_SHOPLIST_xls_517"/>
      <sheetName val="[SHOPLIST_xls]_SHOPLIST_xls_518"/>
      <sheetName val="[SHOPLIST_xls]_SHOPLIST_xls_519"/>
      <sheetName val="[SHOPLIST_xls]_SHOPLIST_xls_520"/>
      <sheetName val="[SHOPLIST_xls]_SHOPLIST_xls_521"/>
      <sheetName val="[SHOPLIST_xls]_SHOPLIST_xls_522"/>
      <sheetName val="[SHOPLIST_xls]_SHOPLIST_xls_523"/>
      <sheetName val="[SHOPLIST_xls]_SHOPLIST_xls_524"/>
      <sheetName val="[SHOPLIST_xls]_SHOPLIST_xls_525"/>
      <sheetName val="[SHOPLIST_xls]_SHOPLIST_xls_526"/>
      <sheetName val="[SHOPLIST_xls]_SHOPLIST_xls_527"/>
      <sheetName val="[SHOPLIST_xls]_SHOPLIST_xls_528"/>
      <sheetName val="[SHOPLIST_xls]_SHOPLIST_xls_529"/>
      <sheetName val="[SHOPLIST_xls]_SHOPLIST_xls_530"/>
      <sheetName val="[SHOPLIST_xls]_SHOPLIST_xls_531"/>
      <sheetName val="[SHOPLIST_xls]_SHOPLIST_xls_532"/>
      <sheetName val="[SHOPLIST_xls]_SHOPLIST_xls_533"/>
      <sheetName val="[SHOPLIST_xls]_SHOPLIST_xls_534"/>
      <sheetName val="[SHOPLIST_xls]_SHOPLIST_xls_535"/>
      <sheetName val="[SHOPLIST_xls]_SHOPLIST_xls_536"/>
      <sheetName val="[SHOPLIST_xls]_SHOPLIST_xls_537"/>
      <sheetName val="[SHOPLIST_xls]_SHOPLIST_xls_538"/>
      <sheetName val="[SHOPLIST_xls]_SHOPLIST_xls_539"/>
      <sheetName val="[SHOPLIST_xls]_SHOPLIST_xls_540"/>
      <sheetName val="[SHOPLIST_xls]_SHOPLIST_xls_541"/>
      <sheetName val="[SHOPLIST_xls]_SHOPLIST_xls_542"/>
      <sheetName val="[SHOPLIST_xls]_SHOPLIST_xls_543"/>
      <sheetName val="[SHOPLIST_xls]_SHOPLIST_xls_544"/>
      <sheetName val="[SHOPLIST_xls]_SHOPLIST_xls_545"/>
      <sheetName val="[SHOPLIST_xls]_SHOPLIST_xls_546"/>
      <sheetName val="[SHOPLIST_xls]_SHOPLIST_xls_547"/>
      <sheetName val="[SHOPLIST_xls]_SHOPLIST_xls_548"/>
      <sheetName val="[SHOPLIST_xls]_SHOPLIST_xls_549"/>
      <sheetName val="[SHOPLIST_xls]_SHOPLIST_xls_550"/>
      <sheetName val="[SHOPLIST_xls]_SHOPLIST_xls_551"/>
      <sheetName val="[SHOPLIST_xls]_SHOPLIST_xls_552"/>
      <sheetName val="[SHOPLIST_xls]_SHOPLIST_xls_553"/>
      <sheetName val="[SHOPLIST_xls]_SHOPLIST_xls_554"/>
      <sheetName val="[SHOPLIST_xls]_SHOPLIST_xls_555"/>
      <sheetName val="[SHOPLIST_xls]_SHOPLIST_xls_556"/>
      <sheetName val="[SHOPLIST_xls]_SHOPLIST_xls_557"/>
      <sheetName val="[SHOPLIST_xls]_SHOPLIST_xls_558"/>
      <sheetName val="[SHOPLIST_xls]_SHOPLIST_xls_559"/>
      <sheetName val="[SHOPLIST_xls]_SHOPLIST_xls_560"/>
      <sheetName val="[SHOPLIST_xls]_SHOPLIST_xls_561"/>
      <sheetName val="[SHOPLIST_xls]_SHOPLIST_xls_562"/>
      <sheetName val="[SHOPLIST_xls]_SHOPLIST_xls_563"/>
      <sheetName val="[SHOPLIST_xls]_SHOPLIST_xls_564"/>
      <sheetName val="[SHOPLIST_xls]_SHOPLIST_xls_565"/>
      <sheetName val="[SHOPLIST_xls]_SHOPLIST_xls_566"/>
      <sheetName val="[SHOPLIST_xls]_SHOPLIST_xls_567"/>
      <sheetName val="[SHOPLIST_xls]_SHOPLIST_xls_568"/>
      <sheetName val="[SHOPLIST_xls]_SHOPLIST_xls_569"/>
      <sheetName val="[SHOPLIST_xls]_SHOPLIST_xls_570"/>
      <sheetName val="[SHOPLIST_xls]_SHOPLIST_xls_571"/>
      <sheetName val="[SHOPLIST_xls]_SHOPLIST_xls_572"/>
      <sheetName val="[SHOPLIST_xls]_SHOPLIST_xls_573"/>
      <sheetName val="[SHOPLIST_xls]_SHOPLIST_xls_574"/>
      <sheetName val="[SHOPLIST_xls]_SHOPLIST_xls_575"/>
      <sheetName val="[SHOPLIST_xls]_SHOPLIST_xls_576"/>
      <sheetName val="[SHOPLIST_xls]_SHOPLIST_xls_577"/>
      <sheetName val="[SHOPLIST_xls]_SHOPLIST_xls_578"/>
      <sheetName val="[SHOPLIST_xls]_SHOPLIST_xls_579"/>
      <sheetName val="[SHOPLIST_xls]_SHOPLIST_xls_580"/>
      <sheetName val="[SHOPLIST_xls]_SHOPLIST_xls_581"/>
      <sheetName val="[SHOPLIST_xls]_SHOPLIST_xls_582"/>
      <sheetName val="[SHOPLIST_xls]_SHOPLIST_xls_583"/>
      <sheetName val="[SHOPLIST_xls]_SHOPLIST_xls_584"/>
      <sheetName val="[SHOPLIST_xls]_SHOPLIST_xls_585"/>
      <sheetName val="[SHOPLIST_xls]_SHOPLIST_xls_586"/>
      <sheetName val="[SHOPLIST_xls]_SHOPLIST_xls_587"/>
      <sheetName val="[SHOPLIST_xls]_SHOPLIST_xls_588"/>
      <sheetName val="[SHOPLIST_xls]_SHOPLIST_xls_589"/>
      <sheetName val="[SHOPLIST_xls]_SHOPLIST_xls_590"/>
      <sheetName val="[SHOPLIST_xls]_SHOPLIST_xls_591"/>
      <sheetName val="[SHOPLIST_xls]_SHOPLIST_xls_592"/>
      <sheetName val="[SHOPLIST_xls]_SHOPLIST_xls_593"/>
      <sheetName val="[SHOPLIST_xls]_SHOPLIST_xls_594"/>
      <sheetName val="[SHOPLIST_xls]_SHOPLIST_xls_595"/>
      <sheetName val="[SHOPLIST_xls]_SHOPLIST_xls_596"/>
      <sheetName val="[SHOPLIST_xls]_SHOPLIST_xls_597"/>
      <sheetName val="[SHOPLIST_xls]_SHOPLIST_xls_598"/>
      <sheetName val="[SHOPLIST_xls]_SHOPLIST_xls_599"/>
      <sheetName val="[SHOPLIST_xls]_SHOPLIST_xls_600"/>
      <sheetName val="[SHOPLIST_xls]_SHOPLIST_xls_601"/>
      <sheetName val="[SHOPLIST_xls]_SHOPLIST_xls_602"/>
      <sheetName val="[SHOPLIST_xls]_SHOPLIST_xls_603"/>
      <sheetName val="[SHOPLIST_xls]70_x005f_x005f_x005f_x0000__5"/>
      <sheetName val="[SHOPLIST_xls]_SHOPLIST_xls_604"/>
      <sheetName val="[SHOPLIST_xls]_SHOPLIST_xls_605"/>
      <sheetName val="[SHOPLIST_xls]_SHOPLIST_xls_606"/>
      <sheetName val="[SHOPLIST_xls]_SHOPLIST_xls_607"/>
      <sheetName val="[SHOPLIST_xls]_SHOPLIST_xls_608"/>
      <sheetName val="[SHOPLIST_xls]_SHOPLIST_xls_609"/>
      <sheetName val="satış_planı_(2)"/>
      <sheetName val="[SIOPLIST.yls]_SHOPLIST_xls_491"/>
      <sheetName val="[SIOPLHST.yls]^SHOQLIST_xls_508"/>
      <sheetName val="[SHOPLIST.xls]_SHOQLISU_xlr_524"/>
      <sheetName val="[SIOPLHST.xls]_SHOPLIST_xlr_535"/>
      <sheetName val="[SHOPLIST.xls]^SHOPLIST_xls_537"/>
      <sheetName val="[SHOPLIST.xls]_SHOPLIST_xlr_539"/>
      <sheetName val="Mnhr_Book_Updated_11_10_2018"/>
      <sheetName val="All BGL List"/>
      <sheetName val="Budget Config"/>
      <sheetName val="All Department List"/>
      <sheetName val="foot-slab_reinl"/>
      <sheetName val="Admin TAKE OFF"/>
      <sheetName val="Doi so"/>
      <sheetName val="F4-F7"/>
      <sheetName val="토공"/>
      <sheetName val="CỘT + VÁCH B2-B4"/>
      <sheetName val="SEX"/>
      <sheetName val="조명시설"/>
      <sheetName val="Du thau"/>
      <sheetName val="Door &amp; Window- Schedule"/>
      <sheetName val="Buy vs. Lease Car"/>
      <sheetName val="GIÁ TRỊ GĐ2"/>
      <sheetName val="GIẤY ĐỀ NGHỊ THANH TOÁN GĐ1"/>
      <sheetName val="GIẤY ĐỀ NGHỊ THANH TOÁN GĐ2"/>
      <sheetName val="bìa trước"/>
      <sheetName val="bìa sau"/>
      <sheetName val="DANH MỤC"/>
      <sheetName val="DNTT"/>
      <sheetName val="THGT"/>
      <sheetName val="THKL"/>
      <sheetName val="BBNT"/>
      <sheetName val="BẢNG THDG"/>
      <sheetName val="BẢNG DG"/>
      <sheetName val="BẢNG THỐNG KÊ"/>
      <sheetName val="HVAC-full"/>
      <sheetName val="HUTKHOI 2"/>
      <sheetName val="WC 2"/>
      <sheetName val="GIO TUOI 2"/>
      <sheetName val="GIO THẢI 2"/>
      <sheetName val="TAO AP"/>
      <sheetName val="入力作成表"/>
      <sheetName val="gvl"/>
      <sheetName val="CH-01"/>
      <sheetName val="CH-02-03"/>
      <sheetName val="CH-06-07"/>
      <sheetName val="CH-08"/>
      <sheetName val="CH-14"/>
      <sheetName val="CH-15"/>
      <sheetName val="CH-16"/>
      <sheetName val="CH-19-20"/>
      <sheetName val="Điện căn hộ04"/>
      <sheetName val="Điện căn hộ05"/>
      <sheetName val="Điện căn hộ09"/>
      <sheetName val="Điện căn hộ10"/>
      <sheetName val="Điện căn hộ11"/>
      <sheetName val="Điện căn hộ12"/>
      <sheetName val="Điện căn hộ13"/>
      <sheetName val="Điện căn hộ17"/>
      <sheetName val="Điện căn hộ 18"/>
      <sheetName val="Điện căn hộ 21"/>
      <sheetName val="MC"/>
      <sheetName val="CS+OC+CSSC HL"/>
      <sheetName val="CN CH"/>
      <sheetName val="Tong hop"/>
      <sheetName val="BOQ(MECH)"/>
      <sheetName val="BOQ(ELEC) "/>
      <sheetName val="입찰안"/>
      <sheetName val="Nhan cong"/>
      <sheetName val="負荷集計（断熱不燃）"/>
      <sheetName val="Liệt kê"/>
      <sheetName val="MTO REV_2_ARMOR_"/>
      <sheetName val="Vat tu XD"/>
      <sheetName val="PS-Labour_M"/>
      <sheetName val="402"/>
      <sheetName val="BMS"/>
      <sheetName val="sort2"/>
      <sheetName val="個案9411"/>
      <sheetName val="Ｎｏ.13"/>
      <sheetName val="Budget Code"/>
      <sheetName val="CPBTXM-THUONG"/>
      <sheetName val="BXLDL"/>
      <sheetName val="설계내역서"/>
      <sheetName val="Geneí¬_x0008_"/>
      <sheetName val="70_x0000_,_0_"/>
      <sheetName val="70_x0000_,/0_x0000_"/>
      <sheetName val="Goi thau"/>
      <sheetName val="Bill 1.CPC"/>
      <sheetName val="Bill 2.BoQ  (2)"/>
      <sheetName val="Bảng TH cửa CC"/>
      <sheetName val="Bảng TH PK"/>
      <sheetName val="Chi tiết"/>
      <sheetName val="Bill 3.PL"/>
      <sheetName val="Bill 4.Do boc KL"/>
      <sheetName val="Bill5. VT CDT cap"/>
      <sheetName val="I.1"/>
      <sheetName val="I.2"/>
      <sheetName val="I.3"/>
      <sheetName val="I.4"/>
      <sheetName val="I.5"/>
      <sheetName val="Bc"/>
      <sheetName val="264"/>
      <sheetName val="A. Electrical"/>
      <sheetName val="Doi_so"/>
      <sheetName val="CỘT_+_VÁCH_B2-B4"/>
      <sheetName val="Du_thau"/>
      <sheetName val="Door_&amp;_Window-_Schedule"/>
      <sheetName val="Buy_vs__Lease_Car"/>
      <sheetName val="GIÁ_TRỊ_GĐ2"/>
      <sheetName val="GIẤY_ĐỀ_NGHỊ_THANH_TOÁN_GĐ1"/>
      <sheetName val="GIẤY_ĐỀ_NGHỊ_THANH_TOÁN_GĐ2"/>
      <sheetName val="bìa_trước"/>
      <sheetName val="bìa_sau"/>
      <sheetName val="DANH_MỤC"/>
      <sheetName val="BẢNG_THDG"/>
      <sheetName val="BẢNG_DG"/>
      <sheetName val="BẢNG_THỐNG_KÊ"/>
      <sheetName val="HUTKHOI_2"/>
      <sheetName val="WC_2"/>
      <sheetName val="GIO_TUOI_2"/>
      <sheetName val="GIO_THẢI_2"/>
      <sheetName val="TAO_AP"/>
      <sheetName val="Vat_tu_XD"/>
      <sheetName val="BOQ(ELEC)_"/>
      <sheetName val="Điện_căn_hộ04"/>
      <sheetName val="Điện_căn_hộ05"/>
      <sheetName val="Điện_căn_hộ09"/>
      <sheetName val="Điện_căn_hộ10"/>
      <sheetName val="Điện_căn_hộ11"/>
      <sheetName val="Điện_căn_hộ12"/>
      <sheetName val="Điện_căn_hộ13"/>
      <sheetName val="Điện_căn_hộ17"/>
      <sheetName val="Điện_căn_hộ_18"/>
      <sheetName val="Điện_căn_hộ_21"/>
      <sheetName val="CS+OC+CSSC_HL"/>
      <sheetName val="CN_CH"/>
      <sheetName val="Tong_hop"/>
      <sheetName val="MTO_REV_2_ARMOR_"/>
      <sheetName val="eqpmad2"/>
      <sheetName val="결과조달"/>
      <sheetName val="SG"/>
      <sheetName val="LEGEND"/>
      <sheetName val="ESTI_"/>
      <sheetName val="DI_ESTI"/>
      <sheetName val="SP10"/>
      <sheetName val="Priced BOQ"/>
      <sheetName val="Nhan_cong"/>
      <sheetName val="Liệt_kê"/>
      <sheetName val="Ｎｏ_13"/>
      <sheetName val="Budget_Code"/>
      <sheetName val="VO-MC"/>
      <sheetName val="VO-Curtain Wall"/>
      <sheetName val="VO-M&amp;E"/>
      <sheetName val="Bar.Sched"/>
      <sheetName val="公寓材料表"/>
      <sheetName val="ANL"/>
      <sheetName val="TH thiet bi"/>
      <sheetName val="TH vat tu"/>
      <sheetName val="TH may TC"/>
      <sheetName val="Bang phan tich"/>
      <sheetName val="DM Chi phi"/>
      <sheetName val="HD-XUAT"/>
      <sheetName val="SORT"/>
      <sheetName val="IBASE"/>
      <sheetName val="FAB별"/>
      <sheetName val="BAOGIATHANG"/>
      <sheetName val="DAODAT"/>
      <sheetName val="vanchuyen TC"/>
      <sheetName val="Bill 1_Prelim"/>
      <sheetName val="Bill 2_Bored Pile"/>
      <sheetName val="CTG"/>
      <sheetName val="Gra¦_x0004_)???VW????????? U"/>
      <sheetName val="/VW?VU?)???)???_x0001_???tÏØ0_x0009__x0008_??_x0009__x0008_"/>
      <sheetName val="/VW?VU?)???)???_x0001_???tÏØ0 _x0008_?? _x0008_"/>
      <sheetName val="[SHOPLIST.xls]70?,/0?s«_x0008_i?Æø_x0003_í¬"/>
      <sheetName val="Geneí¬_x005f_x0008_i_x005f_x005f_x000"/>
      <sheetName val="ConferenceCentre?옰ʒ䄂ʒ鵠ʐ䄂ʒ"/>
      <sheetName val="Geneí¬_x0008_i??_x0"/>
      <sheetName val="70?,_0?s«_x0008_i_x"/>
      <sheetName val="Gra¦_x0004_)??_x0"/>
      <sheetName val="_VW?VU?)?_x"/>
      <sheetName val="_SHOPLIST.xls_70?,_0_x000"/>
      <sheetName val="????_x0"/>
      <sheetName val="70?,/0?s«_x0008_i_x"/>
      <sheetName val="ConferenceCentre?옰ʒ"/>
      <sheetName val="70?,_0?"/>
      <sheetName val="??_x005"/>
      <sheetName val="[SHOPLIST.xls]70?,/0?s«_x0008_i_x"/>
      <sheetName val="70?,_0_"/>
      <sheetName val="70?,/0?"/>
      <sheetName val="Geneí¬ i?? ?0."/>
      <sheetName val="70?,/0?s« i?Æø í¬ i?"/>
      <sheetName val="[SHOPLIST.xls]70?,/0?s« i?Æø í¬"/>
      <sheetName val="ConferenceCentre?옰ʒ䄂ʒ鵠ʐ䄂ʒ閐̐脭め_x0005_?"/>
      <sheetName val="[SHOPLIST.xls]/VW?VU?)???)???"/>
      <sheetName val="TK T2"/>
      <sheetName val="TĐ-L2"/>
      <sheetName val="T2.CAMERA"/>
      <sheetName val="T2.LOA"/>
      <sheetName val="T2.TRUNKING"/>
      <sheetName val="T2.MANG"/>
      <sheetName val="電気設備表"/>
      <sheetName val="BQ_SUM"/>
      <sheetName val="BQ_T"/>
      <sheetName val="Btra"/>
      <sheetName val="GiaVL"/>
      <sheetName val="PL-F&amp;B"/>
      <sheetName val="GAEYO"/>
      <sheetName val="갑지1"/>
      <sheetName val="概総括1"/>
      <sheetName val="[SHOPLIST.xls]70_x0000_,/0_x0000_"/>
      <sheetName val="HĐ"/>
      <sheetName val="갑지(추정)"/>
      <sheetName val="Doi_so1"/>
      <sheetName val="CỘT_+_VÁCH_B2-B41"/>
      <sheetName val="Du_thau1"/>
      <sheetName val="Door_&amp;_Window-_Schedule1"/>
      <sheetName val="Buy_vs__Lease_Car1"/>
      <sheetName val="GIÁ_TRỊ_GĐ21"/>
      <sheetName val="GIẤY_ĐỀ_NGHỊ_THANH_TOÁN_GĐ11"/>
      <sheetName val="GIẤY_ĐỀ_NGHỊ_THANH_TOÁN_GĐ21"/>
      <sheetName val="bìa_trước1"/>
      <sheetName val="bìa_sau1"/>
      <sheetName val="DANH_MỤC1"/>
      <sheetName val="BẢNG_THDG1"/>
      <sheetName val="BẢNG_DG1"/>
      <sheetName val="BẢNG_THỐNG_KÊ1"/>
      <sheetName val="HUTKHOI_21"/>
      <sheetName val="WC_21"/>
      <sheetName val="GIO_TUOI_21"/>
      <sheetName val="GIO_THẢI_21"/>
      <sheetName val="TAO_AP1"/>
      <sheetName val="BOQ(ELEC)_1"/>
      <sheetName val="Điện_căn_hộ041"/>
      <sheetName val="Điện_căn_hộ051"/>
      <sheetName val="Điện_căn_hộ091"/>
      <sheetName val="Điện_căn_hộ101"/>
      <sheetName val="Điện_căn_hộ111"/>
      <sheetName val="Điện_căn_hộ121"/>
      <sheetName val="Điện_căn_hộ131"/>
      <sheetName val="Điện_căn_hộ171"/>
      <sheetName val="Điện_căn_hộ_181"/>
      <sheetName val="Điện_căn_hộ_211"/>
      <sheetName val="CS+OC+CSSC_HL1"/>
      <sheetName val="CN_CH1"/>
      <sheetName val="Tong_hop1"/>
      <sheetName val="MTO_REV_2_ARMOR_1"/>
      <sheetName val="Liệt_kê1"/>
      <sheetName val="Vat_tu_XD1"/>
      <sheetName val="Nhan_cong1"/>
      <sheetName val="Ｎｏ_131"/>
      <sheetName val="Budget_Code1"/>
      <sheetName val="Geneí¬"/>
      <sheetName val="70,_0_"/>
      <sheetName val="Goi_thau"/>
      <sheetName val="Bill_1_CPC"/>
      <sheetName val="Bill_2_BoQ__(2)"/>
      <sheetName val="Bảng_TH_cửa_CC"/>
      <sheetName val="Bảng_TH_PK"/>
      <sheetName val="Chi_tiết"/>
      <sheetName val="Bill_3_PL"/>
      <sheetName val="Bill_4_Do_boc_KL"/>
      <sheetName val="Bill5__VT_CDT_cap"/>
      <sheetName val="I_1"/>
      <sheetName val="I_2"/>
      <sheetName val="I_3"/>
      <sheetName val="I_4"/>
      <sheetName val="I_5"/>
      <sheetName val="A__Electrical"/>
      <sheetName val="70,/0"/>
      <sheetName val="_SHOPLIST_xls_70,_0s«iÆøí¬1"/>
      <sheetName val="Priced_BOQ"/>
      <sheetName val="TH_thiet_bi"/>
      <sheetName val="TH_vat_tu"/>
      <sheetName val="TH_may_TC"/>
      <sheetName val="Bang_phan_tich"/>
      <sheetName val="DM_Chi_phi"/>
      <sheetName val="Gra¦)???VW?????????_U"/>
      <sheetName val="/VW?VU?)???)??????tÏØ0 ?? "/>
      <sheetName val="/VW?VU?)???)??????tÏØ0_??_"/>
      <sheetName val="[SHOPLIST_xls]70?,/0?s«i?Æøí¬"/>
      <sheetName val="Geneí¬i??_x0"/>
      <sheetName val="70?,_0?s«i_x"/>
      <sheetName val="Gra¦)??_x0"/>
      <sheetName val="_SHOPLIST_xls_70?,_0_x000"/>
      <sheetName val="70?,/0?s«i_x"/>
      <sheetName val="[SHOPLIST_xls]70?,/0?s«i_x"/>
      <sheetName val="Geneí¬_i??_?0_"/>
      <sheetName val="70?,/0?s«_i?Æø_í¬_i?"/>
      <sheetName val="[SHOPLIST_xls]70?,/0?s«_i?Æø_í¬"/>
      <sheetName val="ConferenceCentre?옰ʒ䄂ʒ鵠ʐ䄂ʒ閐̐脭め?"/>
      <sheetName val="[SHOPLIST_xls]/VW?VU?)???)???"/>
      <sheetName val="VO-Curtain_Wall"/>
      <sheetName val="Bar_Sched"/>
      <sheetName val="Fitout"/>
      <sheetName val="Bill of Qty MEP"/>
      <sheetName val="6MONTHS"/>
      <sheetName val="諸経費"/>
      <sheetName val="清水計算営業税率関連"/>
      <sheetName val="Goc CC"/>
      <sheetName val="辽电初设_XLS_定额"/>
      <sheetName val="Msw-study"/>
      <sheetName val="BF2001"/>
      <sheetName val="شهادة الدفع"/>
      <sheetName val="Lucas1"/>
      <sheetName val="Lucas2"/>
      <sheetName val="Lucas4"/>
      <sheetName val="Lucas3"/>
      <sheetName val="Dropdown Lists"/>
      <sheetName val="Matl"/>
      <sheetName val="h-013211-2"/>
      <sheetName val="12. Ins &amp; Bonds"/>
      <sheetName val="3. Staff Facilities"/>
      <sheetName val="11. Clients Requirements"/>
      <sheetName val="Legal Risk Analysis"/>
      <sheetName val="Utility Summary"/>
      <sheetName val="Dropdown Attributes"/>
      <sheetName val="DCF_5"/>
      <sheetName val="US Ship Repair Industry Growth"/>
      <sheetName val="Market Overview"/>
      <sheetName val="US Shipyard Repair Output"/>
      <sheetName val="Charts"/>
      <sheetName val="LBO"/>
      <sheetName val="Summary Financials"/>
      <sheetName val="PLUMBING WORK ADDITIONS"/>
      <sheetName val="MPC"/>
      <sheetName val="[SHOPLIST_xls]70,/0s«_iÆø_í¬3"/>
      <sheetName val="[SHOPLIST_xls]70,/0s«iÆøí¬i23"/>
      <sheetName val="[SHOPLIST_xls]70,/0s«iÆøí¬i33"/>
      <sheetName val="Ramp data"/>
      <sheetName val="Lower Ground"/>
      <sheetName val="Income"/>
      <sheetName val="Letting"/>
      <sheetName val="UBR"/>
      <sheetName val="PPlay_Data"/>
      <sheetName val="Cap Cost"/>
      <sheetName val="Control"/>
      <sheetName val="RLV Calc"/>
      <sheetName val="Costs (dev)"/>
      <sheetName val="Bluewater NPV - sell January"/>
      <sheetName val="Calcs"/>
      <sheetName val="Upper Ground"/>
      <sheetName val="D&amp;C Calcs"/>
      <sheetName val="CA Upside_Downside Old"/>
      <sheetName val="GFA_HQ_Building38"/>
      <sheetName val="GFA_Conference37"/>
      <sheetName val="StattCo_yCharges36"/>
      <sheetName val="BQ_External37"/>
      <sheetName val="Chiet_tinh_dz2236"/>
      <sheetName val="Chiet_tinh_dz3536"/>
      <sheetName val="CT_Thang_Mo36"/>
      <sheetName val="Raw_Data36"/>
      <sheetName val="Penthouse_Apartment36"/>
      <sheetName val="LABOUR_HISTOGRAM37"/>
      <sheetName val="Graph_Data_(DO_NOT_PRINT)36"/>
      <sheetName val="@risk_rents_and_incentives36"/>
      <sheetName val="Car_park_lease36"/>
      <sheetName val="Net_rent_analysis36"/>
      <sheetName val="Poz-1_36"/>
      <sheetName val="Lab_Cum_Hist36"/>
      <sheetName val="LEVEL_SHEET36"/>
      <sheetName val="Bill_No__236"/>
      <sheetName val="budget_summary_(2)35"/>
      <sheetName val="Budget_Analysis_Summary35"/>
      <sheetName val="FOL_-_Bar36"/>
      <sheetName val="SPT_vs_PHI36"/>
      <sheetName val="CT__PL35"/>
      <sheetName val="intr_stool_brkup35"/>
      <sheetName val="Customize_Your_Invoice36"/>
      <sheetName val="HVAC_BoQ36"/>
      <sheetName val="Projet,_methodes_&amp;_couts35"/>
      <sheetName val="Risques_majeurs_&amp;_Frais_Ind_35"/>
      <sheetName val="Tender_Summary36"/>
      <sheetName val="Insurance_Ext36"/>
      <sheetName val="Bill_133"/>
      <sheetName val="Bill_234"/>
      <sheetName val="Bill_333"/>
      <sheetName val="Bill_433"/>
      <sheetName val="Bill_533"/>
      <sheetName val="Bill_633"/>
      <sheetName val="Bill_733"/>
      <sheetName val="Body_Sheet35"/>
      <sheetName val="1_0_Executive_Summary35"/>
      <sheetName val="Top_sheet35"/>
      <sheetName val="POWER_ASSUMPTIONS32"/>
      <sheetName val="Ap_A33"/>
      <sheetName val="SHOPLIST_xls32"/>
      <sheetName val="2_Div_14_33"/>
      <sheetName val="Invoice_Summary32"/>
      <sheetName val="beam-reinft-IIInd_floor32"/>
      <sheetName val="Dubai_golf32"/>
      <sheetName val="PROJECT_BRIEF33"/>
      <sheetName val="beam-reinft-machine_rm32"/>
      <sheetName val="Civil_Boq31"/>
      <sheetName val="HIRED_LABOUR_CODE29"/>
      <sheetName val="PA-_Consutant_29"/>
      <sheetName val="foot-slab_reinft29"/>
      <sheetName val="Softscape_Buildup31"/>
      <sheetName val="Mat'l_Rate31"/>
      <sheetName val="C_(3)33"/>
      <sheetName val="DETAILED__BOQ29"/>
      <sheetName val="M-Book_for_Conc29"/>
      <sheetName val="M-Book_for_FW29"/>
      <sheetName val="WITHOUT_C&amp;I_PROFIT_(3)31"/>
      <sheetName val="Activity_List31"/>
      <sheetName val="BILL_COV29"/>
      <sheetName val="Ra__stair29"/>
      <sheetName val="Materials_Cost(PCC)28"/>
      <sheetName val="India_F&amp;S_Template28"/>
      <sheetName val="IO_LIST28"/>
      <sheetName val="Material_28"/>
      <sheetName val="Quote_Sheet28"/>
      <sheetName val="Day_work28"/>
      <sheetName val="CHART_OF_ACCOUNTS26"/>
      <sheetName val="bill_nb2-Plumbing_&amp;_Drainag25"/>
      <sheetName val="Pl_&amp;_Dr_B25"/>
      <sheetName val="Pl_&amp;_Dr_G25"/>
      <sheetName val="Pl_&amp;_Dr_M25"/>
      <sheetName val="Pl_&amp;_Dr_125"/>
      <sheetName val="Pl_&amp;_Dr_225"/>
      <sheetName val="Pl_&amp;_Dr_325"/>
      <sheetName val="Pl_&amp;_Dr_425"/>
      <sheetName val="Pl_&amp;_Dr_525"/>
      <sheetName val="Pl_&amp;_Dr_625"/>
      <sheetName val="Pl_&amp;_Dr_725"/>
      <sheetName val="Pl_&amp;_Dr_825"/>
      <sheetName val="Pl_&amp;_Dr_R25"/>
      <sheetName val="FF_B25"/>
      <sheetName val="FF_G25"/>
      <sheetName val="FF_M25"/>
      <sheetName val="FF_125"/>
      <sheetName val="FF_2_25"/>
      <sheetName val="FF_325"/>
      <sheetName val="FF_425"/>
      <sheetName val="FF_525"/>
      <sheetName val="FF_6_25"/>
      <sheetName val="FF_725"/>
      <sheetName val="FF_825"/>
      <sheetName val="FF_R25"/>
      <sheetName val="bill_nb3-FF25"/>
      <sheetName val="HVAC_B25"/>
      <sheetName val="HVAC_G25"/>
      <sheetName val="HVAC_M25"/>
      <sheetName val="HVAC_125"/>
      <sheetName val="HVAC_225"/>
      <sheetName val="HVAC_325"/>
      <sheetName val="HVAC_425"/>
      <sheetName val="HVAC_525"/>
      <sheetName val="HVAC_625"/>
      <sheetName val="HVAC_725"/>
      <sheetName val="HVAC_825"/>
      <sheetName val="HVAC_R25"/>
      <sheetName val="bill_nb4-HVAC25"/>
      <sheetName val="SC_B25"/>
      <sheetName val="SC_G25"/>
      <sheetName val="SC_M25"/>
      <sheetName val="SC_125"/>
      <sheetName val="SC_225"/>
      <sheetName val="SC_325"/>
      <sheetName val="SC_425"/>
      <sheetName val="SC_525"/>
      <sheetName val="SC_625"/>
      <sheetName val="SC_725"/>
      <sheetName val="SC_825"/>
      <sheetName val="SC_R25"/>
      <sheetName val="AV_B25"/>
      <sheetName val="AV_G25"/>
      <sheetName val="AV_M25"/>
      <sheetName val="AV_125"/>
      <sheetName val="AV_225"/>
      <sheetName val="AV_325"/>
      <sheetName val="AV_425"/>
      <sheetName val="AV_525"/>
      <sheetName val="AV_625"/>
      <sheetName val="AV_725"/>
      <sheetName val="AV_825"/>
      <sheetName val="EL_B25"/>
      <sheetName val="EL_M25"/>
      <sheetName val="EL_125"/>
      <sheetName val="EL_225"/>
      <sheetName val="EL_325"/>
      <sheetName val="EL_425"/>
      <sheetName val="EL_525"/>
      <sheetName val="EL_625"/>
      <sheetName val="EL_725"/>
      <sheetName val="EL_825"/>
      <sheetName val="EL_R25"/>
      <sheetName val="EL_TR25"/>
      <sheetName val="8-_EL25"/>
      <sheetName val="FA_B25"/>
      <sheetName val="FA_G25"/>
      <sheetName val="FA_M25"/>
      <sheetName val="FA_125"/>
      <sheetName val="FA_225"/>
      <sheetName val="FA_325"/>
      <sheetName val="FA_425"/>
      <sheetName val="FA_525"/>
      <sheetName val="FA_625"/>
      <sheetName val="FA_725"/>
      <sheetName val="FA_825"/>
      <sheetName val="FA_R25"/>
      <sheetName val="9-_FA25"/>
      <sheetName val="BOQ_Direct_selling_cost27"/>
      <sheetName val="VALVE_CHAMBERS28"/>
      <sheetName val="Fire_Hydrants28"/>
      <sheetName val="B_GATE_VALVE28"/>
      <sheetName val="Sub_G1_Fire28"/>
      <sheetName val="Sub_G12_Fire28"/>
      <sheetName val="Div__0227"/>
      <sheetName val="Div__0327"/>
      <sheetName val="Div__0427"/>
      <sheetName val="Div__0527"/>
      <sheetName val="Div__0627"/>
      <sheetName val="Div__0727"/>
      <sheetName val="Div__0826"/>
      <sheetName val="Div__0926"/>
      <sheetName val="Div__1026"/>
      <sheetName val="Div__1126"/>
      <sheetName val="Div__1226"/>
      <sheetName val="Div_1326"/>
      <sheetName val="EXTERNAL_WORKS26"/>
      <sheetName val="PRODUCTIVITY_RATE26"/>
      <sheetName val="U_R_A_-_MASONRY26"/>
      <sheetName val="U_R_A_-_PLASTERING26"/>
      <sheetName val="U_R_A_-_TILING26"/>
      <sheetName val="U_R_A_-_GRANITE26"/>
      <sheetName val="V_C_2_-_EARTHWORK26"/>
      <sheetName val="V_C_9_-_CERAMIC26"/>
      <sheetName val="V_C_9_-_FINISHES26"/>
      <sheetName val="Eq__Mobilization26"/>
      <sheetName val="B185-B-9_126"/>
      <sheetName val="B185-B-9_226"/>
      <sheetName val="Material_List_25"/>
      <sheetName val="w't_table25"/>
      <sheetName val="Elemental_Buildup25"/>
      <sheetName val="E-Bill_No_6_A-O26"/>
      <sheetName val="B09_126"/>
      <sheetName val="PointNo_525"/>
      <sheetName val="Working_for_RCC27"/>
      <sheetName val="PMWeb_data26"/>
      <sheetName val="2_2)Revised_Cash_Flow25"/>
      <sheetName val="Summary_of_Work23"/>
      <sheetName val="Division_254"/>
      <sheetName val="Division_425"/>
      <sheetName val="Division_525"/>
      <sheetName val="Division_625"/>
      <sheetName val="Division_725"/>
      <sheetName val="Division_825"/>
      <sheetName val="Division_925"/>
      <sheetName val="Division_1025"/>
      <sheetName val="Division_1225"/>
      <sheetName val="Division_1425"/>
      <sheetName val="Division_2128"/>
      <sheetName val="Division_2226"/>
      <sheetName val="Division_2325"/>
      <sheetName val="Division_2625"/>
      <sheetName val="Division_2725"/>
      <sheetName val="Division_2825"/>
      <sheetName val="Division_3125"/>
      <sheetName val="Division_3225"/>
      <sheetName val="Division_3325"/>
      <sheetName val="PRECAST_lightconc-II27"/>
      <sheetName val="final_abstract27"/>
      <sheetName val="SS_MH26"/>
      <sheetName val="Index_List25"/>
      <sheetName val="Type_List25"/>
      <sheetName val="File_Types25"/>
      <sheetName val="입찰내역_발주처_양식25"/>
      <sheetName val="LIST_DO_NOT_REMOVE24"/>
      <sheetName val="Staff_Acco_23"/>
      <sheetName val="TBAL9697_-group_wise__sdpl23"/>
      <sheetName val="Employee_List23"/>
      <sheetName val="B6_2_24"/>
      <sheetName val="Project_Cost_Breakdown23"/>
      <sheetName val="Mall_waterproofing22"/>
      <sheetName val="MSCP_waterproofing22"/>
      <sheetName val="Chiet_t25"/>
      <sheetName val="Staffing_and_Rates_IA25"/>
      <sheetName val="Rate_summary22"/>
      <sheetName val="SITE_WORK22"/>
      <sheetName val="RAB_AR&amp;STR22"/>
      <sheetName val="Annex_1_Sect_3a23"/>
      <sheetName val="Annex_1_Sect_3a_123"/>
      <sheetName val="Annex_1_Sect_3b23"/>
      <sheetName val="Annex_1_Sect_3c23"/>
      <sheetName val="HOURLY_RATES23"/>
      <sheetName val="Item-_Compact23"/>
      <sheetName val="E_&amp;_R23"/>
      <sheetName val="Рабочий_лист22"/>
      <sheetName val="PT_141-_Site_A_Landscape22"/>
      <sheetName val="d-safe_DELUXE22"/>
      <sheetName val="Back_up22"/>
      <sheetName val="Duct_Accesories22"/>
      <sheetName val="INDIGINEOUS_ITEMS_22"/>
      <sheetName val="train_cash22"/>
      <sheetName val="accom_cash22"/>
      <sheetName val="????_???_??22"/>
      <sheetName val="Labour_&amp;_Plant22"/>
      <sheetName val="Ave_wtd_rates22"/>
      <sheetName val="Debits_as_on_12_04_0822"/>
      <sheetName val="STAFFSCHED_22"/>
      <sheetName val="TRIAL_BALANCE22"/>
      <sheetName val="GPL_Revenu_Update22"/>
      <sheetName val="DO_NOT_TOUCH22"/>
      <sheetName val="Work_Type22"/>
      <sheetName val="Common_Variables22"/>
      <sheetName val="Resumo_Empreitadas18"/>
      <sheetName val="Risk_Breakdown_Structure21"/>
      <sheetName val="Geneí¬_i21"/>
      <sheetName val="PROJECT_BRIEF(EX_NEW)22"/>
      <sheetName val="steel_total21"/>
      <sheetName val="ELE_BOQ21"/>
      <sheetName val="Z-_GENERAL_PRICE_SUMMARY18"/>
      <sheetName val="Cashflow_projection17"/>
      <sheetName val="PPA_Summary18"/>
      <sheetName val="Equipment_Rates17"/>
      <sheetName val="AREA_OF_APPLICATION21"/>
      <sheetName val="Floor_Box_19"/>
      <sheetName val="Mix_Design18"/>
      <sheetName val="[SHOPLIST_xls][SHOPLIST_xls][17"/>
      <sheetName val="E_H_-_H__W_P_17"/>
      <sheetName val="E__H__Treatment_for_pile_cap17"/>
      <sheetName val="[SHOPLIST_xls]/VW17"/>
      <sheetName val="1_2_Staff_Schedule18"/>
      <sheetName val="Form_617"/>
      <sheetName val="Risk_Register17"/>
      <sheetName val="Revised_Front_Page17"/>
      <sheetName val="Diff_Run01&amp;Run0217"/>
      <sheetName val="CCS_Summary17"/>
      <sheetName val="1_Carillion_Staff17"/>
      <sheetName val="_2_Staff_&amp;_Gen_labour17"/>
      <sheetName val="3_Offices17"/>
      <sheetName val="4_TempServ17"/>
      <sheetName val="__5_Temp_Wks17"/>
      <sheetName val="_6_Addn_Plant17"/>
      <sheetName val="_7__Transport17"/>
      <sheetName val="_8_Testing17"/>
      <sheetName val="9__Miscellaneous17"/>
      <sheetName val="10__Design17"/>
      <sheetName val="_11_Insurances17"/>
      <sheetName val="_12_Client_Req_17"/>
      <sheetName val="Risk_List17"/>
      <sheetName val="Track_of_Changes17"/>
      <sheetName val="Bill_8_Doors_&amp;_Windows17"/>
      <sheetName val="Bill_9_Finishes_17"/>
      <sheetName val="Bill_10_Specialities17"/>
      <sheetName val="%_prog_figs_-u5_and_total18"/>
      <sheetName val="[SHOPLIST_xls]7017"/>
      <sheetName val="[SHOPLIST_xls]70,17"/>
      <sheetName val="Bill_1017"/>
      <sheetName val="Cost_Heading14"/>
      <sheetName val="D_&amp;_W_sizes14"/>
      <sheetName val="SOPMA_DD14"/>
      <sheetName val="Qtys_ZamZam_(Del__before)14"/>
      <sheetName val="Qtys_Relocation_(Del_before)14"/>
      <sheetName val="_Qtys_Sub_&amp;_Tents_(Del__befor14"/>
      <sheetName val="Qtys__Signages_(Del__before)14"/>
      <sheetName val="Qtys_Temporary_Passages_(Del)14"/>
      <sheetName val="_Qtys_Ser__Rooms_(Del_before)14"/>
      <sheetName val="Labour_Costs17"/>
      <sheetName val="Data_Sheet17"/>
      <sheetName val="[SHOPLIST_xls]70,/0s«_iÆø_í¬_17"/>
      <sheetName val="[SHOPLIST_xls]70?,/0?s«i?Æøí¬17"/>
      <sheetName val="Area_Breakdown_PER_LEVEL_LINK17"/>
      <sheetName val="Base_BM-rebar17"/>
      <sheetName val="PRICE_INFO14"/>
      <sheetName val="RC_SUMMARY14"/>
      <sheetName val="LABOUR_PRODUCTIVITY-TAV14"/>
      <sheetName val="MATERIAL_PRICES14"/>
      <sheetName val="P-100_MRF_DB_R114"/>
      <sheetName val="Materials_17"/>
      <sheetName val="Contract_Division15"/>
      <sheetName val="SubContract_Type15"/>
      <sheetName val="Service_Type15"/>
      <sheetName val="Attach_4-1814"/>
      <sheetName val="CF_Input17"/>
      <sheetName val="DATA_INPUT17"/>
      <sheetName val="Vordruck-Nr__7_1_3_D17"/>
      <sheetName val="M&amp;A_D17"/>
      <sheetName val="M&amp;A_E17"/>
      <sheetName val="M&amp;A_G17"/>
      <sheetName val="tender_allowances17"/>
      <sheetName val="_Summary_BKG_03417"/>
      <sheetName val="BILL_3R17"/>
      <sheetName val="BLOCK-A_(MEA_SHEET)17"/>
      <sheetName val="Ewaan_Show_Kitchen_(2)14"/>
      <sheetName val="Cash_Flow_Working14"/>
      <sheetName val="MN_T_B_14"/>
      <sheetName val="Appendix_B10"/>
      <sheetName val="Site_Dev_BOQ17"/>
      <sheetName val="2F_회의실견적(5_14_일대)10"/>
      <sheetName val="_HIT-&gt;HMC_견적(3900)10"/>
      <sheetName val="BOQ_(2)8"/>
      <sheetName val="LABOUR_RATE8"/>
      <sheetName val="Material_Rate8"/>
      <sheetName val="Labor_abs-PW8"/>
      <sheetName val="Labor_abs-NMR8"/>
      <sheetName val="kppl_pl8"/>
      <sheetName val="Basic_Rates8"/>
      <sheetName val="Combined_Results_8"/>
      <sheetName val="Data_I_(2)14"/>
      <sheetName val="rEFERENCES_14"/>
      <sheetName val="Dash_board17"/>
      <sheetName val="Labour_Rate_14"/>
      <sheetName val="precast_RC_element8"/>
      <sheetName val="pile_Fabrication8"/>
      <sheetName val="Div_07_Thermal_&amp;_Moisture8"/>
      <sheetName val="[SHOPLIST_xls][SHOPLIST_xls]/V6"/>
      <sheetName val="Data_Validation8"/>
      <sheetName val="Div26_-_Elect8"/>
      <sheetName val="CHUNG_CU_CARRILON8"/>
      <sheetName val="Cost_Heaࡤing"/>
      <sheetName val="RBD_ENG"/>
      <sheetName val="RBD_SLD_RLD"/>
      <sheetName val="V_Summary"/>
      <sheetName val="[SHOPLIST_xls]_VW__VU________12"/>
      <sheetName val="[SHOPLIST_xls]70___0_s__i____17"/>
      <sheetName val="[SHOPLIST_xls]_VW__VU________13"/>
      <sheetName val="[SHOPLIST_xls]70___0_s__i____18"/>
      <sheetName val="[SHOPLIST_xls]70_x005f_x0000___0_x0_7"/>
      <sheetName val="[SHOPLIST_xls]70___0_s__i____19"/>
      <sheetName val="[SHOPLIST_xls]_VW__VU________14"/>
      <sheetName val="[SHOPLIST_xls]70___0_s__i____20"/>
      <sheetName val="[SHOPLIST_xls]_VW__VU________15"/>
      <sheetName val="[SHOPLIST_xls]70___0_s__i____21"/>
      <sheetName val="[SHOPLIST_xls]70_x005f_x0000___0_x0_8"/>
      <sheetName val="[SHOPLIST_xls]70___0_s__i____22"/>
      <sheetName val="[SHOPLIST_xls]_VW__VU________16"/>
      <sheetName val="[SHOPLIST_xls]_SHOPLIST_xls_610"/>
      <sheetName val="[SHOPLIST_xls]_SHOPLIST_xls_611"/>
      <sheetName val="[SHOPLIST_xls]_SHOPLIST_xls_612"/>
      <sheetName val="[SHOPLIST_xls]_SHOPLIST_xls_613"/>
      <sheetName val="[SHOPLIST_xls]_SHOPLIST_xls_614"/>
      <sheetName val="[SHOPLIST_xls]_SHOPLIST_xls_615"/>
      <sheetName val="[SHOPLIST_xls]_SHOPLIST_xls_616"/>
      <sheetName val="[SHOPLIST_xls]_SHOPLIST_xls_617"/>
      <sheetName val="[SHOPLIST_xls]_SHOPLIST_xls_618"/>
      <sheetName val="[SHOPLIST_xls]_SHOPLIST_xls_619"/>
      <sheetName val="[SHOPLIST_xls]_SHOPLIST_xls_620"/>
      <sheetName val="[SHOPLIST_xls]_SHOPLIST_xls_621"/>
      <sheetName val="[SHOPLIST_xls]_SHOPLIST_xls_622"/>
      <sheetName val="[SHOPLIST_xls]_SHOPLIST_xls_623"/>
      <sheetName val="[SHOPLIST_xls]_SHOPLIST_xls_624"/>
      <sheetName val="[SHOPLIST_xls]_SHOPLIST_xls_625"/>
      <sheetName val="[SHOPLIST_xls]_SHOPLIST_xls_626"/>
      <sheetName val="[SHOPLIST_xls]_SHOPLIST_xls_627"/>
      <sheetName val="[SHOPLIST_xls]_SHOPLIST_xls_628"/>
      <sheetName val="[SHOPLIST_xls]_SHOPLIST_xls_629"/>
      <sheetName val="[SHOPLIST_xls]_SHOPLIST_xls_630"/>
      <sheetName val="[SHOPLIST_xls]_SHOPLIST_xls_631"/>
      <sheetName val="[SHOPLIST_xls]_SHOPLIST_xls_632"/>
      <sheetName val="[SHOPLIST_xls]_SHOPLIST_xls_633"/>
      <sheetName val="[SHOPLIST_xls]_SHOPLIST_xls_634"/>
      <sheetName val="[SHOPLIST_xls]_SHOPLIST_xls_635"/>
      <sheetName val="[SHOPLIST_xls]_SHOPLIST_xls_636"/>
      <sheetName val="[SHOPLIST_xls]_SHOPLIST_xls_637"/>
      <sheetName val="[SHOPLIST_xls]_SHOPLIST_xls_638"/>
      <sheetName val="[SHOPLIST_xls]_SHOPLIST_xls_639"/>
      <sheetName val="[SHOPLIST_xls]_SHOPLIST_xls_640"/>
      <sheetName val="[SHOPLIST_xls]_SHOPLIST_xls_641"/>
      <sheetName val="[SHOPLIST_xls]_SHOPLIST_xls_642"/>
      <sheetName val="[SHOPLIST_xls]_SHOPLIST_xls_643"/>
      <sheetName val="[SHOPLIST_xls]_SHOPLIST_xls_644"/>
      <sheetName val="[SHOPLIST_xls]_SHOPLIST_xls_645"/>
      <sheetName val="[SHOPLIST_xls]_SHOPLIST_xls_646"/>
      <sheetName val="[SHOPLIST_xls]_SHOPLIST_xls_647"/>
      <sheetName val="[SHOPLIST_xls]_SHOPLIST_xls_648"/>
      <sheetName val="[SHOPLIST_xls]_SHOPLIST_xls_649"/>
      <sheetName val="[SHOPLIST_xls]_SHOPLIST_xls_650"/>
      <sheetName val="[SHOPLIST_xls]_SHOPLIST_xls_651"/>
      <sheetName val="[SHOPLIST_xls]_SHOPLIST_xls_652"/>
      <sheetName val="[SHOPLIST_xls]_SHOPLIST_xls_653"/>
      <sheetName val="[SHOPLIST_xls]_SHOPLIST_xls_654"/>
      <sheetName val="[SHOPLIST_xls]_SHOPLIST_xls_655"/>
      <sheetName val="[SHOPLIST_xls]_SHOPLIST_xls_656"/>
      <sheetName val="[SHOPLIST_xls]_SHOPLIST_xls_657"/>
      <sheetName val="[SHOPLIST_xls]_SHOPLIST_xls_658"/>
      <sheetName val="[SHOPLIST_xls]_SHOPLIST_xls_659"/>
      <sheetName val="[SHOPLIST_xls]_SHOPLIST_xls_660"/>
      <sheetName val="[SHOPLIST_xls]_SHOPLIST_xls_661"/>
      <sheetName val="[SHOPLIST_xls]_SHOPLIST_xls_662"/>
      <sheetName val="[SHOPLIST_xls]_SHOPLIST_xls_663"/>
      <sheetName val="[SHOPLIST_xls]_SHOPLIST_xls_664"/>
      <sheetName val="[SHOPLIST_xls]_SHOPLIST_xls_665"/>
      <sheetName val="[SHOPLIST_xls]_SHOPLIST_xls_666"/>
      <sheetName val="[SHOPLIST_xls]_SHOPLIST_xls_667"/>
      <sheetName val="[SHOPLIST_xls]_SHOPLIST_xls_668"/>
      <sheetName val="[SHOPLIST_xls]_SHOPLIST_xls_669"/>
      <sheetName val="[SHOPLIST_xls]_SHOPLIST_xls_670"/>
      <sheetName val="[SHOPLIST_xls]_SHOPLIST_xls_671"/>
      <sheetName val="[SHOPLIST_xls]_SHOPLIST_xls_672"/>
      <sheetName val="[SHOPLIST_xls]_SHOPLIST_xls_673"/>
      <sheetName val="[SHOPLIST_xls]_SHOPLIST_xls_674"/>
      <sheetName val="[SHOPLIST_xls]_SHOPLIST_xls_675"/>
      <sheetName val="[SHOPLIST_xls]_SHOPLIST_xls_676"/>
      <sheetName val="[SHOPLIST_xls]_SHOPLIST_xls_677"/>
      <sheetName val="[SHOPLIST_xls]_SHOPLIST_xls_678"/>
      <sheetName val="[SHOPLIST_xls]_SHOPLIST_xls_679"/>
      <sheetName val="[SHOPLIST_xls]_SHOPLIST_xls_680"/>
      <sheetName val="[SHOPLIST_xls]_SHOPLIST_xls_681"/>
      <sheetName val="[SHOPLIST_xls]_SHOPLIST_xls_682"/>
      <sheetName val="[SHOPLIST_xls]_SHOPLIST_xls_683"/>
      <sheetName val="[SHOPLIST_xls]_SHOPLIST_xls_684"/>
      <sheetName val="[SHOPLIST_xls]_SHOPLIST_xls_685"/>
      <sheetName val="[SHOPLIST_xls]_SHOPLIST_xls_686"/>
      <sheetName val="[SHOPLIST_xls]_SHOPLIST_xls_687"/>
      <sheetName val="[SHOPLIST_xls]_SHOPLIST_xls_688"/>
      <sheetName val="[SHOPLIST_xls]_SHOPLIST_xls_689"/>
      <sheetName val="[SHOPLIST_xls]_SHOPLIST_xls_690"/>
      <sheetName val="[SHOPLIST_xls]_SHOPLIST_xls_691"/>
      <sheetName val="[SHOPLIST_xls]_SHOPLIST_xls_692"/>
      <sheetName val="[SHOPLIST_xls]_SHOPLIST_xls_693"/>
      <sheetName val="[SHOPLIST_xls]_SHOPLIST_xls_694"/>
      <sheetName val="[SHOPLIST_xls]70_x005f_x005f_x005f_x0000__6"/>
      <sheetName val="[SHOPLIST_xls]_SHOPLIST_xls_695"/>
      <sheetName val="[SHOPLIST_xls]_SHOPLIST_xls_696"/>
      <sheetName val="[SHOPLIST_xls]_SHOPLIST_xls_697"/>
      <sheetName val="[SHOPLIST_xls]_SHOPLIST_xls_698"/>
      <sheetName val="[SHOPLIST_xls]_SHOPLIST_xls_699"/>
      <sheetName val="[SHOPLIST_xls]_SHOPLIST_xls_700"/>
      <sheetName val="[SHOPLIST_xls]_SHOPLIST_xls_701"/>
      <sheetName val="[SHOPLIST_xls]_SHOPLIST_xls_702"/>
      <sheetName val="[SHOPLIST_xls]_SHOPLIST_xls_703"/>
      <sheetName val="[SHOPLIST_xls]_SHOPLIST_xls_704"/>
      <sheetName val="[SHOPLIST_xls]_SHOPLIST_xls_705"/>
      <sheetName val="[SHOPLIST_xls]_SHOPLIST_xls_706"/>
      <sheetName val="[SHOPLIST_xls]_SHOPLIST_xls_707"/>
      <sheetName val="[SHOPLIST_xls]_SHOPLIST_xls_708"/>
      <sheetName val="[SHOPLIST_xls]_SHOPLIST_xls_709"/>
      <sheetName val="[SHOPLIST_xls]_SHOPLIST_xls_710"/>
      <sheetName val="[SHOPLIST_xls]_SHOPLIST_xls_711"/>
      <sheetName val="[SHOPLIST_xls]_SHOPLIST_xls_712"/>
      <sheetName val="[SHOPLIST_xls]_SHOPLIST_xls_713"/>
      <sheetName val="[SHOPLIST_xls]_SHOPLIST_xls_714"/>
      <sheetName val="[SHOPLIST_xls]_SHOPLIST_xls_715"/>
      <sheetName val="[SHOPLIST_xls]_SHOPLIST_xls_716"/>
      <sheetName val="[SHOPLIST_xls]_SHOPLIST_xls_717"/>
      <sheetName val="[SHOPLIST_xls]_SHOPLIST_xls_718"/>
      <sheetName val="[SHOPLIST_xls]_SHOPLIST_xls_719"/>
      <sheetName val="[SHOPLIST_xls]_SHOPLIST_xls_720"/>
      <sheetName val="[SHOPLIST_xls]_SHOPLIST_xls_721"/>
      <sheetName val="[SHOPLIST_xls]_SHOPLIST_xls_722"/>
      <sheetName val="[SHOPLIST_xls]_SHOPLIST_xls_723"/>
      <sheetName val="[SHOPLIST_xls]_SHOPLIST_xls_724"/>
      <sheetName val="[SHOPLIST_xls]_SHOPLIST_xls_725"/>
      <sheetName val="[SHOPLIST_xls]_SHOPLIST_xls_726"/>
      <sheetName val="[SHOPLIST_xls]70___0_s__i____23"/>
      <sheetName val="[SHOPLIST_xls]_VW__VU________17"/>
      <sheetName val="[SHOPLIST_xls]70___0_s__i____24"/>
      <sheetName val="[SHOPLIST_xls]70_x005f_x0000___0_x0_9"/>
      <sheetName val="[SHOPLIST_xls]70___0_s__i____25"/>
      <sheetName val="[SHOPLIST_xls]_SHOPLIST_xls_727"/>
      <sheetName val="[SHOPLIST_xls]_VW__VU________18"/>
      <sheetName val="[SHOPLIST_xls]_SHOPLIST_xls_728"/>
      <sheetName val="[SHOPLIST_xls]_SHOPLIST_xls_729"/>
      <sheetName val="[SHOPLIST_xls]_SHOPLIST_xls_730"/>
      <sheetName val="[SHOPLIST_xls]_SHOPLIST_xls_731"/>
      <sheetName val="[SHOPLIST_xls]_SHOPLIST_xls_732"/>
      <sheetName val="[SHOPLIST_xls]_SHOPLIST_xls_733"/>
      <sheetName val="[SHOPLIST_xls]_SHOPLIST_xls_734"/>
      <sheetName val="[SHOPLIST_xls]_SHOPLIST_xls_735"/>
      <sheetName val="[SHOPLIST_xls]_SHOPLIST_xls_736"/>
      <sheetName val="[SHOPLIST_xls]_SHOPLIST_xls_737"/>
      <sheetName val="[SHOPLIST_xls]_SHOPLIST_xls_738"/>
      <sheetName val="[SHOPLIST_xls]_SHOPLIST_xls_739"/>
      <sheetName val="[SHOPLIST_xls]_SHOPLIST_xls_740"/>
      <sheetName val="[SHOPLIST_xls]_SHOPLIST_xls_741"/>
      <sheetName val="[SHOPLIST_xls]_SHOPLIST_xls_742"/>
      <sheetName val="[SHOPLIST_xls]_SHOPLIST_xls_743"/>
      <sheetName val="[SHOPLIST_xls]_SHOPLIST_xls_744"/>
      <sheetName val="[SHOPLIST_xls]_SHOPLIST_xls_745"/>
      <sheetName val="[SHOPLIST_xls]_SHOPLIST_xls_746"/>
      <sheetName val="[SHOPLIST_xls]_SHOPLIST_xls_747"/>
      <sheetName val="[SHOPLIST_xls]_SHOPLIST_xls_748"/>
      <sheetName val="[SHOPLIST_xls]_SHOPLIST_xls_749"/>
      <sheetName val="[SHOPLIST_xls]_SHOPLIST_xls_750"/>
      <sheetName val="[SHOPLIST_xls]_SHOPLIST_xls_751"/>
      <sheetName val="[SHOPLIST_xls]_SHOPLIST_xls_752"/>
      <sheetName val="[SHOPLIST_xls]_SHOPLIST_xls_753"/>
      <sheetName val="[SHOPLIST_xls]_SHOPLIST_xls_754"/>
      <sheetName val="[SHOPLIST_xls]_SHOPLIST_xls_755"/>
      <sheetName val="[SHOPLIST_xls]_SHOPLIST_xls_756"/>
      <sheetName val="[SHOPLIST_xls]_SHOPLIST_xls_757"/>
      <sheetName val="[SHOPLIST_xls]_SHOPLIST_xls_758"/>
      <sheetName val="[SHOPLIST_xls]_SHOPLIST_xls_759"/>
      <sheetName val="[SHOPLIST_xls]_SHOPLIST_xls_760"/>
      <sheetName val="[SHOPLIST_xls]_SHOPLIST_xls_761"/>
      <sheetName val="[SHOPLIST_xls]_SHOPLIST_xls_762"/>
      <sheetName val="[SHOPLIST_xls]_SHOPLIST_xls_763"/>
      <sheetName val="[SHOPLIST_xls]_SHOPLIST_xls_764"/>
      <sheetName val="[SHOPLIST_xls]_SHOPLIST_xls_765"/>
      <sheetName val="[SHOPLIST_xls]_SHOPLIST_xls_766"/>
      <sheetName val="[SHOPLIST_xls]_SHOPLIST_xls_767"/>
      <sheetName val="[SHOPLIST_xls]_SHOPLIST_xls_768"/>
      <sheetName val="[SHOPLIST_xls]_SHOPLIST_xls_769"/>
      <sheetName val="[SHOPLIST_xls]_SHOPLIST_xls_770"/>
      <sheetName val="[SHOPLIST_xls]_SHOPLIST_xls_771"/>
      <sheetName val="[SHOPLIST_xls]_SHOPLIST_xls_772"/>
      <sheetName val="[SHOPLIST_xls]_SHOPLIST_xls_773"/>
      <sheetName val="[SHOPLIST_xls]_SHOPLIST_xls_774"/>
      <sheetName val="[SHOPLIST_xls]_SHOPLIST_xls_775"/>
      <sheetName val="[SHOPLIST_xls]_SHOPLIST_xls_776"/>
      <sheetName val="[SHOPLIST_xls]_SHOPLIST_xls_777"/>
      <sheetName val="[SHOPLIST_xls]_SHOPLIST_xls_778"/>
      <sheetName val="[SHOPLIST_xls]_SHOPLIST_xls_779"/>
      <sheetName val="[SHOPLIST_xls]_SHOPLIST_xls_780"/>
      <sheetName val="[SHOPLIST_xls]_SHOPLIST_xls_781"/>
      <sheetName val="[SHOPLIST_xls]_SHOPLIST_xls_782"/>
      <sheetName val="[SHOPLIST_xls]_SHOPLIST_xls_783"/>
      <sheetName val="[SHOPLIST_xls]_SHOPLIST_xls_784"/>
      <sheetName val="[SHOPLIST_xls]_SHOPLIST_xls_785"/>
      <sheetName val="[SHOPLIST_xls]_SHOPLIST_xls_786"/>
      <sheetName val="[SHOPLIST_xls]_SHOPLIST_xls_787"/>
      <sheetName val="[SHOPLIST_xls]_SHOPLIST_xls_788"/>
      <sheetName val="[SHOPLIST_xls]_SHOPLIST_xls_789"/>
      <sheetName val="[SHOPLIST_xls]_SHOPLIST_xls_790"/>
      <sheetName val="[SHOPLIST_xls]_SHOPLIST_xls_791"/>
      <sheetName val="[SHOPLIST_xls]_SHOPLIST_xls_792"/>
      <sheetName val="[SHOPLIST_xls]_SHOPLIST_xls_793"/>
      <sheetName val="[SHOPLIST_xls]_SHOPLIST_xls_794"/>
      <sheetName val="[SHOPLIST_xls]_SHOPLIST_xls_795"/>
      <sheetName val="[SHOPLIST_xls]_SHOPLIST_xls_796"/>
      <sheetName val="[SHOPLIST_xls]_SHOPLIST_xls_797"/>
      <sheetName val="[SHOPLIST_xls]_SHOPLIST_xls_798"/>
      <sheetName val="[SHOPLIST_xls]_SHOPLIST_xls_799"/>
      <sheetName val="[SHOPLIST_xls]_SHOPLIST_xls_800"/>
      <sheetName val="[SHOPLIST_xls]_SHOPLIST_xls_801"/>
      <sheetName val="[SHOPLIST_xls]_SHOPLIST_xls_802"/>
      <sheetName val="[SHOPLIST_xls]_SHOPLIST_xls_803"/>
      <sheetName val="[SHOPLIST_xls]_SHOPLIST_xls_804"/>
      <sheetName val="[SHOPLIST_xls]_SHOPLIST_xls_805"/>
      <sheetName val="[SHOPLIST_xls]_SHOPLIST_xls_806"/>
      <sheetName val="[SHOPLIST_xls]_SHOPLIST_xls_807"/>
      <sheetName val="[SHOPLIST_xls]_SHOPLIST_xls_808"/>
      <sheetName val="[SHOPLIST_xls]_SHOPLIST_xls_809"/>
      <sheetName val="[SHOPLIST_xls]_SHOPLIST_xls_810"/>
      <sheetName val="[SHOPLIST_xls]_SHOPLIST_xls_811"/>
      <sheetName val="[SHOPLIST_xls]_SHOPLIST_xls_812"/>
      <sheetName val="[SHOPLIST_xls]_SHOPLIST_xls_813"/>
      <sheetName val="[SHOPLIST_xls]_SHOPLIST_xls_814"/>
      <sheetName val="[SHOPLIST_xls]_SHOPLIST_xls_815"/>
      <sheetName val="[SHOPLIST_xls]_SHOPLIST_xls_816"/>
      <sheetName val="[SHOPLIST_xls]_SHOPLIST_xls_817"/>
      <sheetName val="[SHOPLIST_xls]_SHOPLIST_xls_818"/>
      <sheetName val="[SHOPLIST_xls]_SHOPLIST_xls_819"/>
      <sheetName val="[SHOPLIST_xls]_SHOPLIST_xls_820"/>
      <sheetName val="[SHOPLIST_xls]_SHOPLIST_xls_821"/>
      <sheetName val="[SHOPLIST_xls]_SHOPLIST_xls_822"/>
      <sheetName val="[SHOPLIST_xls]_SHOPLIST_xls_823"/>
      <sheetName val="[SHOPLIST_xls]_SHOPLIST_xls_824"/>
      <sheetName val="[SHOPLIST_xls]_SHOPLIST_xls_825"/>
      <sheetName val="[SHOPLIST_xls]_SHOPLIST_xls_826"/>
      <sheetName val="[SHOPLIST_xls]_SHOPLIST_xls_827"/>
      <sheetName val="[SHOPLIST_xls]_SHOPLIST_xls_828"/>
      <sheetName val="[SHOPLIST_xls]_SHOPLIST_xls_829"/>
      <sheetName val="[SHOPLIST_xls]_SHOPLIST_xls_830"/>
      <sheetName val="[SHOPLIST_xls]_SHOPLIST_xls_831"/>
      <sheetName val="[SHOPLIST_xls]_SHOPLIST_xls_832"/>
      <sheetName val="[SHOPLIST_xls]_SHOPLIST_xls_833"/>
      <sheetName val="[SHOPLIST_xls]_SHOPLIST_xls_834"/>
      <sheetName val="[SHOPLIST_xls]_SHOPLIST_xls_835"/>
      <sheetName val="[SHOPLIST_xls]_SHOPLIST_xls_836"/>
      <sheetName val="[SHOPLIST_xls]_SHOPLIST_xls_837"/>
      <sheetName val="[SHOPLIST_xls]_SHOPLIST_xls_838"/>
      <sheetName val="[SHOPLIST_xls]70_x005f_x005f_x005f_x0000__7"/>
      <sheetName val="Bill_No__3"/>
      <sheetName val="Materials_Cost"/>
      <sheetName val="HO_Costs"/>
      <sheetName val="Rectangular_Duct"/>
      <sheetName val="[SHOPLIST_xls]70,/0s«iÆøí¬i41"/>
      <sheetName val="[SHOPLIST_xls]70,/0s«iÆøí¬i51"/>
      <sheetName val="Product_Sheet40"/>
      <sheetName val="Unit_cost-_Drain-Protection-1_"/>
      <sheetName val="Unit_cost-_Drain-Protection-2"/>
      <sheetName val="[SHOPLIST_xls]_SHOPLIST_xls_839"/>
      <sheetName val="[SHOPLIST_xls]_SHOPLIST_xls_840"/>
      <sheetName val="[SHOPLIST_xls]_SHOPLIST_xls_841"/>
      <sheetName val="[SHOPLIST_xls]_SHOPLIST_xls_842"/>
      <sheetName val="[SHOPLIST_xls]_SHOPLIST_xls_843"/>
      <sheetName val="[SHOPLIST_xls]_SHOPLIST_xls_844"/>
      <sheetName val="[SHOPLIST_xls]_SHOPLIST_xls_845"/>
      <sheetName val="[SHOPLIST_xls]_SHOPLIST_xls_846"/>
      <sheetName val="[SHOPLIST_xls]_SHOPLIST_xls_847"/>
      <sheetName val="[SHOPLIST_xls]_SHOPLIST_xls_848"/>
      <sheetName val="[SHOPLIST_xls]_SHOPLIST_xls_849"/>
      <sheetName val="[SHOPLIST_xls]_SHOPLIST_xls_850"/>
      <sheetName val="[SHOPLIST_xls]_SHOPLIST_xls_851"/>
      <sheetName val="[SHOPLIST_xls]_SHOPLIST_xls_852"/>
      <sheetName val="[SHOPLIST_xls]_SHOPLIST_xls_853"/>
      <sheetName val="[SHOPLIST_xls]_SHOPLIST_xls_854"/>
      <sheetName val="[SHOPLIST_xls]_SHOPLIST_xls_855"/>
      <sheetName val="[SHOPLIST_xls]_SHOPLIST_xls_856"/>
      <sheetName val="[SHOPLIST_xls]_SHOPLIST_xls_857"/>
      <sheetName val="[SHOPLIST_xls]_SHOPLIST_xls_858"/>
      <sheetName val="[SHOPLIST_xls]_SHOPLIST_xls_859"/>
      <sheetName val="[SHOPLIST_xls]_SHOPLIST_xls_860"/>
      <sheetName val="[SHOPLIST_xls]_SHOPLIST_xls_861"/>
      <sheetName val="[SHOPLIST_xls]_SHOPLIST_xls_862"/>
      <sheetName val="[SHOPLIST_xls]_SHOPLIST_xls_863"/>
      <sheetName val="[SHOPLIST_xls]_SHOPLIST_xls_864"/>
      <sheetName val="[SHOPLIST_xls]_SHOPLIST_xls_865"/>
      <sheetName val="[SHOPLIST_xls]_SHOPLIST_xls_866"/>
      <sheetName val="[SHOPLIST_xls]_SHOPLIST_xls_867"/>
      <sheetName val="[SHOPLIST_xls]_SHOPLIST_xls_868"/>
      <sheetName val="[SHOPLIST_xls]_SHOPLIST_xls_869"/>
      <sheetName val="[SHOPLIST_xls]_SHOPLIST_xls_870"/>
      <sheetName val="[SHOPLIST_xls]_SHOPLIST_xls_871"/>
      <sheetName val="[SHOPLIST_xls]_SHOPLIST_xls_872"/>
      <sheetName val="[SHOPLIST_xls]_SHOPLIST_xls_873"/>
      <sheetName val="[SHOPLIST_xls]_SHOPLIST_xls_874"/>
      <sheetName val="[SHOPLIST_xls]_SHOPLIST_xls_875"/>
      <sheetName val="[SHOPLIST_xls]_SHOPLIST_xls_876"/>
      <sheetName val="[SHOPLIST_xls]_SHOPLIST_xls_877"/>
      <sheetName val="[SHOPLIST_xls]_SHOPLIST_xls_878"/>
      <sheetName val="[SHOPLIST_xls]_SHOPLIST_xls_879"/>
      <sheetName val="[SHOPLIST_xls]_SHOPLIST_xls_880"/>
      <sheetName val="[SHOPLIST_xls]_SHOPLIST_xls_881"/>
      <sheetName val="[SHOPLIST_xls]_SHOPLIST_xls_882"/>
      <sheetName val="[SHOPLIST_xls]_SHOPLIST_xls_883"/>
      <sheetName val="[SHOPLIST_xls]_SHOPLIST_xls_884"/>
      <sheetName val="[SHOPLIST_xls]_SHOPLIST_xls_885"/>
      <sheetName val="[SHOPLIST_xls]_SHOPLIST_xls_886"/>
      <sheetName val="[SHOPLIST_xls]_SHOPLIST_xls_887"/>
      <sheetName val="[SHOPLIST_xls]_SHOPLIST_xls_888"/>
      <sheetName val="[SHOPLIST_xls]_SHOPLIST_xls_889"/>
      <sheetName val="[SHOPLIST_xls]_SHOPLIST_xls_890"/>
      <sheetName val="[SHOPLIST_xls]_SHOPLIST_xls_891"/>
      <sheetName val="[SHOPLIST_xls]_SHOPLIST_xls_892"/>
      <sheetName val="[SHOPLIST_xls]_SHOPLIST_xls_893"/>
      <sheetName val="[SHOPLIST_xls]_SHOPLIST_xls_894"/>
      <sheetName val="[SHOPLIST_xls]_SHOPLIST_xls_895"/>
      <sheetName val="[SHOPLIST_xls]_SHOPLIST_xls_896"/>
      <sheetName val="[SHOPLIST_xls]_SHOPLIST_xls_897"/>
      <sheetName val="[SHOPLIST_xls]_SHOPLIST_xls_898"/>
      <sheetName val="[SHOPLIST_xls]_SHOPLIST_xls_899"/>
      <sheetName val="[SHOPLIST_xls]_SHOPLIST_xls_900"/>
      <sheetName val="[SHOPLIST_xls]_SHOPLIST_xls_901"/>
      <sheetName val="[SHOPLIST_xls]_SHOPLIST_xls_902"/>
      <sheetName val="Non-Positioin_Summary"/>
      <sheetName val="F-6_COVER"/>
      <sheetName val="10_Breakdown_"/>
      <sheetName val="Exc_Adj"/>
      <sheetName val="Bill_01"/>
      <sheetName val="Bill_02"/>
      <sheetName val="Bill_03"/>
      <sheetName val="Bill_04"/>
      <sheetName val="Bill_05"/>
      <sheetName val="Bill_06"/>
      <sheetName val="Bill_07"/>
      <sheetName val="Bill_08"/>
      <sheetName val="Bill_09"/>
      <sheetName val="Bill_1018"/>
      <sheetName val="NBT_Calculation"/>
      <sheetName val="Main_VO_Summary"/>
      <sheetName val="VO_Sum_Non(New)"/>
      <sheetName val="VO-07_"/>
      <sheetName val="VO-08_"/>
      <sheetName val="calcul"/>
      <sheetName val="eval"/>
      <sheetName val=" Est "/>
      <sheetName val="B100-Cable Rack"/>
      <sheetName val="4.1 G Ammount"/>
      <sheetName val="Costcal"/>
      <sheetName val="1-Excavation"/>
      <sheetName val="2-Substructure"/>
      <sheetName val="3-Concrete"/>
      <sheetName val="4-Masonry"/>
      <sheetName val="5-Thermal &amp; Moisture"/>
      <sheetName val="[SHOPLIST.xls]_SHOPLIST_xl_1315"/>
      <sheetName val="[SHOPLIST.xls]_SHOPLIST_xl_1316"/>
      <sheetName val="[SHOPLIST.xls]_SHOPLIST_xl_1317"/>
      <sheetName val="[SHOPLIST.xls]_SHOPLIST_xl_1318"/>
      <sheetName val="[SHOPLIST.xls]_SHOPLIST_xl_1319"/>
      <sheetName val="[SHOPLIST.xls]_SHOPLIST_xl_1320"/>
      <sheetName val="[SHOPLIST.xls]_SHOPLIST_xl_1321"/>
      <sheetName val="[SHOPLIST.xls]_SHOPLIST_xl_1322"/>
      <sheetName val="[SHOPLIST.xls]_SHOPLIST_xl_1323"/>
      <sheetName val="[SHOPLIST.xls]_SHOPLIST_xl_1324"/>
      <sheetName val="[SHOPLIST.xls]_SHOPLIST_xl_1325"/>
      <sheetName val="[SHOPLIST.xls]_SHOPLIST_xl_1326"/>
      <sheetName val="[SHOPLIST.xls]_SHOPLIST_xl_1327"/>
      <sheetName val="[SHOPLIST.xls]_SHOPLIST_xl_1328"/>
      <sheetName val="[SHOPLIST.xls]_SHOPLIST_xl_1329"/>
      <sheetName val="[SHOPLIST.xls]_SHOPLIST_xl_1330"/>
      <sheetName val="[SHOPLIST.xls]_SHOPLIST_xl_1331"/>
      <sheetName val="[SHOPLIST.xls]_SHOPLIST_xl_1332"/>
      <sheetName val="[SHOPLIST.xls]_SHOPLIST_xl_1333"/>
      <sheetName val="[SHOPLIST.xls]_SHOPLIST_xl_1334"/>
      <sheetName val="[SHOPLIST.xls]_SHOPLIST_xl_1335"/>
      <sheetName val="[SHOPLIST.xls]_SHOPLIST_xl_1336"/>
      <sheetName val="[SHOPLIST.xls]_SHOPLIST_xl_1337"/>
      <sheetName val="[SHOPLIST.xls]_SHOPLIST_xl_1338"/>
      <sheetName val="[SHOPLIST.xls]_SHOPLIST_xl_1339"/>
      <sheetName val="[SHOPLIST.xls]_SHOPLIST_xl_1340"/>
      <sheetName val="[SHOPLIST.xls]_SHOPLIST_xl_1341"/>
      <sheetName val="[SHOPLIST.xls]_SHOPLIST_xl_1342"/>
      <sheetName val="[SHOPLIST.xls]_SHOPLIST_xl_1343"/>
      <sheetName val="[SHOPLIST.xls]_SHOPLIST_xl_1344"/>
      <sheetName val="[SHOPLIST.xls]_SHOPLIST_xl_1345"/>
      <sheetName val="[SHOPLIST.xls]_SHOPLIST_xl_1346"/>
      <sheetName val="[SHOPLIST.xls]_SHOPLIST_xl_1347"/>
      <sheetName val="[SHOPLIST.xls]_SHOPLIST_xl_1348"/>
      <sheetName val="[SHOPLIST.xls]_SHOPLIST_xl_1349"/>
      <sheetName val="[SHOPLIST.xls]_SHOPLIST_xl_1350"/>
      <sheetName val="[SHOPLIST.xls]_SHOPLIST_xl_1351"/>
      <sheetName val="[SHOPLIST.xls]_SHOPLIST_xl_1352"/>
      <sheetName val="[SHOPLIST.xls]_SHOPLIST_xl_1353"/>
      <sheetName val="[SHOPLIST.xls]_SHOPLIST_xl_1354"/>
      <sheetName val="[SHOPLIST.xls]_SHOPLIST_xl_1355"/>
      <sheetName val="[SHOPLIST.xls]_SHOPLIST_xl_1356"/>
      <sheetName val="[SHOPLIST.xls]_SHOPLIST_xl_1357"/>
      <sheetName val="[SHOPLIST.xls]_SHOPLIST_xl_1358"/>
      <sheetName val="[SHOPLIST.xls]_SHOPLIST_xl_1359"/>
      <sheetName val="[SHOPLIST.xls]_SHOPLIST_xl_1360"/>
      <sheetName val="[SHOPLIST.xls]_SHOPLIST_xl_1361"/>
      <sheetName val="[SHOPLIST.xls]_SHOPLIST_xl_1362"/>
      <sheetName val="[SHOPLIST.xls]_SHOPLIST_xl_1363"/>
      <sheetName val="[SHOPLIST.xls]_SHOPLIST_xl_1364"/>
      <sheetName val="[SHOPLIST.xls]_SHOPLIST_xl_1365"/>
      <sheetName val="[SHOPLIST.xls]_SHOPLIST_xl_1366"/>
      <sheetName val="[SHOPLIST.xls]_SHOPLIST_xl_1367"/>
      <sheetName val="[SHOPLIST.xls]_SHOPLIST_xl_1368"/>
      <sheetName val="[SHOPLIST.xls]_SHOPLIST_xl_1369"/>
      <sheetName val="[SHOPLIST.xls]_SHOPLIST_xl_1370"/>
      <sheetName val="[SHOPLIST.xls]_SHOPLIST_xl_1371"/>
      <sheetName val="[SHOPLIST.xls]_SHOPLIST_xl_1372"/>
      <sheetName val="[SHOPLIST.xls]_SHOPLIST_xl_1373"/>
      <sheetName val="[SHOPLIST.xls]_SHOPLIST_xl_1374"/>
      <sheetName val="[SHOPLIST.xls]_SHOPLIST_xl_1375"/>
      <sheetName val="[SHOPLIST.xls]_SHOPLIST_xl_1376"/>
      <sheetName val="[SHOPLIST.xls]_SHOPLIST_xl_1377"/>
      <sheetName val="[SHOPLIST.xls]_SHOPLIST_xl_1378"/>
      <sheetName val="[SHOPLIST.xls]_SHOPLIST_xl_1379"/>
      <sheetName val="[SHOPLIST.xls]_SHOPLIST_xl_1380"/>
      <sheetName val="[SHOPLIST.xls]_SHOPLIST_xl_1381"/>
      <sheetName val="[SHOPLIST.xls]_SHOPLIST_xl_1382"/>
      <sheetName val="[SHOPLIST.xls]_SHOPLIST_xl_1383"/>
      <sheetName val="[SHOPLIST.xls]_SHOPLIST_xl_1384"/>
      <sheetName val="[SHOPLIST.xls]_SHOPLIST_xl_1385"/>
      <sheetName val="[SHOPLIST.xls]_SHOPLIST_xl_1386"/>
      <sheetName val="[SHOPLIST.xls]_SHOPLIST_xl_1387"/>
      <sheetName val="[SHOPLIST.xls]_SHOPLIST_xl_1388"/>
      <sheetName val="[SHOPLIST.xls]_SHOPLIST_xl_1389"/>
      <sheetName val="[SHOPLIST.xls]_SHOPLIST_xl_1390"/>
      <sheetName val="[SHOPLIST.xls]_SHOPLIST_xl_1391"/>
      <sheetName val="[SHOPLIST.xls]_SHOPLIST_xl_1392"/>
      <sheetName val="[SHOPLIST.xls]_SHOPLIST_xl_1393"/>
      <sheetName val="[SHOPLIST_xls]70,/0s«iÆøí¬i24"/>
      <sheetName val="[SHOPLIST_xls]70___0_s__i____26"/>
      <sheetName val="[SHOPLIST_xls]70,/0s�i����i"/>
      <sheetName val="bkg"/>
      <sheetName val="cbrd460"/>
      <sheetName val="bcl"/>
      <sheetName val="Front Sheet"/>
      <sheetName val="Indirect Costs"/>
      <sheetName val="sc"/>
      <sheetName val="Attachment 1"/>
      <sheetName val="[SHOPLIST.xls]/VWVU))tÏØ0__61"/>
      <sheetName val="[SHOPLIST.xls]/VWVU))tÏØ0__71"/>
      <sheetName val="foot-slab_rein_x000c__x0002_"/>
      <sheetName val="PROGRAM"/>
      <sheetName val="Staffing Plan"/>
      <sheetName val="PASARELA"/>
      <sheetName val="DESCRIPTIONS"/>
      <sheetName val="2.2 STAFF Scedule"/>
      <sheetName val="Gra¦_x005f_x0004_)"/>
      <sheetName val="Geneí¬_x005f_x0008_i??_x005f_x0014_?0."/>
      <sheetName val="Geneí¬_x005f_x0008_i___x005f_x0014__0."/>
      <sheetName val="BoatTMP"/>
      <sheetName val="[SHOPLIST_xls]/VW3"/>
      <sheetName val="P-Ins_&amp;_Bonds4"/>
      <sheetName val="Admin_TAKE_OFF1"/>
      <sheetName val="Schedules_PL"/>
      <sheetName val="Schedules_BS"/>
      <sheetName val="Admin_TAKE_OFF"/>
      <sheetName val="[SHOPLIST_xls]/VW2"/>
      <sheetName val="P-Ins_&amp;_Bonds3"/>
      <sheetName val="Assmpns"/>
      <sheetName val="CRUDE-D"/>
      <sheetName val="POSTLPG"/>
      <sheetName val="S'PORE-D"/>
      <sheetName val="POSTF1"/>
      <sheetName val="POSTHD1"/>
      <sheetName val="PO97(02)"/>
      <sheetName val="Drop_Down_Data6"/>
      <sheetName val="Rules_6"/>
      <sheetName val="L3-WBS_Mapping6"/>
      <sheetName val="Update_list6"/>
      <sheetName val="Sinh_Nam_systems6"/>
      <sheetName val="DIE_profile6"/>
      <sheetName val="Import_tax6"/>
      <sheetName val="TONG_HOP_VL-NC6"/>
      <sheetName val="TONGKE3p_6"/>
      <sheetName val="TH_VL,_NC,_DDHT_Thanhphuoc6"/>
      <sheetName val="DON_GIA6"/>
      <sheetName val="CHITIET_VL-NC6"/>
      <sheetName val="TH_kinh_phi6"/>
      <sheetName val="KLDT_DIEN6"/>
      <sheetName val="Dinh_muc_CP_KTCB_khac6"/>
      <sheetName val="quotation_6"/>
      <sheetName val="Bill_5_-_Carpark6"/>
      <sheetName val="BOQ_-_summary__36"/>
      <sheetName val="NKSC_thue6"/>
      <sheetName val="05__Data_Cash_Flow6"/>
      <sheetName val="MTO_REV_2(ARMOR)6"/>
      <sheetName val="BAFO_CCL_Submission6"/>
      <sheetName val="P-Ins_&amp;_Bonds5"/>
      <sheetName val="[SHOPLIST_xls]/VW4"/>
      <sheetName val="Admin_TAKE_OFF2"/>
      <sheetName val="[SHOPLIST_xls][SHOPLIST_xls]769"/>
      <sheetName val="[SHOPLIST_xls][SHOPLIST_xls]770"/>
      <sheetName val="[SHOPLIST_xls][SHOPLIST_xls]771"/>
      <sheetName val="[SHOPLIST_xls][SHOPLIST_xls]772"/>
      <sheetName val="[SHOPLIST_xls][SHOPLIST_xls]773"/>
      <sheetName val="[SHOPLIST_xls][SHOPLIST_xls]239"/>
      <sheetName val="[SHOPLIST_xls][SHOPLIST_xls]774"/>
      <sheetName val="[SHOPLIST_xls][SHOPLIST_xls]240"/>
      <sheetName val="[SHOPLIST_xls][SHOPLIST_xls]241"/>
      <sheetName val="[SHOPLIST_xls][SHOPLIST_xls]242"/>
      <sheetName val="[SHOPLIST_xls][SHOPLIST_xls]243"/>
      <sheetName val="[SHOPLIST_xls][SHOPLIST_xls]244"/>
      <sheetName val="[SHOPLIST_xls][SHOPLIST_xls]245"/>
      <sheetName val="[SHOPLIST_xls][SHOPLIST_xls]246"/>
      <sheetName val="[SHOPLIST_xls][SHOPLIST_xls]247"/>
      <sheetName val="[SHOPLIST_xls][SHOPLIST_xls]248"/>
      <sheetName val="[SHOPLIST_xls][SHOPLIST_xls]249"/>
      <sheetName val="[SHOPLIST_xls][SHOPLIST_xls]250"/>
      <sheetName val="[SHOPLIST_xls][SHOPLIST_xls]251"/>
      <sheetName val="[SHOPLIST_xls][SHOPLIST_xls]252"/>
      <sheetName val="[SHOPLIST_xls][SHOPLIST_xls]253"/>
      <sheetName val="[SHOPLIST_xls][SHOPLIST_xls]254"/>
      <sheetName val="[SHOPLIST_xls][SHOPLIST_xls]255"/>
      <sheetName val="[SHOPLIST_xls][SHOPLIST_xls]256"/>
      <sheetName val="[SHOPLIST_xls][SHOPLIST_xls]257"/>
      <sheetName val="[SHOPLIST_xls][SHOPLIST_xls]258"/>
      <sheetName val="[SHOPLIST_xls][SHOPLIST_xls]259"/>
      <sheetName val="[SHOPLIST_xls][SHOPLIST_xls]260"/>
      <sheetName val="[SHOPLIST_xls][SHOPLIST_xls]261"/>
      <sheetName val="[SHOPLIST_xls][SHOPLIST_xls]262"/>
      <sheetName val="[SHOPLIST_xls][SHOPLIST_xls]263"/>
      <sheetName val="[SHOPLIST_xls][SHOPLIST_xls]264"/>
      <sheetName val="[SHOPLIST_xls][SHOPLIST_xls]265"/>
      <sheetName val="[SHOPLIST_xls][SHOPLIST_xls]266"/>
      <sheetName val="[SHOPLIST_xls][SHOPLIST_xls]267"/>
      <sheetName val="[SHOPLIST_xls][SHOPLIST_xls]268"/>
      <sheetName val="[SHOPLIST_xls][SHOPLIST_xls]269"/>
      <sheetName val="[SHOPLIST_xls][SHOPLIST_xls]270"/>
      <sheetName val="[SHOPLIST_xls][SHOPLIST_xls]271"/>
      <sheetName val="[SHOPLIST_xls][SHOPLIST_xls]272"/>
      <sheetName val="[SHOPLIST_xls][SHOPLIST_xls]273"/>
      <sheetName val="[SHOPLIST_xls][SHOPLIST_xls]274"/>
      <sheetName val="[SHOPLIST_xls][SHOPLIST_xls]275"/>
      <sheetName val="[SHOPLIST_xls][SHOPLIST_xls]276"/>
      <sheetName val="[SHOPLIST_xls][SHOPLIST_xls]277"/>
      <sheetName val="[SHOPLIST_xls][SHOPLIST_xls]278"/>
      <sheetName val="[SHOPLIST_xls][SHOPLIST_xls]279"/>
      <sheetName val="[SHOPLIST_xls][SHOPLIST_xls]280"/>
      <sheetName val="[SHOPLIST_xls][SHOPLIST_xls]281"/>
      <sheetName val="[SHOPLIST_xls][SHOPLIST_xls]282"/>
      <sheetName val="[SHOPLIST_xls][SHOPLIST_xls]283"/>
      <sheetName val="[SHOPLIST_xls][SHOPLIST_xls]284"/>
      <sheetName val="[SHOPLIST_xls][SHOPLIST_xls]285"/>
      <sheetName val="[SHOPLIST_xls][SHOPLIST_xls]286"/>
      <sheetName val="[SHOPLIST_xls][SHOPLIST_xls]287"/>
      <sheetName val="[SHOPLIST_xls][SHOPLIST_xls]288"/>
      <sheetName val="[SHOPLIST_xls][SHOPLIST_xls]289"/>
      <sheetName val="[SHOPLIST_xls][SHOPLIST_xls]290"/>
      <sheetName val="[SHOPLIST_xls][SHOPLIST_xls]291"/>
      <sheetName val="[SHOPLIST_xls][SHOPLIST_xls]292"/>
      <sheetName val="[SHOPLIST_xls][SHOPLIST_xls]293"/>
      <sheetName val="[SHOPLIST_xls][SHOPLIST_xls]294"/>
      <sheetName val="[SHOPLIST_xls][SHOPLIST_xls]295"/>
      <sheetName val="[SHOPLIST_xls][SHOPLIST_xls]296"/>
      <sheetName val="[SHOPLIST_xls][SHOPLIST_xls]297"/>
      <sheetName val="[SHOPLIST_xls][SHOPLIST_xls]298"/>
      <sheetName val="[SHOPLIST_xls][SHOPLIST_xls]299"/>
      <sheetName val="[SHOPLIST_xls][SHOPLIST_xls]300"/>
      <sheetName val="[SHOPLIST_xls][SHOPLIST_xls]301"/>
      <sheetName val="[SHOPLIST_xls][SHOPLIST_xls]302"/>
      <sheetName val="[SHOPLIST_xls][SHOPLIST_xls]303"/>
      <sheetName val="[SHOPLIST_xls][SHOPLIST_xls]304"/>
      <sheetName val="[SHOPLIST_xls][SHOPLIST_xls]305"/>
      <sheetName val="[SHOPLIST_xls][SHOPLIST_xls]306"/>
      <sheetName val="[SHOPLIST_xls][SHOPLIST_xls]307"/>
      <sheetName val="[SHOPLIST_xls][SHOPLIST_xls]308"/>
      <sheetName val="[SHOPLIST_xls][SHOPLIST_xls]309"/>
      <sheetName val="[SHOPLIST_xls][SHOPLIST_xls]310"/>
      <sheetName val="[SHOPLIST_xls][SHOPLIST_xls]311"/>
      <sheetName val="[SHOPLIST_xls][SHOPLIST_xls]312"/>
      <sheetName val="[SHOPLIST_xls][SHOPLIST_xls]313"/>
      <sheetName val="[SHOPLIST_xls][SHOPLIST_xls]314"/>
      <sheetName val="[SHOPLIST_xls][SHOPLIST_xls]315"/>
      <sheetName val="[SHOPLIST_xls][SHOPLIST_xls]316"/>
      <sheetName val="[SHOPLIST_xls][SHOPLIST_xls]317"/>
      <sheetName val="[SHOPLIST_xls][SHOPLIST_xls]318"/>
      <sheetName val="[SHOPLIST_xls][SHOPLIST_xls]319"/>
      <sheetName val="[SHOPLIST_xls][SHOPLIST_xls]320"/>
      <sheetName val="[SHOPLIST_xls][SHOPLIST_xls]321"/>
      <sheetName val="[SHOPLIST_xls][SHOPLIST_xls]322"/>
      <sheetName val="[SHOPLIST_xls][SHOPLIST_xls]323"/>
      <sheetName val="[SHOPLIST_xls][SHOPLIST_xls]324"/>
      <sheetName val="[SHOPLIST_xls][SHOPLIST_xls]325"/>
      <sheetName val="[SHOPLIST_xls][SHOPLIST_xls]326"/>
      <sheetName val="[SHOPLIST_xls][SHOPLIST_xls]327"/>
      <sheetName val="[SHOPLIST_xls][SHOPLIST_xls]328"/>
      <sheetName val="[SHOPLIST_xls][SHOPLIST_xls]329"/>
      <sheetName val="[SHOPLIST_xls][SHOPLIST_xls]330"/>
      <sheetName val="[SHOPLIST_xls][SHOPLIST_xls]331"/>
      <sheetName val="[SHOPLIST_xls][SHOPLIST_xls]332"/>
      <sheetName val="[SHOPLIST_xls][SHOPLIST_xls]333"/>
      <sheetName val="[SHOPLIST_xls][SHOPLIST_xls]334"/>
      <sheetName val="[SHOPLIST_xls][SHOPLIST_xls]335"/>
      <sheetName val="[SHOPLIST_xls][SHOPLIST_xls]336"/>
      <sheetName val="[SHOPLIST_xls][SHOPLIST_xls]337"/>
      <sheetName val="[SHOPLIST_xls][SHOPLIST_xls]338"/>
      <sheetName val="[SHOPLIST_xls][SHOPLIST_xls]339"/>
      <sheetName val="[SHOPLIST_xls][SHOPLIST_xls]340"/>
      <sheetName val="[SHOPLIST_xls][SHOPLIST_xls]775"/>
      <sheetName val="[SHOPLIST_xls][SHOPLIST_xls]341"/>
      <sheetName val="[SHOPLIST_xls][SHOPLIST_xls]342"/>
      <sheetName val="[SHOPLIST_xls]70,/0s«iÆøí¬i111"/>
      <sheetName val="[SHOPLIST_xls][SHOPLIST_xls]776"/>
      <sheetName val="[SHOPLIST_xls]/VWVU))3"/>
      <sheetName val="VESSELS_2"/>
      <sheetName val="[SHOPLIST_xls][SHOPLIST_xls]343"/>
      <sheetName val="[SHOPLIST_xls][SHOPLIST_xls]344"/>
      <sheetName val="[SHOPLIST_xls][SHOPLIST_xls]345"/>
      <sheetName val="[SHOPLIST_xls][SHOPLIST_xls]346"/>
      <sheetName val="[SHOPLIST_xls][SHOPLIST_xls]347"/>
      <sheetName val="[SHOPLIST_xls][SHOPLIST_xls]348"/>
      <sheetName val="[SHOPLIST_xls][SHOPLIST_xls]349"/>
      <sheetName val="[SHOPLIST_xls][SHOPLIST_xls]350"/>
      <sheetName val="EATON_SUMMARY2"/>
      <sheetName val="Outline_Cost_-_Five_star_Hotel2"/>
      <sheetName val="Schedules_PL1"/>
      <sheetName val="Schedules_BS1"/>
      <sheetName val="Drop_Down_Data7"/>
      <sheetName val="Rules_7"/>
      <sheetName val="L3-WBS_Mapping7"/>
      <sheetName val="[SHOPLIST_xls][SHOPLIST_xls]777"/>
      <sheetName val="[SHOPLIST_xls]70,/0s«iÆøí¬i25"/>
      <sheetName val="[SHOPLIST_xls][SHOPLIST_xls]778"/>
      <sheetName val="[SHOPLIST_xls][SHOPLIST_xls]779"/>
      <sheetName val="Update_list7"/>
      <sheetName val="Sinh_Nam_systems7"/>
      <sheetName val="DIE_profile7"/>
      <sheetName val="Import_tax7"/>
      <sheetName val="TONG_HOP_VL-NC7"/>
      <sheetName val="TONGKE3p_7"/>
      <sheetName val="TH_VL,_NC,_DDHT_Thanhphuoc7"/>
      <sheetName val="DON_GIA7"/>
      <sheetName val="CHITIET_VL-NC7"/>
      <sheetName val="TH_kinh_phi7"/>
      <sheetName val="KLDT_DIEN7"/>
      <sheetName val="Dinh_muc_CP_KTCB_khac7"/>
      <sheetName val="quotation_7"/>
      <sheetName val="Bill_5_-_Carpark7"/>
      <sheetName val="BOQ_-_summary__37"/>
      <sheetName val="NKSC_thue7"/>
      <sheetName val="05__Data_Cash_Flow7"/>
      <sheetName val="MTO_REV_2(ARMOR)7"/>
      <sheetName val="BAFO_CCL_Submission7"/>
      <sheetName val="MASTER_RATE_ANALYSIS6"/>
      <sheetName val="Basic_Rate6"/>
      <sheetName val="P-Ins_&amp;_Bonds6"/>
      <sheetName val="[SHOPLIST_xls]/VW5"/>
      <sheetName val="Admin_TAKE_OFF3"/>
      <sheetName val="Drop_down3"/>
      <sheetName val="[SHOPLIST_xls][SHOPLIST_xls]780"/>
      <sheetName val="[SHOPLIST_xls][SHOPLIST_xls]351"/>
      <sheetName val="[SHOPLIST_xls][SHOPLIST_xls]781"/>
      <sheetName val="[SHOPLIST_xls][SHOPLIST_xls]352"/>
      <sheetName val="[SHOPLIST_xls][SHOPLIST_xls]353"/>
      <sheetName val="[SHOPLIST_xls][SHOPLIST_xls]354"/>
      <sheetName val="[SHOPLIST_xls][SHOPLIST_xls]355"/>
      <sheetName val="[SHOPLIST_xls][SHOPLIST_xls]356"/>
      <sheetName val="[SHOPLIST_xls][SHOPLIST_xls]782"/>
      <sheetName val="[SHOPLIST_xls][SHOPLIST_xls]783"/>
      <sheetName val="[SHOPLIST_xls][SHOPLIST_xls]784"/>
      <sheetName val="[SHOPLIST_xls][SHOPLIST_xls]785"/>
      <sheetName val="[SHOPLIST_xls][SHOPLIST_xls]786"/>
      <sheetName val="[SHOPLIST_xls][SHOPLIST_xls]787"/>
      <sheetName val="[SHOPLIST_xls][SHOPLIST_xls]788"/>
      <sheetName val="[SHOPLIST_xls][SHOPLIST_xls]789"/>
      <sheetName val="[SHOPLIST_xls][SHOPLIST_xls]357"/>
      <sheetName val="[SHOPLIST_xls][SHOPLIST_xls]790"/>
      <sheetName val="[SHOPLIST_xls][SHOPLIST_xls]791"/>
      <sheetName val="[SHOPLIST_xls][SHOPLIST_xls]358"/>
      <sheetName val="[SHOPLIST_xls][SHOPLIST_xls]359"/>
      <sheetName val="[SHOPLIST_xls][SHOPLIST_xls]360"/>
      <sheetName val="[SHOPLIST_xls][SHOPLIST_xls]361"/>
      <sheetName val="[SHOPLIST_xls][SHOPLIST_xls]792"/>
      <sheetName val="[SHOPLIST_xls][SHOPLIST_xls]362"/>
      <sheetName val="[SHOPLIST_xls][SHOPLIST_xls]363"/>
      <sheetName val="[SHOPLIST_xls][SHOPLIST_xls]364"/>
      <sheetName val="[SHOPLIST_xls][SHOPLIST_xls]365"/>
      <sheetName val="[SHOPLIST_xls][SHOPLIST_xls]366"/>
      <sheetName val="[SHOPLIST_xls][SHOPLIST_xls]367"/>
      <sheetName val="[SHOPLIST_xls][SHOPLIST_xls]368"/>
      <sheetName val="[SHOPLIST_xls][SHOPLIST_xls]369"/>
      <sheetName val="[SHOPLIST_xls][SHOPLIST_xls]370"/>
      <sheetName val="[SHOPLIST_xls][SHOPLIST_xls]371"/>
      <sheetName val="[SHOPLIST_xls][SHOPLIST_xls]372"/>
      <sheetName val="[SHOPLIST_xls][SHOPLIST_xls]373"/>
      <sheetName val="[SHOPLIST_xls][SHOPLIST_xls]374"/>
      <sheetName val="[SHOPLIST_xls][SHOPLIST_xls]375"/>
      <sheetName val="[SHOPLIST_xls][SHOPLIST_xls]376"/>
      <sheetName val="[SHOPLIST_xls][SHOPLIST_xls]377"/>
      <sheetName val="[SHOPLIST_xls][SHOPLIST_xls]378"/>
      <sheetName val="[SHOPLIST_xls][SHOPLIST_xls]379"/>
      <sheetName val="[SHOPLIST_xls][SHOPLIST_xls]380"/>
      <sheetName val="[SHOPLIST_xls][SHOPLIST_xls]381"/>
      <sheetName val="[SHOPLIST_xls][SHOPLIST_xls]382"/>
      <sheetName val="[SHOPLIST_xls][SHOPLIST_xls]383"/>
      <sheetName val="[SHOPLIST_xls][SHOPLIST_xls]384"/>
      <sheetName val="[SHOPLIST_xls][SHOPLIST_xls]385"/>
      <sheetName val="[SHOPLIST_xls][SHOPLIST_xls]386"/>
      <sheetName val="[SHOPLIST_xls][SHOPLIST_xls]387"/>
      <sheetName val="[SHOPLIST_xls][SHOPLIST_xls]388"/>
      <sheetName val="[SHOPLIST_xls][SHOPLIST_xls]389"/>
      <sheetName val="[SHOPLIST_xls][SHOPLIST_xls]390"/>
      <sheetName val="[SHOPLIST_xls][SHOPLIST_xls]391"/>
      <sheetName val="[SHOPLIST_xls][SHOPLIST_xls]392"/>
      <sheetName val="[SHOPLIST_xls][SHOPLIST_xls]393"/>
      <sheetName val="[SHOPLIST_xls][SHOPLIST_xls]394"/>
      <sheetName val="[SHOPLIST_xls][SHOPLIST_xls]395"/>
      <sheetName val="[SHOPLIST_xls][SHOPLIST_xls]396"/>
      <sheetName val="[SHOPLIST_xls][SHOPLIST_xls]397"/>
      <sheetName val="[SHOPLIST_xls][SHOPLIST_xls]398"/>
      <sheetName val="[SHOPLIST_xls][SHOPLIST_xls]399"/>
      <sheetName val="[SHOPLIST_xls][SHOPLIST_xls]400"/>
      <sheetName val="[SHOPLIST_xls][SHOPLIST_xls]401"/>
      <sheetName val="[SHOPLIST_xls][SHOPLIST_xls]402"/>
      <sheetName val="[SHOPLIST_xls][SHOPLIST_xls]403"/>
      <sheetName val="[SHOPLIST_xls][SHOPLIST_xls]404"/>
      <sheetName val="[SHOPLIST_xls][SHOPLIST_xls]405"/>
      <sheetName val="[SHOPLIST_xls][SHOPLIST_xls]406"/>
      <sheetName val="[SHOPLIST_xls][SHOPLIST_xls]407"/>
      <sheetName val="[SHOPLIST_xls][SHOPLIST_xls]408"/>
      <sheetName val="[SHOPLIST_xls][SHOPLIST_xls]409"/>
      <sheetName val="[SHOPLIST_xls][SHOPLIST_xls]410"/>
      <sheetName val="[SHOPLIST_xls][SHOPLIST_xls]411"/>
      <sheetName val="[SHOPLIST_xls][SHOPLIST_xls]412"/>
      <sheetName val="[SHOPLIST_xls][SHOPLIST_xls]413"/>
      <sheetName val="[SHOPLIST_xls][SHOPLIST_xls]414"/>
      <sheetName val="[SHOPLIST_xls][SHOPLIST_xls]415"/>
      <sheetName val="[SHOPLIST_xls][SHOPLIST_xls]416"/>
      <sheetName val="[SHOPLIST_xls][SHOPLIST_xls]417"/>
      <sheetName val="[SHOPLIST_xls][SHOPLIST_xls]418"/>
      <sheetName val="[SHOPLIST_xls][SHOPLIST_xls]419"/>
      <sheetName val="[SHOPLIST_xls][SHOPLIST_xls]420"/>
      <sheetName val="[SHOPLIST_xls][SHOPLIST_xls]421"/>
      <sheetName val="[SHOPLIST_xls][SHOPLIST_xls]422"/>
      <sheetName val="[SHOPLIST_xls][SHOPLIST_xls]423"/>
      <sheetName val="[SHOPLIST_xls][SHOPLIST_xls]424"/>
      <sheetName val="[SHOPLIST_xls][SHOPLIST_xls]425"/>
      <sheetName val="[SHOPLIST_xls][SHOPLIST_xls]426"/>
      <sheetName val="[SHOPLIST_xls][SHOPLIST_xls]427"/>
      <sheetName val="[SHOPLIST_xls][SHOPLIST_xls]428"/>
      <sheetName val="[SHOPLIST_xls][SHOPLIST_xls]429"/>
      <sheetName val="[SHOPLIST_xls][SHOPLIST_xls]430"/>
      <sheetName val="[SHOPLIST_xls][SHOPLIST_xls]431"/>
      <sheetName val="[SHOPLIST_xls][SHOPLIST_xls]432"/>
      <sheetName val="[SHOPLIST_xls][SHOPLIST_xls]433"/>
      <sheetName val="[SHOPLIST_xls][SHOPLIST_xls]434"/>
      <sheetName val="[SHOPLIST_xls][SHOPLIST_xls]435"/>
      <sheetName val="[SHOPLIST_xls][SHOPLIST_xls]436"/>
      <sheetName val="[SHOPLIST_xls][SHOPLIST_xls]437"/>
      <sheetName val="[SHOPLIST_xls][SHOPLIST_xls]438"/>
      <sheetName val="[SHOPLIST_xls][SHOPLIST_xls]439"/>
      <sheetName val="[SHOPLIST_xls][SHOPLIST_xls]440"/>
      <sheetName val="[SHOPLIST_xls][SHOPLIST_xls]441"/>
      <sheetName val="[SHOPLIST_xls][SHOPLIST_xls]442"/>
      <sheetName val="[SHOPLIST_xls][SHOPLIST_xls]443"/>
      <sheetName val="[SHOPLIST_xls][SHOPLIST_xls]444"/>
      <sheetName val="[SHOPLIST_xls][SHOPLIST_xls]445"/>
      <sheetName val="[SHOPLIST_xls][SHOPLIST_xls]446"/>
      <sheetName val="[SHOPLIST_xls][SHOPLIST_xls]447"/>
      <sheetName val="[SHOPLIST_xls][SHOPLIST_xls]448"/>
      <sheetName val="[SHOPLIST_xls][SHOPLIST_xls]449"/>
      <sheetName val="[SHOPLIST_xls][SHOPLIST_xls]450"/>
      <sheetName val="[SHOPLIST_xls][SHOPLIST_xls]451"/>
      <sheetName val="[SHOPLIST_xls][SHOPLIST_xls]452"/>
      <sheetName val="[SHOPLIST_xls][SHOPLIST_xls]453"/>
      <sheetName val="[SHOPLIST_xls][SHOPLIST_xls]454"/>
      <sheetName val="[SHOPLIST_xls][SHOPLIST_xls]455"/>
      <sheetName val="[SHOPLIST_xls][SHOPLIST_xls]456"/>
      <sheetName val="[SHOPLIST_xls][SHOPLIST_xls]457"/>
      <sheetName val="[SHOPLIST_xls][SHOPLIST_xls]458"/>
      <sheetName val="[SHOPLIST_xls][SHOPLIST_xls]459"/>
      <sheetName val="[SHOPLIST_xls][SHOPLIST_xls]460"/>
      <sheetName val="[SHOPLIST_xls][SHOPLIST_xls]461"/>
      <sheetName val="[SHOPLIST_xls][SHOPLIST_xls]462"/>
      <sheetName val="[SHOPLIST_xls][SHOPLIST_xls]793"/>
      <sheetName val="[SHOPLIST_xls][SHOPLIST_xls]463"/>
      <sheetName val="[SHOPLIST_xls][SHOPLIST_xls]464"/>
      <sheetName val="[SHOPLIST_xls]70,/0s«iÆøí¬i112"/>
      <sheetName val="[SHOPLIST_xls]70,/0s«_iÆø_í¬4"/>
      <sheetName val="[SHOPLIST_xls]70,/0s«iÆøí¬i26"/>
      <sheetName val="[SHOPLIST_xls]70,/0s«iÆøí¬i34"/>
      <sheetName val="[SHOPLIST_xls][SHOPLIST_xls]794"/>
      <sheetName val="[SHOPLIST_xls]/VWVU))4"/>
      <sheetName val="VESSELS_3"/>
      <sheetName val="[SHOPLIST_xls][SHOPLIST_xls]465"/>
      <sheetName val="[SHOPLIST_xls][SHOPLIST_xls]466"/>
      <sheetName val="[SHOPLIST_xls][SHOPLIST_xls]467"/>
      <sheetName val="[SHOPLIST_xls][SHOPLIST_xls]468"/>
      <sheetName val="[SHOPLIST_xls][SHOPLIST_xls]469"/>
      <sheetName val="[SHOPLIST_xls][SHOPLIST_xls]470"/>
      <sheetName val="[SHOPLIST_xls][SHOPLIST_xls]471"/>
      <sheetName val="[SHOPLIST_xls][SHOPLIST_xls]472"/>
      <sheetName val="Spacing_of_Delineators2"/>
      <sheetName val="EATON_SUMMARY3"/>
      <sheetName val="Outline_Cost_-_Five_star_Hotel3"/>
      <sheetName val="Schedules_PL2"/>
      <sheetName val="Schedules_BS2"/>
      <sheetName val="Drop_Down_Data8"/>
      <sheetName val="Rules_8"/>
      <sheetName val="L3-WBS_Mapping8"/>
      <sheetName val="BAFO_CCL_Submission8"/>
      <sheetName val="Update_list8"/>
      <sheetName val="Sinh_Nam_systems8"/>
      <sheetName val="DIE_profile8"/>
      <sheetName val="Import_tax8"/>
      <sheetName val="[SHOPLIST_xls]70,/0s«iÆøí¬i27"/>
      <sheetName val="TONG_HOP_VL-NC8"/>
      <sheetName val="TONGKE3p_8"/>
      <sheetName val="TH_VL,_NC,_DDHT_Thanhphuoc8"/>
      <sheetName val="DON_GIA8"/>
      <sheetName val="CHITIET_VL-NC8"/>
      <sheetName val="TH_kinh_phi8"/>
      <sheetName val="KLDT_DIEN8"/>
      <sheetName val="Dinh_muc_CP_KTCB_khac8"/>
      <sheetName val="[SHOPLIST_xls][SHOPLIST_xls]795"/>
      <sheetName val="quotation_8"/>
      <sheetName val="Bill_5_-_Carpark8"/>
      <sheetName val="BOQ_-_summary__38"/>
      <sheetName val="NKSC_thue8"/>
      <sheetName val="05__Data_Cash_Flow8"/>
      <sheetName val="MTO_REV_2(ARMOR)8"/>
      <sheetName val="[SHOPLIST_xls][SHOPLIST_xls]796"/>
      <sheetName val="[SHOPLIST_xls][SHOPLIST_xls]797"/>
      <sheetName val="Sheet_Index7"/>
      <sheetName val="Trade_Summary7"/>
      <sheetName val="New_Bld8"/>
      <sheetName val="Finansal_tamamlanma_Eğrisi8"/>
      <sheetName val="Status_Summary8"/>
      <sheetName val="2_Plex8"/>
      <sheetName val="Sheet1_(2)8"/>
      <sheetName val="4_Plex8"/>
      <sheetName val="6_Plex_8"/>
      <sheetName val="Detailed_Summary8"/>
      <sheetName val="Sheet1_(3)8"/>
      <sheetName val="Sheet1_(4)8"/>
      <sheetName val="May_059"/>
      <sheetName val="April_059"/>
      <sheetName val="Aug_059"/>
      <sheetName val="July_059"/>
      <sheetName val="June_059"/>
      <sheetName val="Nov_059"/>
      <sheetName val="Oct_059"/>
      <sheetName val="Sep_059"/>
      <sheetName val="Dropdown_List8"/>
      <sheetName val="1_-_Main_Building8"/>
      <sheetName val="1_-_Summary8"/>
      <sheetName val="2_-_Landscaping_Works8"/>
      <sheetName val="2_-_Summary8"/>
      <sheetName val="4_-_Bldg_Infra8"/>
      <sheetName val="4_-_Summary8"/>
      <sheetName val="Asset_Allocation_(CR)8"/>
      <sheetName val="Project_Benchmarking8"/>
      <sheetName val="Dashboard_(1)8"/>
      <sheetName val="VO_Agreed_to_Unifier_Sum8"/>
      <sheetName val="VO_Not_yet_Agreed_to_Unifier8"/>
      <sheetName val="VO_Anticipated_to_Unifier8"/>
      <sheetName val="EW_to_Unifier8"/>
      <sheetName val="Prov_Sums8"/>
      <sheetName val="Other_Amounts8"/>
      <sheetName val="Summary_7"/>
      <sheetName val="B04-A_-_DIA_SUDEER7"/>
      <sheetName val="04D_-_Tanmyat7"/>
      <sheetName val="13-_B04-B_&amp;_C7"/>
      <sheetName val="_SITE_09_B04-B&amp;C-AFAQ7"/>
      <sheetName val="CONSTRUCTION_COMPONENT7"/>
      <sheetName val="HB_CEC_schd_4_28"/>
      <sheetName val="HB_CEC_schd_4_38"/>
      <sheetName val="HB_CEC_schd_5_28"/>
      <sheetName val="HB_CEC_schd_6_28"/>
      <sheetName val="HB_CEC_schd_7_28"/>
      <sheetName val="HB_CEC_schd_9_28"/>
      <sheetName val="Doha_Farm8"/>
      <sheetName val="B-3_2_EB7"/>
      <sheetName val="Balance_Sheet7"/>
      <sheetName val="Other_Cost_Norms6"/>
      <sheetName val="AOP_Summary-29"/>
      <sheetName val="Estimate_for_approval7"/>
      <sheetName val="New_Rates7"/>
      <sheetName val="Labour_Rates7"/>
      <sheetName val="Status_7"/>
      <sheetName val="CLIENT_BUDGET7"/>
      <sheetName val="Reco-June_20197"/>
      <sheetName val="REMINING_PROGRESS7"/>
      <sheetName val="OS&amp;E__IT7"/>
      <sheetName val="PAID_AMOUNT7"/>
      <sheetName val="IPA_217"/>
      <sheetName val="Order_by_owner7"/>
      <sheetName val="PERLIM__Sammary7"/>
      <sheetName val="RECOVER_OF_DOUBLE_PAYMENT7"/>
      <sheetName val="rathath_al_matar7"/>
      <sheetName val="INTERNAL_LINE_7"/>
      <sheetName val="MINOVA_AL_DEYAR7"/>
      <sheetName val="BLUE_RHINE7"/>
      <sheetName val="NATIONAL_PAINT7"/>
      <sheetName val="FIRE_RATED7"/>
      <sheetName val="MAIN_SUMMARY6"/>
      <sheetName val="Sec__A-PQ8"/>
      <sheetName val="Preamble_B8"/>
      <sheetName val="Sec__C-Dayworks8"/>
      <sheetName val="d5_8"/>
      <sheetName val="Tender_Docs7"/>
      <sheetName val="Miral_Emails7"/>
      <sheetName val="LOAs_(061619)7"/>
      <sheetName val="Contract_Conditions_(Tender)7"/>
      <sheetName val="Contract_Qualifications7"/>
      <sheetName val="YVPI_&amp;_GII7"/>
      <sheetName val="LOA_(live_sheet)7"/>
      <sheetName val="LOA_Log_(082419)7"/>
      <sheetName val="Key_Docs_Ref_7"/>
      <sheetName val="To_Mr__Boota_(072519)7"/>
      <sheetName val="Abs_PMRL6"/>
      <sheetName val="B2-DV_No_026"/>
      <sheetName val="TB_ALJADA6"/>
      <sheetName val="Plot_Area6"/>
      <sheetName val="Closing_entries6"/>
      <sheetName val="Executive_Summary6"/>
      <sheetName val="Sales_Tracking_Report_(STR)6"/>
      <sheetName val="Blocking_Tracking_Report_(BTR)6"/>
      <sheetName val="Bill_No_16"/>
      <sheetName val="[SHOPLIST_xls]70,/0s«iÆøí¬7"/>
      <sheetName val="[SHOPLIST_xls][SH7"/>
      <sheetName val="[SHOPLIST_xls]70_7"/>
      <sheetName val="[SHOPLIST_xls]/VW6"/>
      <sheetName val="MASTER_RATE_ANALYSIS7"/>
      <sheetName val="Basic_Rate7"/>
      <sheetName val="P-Ins_&amp;_Bonds7"/>
      <sheetName val="DIV_01_General_Requirements6"/>
      <sheetName val="Bill_(1)_Main_Building6"/>
      <sheetName val="Bill_(2)_General_Site_&amp;_Parkin6"/>
      <sheetName val="wd_points6"/>
      <sheetName val="Bill_(3)_Guest_House6"/>
      <sheetName val="Bill_(4)_Family_Buildings6"/>
      <sheetName val="Bill_(5)_Villa_Buildings6"/>
      <sheetName val="Bill_(6)_Entrance_Building6"/>
      <sheetName val="Bill_(7)_Masjid6"/>
      <sheetName val="Bill_(8)_Auditorium6"/>
      <sheetName val="Bill_(9)_Site_Prep__&amp;_Roadway6"/>
      <sheetName val="Summary_Cost6"/>
      <sheetName val="lighting_points6"/>
      <sheetName val="ESTIMATE_(2)6"/>
      <sheetName val="COM_Summary6"/>
      <sheetName val="Comp_equip6"/>
      <sheetName val="SITE_WORKS6"/>
      <sheetName val="WOOD_WORK6"/>
      <sheetName val="THERMAL_&amp;_MOISTURE_6"/>
      <sheetName val="DOORS_&amp;_WINDOWS6"/>
      <sheetName val="Additional_Items6"/>
      <sheetName val="P15_Cost_Implications6"/>
      <sheetName val="P15_uPVC_ducts-Rate_Summary6"/>
      <sheetName val="P13_uPVC_ducts6"/>
      <sheetName val="P13_Mass_Concrete6"/>
      <sheetName val="P13_Imported_Fill6"/>
      <sheetName val="P14_uPVC_ducts6"/>
      <sheetName val="P14_Mass_Concrete6"/>
      <sheetName val="P14_Imported_Fill6"/>
      <sheetName val="P14_Sand_bed_to_cable6"/>
      <sheetName val="P15_uPVC_ducts6"/>
      <sheetName val="Master_data6"/>
      <sheetName val="Quotation_FM_administration6"/>
      <sheetName val="Quotation_Visitor_and_Sec6"/>
      <sheetName val="Service_Charge6"/>
      <sheetName val="CABLES_6"/>
      <sheetName val="Quotation_Offices_108,9,10,11)6"/>
      <sheetName val="Quotation_modification6"/>
      <sheetName val="L_(4)6"/>
      <sheetName val="BOQ_1_926"/>
      <sheetName val="Ref_Arch6"/>
      <sheetName val="Portfolio_List6"/>
      <sheetName val="Staff_OLD_6"/>
      <sheetName val="개시대사_(2)6"/>
      <sheetName val="Appendix-A_-GRAND_SUMMARY6"/>
      <sheetName val="D9_(New_Rate)6"/>
      <sheetName val="WATER_DUCT_-_IC_216"/>
      <sheetName val="Initial_Data6"/>
      <sheetName val="Package_Status6"/>
      <sheetName val="Asset_Desc6"/>
      <sheetName val="Cumulative_Rail_6"/>
      <sheetName val="Data_6"/>
      <sheetName val="6_2_Floor_Finishes6"/>
      <sheetName val="BUAs_and_Sales_Forecast6"/>
      <sheetName val="Lagoons_Breakdown_Prices6"/>
      <sheetName val="Cover_HW_Z2_6"/>
      <sheetName val="TOTAL_WORK6"/>
      <sheetName val="part_36"/>
      <sheetName val="pile_Length_for_Easter_fence6"/>
      <sheetName val="Div_10-Specialities_6"/>
      <sheetName val="MALE_&amp;_FEMALE_6"/>
      <sheetName val="Div_Summary6"/>
      <sheetName val="_Estimate__6"/>
      <sheetName val="Equip_6"/>
      <sheetName val="[SHOPLIST_xls]70,/0s«i_x6"/>
      <sheetName val="Admin_TAKE_OFF4"/>
      <sheetName val="[SHOPLIST_xls]70_x005f_x0000_,/0_x004"/>
      <sheetName val="[SHOPLIST_xls]/VWVU))tÏØ0_189"/>
      <sheetName val="[SHOPLIST_xls]/VWVU))tÏØ0_190"/>
      <sheetName val="[SHOPLIST_xls]/VWVU))tÏØ0_191"/>
      <sheetName val="[SHOPLIST_xls]/VWVU))tÏØ0_192"/>
      <sheetName val="[SHOPLIST_xls]/VWVU))tÏØ0_193"/>
      <sheetName val="[SHOPLIST_xls]/VWVU))tÏØ0_194"/>
      <sheetName val="Drop_down4"/>
      <sheetName val="[SHOPLIST_xls][SHOPLIST_xls]798"/>
      <sheetName val="[SHOPLIST_xls][SHOPLIST_xls]473"/>
      <sheetName val="[SHOPLIST_xls][SHOPLIST_xls]799"/>
      <sheetName val="[SHOPLIST_xls][SHOPLIST_xls]474"/>
      <sheetName val="[SHOPLIST_xls][SHOPLIST_xls]475"/>
      <sheetName val="[SHOPLIST_xls][SHOPLIST_xls]476"/>
      <sheetName val="[SHOPLIST_xls][SHOPLIST_xls]477"/>
      <sheetName val="[SHOPLIST_xls][SHOPLIST_xls]478"/>
      <sheetName val="[SHOPLIST_xls][SHOPLIST_xls]479"/>
      <sheetName val="[SHOPLIST_xls][SHOPLIST_xls]480"/>
      <sheetName val="[SHOPLIST_xls][SHOPLIST_xls]481"/>
      <sheetName val="[SHOPLIST_xls][SHOPLIST_xls]482"/>
      <sheetName val="[SHOPLIST_xls][SHOPLIST_xls]483"/>
      <sheetName val="[SHOPLIST_xls][SHOPLIST_xls]484"/>
      <sheetName val="[SHOPLIST_xls][SHOPLIST_xls]485"/>
      <sheetName val="[SHOPLIST_xls][SHOPLIST_xls]486"/>
      <sheetName val="[SHOPLIST_xls][SHOPLIST_xls]487"/>
      <sheetName val="[SHOPLIST_xls][SHOPLIST_xls]488"/>
      <sheetName val="[SHOPLIST_xls][SHOPLIST_xls]489"/>
      <sheetName val="[SHOPLIST_xls][SHOPLIST_xls]490"/>
      <sheetName val="[SHOPLIST_xls][SHOPLIST_xls]491"/>
      <sheetName val="[SHOPLIST_xls][SHOPLIST_xls]492"/>
      <sheetName val="[SHOPLIST_xls][SHOPLIST_xls]493"/>
      <sheetName val="[SHOPLIST_xls][SHOPLIST_xls]494"/>
      <sheetName val="[SHOPLIST_xls][SHOPLIST_xls]495"/>
      <sheetName val="[SHOPLIST_xls][SHOPLIST_xls]496"/>
      <sheetName val="[SHOPLIST_xls][SHOPLIST_xls]497"/>
      <sheetName val="[SHOPLIST_xls][SHOPLIST_xls]498"/>
      <sheetName val="[SHOPLIST_xls][SHOPLIST_xls]499"/>
      <sheetName val="[SHOPLIST_xls][SHOPLIST_xls]500"/>
      <sheetName val="[SHOPLIST_xls][SHOPLIST_xls]501"/>
      <sheetName val="[SHOPLIST_xls][SHOPLIST_xls]502"/>
      <sheetName val="[SHOPLIST_xls][SHOPLIST_xls]503"/>
      <sheetName val="[SHOPLIST_xls][SHOPLIST_xls]504"/>
      <sheetName val="[SHOPLIST_xls][SHOPLIST_xls]505"/>
      <sheetName val="[SHOPLIST_xls][SHOPLIST_xls]506"/>
      <sheetName val="[SHOPLIST_xls][SHOPLIST_xls]507"/>
      <sheetName val="[SHOPLIST_xls][SHOPLIST_xls]508"/>
      <sheetName val="[SHOPLIST_xls][SHOPLIST_xls]509"/>
      <sheetName val="[SHOPLIST_xls][SHOPLIST_xls]510"/>
      <sheetName val="[SHOPLIST_xls][SHOPLIST_xls]511"/>
      <sheetName val="[SHOPLIST_xls][SHOPLIST_xls]512"/>
      <sheetName val="[SHOPLIST_xls][SHOPLIST_xls]513"/>
      <sheetName val="[SHOPLIST_xls][SHOPLIST_xls]514"/>
      <sheetName val="[SHOPLIST_xls][SHOPLIST_xls]515"/>
      <sheetName val="[SHOPLIST_xls][SHOPLIST_xls]516"/>
      <sheetName val="[SHOPLIST_xls][SHOPLIST_xls]517"/>
      <sheetName val="[SHOPLIST_xls][SHOPLIST_xls]518"/>
      <sheetName val="[SHOPLIST_xls][SHOPLIST_xls]519"/>
      <sheetName val="[SHOPLIST_xls][SHOPLIST_xls]520"/>
      <sheetName val="[SHOPLIST_xls][SHOPLIST_xls]521"/>
      <sheetName val="[SHOPLIST_xls][SHOPLIST_xls]522"/>
      <sheetName val="[SHOPLIST_xls][SHOPLIST_xls]523"/>
      <sheetName val="[SHOPLIST_xls][SHOPLIST_xls]524"/>
      <sheetName val="[SHOPLIST_xls][SHOPLIST_xls]525"/>
      <sheetName val="[SHOPLIST_xls][SHOPLIST_xls]526"/>
      <sheetName val="[SHOPLIST_xls][SHOPLIST_xls]527"/>
      <sheetName val="[SHOPLIST_xls][SHOPLIST_xls]528"/>
      <sheetName val="[SHOPLIST_xls][SHOPLIST_xls]529"/>
      <sheetName val="[SHOPLIST_xls][SHOPLIST_xls]530"/>
      <sheetName val="[SHOPLIST_xls][SHOPLIST_xls]531"/>
      <sheetName val="[SHOPLIST_xls][SHOPLIST_xls]532"/>
      <sheetName val="[SHOPLIST_xls][SHOPLIST_xls]533"/>
      <sheetName val="[SHOPLIST_xls][SHOPLIST_xls]534"/>
      <sheetName val="[SHOPLIST_xls][SHOPLIST_xls]535"/>
      <sheetName val="[SHOPLIST_xls][SHOPLIST_xls]536"/>
      <sheetName val="[SHOPLIST_xls][SHOPLIST_xls]537"/>
      <sheetName val="[SHOPLIST_xls][SHOPLIST_xls]538"/>
      <sheetName val="[SHOPLIST_xls][SHOPLIST_xls]539"/>
      <sheetName val="[SHOPLIST_xls][SHOPLIST_xls]540"/>
      <sheetName val="[SHOPLIST_xls][SHOPLIST_xls]541"/>
      <sheetName val="[SHOPLIST_xls][SHOPLIST_xls]542"/>
      <sheetName val="[SHOPLIST_xls][SHOPLIST_xls]543"/>
      <sheetName val="[SHOPLIST_xls][SHOPLIST_xls]544"/>
      <sheetName val="[SHOPLIST_xls][SHOPLIST_xls]545"/>
      <sheetName val="[SHOPLIST_xls][SHOPLIST_xls]546"/>
      <sheetName val="[SHOPLIST_xls][SHOPLIST_xls]547"/>
      <sheetName val="[SHOPLIST_xls][SHOPLIST_xls]548"/>
      <sheetName val="[SHOPLIST_xls][SHOPLIST_xls]549"/>
      <sheetName val="[SHOPLIST_xls][SHOPLIST_xls]550"/>
      <sheetName val="[SHOPLIST_xls][SHOPLIST_xls]551"/>
      <sheetName val="[SHOPLIST_xls][SHOPLIST_xls]552"/>
      <sheetName val="[SHOPLIST_xls][SHOPLIST_xls]553"/>
      <sheetName val="[SHOPLIST_xls][SHOPLIST_xls]554"/>
      <sheetName val="[SHOPLIST_xls][SHOPLIST_xls]555"/>
      <sheetName val="[SHOPLIST_xls][SHOPLIST_xls]556"/>
      <sheetName val="[SHOPLIST_xls][SHOPLIST_xls]557"/>
      <sheetName val="[SHOPLIST_xls][SHOPLIST_xls]558"/>
      <sheetName val="[SHOPLIST_xls][SHOPLIST_xls]559"/>
      <sheetName val="[SHOPLIST_xls][SHOPLIST_xls]560"/>
      <sheetName val="[SHOPLIST_xls][SHOPLIST_xls]561"/>
      <sheetName val="[SHOPLIST_xls][SHOPLIST_xls]562"/>
      <sheetName val="[SHOPLIST_xls][SHOPLIST_xls]563"/>
      <sheetName val="[SHOPLIST_xls][SHOPLIST_xls]564"/>
      <sheetName val="[SHOPLIST_xls][SHOPLIST_xls]565"/>
      <sheetName val="[SHOPLIST_xls][SHOPLIST_xls]566"/>
      <sheetName val="[SHOPLIST_xls][SHOPLIST_xls]567"/>
      <sheetName val="[SHOPLIST_xls][SHOPLIST_xls]568"/>
      <sheetName val="[SHOPLIST_xls][SHOPLIST_xls]569"/>
      <sheetName val="[SHOPLIST_xls][SHOPLIST_xls]570"/>
      <sheetName val="[SHOPLIST_xls][SHOPLIST_xls]571"/>
      <sheetName val="[SHOPLIST_xls][SHOPLIST_xls]572"/>
      <sheetName val="[SHOPLIST_xls][SHOPLIST_xls]573"/>
      <sheetName val="[SHOPLIST_xls][SHOPLIST_xls]574"/>
      <sheetName val="[SHOPLIST_xls][SHOPLIST_xls]575"/>
      <sheetName val="[SHOPLIST_xls][SHOPLIST_xls]576"/>
      <sheetName val="[SHOPLIST_xls][SHOPLIST_xls]577"/>
      <sheetName val="[SHOPLIST_xls][SHOPLIST_xls]578"/>
      <sheetName val="[SHOPLIST_xls][SHOPLIST_xls]579"/>
      <sheetName val="[SHOPLIST_xls][SHOPLIST_xls]580"/>
      <sheetName val="[SHOPLIST_xls][SHOPLIST_xls]581"/>
      <sheetName val="[SHOPLIST_xls][SHOPLIST_xls]582"/>
      <sheetName val="[SHOPLIST_xls][SHOPLIST_xls]583"/>
      <sheetName val="[SHOPLIST_xls][SHOPLIST_xls]584"/>
      <sheetName val="[SHOPLIST_xls][SHOPLIST_xls]585"/>
      <sheetName val="[SHOPLIST_xls][SHOPLIST_xls]586"/>
      <sheetName val="[SHOPLIST_xls][SHOPLIST_xls]587"/>
      <sheetName val="[SHOPLIST_xls][SHOPLIST_xls]588"/>
      <sheetName val="[SHOPLIST_xls][SHOPLIST_xls]589"/>
      <sheetName val="[SHOPLIST_xls][SHOPLIST_xls]590"/>
      <sheetName val="[SHOPLIST_xls][SHOPLIST_xls]591"/>
      <sheetName val="[SHOPLIST_xls][SHOPLIST_xls]592"/>
      <sheetName val="[SHOPLIST_xls][SHOPLIST_xls]593"/>
      <sheetName val="[SHOPLIST_xls][SHOPLIST_xls]594"/>
      <sheetName val="[SHOPLIST_xls][SHOPLIST_xls]595"/>
      <sheetName val="[SHOPLIST_xls][SHOPLIST_xls]596"/>
      <sheetName val="[SHOPLIST_xls][SHOPLIST_xls]597"/>
      <sheetName val="[SHOPLIST_xls][SHOPLIST_xls]598"/>
      <sheetName val="[SHOPLIST_xls]70,/0s«iÆøí¬i113"/>
      <sheetName val="[SHOPLIST_xls]70,/0s«_iÆø_í¬5"/>
      <sheetName val="[SHOPLIST_xls]70,/0s«iÆøí¬i28"/>
      <sheetName val="[SHOPLIST_xls]70,/0s«iÆøí¬i35"/>
      <sheetName val="[SHOPLIST_xls][SHOPLIST_xls]599"/>
      <sheetName val="[SHOPLIST_xls]/VWVU))5"/>
      <sheetName val="S-Curve_Update4"/>
      <sheetName val="VESSELS_4"/>
      <sheetName val="FLOOR_AND_CEILING4"/>
      <sheetName val="area_comp_2011_01_18_(2)4"/>
      <sheetName val="drop_down_lists4"/>
      <sheetName val="PH_54"/>
      <sheetName val="[SHOPLIST_xls][SHOPLIST_xls]600"/>
      <sheetName val="[SHOPLIST_xls][SHOPLIST_xls]601"/>
      <sheetName val="[SHOPLIST_xls][SHOPLIST_xls]602"/>
      <sheetName val="[SHOPLIST_xls][SHOPLIST_xls]603"/>
      <sheetName val="[SHOPLIST_xls][SHOPLIST_xls]604"/>
      <sheetName val="[SHOPLIST_xls][SHOPLIST_xls]605"/>
      <sheetName val="[SHOPLIST_xls][SHOPLIST_xls]606"/>
      <sheetName val="[SHOPLIST_xls][SHOPLIST_xls]607"/>
      <sheetName val="Spacing_of_Delineators3"/>
      <sheetName val="EATON_SUMMARY4"/>
      <sheetName val="Outline_Cost_-_Five_star_Hotel4"/>
      <sheetName val="Schedules_PL3"/>
      <sheetName val="Schedules_BS3"/>
      <sheetName val="[SHOPLIST_xls][SHOPLIST_xls]608"/>
      <sheetName val="[SHOPLIST_xls][SHOPLIST_xls]609"/>
      <sheetName val="[SHOPLIST_xls][SHOPLIST_xls]610"/>
      <sheetName val="[SHOPLIST_xls][SHOPLIST_xls]611"/>
      <sheetName val="[SHOPLIST_xls][SHOPLIST_xls]612"/>
      <sheetName val="[SHOPLIST_xls][SHOPLIST_xls]613"/>
      <sheetName val="[SHOPLIST_xls][SHOPLIST_xls]614"/>
      <sheetName val="[SHOPLIST_xls][SHOPLIST_xls]615"/>
      <sheetName val="[SHOPLIST_xls][SHOPLIST_xls]616"/>
      <sheetName val="[SHOPLIST_xls][SHOPLIST_xls]617"/>
      <sheetName val="[SHOPLIST_xls][SHOPLIST_xls]618"/>
      <sheetName val="[SHOPLIST_xls][SHOPLIST_xls]619"/>
      <sheetName val="[SHOPLIST_xls][SHOPLIST_xls]620"/>
      <sheetName val="[SHOPLIST_xls][SHOPLIST_xls]621"/>
      <sheetName val="[SHOPLIST_xls][SHOPLIST_xls]622"/>
      <sheetName val="[SHOPLIST_xls][SHOPLIST_xls]623"/>
      <sheetName val="[SHOPLIST_xls][SHOPLIST_xls]624"/>
      <sheetName val="[SHOPLIST_xls][SHOPLIST_xls]625"/>
      <sheetName val="[SHOPLIST_xls][SHOPLIST_xls]626"/>
      <sheetName val="[SHOPLIST_xls][SHOPLIST_xls]627"/>
      <sheetName val="[SHOPLIST_xls][SHOPLIST_xls]628"/>
      <sheetName val="[SHOPLIST_xls][SHOPLIST_xls]629"/>
      <sheetName val="[SHOPLIST_xls][SHOPLIST_xls]630"/>
      <sheetName val="[SHOPLIST_xls][SHOPLIST_xls]631"/>
      <sheetName val="[SHOPLIST_xls][SHOPLIST_xls]632"/>
      <sheetName val="[SHOPLIST_xls][SHOPLIST_xls]633"/>
      <sheetName val="[SHOPLIST_xls][SHOPLIST_xls]634"/>
      <sheetName val="[SHOPLIST_xls][SHOPLIST_xls]635"/>
      <sheetName val="[SHOPLIST_xls][SHOPLIST_xls]636"/>
      <sheetName val="[SHOPLIST_xls][SHOPLIST_xls]637"/>
      <sheetName val="[SHOPLIST_xls][SHOPLIST_xls]638"/>
      <sheetName val="[SHOPLIST_xls][SHOPLIST_xls]639"/>
      <sheetName val="[SHOPLIST_xls][SHOPLIST_xls]640"/>
      <sheetName val="[SHOPLIST_xls][SHOPLIST_xls]641"/>
      <sheetName val="[SHOPLIST_xls][SHOPLIST_xls]642"/>
      <sheetName val="[SHOPLIST_xls][SHOPLIST_xls]643"/>
      <sheetName val="[SHOPLIST_xls][SHOPLIST_xls]644"/>
      <sheetName val="Drop_Down_Data9"/>
      <sheetName val="Rules_9"/>
      <sheetName val="L3-WBS_Mapping9"/>
      <sheetName val="Elemental_Buildup26"/>
      <sheetName val="Div__0827"/>
      <sheetName val="Div__0927"/>
      <sheetName val="Div__1027"/>
      <sheetName val="Div__1127"/>
      <sheetName val="Div__1227"/>
      <sheetName val="Div_1327"/>
      <sheetName val="EXTERNAL_WORKS27"/>
      <sheetName val="PRODUCTIVITY_RATE27"/>
      <sheetName val="U_R_A_-_MASONRY27"/>
      <sheetName val="U_R_A_-_PLASTERING27"/>
      <sheetName val="U_R_A_-_TILING27"/>
      <sheetName val="U_R_A_-_GRANITE27"/>
      <sheetName val="V_C_2_-_EARTHWORK27"/>
      <sheetName val="V_C_9_-_CERAMIC27"/>
      <sheetName val="V_C_9_-_FINISHES27"/>
      <sheetName val="BAFO_CCL_Submission9"/>
      <sheetName val="BOQ_Direct_selling_cost28"/>
      <sheetName val="Eq__Mobilization27"/>
      <sheetName val="PointNo_526"/>
      <sheetName val="w't_table26"/>
      <sheetName val="PMWeb_data27"/>
      <sheetName val="CHART_OF_ACCOUNTS27"/>
      <sheetName val="B185-B-9_127"/>
      <sheetName val="B185-B-9_227"/>
      <sheetName val="E-Bill_No_6_A-O27"/>
      <sheetName val="Material_List_26"/>
      <sheetName val="Project_Cost_Breakdown24"/>
      <sheetName val="Index_List26"/>
      <sheetName val="Type_List26"/>
      <sheetName val="File_Types26"/>
      <sheetName val="SS_MH27"/>
      <sheetName val="bill_nb2-Plumbing_&amp;_Drainag26"/>
      <sheetName val="Pl_&amp;_Dr_B26"/>
      <sheetName val="Pl_&amp;_Dr_G26"/>
      <sheetName val="Pl_&amp;_Dr_M26"/>
      <sheetName val="Pl_&amp;_Dr_126"/>
      <sheetName val="Pl_&amp;_Dr_226"/>
      <sheetName val="Pl_&amp;_Dr_326"/>
      <sheetName val="Pl_&amp;_Dr_426"/>
      <sheetName val="Pl_&amp;_Dr_526"/>
      <sheetName val="Pl_&amp;_Dr_626"/>
      <sheetName val="Pl_&amp;_Dr_726"/>
      <sheetName val="Pl_&amp;_Dr_826"/>
      <sheetName val="Pl_&amp;_Dr_R26"/>
      <sheetName val="FF_B26"/>
      <sheetName val="FF_G26"/>
      <sheetName val="FF_M26"/>
      <sheetName val="FF_126"/>
      <sheetName val="FF_2_26"/>
      <sheetName val="FF_326"/>
      <sheetName val="FF_426"/>
      <sheetName val="FF_526"/>
      <sheetName val="FF_6_26"/>
      <sheetName val="FF_726"/>
      <sheetName val="FF_826"/>
      <sheetName val="FF_R26"/>
      <sheetName val="bill_nb3-FF26"/>
      <sheetName val="HVAC_B26"/>
      <sheetName val="HVAC_G26"/>
      <sheetName val="HVAC_M26"/>
      <sheetName val="HVAC_126"/>
      <sheetName val="HVAC_226"/>
      <sheetName val="HVAC_326"/>
      <sheetName val="HVAC_426"/>
      <sheetName val="HVAC_526"/>
      <sheetName val="HVAC_626"/>
      <sheetName val="HVAC_726"/>
      <sheetName val="HVAC_826"/>
      <sheetName val="HVAC_R26"/>
      <sheetName val="bill_nb4-HVAC26"/>
      <sheetName val="SC_B26"/>
      <sheetName val="SC_G26"/>
      <sheetName val="SC_M26"/>
      <sheetName val="SC_126"/>
      <sheetName val="SC_226"/>
      <sheetName val="SC_326"/>
      <sheetName val="SC_426"/>
      <sheetName val="SC_526"/>
      <sheetName val="SC_626"/>
      <sheetName val="SC_726"/>
      <sheetName val="SC_826"/>
      <sheetName val="SC_R26"/>
      <sheetName val="AV_B26"/>
      <sheetName val="AV_G26"/>
      <sheetName val="AV_M26"/>
      <sheetName val="AV_126"/>
      <sheetName val="AV_226"/>
      <sheetName val="AV_326"/>
      <sheetName val="AV_426"/>
      <sheetName val="AV_526"/>
      <sheetName val="AV_626"/>
      <sheetName val="AV_726"/>
      <sheetName val="AV_826"/>
      <sheetName val="EL_B26"/>
      <sheetName val="EL_M26"/>
      <sheetName val="EL_126"/>
      <sheetName val="EL_226"/>
      <sheetName val="EL_326"/>
      <sheetName val="EL_426"/>
      <sheetName val="EL_526"/>
      <sheetName val="EL_626"/>
      <sheetName val="EL_726"/>
      <sheetName val="EL_826"/>
      <sheetName val="EL_R26"/>
      <sheetName val="EL_TR26"/>
      <sheetName val="8-_EL26"/>
      <sheetName val="FA_B26"/>
      <sheetName val="FA_G26"/>
      <sheetName val="FA_M26"/>
      <sheetName val="FA_126"/>
      <sheetName val="FA_226"/>
      <sheetName val="FA_326"/>
      <sheetName val="FA_426"/>
      <sheetName val="FA_526"/>
      <sheetName val="FA_626"/>
      <sheetName val="FA_726"/>
      <sheetName val="FA_826"/>
      <sheetName val="FA_R26"/>
      <sheetName val="9-_FA26"/>
      <sheetName val="B09_127"/>
      <sheetName val="2_2)Revised_Cash_Flow26"/>
      <sheetName val="입찰내역_발주처_양식26"/>
      <sheetName val="Division_255"/>
      <sheetName val="Division_426"/>
      <sheetName val="Division_526"/>
      <sheetName val="Division_626"/>
      <sheetName val="Division_726"/>
      <sheetName val="Division_826"/>
      <sheetName val="Division_926"/>
      <sheetName val="Division_1026"/>
      <sheetName val="Division_1226"/>
      <sheetName val="Division_1426"/>
      <sheetName val="Division_2129"/>
      <sheetName val="Division_2227"/>
      <sheetName val="Division_2326"/>
      <sheetName val="Division_2626"/>
      <sheetName val="Division_2726"/>
      <sheetName val="Division_2826"/>
      <sheetName val="Division_3126"/>
      <sheetName val="Division_3226"/>
      <sheetName val="Division_3326"/>
      <sheetName val="LIST_DO_NOT_REMOVE25"/>
      <sheetName val="PRECAST_lightconc-II28"/>
      <sheetName val="final_abstract28"/>
      <sheetName val="Mall_waterproofing23"/>
      <sheetName val="MSCP_waterproofing23"/>
      <sheetName val="Employee_List24"/>
      <sheetName val="Chiet_t26"/>
      <sheetName val="Staffing_and_Rates_IA26"/>
      <sheetName val="B6_2_25"/>
      <sheetName val="Summary_of_Work24"/>
      <sheetName val="RAB_AR&amp;STR23"/>
      <sheetName val="Data_Validation9"/>
      <sheetName val="Staff_Acco_24"/>
      <sheetName val="TBAL9697_-group_wise__sdpl24"/>
      <sheetName val="Div26_-_Elect9"/>
      <sheetName val="CHUNG_CU_CARRILON9"/>
      <sheetName val="Update_list9"/>
      <sheetName val="Sinh_Nam_systems9"/>
      <sheetName val="DIE_profile9"/>
      <sheetName val="Import_tax9"/>
      <sheetName val="[SHOPLIST_xls]70,/0s«iÆøí¬i29"/>
      <sheetName val="TONG_HOP_VL-NC9"/>
      <sheetName val="TONGKE3p_9"/>
      <sheetName val="TH_VL,_NC,_DDHT_Thanhphuoc9"/>
      <sheetName val="DON_GIA9"/>
      <sheetName val="CHITIET_VL-NC9"/>
      <sheetName val="TH_kinh_phi9"/>
      <sheetName val="KLDT_DIEN9"/>
      <sheetName val="Dinh_muc_CP_KTCB_khac9"/>
      <sheetName val="[SHOPLIST_xls][SHOPLIST_xls]645"/>
      <sheetName val="_SHOPLIST_xls_7015"/>
      <sheetName val="quotation_9"/>
      <sheetName val="Bill_5_-_Carpark9"/>
      <sheetName val="BOQ_-_summary__39"/>
      <sheetName val="NKSC_thue9"/>
      <sheetName val="05__Data_Cash_Flow9"/>
      <sheetName val="MTO_REV_2(ARMOR)9"/>
      <sheetName val="Item-_Compact24"/>
      <sheetName val="E_&amp;_R24"/>
      <sheetName val="Rate_summary23"/>
      <sheetName val="Рабочий_лист23"/>
      <sheetName val="[SHOPLIST_xls]7018"/>
      <sheetName val="Back_up23"/>
      <sheetName val="Annex_1_Sect_3a24"/>
      <sheetName val="Annex_1_Sect_3a_124"/>
      <sheetName val="Annex_1_Sect_3b24"/>
      <sheetName val="Annex_1_Sect_3c24"/>
      <sheetName val="HOURLY_RATES24"/>
      <sheetName val="Risk_Breakdown_Structure22"/>
      <sheetName val="Common_Variables23"/>
      <sheetName val="INDIGINEOUS_ITEMS_23"/>
      <sheetName val="SITE_WORK23"/>
      <sheetName val="PT_141-_Site_A_Landscape23"/>
      <sheetName val="train_cash23"/>
      <sheetName val="accom_cash23"/>
      <sheetName val="d-safe_DELUXE23"/>
      <sheetName val="GPL_Revenu_Update23"/>
      <sheetName val="DO_NOT_TOUCH23"/>
      <sheetName val="Work_Type23"/>
      <sheetName val="Duct_Accesories23"/>
      <sheetName val="AREA_OF_APPLICATION22"/>
      <sheetName val="????_???_??23"/>
      <sheetName val="Labour_&amp;_Plant23"/>
      <sheetName val="Ave_wtd_rates23"/>
      <sheetName val="Debits_as_on_12_04_0823"/>
      <sheetName val="STAFFSCHED_23"/>
      <sheetName val="TRIAL_BALANCE23"/>
      <sheetName val="PROJECT_BRIEF(EX_NEW)23"/>
      <sheetName val="Geneí¬_i22"/>
      <sheetName val="Cashflow_projection18"/>
      <sheetName val="steel_total22"/>
      <sheetName val="ELE_BOQ22"/>
      <sheetName val="Resumo_Empreitadas19"/>
      <sheetName val="Floor_Box_20"/>
      <sheetName val="PPA_Summary19"/>
      <sheetName val="Mix_Design19"/>
      <sheetName val="Equipment_Rates18"/>
      <sheetName val="[SHOPLIST_xls][SHOPLIST_xls][18"/>
      <sheetName val="E_H_-_H__W_P_18"/>
      <sheetName val="E__H__Treatment_for_pile_cap18"/>
      <sheetName val="Z-_GENERAL_PRICE_SUMMARY19"/>
      <sheetName val="[SHOPLIST_xls]/VW18"/>
      <sheetName val="[SHOPLIST_xls]/VWVU))tÏØ0_195"/>
      <sheetName val="[SHOPLIST_xls]/VWVU))tÏØ0_196"/>
      <sheetName val="%_prog_figs_-u5_and_total19"/>
      <sheetName val="[SHOPLIST_xls][SHOPLIST_xls]646"/>
      <sheetName val="Area_Breakdown_PER_LEVEL_LINK18"/>
      <sheetName val="CF_Input18"/>
      <sheetName val="DATA_INPUT18"/>
      <sheetName val="Vordruck-Nr__7_1_3_D18"/>
      <sheetName val="M&amp;A_D18"/>
      <sheetName val="M&amp;A_E18"/>
      <sheetName val="M&amp;A_G18"/>
      <sheetName val="[SHOPLIST_xls]70,18"/>
      <sheetName val="Base_BM-rebar18"/>
      <sheetName val="Data_Sheet18"/>
      <sheetName val="Materials_18"/>
      <sheetName val="Form_618"/>
      <sheetName val="Risk_Register18"/>
      <sheetName val="Revised_Front_Page18"/>
      <sheetName val="Diff_Run01&amp;Run0218"/>
      <sheetName val="CCS_Summary18"/>
      <sheetName val="1_Carillion_Staff18"/>
      <sheetName val="_2_Staff_&amp;_Gen_labour18"/>
      <sheetName val="3_Offices18"/>
      <sheetName val="4_TempServ18"/>
      <sheetName val="__5_Temp_Wks18"/>
      <sheetName val="_6_Addn_Plant18"/>
      <sheetName val="_7__Transport18"/>
      <sheetName val="_8_Testing18"/>
      <sheetName val="9__Miscellaneous18"/>
      <sheetName val="10__Design18"/>
      <sheetName val="_11_Insurances18"/>
      <sheetName val="_12_Client_Req_18"/>
      <sheetName val="Risk_List18"/>
      <sheetName val="Track_of_Changes18"/>
      <sheetName val="Bill_8_Doors_&amp;_Windows18"/>
      <sheetName val="Bill_9_Finishes_18"/>
      <sheetName val="Bill_10_Specialities18"/>
      <sheetName val="Contract_Division16"/>
      <sheetName val="SubContract_Type16"/>
      <sheetName val="Service_Type16"/>
      <sheetName val="PRICE_INFO15"/>
      <sheetName val="RC_SUMMARY15"/>
      <sheetName val="LABOUR_PRODUCTIVITY-TAV15"/>
      <sheetName val="MATERIAL_PRICES15"/>
      <sheetName val="P-100_MRF_DB_R115"/>
      <sheetName val="1_2_Staff_Schedule19"/>
      <sheetName val="Attach_4-1815"/>
      <sheetName val="tender_allowances18"/>
      <sheetName val="_Summary_BKG_03418"/>
      <sheetName val="BILL_3R18"/>
      <sheetName val="BLOCK-A_(MEA_SHEET)18"/>
      <sheetName val="Cost_Heading15"/>
      <sheetName val="Labour_Costs18"/>
      <sheetName val="Ewaan_Show_Kitchen_(2)15"/>
      <sheetName val="Cash_Flow_Working15"/>
      <sheetName val="MN_T_B_15"/>
      <sheetName val="D_&amp;_W_sizes15"/>
      <sheetName val="SOPMA_DD15"/>
      <sheetName val="[SHOPLIST_xls]/VWVU))tÏØ0_197"/>
      <sheetName val="[SHOPLIST_xls]/VWVU))tÏØ0_198"/>
      <sheetName val="Qtys_ZamZam_(Del__before)15"/>
      <sheetName val="Qtys_Relocation_(Del_before)15"/>
      <sheetName val="_Qtys_Sub_&amp;_Tents_(Del__befor15"/>
      <sheetName val="Qtys__Signages_(Del__before)15"/>
      <sheetName val="Qtys_Temporary_Passages_(Del)15"/>
      <sheetName val="_Qtys_Ser__Rooms_(Del_before)15"/>
      <sheetName val="Div_07_Thermal_&amp;_Moisture9"/>
      <sheetName val="Sheet_Index8"/>
      <sheetName val="Site_Dev_BOQ18"/>
      <sheetName val="Trade_Summary8"/>
      <sheetName val="Data_I_(2)15"/>
      <sheetName val="rEFERENCES_15"/>
      <sheetName val="[SHOPLIST_xls]/VWVU))tÏØ0_199"/>
      <sheetName val="[SHOPLIST_xls]70,/0s«_iÆø_í¬_18"/>
      <sheetName val="[SHOPLIST_xls]70?,/0?s«i?Æøí¬18"/>
      <sheetName val="[SHOPLIST_xls]/VWVU))tÏØ0_200"/>
      <sheetName val="BOQ_(2)9"/>
      <sheetName val="LABOUR_RATE9"/>
      <sheetName val="Material_Rate9"/>
      <sheetName val="Labor_abs-PW9"/>
      <sheetName val="Labor_abs-NMR9"/>
      <sheetName val="Combined_Results_9"/>
      <sheetName val="precast_RC_element9"/>
      <sheetName val="pile_Fabrication9"/>
      <sheetName val="New_Bld9"/>
      <sheetName val="Finansal_tamamlanma_Eğrisi9"/>
      <sheetName val="Status_Summary9"/>
      <sheetName val="Dash_board18"/>
      <sheetName val="2F_회의실견적(5_14_일대)11"/>
      <sheetName val="_HIT-&gt;HMC_견적(3900)11"/>
      <sheetName val="Appendix_B11"/>
      <sheetName val="Labour_Rate_15"/>
      <sheetName val="kppl_pl9"/>
      <sheetName val="Basic_Rates9"/>
      <sheetName val="2_Plex9"/>
      <sheetName val="Sheet1_(2)9"/>
      <sheetName val="4_Plex9"/>
      <sheetName val="6_Plex_9"/>
      <sheetName val="Detailed_Summary9"/>
      <sheetName val="Sheet1_(3)9"/>
      <sheetName val="Sheet1_(4)9"/>
      <sheetName val="May_0510"/>
      <sheetName val="April_0510"/>
      <sheetName val="Aug_0510"/>
      <sheetName val="July_0510"/>
      <sheetName val="June_0510"/>
      <sheetName val="Nov_0510"/>
      <sheetName val="Oct_0510"/>
      <sheetName val="Sep_0510"/>
      <sheetName val="Dropdown_List9"/>
      <sheetName val="1_-_Main_Building9"/>
      <sheetName val="1_-_Summary9"/>
      <sheetName val="2_-_Landscaping_Works9"/>
      <sheetName val="2_-_Summary9"/>
      <sheetName val="4_-_Bldg_Infra9"/>
      <sheetName val="4_-_Summary9"/>
      <sheetName val="Asset_Allocation_(CR)9"/>
      <sheetName val="Project_Benchmarking9"/>
      <sheetName val="Dashboard_(1)9"/>
      <sheetName val="VO_Agreed_to_Unifier_Sum9"/>
      <sheetName val="VO_Not_yet_Agreed_to_Unifier9"/>
      <sheetName val="VO_Anticipated_to_Unifier9"/>
      <sheetName val="EW_to_Unifier9"/>
      <sheetName val="Prov_Sums9"/>
      <sheetName val="Other_Amounts9"/>
      <sheetName val="Summary_8"/>
      <sheetName val="B04-A_-_DIA_SUDEER8"/>
      <sheetName val="04D_-_Tanmyat8"/>
      <sheetName val="13-_B04-B_&amp;_C8"/>
      <sheetName val="_SITE_09_B04-B&amp;C-AFAQ8"/>
      <sheetName val="CONSTRUCTION_COMPONENT8"/>
      <sheetName val="HB_CEC_schd_4_29"/>
      <sheetName val="HB_CEC_schd_4_39"/>
      <sheetName val="HB_CEC_schd_5_29"/>
      <sheetName val="HB_CEC_schd_6_29"/>
      <sheetName val="HB_CEC_schd_7_29"/>
      <sheetName val="HB_CEC_schd_9_29"/>
      <sheetName val="Doha_Farm9"/>
      <sheetName val="B-3_2_EB8"/>
      <sheetName val="Balance_Sheet8"/>
      <sheetName val="Other_Cost_Norms7"/>
      <sheetName val="[SHOPLIST_xls]/VWVU))tÏØ0_201"/>
      <sheetName val="[SHOPLIST_xls]/VWVU))tÏØ0_202"/>
      <sheetName val="[SHOPLIST_xls]/VWVU))tÏØ0_203"/>
      <sheetName val="AOP_Summary-210"/>
      <sheetName val="Estimate_for_approval8"/>
      <sheetName val="New_Rates8"/>
      <sheetName val="Labour_Rates8"/>
      <sheetName val="Status_8"/>
      <sheetName val="CLIENT_BUDGET8"/>
      <sheetName val="Reco-June_20198"/>
      <sheetName val="REMINING_PROGRESS8"/>
      <sheetName val="OS&amp;E__IT8"/>
      <sheetName val="PAID_AMOUNT8"/>
      <sheetName val="IPA_218"/>
      <sheetName val="Order_by_owner8"/>
      <sheetName val="PERLIM__Sammary8"/>
      <sheetName val="RECOVER_OF_DOUBLE_PAYMENT8"/>
      <sheetName val="rathath_al_matar8"/>
      <sheetName val="INTERNAL_LINE_8"/>
      <sheetName val="MINOVA_AL_DEYAR8"/>
      <sheetName val="BLUE_RHINE8"/>
      <sheetName val="NATIONAL_PAINT8"/>
      <sheetName val="FIRE_RATED8"/>
      <sheetName val="CIF_COST_ITEM7"/>
      <sheetName val="Rates_for_public_areas7"/>
      <sheetName val="[SHOPLIST_xls]/VWVU))tÏØ0_204"/>
      <sheetName val="[SHOPLIST_xls]/VWVU))tÏØ0_205"/>
      <sheetName val="MAIN_SUMMARY7"/>
      <sheetName val="[SHOPLIST_xls][SHOPLIST_xls]/V7"/>
      <sheetName val="Sec__A-PQ9"/>
      <sheetName val="Preamble_B9"/>
      <sheetName val="Sec__C-Dayworks9"/>
      <sheetName val="d5_9"/>
      <sheetName val="Tender_Docs8"/>
      <sheetName val="Miral_Emails8"/>
      <sheetName val="LOAs_(061619)8"/>
      <sheetName val="Contract_Conditions_(Tender)8"/>
      <sheetName val="Contract_Qualifications8"/>
      <sheetName val="YVPI_&amp;_GII8"/>
      <sheetName val="LOA_(live_sheet)8"/>
      <sheetName val="LOA_Log_(082419)8"/>
      <sheetName val="Key_Docs_Ref_8"/>
      <sheetName val="To_Mr__Boota_(072519)8"/>
      <sheetName val="Core_Data7"/>
      <sheetName val="Abs_PMRL7"/>
      <sheetName val="B2-DV_No_027"/>
      <sheetName val="TB_ALJADA7"/>
      <sheetName val="Plot_Area7"/>
      <sheetName val="Closing_entries7"/>
      <sheetName val="Executive_Summary7"/>
      <sheetName val="Sales_Tracking_Report_(STR)7"/>
      <sheetName val="Blocking_Tracking_Report_(BTR)7"/>
      <sheetName val="Bill_No_17"/>
      <sheetName val="[SHOPLIST_xls]70,/0s«iÆøí¬8"/>
      <sheetName val="[SHOPLIST_xls][SH8"/>
      <sheetName val="[SHOPLIST_xls]70_8"/>
      <sheetName val="[SHOPLIST_xls]/VW7"/>
      <sheetName val="MASTER_RATE_ANALYSIS8"/>
      <sheetName val="Basic_Rate8"/>
      <sheetName val="P-Ins_&amp;_Bonds8"/>
      <sheetName val="Recon_Template7"/>
      <sheetName val="DIV_01_General_Requirements7"/>
      <sheetName val="Bill_(1)_Main_Building7"/>
      <sheetName val="Bill_(2)_General_Site_&amp;_Parkin7"/>
      <sheetName val="wd_points7"/>
      <sheetName val="Bill_(3)_Guest_House7"/>
      <sheetName val="Bill_(4)_Family_Buildings7"/>
      <sheetName val="Bill_(5)_Villa_Buildings7"/>
      <sheetName val="Bill_(6)_Entrance_Building7"/>
      <sheetName val="Bill_(7)_Masjid7"/>
      <sheetName val="Bill_(8)_Auditorium7"/>
      <sheetName val="Bill_(9)_Site_Prep__&amp;_Roadway7"/>
      <sheetName val="Summary_Cost7"/>
      <sheetName val="lighting_points7"/>
      <sheetName val="ESTIMATE_(2)7"/>
      <sheetName val="COM_Summary7"/>
      <sheetName val="Comp_equip7"/>
      <sheetName val="SITE_WORKS7"/>
      <sheetName val="WOOD_WORK7"/>
      <sheetName val="THERMAL_&amp;_MOISTURE_7"/>
      <sheetName val="DOORS_&amp;_WINDOWS7"/>
      <sheetName val="Additional_Items7"/>
      <sheetName val="P15_Cost_Implications7"/>
      <sheetName val="P15_uPVC_ducts-Rate_Summary7"/>
      <sheetName val="P13_uPVC_ducts7"/>
      <sheetName val="P13_Mass_Concrete7"/>
      <sheetName val="P13_Imported_Fill7"/>
      <sheetName val="P14_uPVC_ducts7"/>
      <sheetName val="P14_Mass_Concrete7"/>
      <sheetName val="P14_Imported_Fill7"/>
      <sheetName val="P14_Sand_bed_to_cable7"/>
      <sheetName val="P15_uPVC_ducts7"/>
      <sheetName val="Master_data7"/>
      <sheetName val="[SHOPLIST_xls]/VWVU))tÏØ0_206"/>
      <sheetName val="[SHOPLIST_xls]/VWVU))tÏØ0_207"/>
      <sheetName val="Quotation_FM_administration7"/>
      <sheetName val="Quotation_Visitor_and_Sec7"/>
      <sheetName val="Service_Charge7"/>
      <sheetName val="CABLES_7"/>
      <sheetName val="Quotation_Offices_108,9,10,11)7"/>
      <sheetName val="Quotation_modification7"/>
      <sheetName val="L_(4)7"/>
      <sheetName val="P1926-H2B_Pkg_2A&amp;2B7"/>
      <sheetName val="P1940-H2B_Pkg_1_Guestrooms7"/>
      <sheetName val="BOQ_1_927"/>
      <sheetName val="Ref_Arch7"/>
      <sheetName val="Portfolio_List7"/>
      <sheetName val="[SHOPLIST_xls]/VWVU))tÏØ0_208"/>
      <sheetName val="Staff_OLD_7"/>
      <sheetName val="개시대사_(2)7"/>
      <sheetName val="Appendix-A_-GRAND_SUMMARY7"/>
      <sheetName val="D9_(New_Rate)7"/>
      <sheetName val="WATER_DUCT_-_IC_217"/>
      <sheetName val="Initial_Data7"/>
      <sheetName val="Package_Status7"/>
      <sheetName val="Asset_Desc7"/>
      <sheetName val="Cumulative_Rail_7"/>
      <sheetName val="Data_7"/>
      <sheetName val="6_2_Floor_Finishes7"/>
      <sheetName val="BUAs_and_Sales_Forecast7"/>
      <sheetName val="Lagoons_Breakdown_Prices7"/>
      <sheetName val="Cover_HW_Z2_7"/>
      <sheetName val="TOTAL_WORK7"/>
      <sheetName val="part_37"/>
      <sheetName val="pile_Length_for_Easter_fence7"/>
      <sheetName val="Div_10-Specialities_7"/>
      <sheetName val="MALE_&amp;_FEMALE_7"/>
      <sheetName val="Div_Summary7"/>
      <sheetName val="_Estimate__7"/>
      <sheetName val="Equip_7"/>
      <sheetName val="[SHOPLIST_xls]70,/0s«i_x7"/>
      <sheetName val="Contractor_Application6"/>
      <sheetName val="08_MEP_Summary6"/>
      <sheetName val="Addnl_works6"/>
      <sheetName val="B3__Material_on_Site-Detail6"/>
      <sheetName val="[SHOPLIST_xls]70_x005f_x0000_,/0_x005"/>
      <sheetName val="Cover_Page5"/>
      <sheetName val="Approved_INR_Claimed_Log_(2)5"/>
      <sheetName val="INR_Data5"/>
      <sheetName val="Dec_OCR5"/>
      <sheetName val="OCR_(APR5"/>
      <sheetName val="Survey_5"/>
      <sheetName val="INR_Summary_Sheet5"/>
      <sheetName val="ITR_Form_(Rev0)5"/>
      <sheetName val="ITR_Form_(SS)5"/>
      <sheetName val="ITR_Form_(Rev1)5"/>
      <sheetName val="Method_Statements5"/>
      <sheetName val="SI_225"/>
      <sheetName val="TO_List5"/>
      <sheetName val="CCTV_DATA5"/>
      <sheetName val="[SHOPLIST_xls]/VWVU))tÏØ0_209"/>
      <sheetName val="[SHOPLIST_xls]/VWVU))tÏØ0_210"/>
      <sheetName val="[SHOPLIST_xls]/VWVU))tÏØ0_211"/>
      <sheetName val="[SHOPLIST_xls]/VWVU))tÏØ0_212"/>
      <sheetName val="[SHOPLIST_xls]/VWVU))tÏØ0_213"/>
      <sheetName val="[SHOPLIST_xls]/VWVU))tÏØ0_214"/>
      <sheetName val="[SHOPLIST_xls]/VWVU))tÏØ0_215"/>
      <sheetName val="[SHOPLIST_xls]/VWVU))tÏØ0_216"/>
      <sheetName val="Drop_down5"/>
      <sheetName val="[SHOPLIST_xls][SHOPLIST_xls]647"/>
      <sheetName val="[SHOPLIST_xls][SHOPLIST_xls]648"/>
      <sheetName val="[SHOPLIST_xls][SHOPLIST_xls]649"/>
      <sheetName val="[SHOPLIST_xls][SHOPLIST_xls]650"/>
      <sheetName val="[SHOPLIST_xls][SHOPLIST_xls]651"/>
      <sheetName val="[SHOPLIST_xls][SHOPLIST_xls]652"/>
      <sheetName val="[SHOPLIST_xls][SHOPLIST_xls]653"/>
      <sheetName val="[SHOPLIST_xls][SHOPLIST_xls]654"/>
      <sheetName val="[SHOPLIST_xls][SHOPLIST_xls]655"/>
      <sheetName val="[SHOPLIST_xls][SHOPLIST_xls]656"/>
      <sheetName val="[SHOPLIST_xls][SHOPLIST_xls]657"/>
      <sheetName val="[SHOPLIST_xls][SHOPLIST_xls]658"/>
      <sheetName val="[SHOPLIST_xls][SHOPLIST_xls]659"/>
      <sheetName val="[SHOPLIST_xls][SHOPLIST_xls]660"/>
      <sheetName val="[SHOPLIST_xls][SHOPLIST_xls]661"/>
      <sheetName val="[SHOPLIST_xls][SHOPLIST_xls]662"/>
      <sheetName val="[SHOPLIST_xls][SHOPLIST_xls]663"/>
      <sheetName val="[SHOPLIST_xls][SHOPLIST_xls]664"/>
      <sheetName val="[SHOPLIST_xls][SHOPLIST_xls]665"/>
      <sheetName val="[SHOPLIST_xls][SHOPLIST_xls]666"/>
      <sheetName val="[SHOPLIST_xls][SHOPLIST_xls]667"/>
      <sheetName val="[SHOPLIST_xls][SHOPLIST_xls]668"/>
      <sheetName val="[SHOPLIST_xls][SHOPLIST_xls]669"/>
      <sheetName val="[SHOPLIST_xls][SHOPLIST_xls]670"/>
      <sheetName val="[SHOPLIST_xls][SHOPLIST_xls]671"/>
      <sheetName val="[SHOPLIST_xls][SHOPLIST_xls]672"/>
      <sheetName val="[SHOPLIST_xls][SHOPLIST_xls]673"/>
      <sheetName val="[SHOPLIST_xls][SHOPLIST_xls]674"/>
      <sheetName val="[SHOPLIST_xls][SHOPLIST_xls]675"/>
      <sheetName val="[SHOPLIST_xls][SHOPLIST_xls]676"/>
      <sheetName val="[SHOPLIST_xls][SHOPLIST_xls]677"/>
      <sheetName val="[SHOPLIST_xls][SHOPLIST_xls]678"/>
      <sheetName val="[SHOPLIST_xls][SHOPLIST_xls]679"/>
      <sheetName val="[SHOPLIST_xls][SHOPLIST_xls]680"/>
      <sheetName val="[SHOPLIST_xls][SHOPLIST_xls]681"/>
      <sheetName val="[SHOPLIST_xls][SHOPLIST_xls]682"/>
      <sheetName val="[SHOPLIST_xls][SHOPLIST_xls]683"/>
      <sheetName val="[SHOPLIST_xls][SHOPLIST_xls]684"/>
      <sheetName val="[SHOPLIST_xls][SHOPLIST_xls]685"/>
      <sheetName val="[SHOPLIST_xls][SHOPLIST_xls]686"/>
      <sheetName val="[SHOPLIST_xls][SHOPLIST_xls]687"/>
      <sheetName val="[SHOPLIST_xls][SHOPLIST_xls]688"/>
      <sheetName val="[SHOPLIST_xls][SHOPLIST_xls]689"/>
      <sheetName val="[SHOPLIST_xls][SHOPLIST_xls]690"/>
      <sheetName val="[SHOPLIST_xls][SHOPLIST_xls]691"/>
      <sheetName val="[SHOPLIST_xls][SHOPLIST_xls]692"/>
      <sheetName val="[SHOPLIST_xls][SHOPLIST_xls]693"/>
      <sheetName val="[SHOPLIST_xls][SHOPLIST_xls]694"/>
      <sheetName val="[SHOPLIST_xls][SHOPLIST_xls]695"/>
      <sheetName val="[SHOPLIST_xls][SHOPLIST_xls]696"/>
      <sheetName val="[SHOPLIST_xls][SHOPLIST_xls]697"/>
      <sheetName val="[SHOPLIST_xls][SHOPLIST_xls]698"/>
      <sheetName val="[SHOPLIST_xls][SHOPLIST_xls]699"/>
      <sheetName val="[SHOPLIST_xls][SHOPLIST_xls]700"/>
      <sheetName val="[SHOPLIST_xls][SHOPLIST_xls]800"/>
      <sheetName val="[SHOPLIST_xls][SHOPLIST_xls]801"/>
      <sheetName val="[SHOPLIST_xls][SHOPLIST_xls]802"/>
      <sheetName val="[SHOPLIST_xls][SHOPLIST_xls]803"/>
      <sheetName val="[SHOPLIST_xls][SHOPLIST_xls]804"/>
      <sheetName val="[SHOPLIST_xls][SHOPLIST_xls]805"/>
      <sheetName val="[SHOPLIST_xls][SHOPLIST_xls]806"/>
      <sheetName val="[SHOPLIST_xls][SHOPLIST_xls]807"/>
      <sheetName val="[SHOPLIST_xls][SHOPLIST_xls]808"/>
      <sheetName val="[SHOPLIST_xls][SHOPLIST_xls]809"/>
      <sheetName val="[SHOPLIST_xls][SHOPLIST_xls]810"/>
      <sheetName val="[SHOPLIST_xls][SHOPLIST_xls]811"/>
      <sheetName val="[SHOPLIST_xls][SHOPLIST_xls]812"/>
      <sheetName val="[SHOPLIST_xls][SHOPLIST_xls]813"/>
      <sheetName val="[SHOPLIST_xls][SHOPLIST_xls]814"/>
      <sheetName val="[SHOPLIST_xls][SHOPLIST_xls]815"/>
      <sheetName val="[SHOPLIST_xls][SHOPLIST_xls]816"/>
      <sheetName val="[SHOPLIST_xls][SHOPLIST_xls]817"/>
      <sheetName val="[SHOPLIST_xls][SHOPLIST_xls]818"/>
      <sheetName val="[SHOPLIST_xls][SHOPLIST_xls]819"/>
      <sheetName val="[SHOPLIST_xls][SHOPLIST_xls]820"/>
      <sheetName val="[SHOPLIST_xls][SHOPLIST_xls]821"/>
      <sheetName val="[SHOPLIST_xls][SHOPLIST_xls]822"/>
      <sheetName val="[SHOPLIST_xls][SHOPLIST_xls]823"/>
      <sheetName val="[SHOPLIST_xls][SHOPLIST_xls]824"/>
      <sheetName val="[SHOPLIST_xls][SHOPLIST_xls]825"/>
      <sheetName val="[SHOPLIST_xls][SHOPLIST_xls]826"/>
      <sheetName val="[SHOPLIST_xls][SHOPLIST_xls]827"/>
      <sheetName val="[SHOPLIST_xls][SHOPLIST_xls]828"/>
      <sheetName val="[SHOPLIST_xls][SHOPLIST_xls]829"/>
      <sheetName val="[SHOPLIST_xls][SHOPLIST_xls]830"/>
      <sheetName val="[SHOPLIST_xls][SHOPLIST_xls]831"/>
      <sheetName val="[SHOPLIST_xls][SHOPLIST_xls]832"/>
      <sheetName val="[SHOPLIST_xls][SHOPLIST_xls]833"/>
      <sheetName val="[SHOPLIST_xls][SHOPLIST_xls]834"/>
      <sheetName val="[SHOPLIST_xls][SHOPLIST_xls]835"/>
      <sheetName val="[SHOPLIST_xls][SHOPLIST_xls]836"/>
      <sheetName val="[SHOPLIST_xls][SHOPLIST_xls]837"/>
      <sheetName val="[SHOPLIST_xls][SHOPLIST_xls]838"/>
      <sheetName val="[SHOPLIST_xls][SHOPLIST_xls]839"/>
      <sheetName val="[SHOPLIST_xls][SHOPLIST_xls]840"/>
      <sheetName val="[SHOPLIST_xls][SHOPLIST_xls]841"/>
      <sheetName val="[SHOPLIST_xls][SHOPLIST_xls]842"/>
      <sheetName val="[SHOPLIST_xls][SHOPLIST_xls]843"/>
      <sheetName val="[SHOPLIST_xls][SHOPLIST_xls]844"/>
      <sheetName val="[SHOPLIST_xls][SHOPLIST_xls]845"/>
      <sheetName val="[SHOPLIST_xls][SHOPLIST_xls]846"/>
      <sheetName val="[SHOPLIST_xls][SHOPLIST_xls]847"/>
      <sheetName val="[SHOPLIST_xls][SHOPLIST_xls]848"/>
      <sheetName val="[SHOPLIST_xls][SHOPLIST_xls]849"/>
      <sheetName val="[SHOPLIST_xls][SHOPLIST_xls]850"/>
      <sheetName val="[SHOPLIST_xls][SHOPLIST_xls]851"/>
      <sheetName val="[SHOPLIST_xls][SHOPLIST_xls]852"/>
      <sheetName val="[SHOPLIST_xls][SHOPLIST_xls]853"/>
      <sheetName val="[SHOPLIST_xls][SHOPLIST_xls]854"/>
      <sheetName val="[SHOPLIST_xls][SHOPLIST_xls]855"/>
      <sheetName val="[SHOPLIST_xls][SHOPLIST_xls]856"/>
      <sheetName val="[SHOPLIST_xls][SHOPLIST_xls]857"/>
      <sheetName val="[SHOPLIST_xls][SHOPLIST_xls]858"/>
      <sheetName val="[SHOPLIST_xls][SHOPLIST_xls]859"/>
      <sheetName val="[SHOPLIST_xls][SHOPLIST_xls]860"/>
      <sheetName val="[SHOPLIST_xls][SHOPLIST_xls]861"/>
      <sheetName val="[SHOPLIST_xls][SHOPLIST_xls]862"/>
      <sheetName val="[SHOPLIST_xls][SHOPLIST_xls]863"/>
      <sheetName val="[SHOPLIST_xls][SHOPLIST_xls]864"/>
      <sheetName val="[SHOPLIST_xls][SHOPLIST_xls]865"/>
      <sheetName val="[SHOPLIST_xls][SHOPLIST_xls]866"/>
      <sheetName val="[SHOPLIST_xls][SHOPLIST_xls]867"/>
      <sheetName val="[SHOPLIST_xls][SHOPLIST_xls]868"/>
      <sheetName val="[SHOPLIST_xls][SHOPLIST_xls]869"/>
      <sheetName val="[SHOPLIST_xls][SHOPLIST_xls]870"/>
      <sheetName val="[SHOPLIST_xls][SHOPLIST_xls]871"/>
      <sheetName val="[SHOPLIST_xls][SHOPLIST_xls]872"/>
      <sheetName val="[SHOPLIST_xls][SHOPLIST_xls]873"/>
      <sheetName val="[SHOPLIST_xls]70,/0s«iÆøí¬i114"/>
      <sheetName val="[SHOPLIST_xls]70,/0s«_iÆø_í¬6"/>
      <sheetName val="[SHOPLIST_xls]70,/0s«iÆøí¬i210"/>
      <sheetName val="[SHOPLIST_xls]70,/0s«iÆøí¬i36"/>
      <sheetName val="[SHOPLIST_xls][SHOPLIST_xls]874"/>
      <sheetName val="S-Curve_Update5"/>
      <sheetName val="VESSELS_5"/>
      <sheetName val="FLOOR_AND_CEILING5"/>
      <sheetName val="area_comp_2011_01_18_(2)5"/>
      <sheetName val="drop_down_lists5"/>
      <sheetName val="PH_55"/>
      <sheetName val="Admin_TAKE_OFF5"/>
      <sheetName val="[SHOPLIST_xls][SHOPLIST_xls]875"/>
      <sheetName val="[SHOPLIST_xls][SHOPLIST_xls]876"/>
      <sheetName val="[SHOPLIST_xls][SHOPLIST_xls]877"/>
      <sheetName val="[SHOPLIST_xls][SHOPLIST_xls]878"/>
      <sheetName val="[SHOPLIST_xls][SHOPLIST_xls]879"/>
      <sheetName val="[SHOPLIST_xls][SHOPLIST_xls]880"/>
      <sheetName val="[SHOPLIST_xls][SHOPLIST_xls]881"/>
      <sheetName val="[SHOPLIST_xls][SHOPLIST_xls]882"/>
      <sheetName val="Spacing_of_Delineators4"/>
      <sheetName val="EATON_SUMMARY5"/>
      <sheetName val="Outline_Cost_-_Five_star_Hotel5"/>
      <sheetName val="Schedules_PL4"/>
      <sheetName val="Schedules_BS4"/>
      <sheetName val="[SHOPLIST_xls][SHOPLIST_xls]883"/>
      <sheetName val="[SHOPLIST_xls]/VWVU))6"/>
      <sheetName val="_boaboard_(1)2"/>
      <sheetName val="[SHOPLIST_xls][SHOPLIST_xls]884"/>
      <sheetName val="[SHOPLIST_xls][SHOPLIST_xls]885"/>
      <sheetName val="[SHOPLIST_xls][SHOPLIST_xls]886"/>
      <sheetName val="[SHOPLIST_xls][SHOPLIST_xls]887"/>
      <sheetName val="[SHOPLIST_xls][SHOPLIST_xls]888"/>
      <sheetName val="[SHOPLIST_xls][SHOPLIST_xls]889"/>
      <sheetName val="[SHOPLIST_xls][SHOPLIST_xls]890"/>
      <sheetName val="[SHOPLIST_xls][SHOPLIST_xls]891"/>
      <sheetName val="[SHOPLIST_xls][SHOPLIST_xls]892"/>
      <sheetName val="[SHOPLIST_xls][SHOPLIST_xls]893"/>
      <sheetName val="[SHOPLIST_xls][SHOPLIST_xls]894"/>
      <sheetName val="[SHOPLIST_xls][SHOPLIST_xls]895"/>
      <sheetName val="[SHOPLIST_xls][SHOPLIST_xls]896"/>
      <sheetName val="[SHOPLIST_xls][SHOPLIST_xls]897"/>
      <sheetName val="[SHOPLIST_xls][SHOPLIST_xls]898"/>
      <sheetName val="[SHOPLIST_xls][SHOPLIST_xls]899"/>
      <sheetName val="[SHOPLIST_xls][SHOPLIST_xls]900"/>
      <sheetName val="[SHOPLIST_xls][SHOPLIST_xls]901"/>
      <sheetName val="[SHOPLIST_xls][SHOPLIST_xls]902"/>
      <sheetName val="[SHOPLIST_xls][SHOPLIST_xls]903"/>
      <sheetName val="[SHOPLIST_xls][SHOPLIST_xls]904"/>
      <sheetName val="[SHOPLIST_xls][SHOPLIST_xls]905"/>
      <sheetName val="[SHOPLIST_xls][SHOPLIST_xls]906"/>
      <sheetName val="[SHOPLIST_xls][SHOPLIST_xls]907"/>
      <sheetName val="[SHOPLIST_xls][SHOPLIST_xls]908"/>
      <sheetName val="[SHOPLIST_xls][SHOPLIST_xls]909"/>
      <sheetName val="[SHOPLIST_xls][SHOPLIST_xls]910"/>
      <sheetName val="[SHOPLIST_xls][SHOPLIST_xls]911"/>
      <sheetName val="[SHOPLIST_xls][SHOPLIST_xls]912"/>
      <sheetName val="[SHOPLIST_xls][SHOPLIST_xls]913"/>
      <sheetName val="[SHOPLIST_xls][SHOPLIST_xls]914"/>
      <sheetName val="[SHOPLIST_xls][SHOPLIST_xls]915"/>
      <sheetName val="[SHOPLIST_xls][SHOPLIST_xls]916"/>
      <sheetName val="[SHOPLIST_xls][SHOPLIST_xls]917"/>
      <sheetName val="[SHOPLIST_xls][SHOPLIST_xls]918"/>
      <sheetName val="[SHOPLIST_xls][SHOPLIST_xls]919"/>
      <sheetName val="[SHOPLIST_xls][SHOPLIST_xls]920"/>
      <sheetName val="[SHOPLIST_xls][SHOPLIST_xls]921"/>
      <sheetName val="II손익관리"/>
      <sheetName val="목표세부명세"/>
      <sheetName val="[SHOPLIST.xls]70?,/0?"/>
      <sheetName val="[SHOPLIST.xls]70?,/0?s«i_x"/>
      <sheetName val="[SHOPLIST.xls]70,/0"/>
      <sheetName val="Structural BOQ"/>
      <sheetName val="Masonry &amp; Plaster"/>
      <sheetName val="DVM_Sizing_Calculator-_10_ips_"/>
      <sheetName val="Cost_Summary"/>
      <sheetName val="Cost_Summary_SD"/>
      <sheetName val="Schedule_S-Curve_Revision#3"/>
      <sheetName val="2_223M_due_to_adj_profit"/>
      <sheetName val="Свод_(Бюджет)"/>
      <sheetName val="Свод_(понедельно)"/>
      <sheetName val="Статьи_расходов"/>
      <sheetName val="[SHOPLIST_xls]_SHOPLIST_xls_903"/>
      <sheetName val="[SHOPLIST_xls]_SHOPLIST_xls_904"/>
      <sheetName val="[SHOPLIST_xls]_SHOPLIST_xls_905"/>
      <sheetName val="[SHOPLIST_xls]_SHOPLIST_xls_906"/>
      <sheetName val="[SHOPLIST_xls]_SHOPLIST_xls_907"/>
      <sheetName val="[SHOPLIST_xls]_SHOPLIST_xls_908"/>
      <sheetName val="[SHOPLIST_xls]_SHOPLIST_xls_909"/>
      <sheetName val="[SHOPLIST_xls]_SHOPLIST_xls_910"/>
      <sheetName val="[SHOPLIST_xls]_SHOPLIST_xls_911"/>
      <sheetName val="[SHOPLIST_xls]_SHOPLIST_xls_912"/>
      <sheetName val="[SHOPLIST_xls]_SHOPLIST_xls_913"/>
      <sheetName val="[SHOPLIST_xls]_SHOPLIST_xls_914"/>
      <sheetName val="[SHOPLIST_xls]_SHOPLIST_xls_915"/>
      <sheetName val="[SHOPLIST_xls]_SHOPLIST_xls_916"/>
      <sheetName val="[SHOPLIST_xls]_SHOPLIST_xls_917"/>
      <sheetName val="[SHOPLIST_xls]_SHOPLIST_xls_918"/>
      <sheetName val="[SHOPLIST_xls]_SHOPLIST_xls_919"/>
      <sheetName val="[SHOPLIST_xls]_SHOPLIST_xls_920"/>
      <sheetName val="[SHOPLIST_xls]_SHOPLIST_xls_921"/>
      <sheetName val="[SHOPLIST_xls]_SHOPLIST_xls_922"/>
      <sheetName val="[SHOPLIST_xls]_SHOPLIST_xls_923"/>
      <sheetName val="[SHOPLIST_xls]_SHOPLIST_xls_924"/>
      <sheetName val="[SHOPLIST_xls]_SHOPLIST_xls_925"/>
      <sheetName val="[SHOPLIST_xls]_SHOPLIST_xls_926"/>
      <sheetName val="[SHOPLIST_xls]_SHOPLIST_xls_927"/>
      <sheetName val="[SHOPLIST_xls]_SHOPLIST_xls_928"/>
      <sheetName val="[SHOPLIST_xls]_SHOPLIST_xls_929"/>
      <sheetName val="[SHOPLIST_xls]_SHOPLIST_xls_930"/>
      <sheetName val="[SHOPLIST_xls]_SHOPLIST_xls_931"/>
      <sheetName val="[SHOPLIST_xls]_SHOPLIST_xls_932"/>
      <sheetName val="[SHOPLIST_xls]_SHOPLIST_xls_933"/>
      <sheetName val="[SHOPLIST_xls]_SHOPLIST_xl_1048"/>
      <sheetName val="[SHOPLIST_xls]_SHOPLIST_xl_1049"/>
      <sheetName val="[SHOPLIST_xls]_SHOPLIST_xl_1050"/>
      <sheetName val="[SHOPLIST_xls]_SHOPLIST_xl_1051"/>
      <sheetName val="[SHOPLIST_xls]_SHOPLIST_xl_1052"/>
      <sheetName val="[SHOPLIST_xls]_SHOPLIST_xl_1053"/>
      <sheetName val="[SHOPLIST_xls]70___0_s__i____27"/>
      <sheetName val="[SHOPLIST_xls]_SHOPLIST_xls_934"/>
      <sheetName val="[SHOPLIST_xls]_SHOPLIST_xl_1054"/>
      <sheetName val="[SHOPLIST_xls]_SHOPLIST_xl_1055"/>
      <sheetName val="[SHOPLIST_xls]_SHOPLIST_xl_1056"/>
      <sheetName val="[SHOPLIST_xls]_SHOPLIST_xls_935"/>
      <sheetName val="[SHOPLIST_xls]_SHOPLIST_xls_936"/>
      <sheetName val="[SHOPLIST_xls]_SHOPLIST_xls_937"/>
      <sheetName val="[SHOPLIST_xls]_SHOPLIST_xls_938"/>
      <sheetName val="[SHOPLIST_xls]_SHOPLIST_xl_1057"/>
      <sheetName val="[SHOPLIST_xls]_SHOPLIST_xls_939"/>
      <sheetName val="[SHOPLIST_xls]_SHOPLIST_xls_940"/>
      <sheetName val="[SHOPLIST_xls]_SHOPLIST_xl_1058"/>
      <sheetName val="[SHOPLIST_xls]_SHOPLIST_xls_941"/>
      <sheetName val="[SHOPLIST_xls]_SHOPLIST_xl_1059"/>
      <sheetName val="[SHOPLIST_xls]_SHOPLIST_xls_942"/>
      <sheetName val="[SHOPLIST_xls]_SHOPLIST_xl_1060"/>
      <sheetName val="[SHOPLIST_xls]_SHOPLIST_xl_1061"/>
      <sheetName val="[SHOPLIST_xls]_SHOPLIST_xls_943"/>
      <sheetName val="[SHOPLIST_xls]_SHOPLIST_xls_944"/>
      <sheetName val="[SHOPLIST_xls]_SHOPLIST_xls_945"/>
      <sheetName val="[SHOPLIST_xls]_SHOPLIST_xls_946"/>
      <sheetName val="[SHOPLIST_xls]_SHOPLIST_xls_947"/>
      <sheetName val="[SHOPLIST_xls]_SHOPLIST_xls_948"/>
      <sheetName val="[SHOPLIST_xls]_SHOPLIST_xls_949"/>
      <sheetName val="[SHOPLIST_xls]_SHOPLIST_xls_950"/>
      <sheetName val="[SHOPLIST_xls]_SHOPLIST_xls_951"/>
      <sheetName val="[SHOPLIST_xls]_SHOPLIST_xls_952"/>
      <sheetName val="[SHOPLIST_xls]_SHOPLIST_xl_1062"/>
      <sheetName val="[SHOPLIST_xls]_SHOPLIST_xls_953"/>
      <sheetName val="[SHOPLIST_xls]_SHOPLIST_xl_1063"/>
      <sheetName val="[SHOPLIST_xls]_SHOPLIST_xl_1064"/>
      <sheetName val="[SHOPLIST_xls]_SHOPLIST_xls_954"/>
      <sheetName val="[SHOPLIST_xls]_SHOPLIST_xls_955"/>
      <sheetName val="[SHOPLIST_xls]_SHOPLIST_xls_956"/>
      <sheetName val="[SHOPLIST_xls]_SHOPLIST_xls_957"/>
      <sheetName val="[SHOPLIST_xls]_SHOPLIST_xls_958"/>
      <sheetName val="[SHOPLIST_xls]_SHOPLIST_xls_959"/>
      <sheetName val="[SHOPLIST_xls]_SHOPLIST_xls_960"/>
      <sheetName val="[SHOPLIST_xls]_SHOPLIST_xls_961"/>
      <sheetName val="[SHOPLIST_xls]_SHOPLIST_xls_962"/>
      <sheetName val="[SHOPLIST_xls]_SHOPLIST_xls_963"/>
      <sheetName val="[SHOPLIST_xls]_SHOPLIST_xls_964"/>
      <sheetName val="[SHOPLIST_xls]_SHOPLIST_xl_1065"/>
      <sheetName val="[SHOPLIST_xls]_SHOPLIST_xl_1066"/>
      <sheetName val="[SHOPLIST_xls]_SHOPLIST_xls_965"/>
      <sheetName val="[SHOPLIST_xls]_SHOPLIST_xls_966"/>
      <sheetName val="[SHOPLIST_xls]_SHOPLIST_xls_967"/>
      <sheetName val="[SHOPLIST_xls]_SHOPLIST_xls_968"/>
      <sheetName val="[SHOPLIST_xls]_SHOPLIST_xls_969"/>
      <sheetName val="[SHOPLIST_xls]_SHOPLIST_xls_970"/>
      <sheetName val="[SHOPLIST_xls]_SHOPLIST_xls_971"/>
      <sheetName val="[SHOPLIST_xls]_SHOPLIST_xls_972"/>
      <sheetName val="[SHOPLIST_xls]_SHOPLIST_xls_973"/>
      <sheetName val="[SHOPLIST_xls]_SHOPLIST_xls_974"/>
      <sheetName val="[SHOPLIST_xls]_SHOPLIST_xls_975"/>
      <sheetName val="[SHOPLIST_xls]_SHOPLIST_xls_976"/>
      <sheetName val="[SHOPLIST_xls]_SHOPLIST_xls_977"/>
      <sheetName val="[SHOPLIST_xls]_SHOPLIST_xl_1067"/>
      <sheetName val="[SHOPLIST_xls]_SHOPLIST_xls_978"/>
      <sheetName val="[SHOPLIST_xls]_SHOPLIST_xl_1068"/>
      <sheetName val="[SHOPLIST_xls]_SHOPLIST_xl_1069"/>
      <sheetName val="[SHOPLIST_xls]_SHOPLIST_xl_1070"/>
      <sheetName val="[SHOPLIST_xls]_SHOPLIST_xl_1071"/>
      <sheetName val="[SHOPLIST_xls]_SHOPLIST_xls_979"/>
      <sheetName val="[SHOPLIST_xls]_SHOPLIST_xl_1072"/>
      <sheetName val="[SHOPLIST_xls]_SHOPLIST_xls_980"/>
      <sheetName val="[SHOPLIST_xls]_SHOPLIST_xls_981"/>
      <sheetName val="[SHOPLIST_xls]_SHOPLIST_xls_982"/>
      <sheetName val="[SHOPLIST_xls]_SHOPLIST_xls_983"/>
      <sheetName val="[SHOPLIST_xls]_SHOPLIST_xls_984"/>
      <sheetName val="[SHOPLIST_xls]_SHOPLIST_xls_985"/>
      <sheetName val="[SHOPLIST_xls]_SHOPLIST_xls_986"/>
      <sheetName val="[SHOPLIST_xls]_SHOPLIST_xl_1073"/>
      <sheetName val="[SHOPLIST_xls]_SHOPLIST_xl_1074"/>
      <sheetName val="[SHOPLIST_xls]_SHOPLIST_xls_987"/>
      <sheetName val="[SHOPLIST_xls]_SHOPLIST_xls_988"/>
      <sheetName val="[SHOPLIST_xls]_SHOPLIST_xls_989"/>
      <sheetName val="[SHOPLIST_xls]_SHOPLIST_xls_990"/>
      <sheetName val="[SHOPLIST_xls]_SHOPLIST_xls_991"/>
      <sheetName val="[SHOPLIST_xls]_SHOPLIST_xls_992"/>
      <sheetName val="[SHOPLIST_xls]_SHOPLIST_xls_993"/>
      <sheetName val="[SHOPLIST_xls]_SHOPLIST_xls_994"/>
      <sheetName val="[SHOPLIST_xls]_SHOPLIST_xls_995"/>
      <sheetName val="[SHOPLIST_xls]_SHOPLIST_xl_1075"/>
      <sheetName val="[SHOPLIST_xls]_SHOPLIST_xls_996"/>
      <sheetName val="[SHOPLIST_xls]_SHOPLIST_xls_997"/>
      <sheetName val="[SHOPLIST_xls]_SHOPLIST_xls_998"/>
      <sheetName val="[SHOPLIST_xls]_SHOPLIST_xls_999"/>
      <sheetName val="[SHOPLIST_xls]_SHOPLIST_xl_1000"/>
      <sheetName val="[SHOPLIST_xls]_SHOPLIST_xl_1001"/>
      <sheetName val="[SHOPLIST_xls]_SHOPLIST_xl_1002"/>
      <sheetName val="[SHOPLIST_xls]_SHOPLIST_xl_1076"/>
      <sheetName val="[SHOPLIST_xls]_SHOPLIST_xl_1003"/>
      <sheetName val="[SHOPLIST_xls]_SHOPLIST_xl_1004"/>
      <sheetName val="[SHOPLIST_xls]_SHOPLIST_xl_1005"/>
      <sheetName val="[SHOPLIST_xls]_SHOPLIST_xl_1006"/>
      <sheetName val="[SHOPLIST_xls]_SHOPLIST_xl_1007"/>
      <sheetName val="[SHOPLIST_xls]_SHOPLIST_xl_1008"/>
      <sheetName val="[SHOPLIST_xls]_SHOPLIST_xl_1009"/>
      <sheetName val="[SHOPLIST_xls]_SHOPLIST_xl_1010"/>
      <sheetName val="[SHOPLIST_xls]_SHOPLIST_xl_1011"/>
      <sheetName val="[SHOPLIST_xls]_SHOPLIST_xl_1012"/>
      <sheetName val="[SHOPLIST_xls]_SHOPLIST_xl_1013"/>
      <sheetName val="[SHOPLIST_xls]_SHOPLIST_xl_1014"/>
      <sheetName val="[SHOPLIST_xls]_SHOPLIST_xl_1015"/>
      <sheetName val="[SHOPLIST_xls]_SHOPLIST_xl_1016"/>
      <sheetName val="[SHOPLIST_xls]_SHOPLIST_xl_1017"/>
      <sheetName val="[SHOPLIST_xls]_SHOPLIST_xl_1018"/>
      <sheetName val="[SHOPLIST_xls]_SHOPLIST_xl_1019"/>
      <sheetName val="[SHOPLIST_xls]_SHOPLIST_xl_1020"/>
      <sheetName val="[SHOPLIST_xls]_SHOPLIST_xl_1077"/>
      <sheetName val="[SHOPLIST_xls]_SHOPLIST_xl_1021"/>
      <sheetName val="[SHOPLIST_xls]_SHOPLIST_xl_1022"/>
      <sheetName val="[SHOPLIST_xls]_SHOPLIST_xl_1023"/>
      <sheetName val="[SHOPLIST_xls]_SHOPLIST_xl_1024"/>
      <sheetName val="[SHOPLIST_xls]_SHOPLIST_xl_1025"/>
      <sheetName val="[SHOPLIST_xls]_SHOPLIST_xl_1026"/>
      <sheetName val="[SHOPLIST_xls]_SHOPLIST_xl_1027"/>
      <sheetName val="[SHOPLIST_xls]_SHOPLIST_xl_1028"/>
      <sheetName val="[SHOPLIST_xls]_SHOPLIST_xl_1029"/>
      <sheetName val="[SHOPLIST_xls]_SHOPLIST_xl_1078"/>
      <sheetName val="[SHOPLIST_xls]_SHOPLIST_xl_1030"/>
      <sheetName val="[SHOPLIST_xls]_SHOPLIST_xl_1031"/>
      <sheetName val="[SHOPLIST_xls]_SHOPLIST_xl_1032"/>
      <sheetName val="[SHOPLIST_xls]_SHOPLIST_xl_1033"/>
      <sheetName val="[SHOPLIST_xls]_SHOPLIST_xl_1034"/>
      <sheetName val="[SHOPLIST_xls]_SHOPLIST_xl_1035"/>
      <sheetName val="[SHOPLIST_xls]_SHOPLIST_xl_1036"/>
      <sheetName val="[SHOPLIST_xls]_SHOPLIST_xl_1037"/>
      <sheetName val="[SHOPLIST_xls]_SHOPLIST_xl_1038"/>
      <sheetName val="[SHOPLIST_xls]_SHOPLIST_xl_1079"/>
      <sheetName val="[SHOPLIST_xls]_SHOPLIST_xl_1039"/>
      <sheetName val="[SHOPLIST_xls]_SHOPLIST_xl_1040"/>
      <sheetName val="[SHOPLIST_xls]_SHOPLIST_xl_1041"/>
      <sheetName val="[SHOPLIST_xls]_SHOPLIST_xl_1042"/>
      <sheetName val="[SHOPLIST_xls]_SHOPLIST_xl_1043"/>
      <sheetName val="[SHOPLIST_xls]_SHOPLIST_xl_1044"/>
      <sheetName val="[SHOPLIST_xls]_SHOPLIST_xl_1045"/>
      <sheetName val="[SHOPLIST_xls]70_x005f_x005f_x005f_x0000__8"/>
      <sheetName val="[SHOPLIST_xls]_SHOPLIST_xl_1046"/>
      <sheetName val="[SHOPLIST_xls]_SHOPLIST_xl_1047"/>
      <sheetName val="[SHOPLIST_xls]70___0_s__i____28"/>
      <sheetName val="[SHOPLIST_xls]70,/0s«iÆøí¬i61"/>
      <sheetName val="[SHOPLIST_xls]70,/0s«iÆøí¬i71"/>
      <sheetName val="[SHOPLIST_xls]/VW21"/>
      <sheetName val="[SHOPLIST_xls]70,/0s«_iÆø_í¬_19"/>
      <sheetName val="[SHOPLIST_xls]70?,/0?s«i?Æøí¬19"/>
      <sheetName val="[SHOPLIST_xls]70,/0s«iÆøí¬i81"/>
      <sheetName val="[SHOPLIST_xls]/VW31"/>
      <sheetName val="[SHOPLIST_xls]70,/0s«_iÆø_í¬_20"/>
      <sheetName val="[SHOPLIST_xls]70?,/0?s«i?Æøí¬20"/>
      <sheetName val="[SHOPLIST_xls]70,/0s«iÆøí¬i131"/>
      <sheetName val="[SHOPLIST_xls]/VW81"/>
      <sheetName val="[SHOPLIST_xls]70,/0s«_iÆø_í¬_21"/>
      <sheetName val="[SHOPLIST_xls]70?,/0?s«i?Æøí¬21"/>
      <sheetName val="[SHOPLIST_xls]70,/0s«iÆøí¬i101"/>
      <sheetName val="[SHOPLIST_xls]/VW51"/>
      <sheetName val="[SHOPLIST_xls]70,/0s«_iÆø_í¬_22"/>
      <sheetName val="[SHOPLIST_xls]70?,/0?s«i?Æøí¬22"/>
      <sheetName val="[SHOPLIST_xls]70,/0s«iÆøí¬i91"/>
      <sheetName val="[SHOPLIST_xls]/VW41"/>
      <sheetName val="[SHOPLIST_xls]70,/0s«_iÆø_í¬_23"/>
      <sheetName val="[SHOPLIST_xls]70?,/0?s«i?Æøí¬23"/>
      <sheetName val="[SHOPLIST_xls]70,/0s«iÆøí¬i121"/>
      <sheetName val="[SHOPLIST_xls]/VW71"/>
      <sheetName val="[SHOPLIST_xls]70,/0s«_iÆø_í¬_24"/>
      <sheetName val="[SHOPLIST_xls]70?,/0?s«i?Æøí¬24"/>
      <sheetName val="[SHOPLIST_xls]/VW61"/>
      <sheetName val="[SHOPLIST_xls]70,/0s«_iÆø_í¬_25"/>
      <sheetName val="[SHOPLIST_xls]70?,/0?s«i?Æøí¬25"/>
      <sheetName val="[SHOPLIST_xls]70,/0s«iÆøí¬i141"/>
      <sheetName val="[SHOPLIST_xls]/VW91"/>
      <sheetName val="[SHOPLIST_xls]70,/0s«_iÆø_í¬_26"/>
      <sheetName val="[SHOPLIST_xls]70?,/0?s«i?Æøí¬26"/>
      <sheetName val="[SHOPLIST_xls]70,/0s«iÆøí¬i151"/>
      <sheetName val="[SHOPLIST_xls]/VW101"/>
      <sheetName val="[SHOPLIST_xls]70,/0s«_iÆø_í¬_27"/>
      <sheetName val="[SHOPLIST_xls]70?,/0?s«i?Æøí¬27"/>
      <sheetName val="footing_for_SP"/>
      <sheetName val="_SHOPLIST_xls__SH1"/>
      <sheetName val="_SHOPLIST_xls_70_1"/>
      <sheetName val="[SHOPLIST_xls]_VW__VU________19"/>
      <sheetName val="[SHOPLIST_xls]70_x005f_x0000___0_x_10"/>
      <sheetName val="[SHOPLIST_xls]70___0_s__i____29"/>
      <sheetName val="[SHOPLIST_xls]_VW__VU________20"/>
      <sheetName val="[SHOPLIST_xls]70___0_s__i____30"/>
      <sheetName val="[SHOPLIST_xls]_SHOPLIST_xl_1080"/>
      <sheetName val="[SHOPLIST_xls]_SHOPLIST_xl_1081"/>
      <sheetName val="[SHOPLIST_xls]_SHOPLIST_xl_1082"/>
      <sheetName val="[SHOPLIST_xls]_SHOPLIST_xl_1083"/>
      <sheetName val="[SHOPLIST_xls]_SHOPLIST_xl_1084"/>
      <sheetName val="[SHOPLIST_xls]_SHOPLIST_xl_1085"/>
      <sheetName val="[SHOPLIST_xls]_SHOPLIST_xl_1086"/>
      <sheetName val="[SHOPLIST_xls]_SHOPLIST_xl_1087"/>
      <sheetName val="[SHOPLIST_xls]_SHOPLIST_xl_1088"/>
      <sheetName val="[SHOPLIST_xls]_SHOPLIST_xl_1089"/>
      <sheetName val="[SHOPLIST_xls]_SHOPLIST_xl_1090"/>
      <sheetName val="[SHOPLIST_xls]_SHOPLIST_xl_1091"/>
      <sheetName val="[SHOPLIST_xls]_SHOPLIST_xl_1092"/>
      <sheetName val="[SHOPLIST_xls]_SHOPLIST_xl_1093"/>
      <sheetName val="[SHOPLIST_xls]_SHOPLIST_xl_1094"/>
      <sheetName val="[SHOPLIST_xls]_SHOPLIST_xl_1095"/>
      <sheetName val="[SHOPLIST_xls]_SHOPLIST_xl_1096"/>
      <sheetName val="[SHOPLIST_xls]_SHOPLIST_xl_1097"/>
      <sheetName val="[SHOPLIST_xls]_SHOPLIST_xl_1098"/>
      <sheetName val="[SHOPLIST_xls]_SHOPLIST_xl_1099"/>
      <sheetName val="[SHOPLIST_xls]_SHOPLIST_xl_1100"/>
      <sheetName val="[SHOPLIST_xls]_SHOPLIST_xl_1101"/>
      <sheetName val="[SHOPLIST_xls]_SHOPLIST_xl_1102"/>
      <sheetName val="[SHOPLIST_xls]_SHOPLIST_xl_1103"/>
      <sheetName val="[SHOPLIST_xls]_SHOPLIST_xl_1104"/>
      <sheetName val="[SHOPLIST_xls]_SHOPLIST_xl_1105"/>
      <sheetName val="[SHOPLIST_xls]_SHOPLIST_xl_1106"/>
      <sheetName val="[SHOPLIST_xls]_SHOPLIST_xl_1107"/>
      <sheetName val="[SHOPLIST_xls]_SHOPLIST_xl_1108"/>
      <sheetName val="[SHOPLIST_xls]_SHOPLIST_xl_1109"/>
      <sheetName val="[SHOPLIST_xls]_SHOPLIST_xl_1110"/>
      <sheetName val="[SHOPLIST_xls]_SHOPLIST_xl_1111"/>
      <sheetName val="[SHOPLIST_xls]_SHOPLIST_xl_1112"/>
      <sheetName val="[SHOPLIST_xls]_SHOPLIST_xl_1113"/>
      <sheetName val="[SHOPLIST_xls]_SHOPLIST_xl_1114"/>
      <sheetName val="[SHOPLIST_xls]_SHOPLIST_xl_1115"/>
      <sheetName val="[SHOPLIST_xls]_SHOPLIST_xl_1116"/>
      <sheetName val="[SHOPLIST_xls]_SHOPLIST_xl_1117"/>
      <sheetName val="[SHOPLIST_xls]_SHOPLIST_xl_1118"/>
      <sheetName val="[SHOPLIST_xls]_SHOPLIST_xl_1119"/>
      <sheetName val="[SHOPLIST_xls]_SHOPLIST_xl_1120"/>
      <sheetName val="[SHOPLIST_xls]_SHOPLIST_xl_1121"/>
      <sheetName val="[SHOPLIST_xls]_SHOPLIST_xl_1122"/>
      <sheetName val="[SHOPLIST_xls]_SHOPLIST_xl_1123"/>
      <sheetName val="[SHOPLIST_xls]_SHOPLIST_xl_1124"/>
      <sheetName val="[SHOPLIST_xls]_SHOPLIST_xl_1125"/>
      <sheetName val="[SHOPLIST_xls]_SHOPLIST_xl_1126"/>
      <sheetName val="[SHOPLIST_xls]_SHOPLIST_xl_1127"/>
      <sheetName val="[SHOPLIST_xls]_SHOPLIST_xl_1128"/>
      <sheetName val="[SHOPLIST_xls]_SHOPLIST_xl_1129"/>
      <sheetName val="[SHOPLIST_xls]_SHOPLIST_xl_1130"/>
      <sheetName val="[SHOPLIST_xls]_SHOPLIST_xl_1131"/>
      <sheetName val="[SHOPLIST_xls]_SHOPLIST_xl_1132"/>
      <sheetName val="[SHOPLIST_xls]_SHOPLIST_xl_1133"/>
      <sheetName val="[SHOPLIST_xls]_SHOPLIST_xl_1134"/>
      <sheetName val="[SHOPLIST_xls]_SHOPLIST_xl_1135"/>
      <sheetName val="[SHOPLIST_xls]_SHOPLIST_xl_1136"/>
      <sheetName val="[SHOPLIST_xls]_SHOPLIST_xl_1137"/>
      <sheetName val="[SHOPLIST_xls]_SHOPLIST_xl_1138"/>
      <sheetName val="[SHOPLIST_xls]_SHOPLIST_xl_1139"/>
      <sheetName val="[SHOPLIST_xls]_SHOPLIST_xl_1140"/>
      <sheetName val="[SHOPLIST_xls]_SHOPLIST_xl_1141"/>
      <sheetName val="Slide 6 - Returns &amp; NWC"/>
      <sheetName val="FAL_intern5"/>
      <sheetName val="SoW_Assess_Blank_Form2"/>
      <sheetName val="VO_Breakdown2"/>
      <sheetName val="Measurement_Sheet2"/>
      <sheetName val="Schedule_of_Drawings2"/>
      <sheetName val="SI_Schedule2"/>
      <sheetName val="ContraCharge_Schedule2"/>
      <sheetName val="Item_List_OLD2"/>
      <sheetName val="B_Room_W_Done_Progress2"/>
      <sheetName val="SUMMARY_(ROOM)2"/>
      <sheetName val="W_D_Prgress_Public_area2"/>
      <sheetName val="SUMMARY_Public2"/>
      <sheetName val="Tender_Stage1"/>
      <sheetName val="Delay_Clasifications1"/>
      <sheetName val="PA_Milestones1"/>
      <sheetName val="AOR"/>
      <sheetName val="SGOLD FEB"/>
      <sheetName val="VC2 8.98"/>
      <sheetName val="PE-F-42 Rev 01 Manpower"/>
      <sheetName val="IPL_SCHEDULE"/>
      <sheetName val="HAKEDİŞ_"/>
      <sheetName val="keşif_özeti"/>
      <sheetName val="Advance_Recovery"/>
      <sheetName val="SC_Cost_FEB_03"/>
      <sheetName val="[SHOPLIST_xls]/VWVU))tÏØ0_217"/>
      <sheetName val="[SHOPLIST_xls]/VWVU))tÏØ0_218"/>
      <sheetName val="[SHOPLIST_xls]/VWVU))tÏØ0_219"/>
      <sheetName val="[SHOPLIST_xls]/VWVU))tÏØ0_220"/>
      <sheetName val="[SHOPLIST_xls]/VWVU))tÏØ0_221"/>
      <sheetName val="[SHOPLIST_xls]/VWVU))tÏØ0_222"/>
      <sheetName val="[SHOPLIST_xls]/VWVU))tÏØ0_223"/>
      <sheetName val="Fee_Rate_Summary"/>
      <sheetName val="P_Staff_fac"/>
      <sheetName val="Summary-margin_calc"/>
      <sheetName val="Qty_SR"/>
      <sheetName val="EW_SR"/>
      <sheetName val="Cost_Rates"/>
      <sheetName val="Summary_year_Plan"/>
      <sheetName val="BS_"/>
      <sheetName val="Geneí¬_x005f_x0008_i??_x005f_x0014_?0_"/>
      <sheetName val="Geneí¬_x005f_x0008_i___x005f_x0014__0_"/>
      <sheetName val="Doi_so2"/>
      <sheetName val="CỘT_+_VÁCH_B2-B42"/>
      <sheetName val="Du_thau2"/>
      <sheetName val="Door_&amp;_Window-_Schedule2"/>
      <sheetName val="Buy_vs__Lease_Car2"/>
      <sheetName val="GIÁ_TRỊ_GĐ22"/>
      <sheetName val="GIẤY_ĐỀ_NGHỊ_THANH_TOÁN_GĐ12"/>
      <sheetName val="GIẤY_ĐỀ_NGHỊ_THANH_TOÁN_GĐ22"/>
      <sheetName val="bìa_trước2"/>
      <sheetName val="bìa_sau2"/>
      <sheetName val="DANH_MỤC2"/>
      <sheetName val="BẢNG_THDG2"/>
      <sheetName val="BẢNG_DG2"/>
      <sheetName val="BẢNG_THỐNG_KÊ2"/>
      <sheetName val="HUTKHOI_22"/>
      <sheetName val="WC_22"/>
      <sheetName val="GIO_TUOI_22"/>
      <sheetName val="GIO_THẢI_22"/>
      <sheetName val="TAO_AP2"/>
      <sheetName val="Điện_căn_hộ042"/>
      <sheetName val="Điện_căn_hộ052"/>
      <sheetName val="Điện_căn_hộ092"/>
      <sheetName val="Điện_căn_hộ102"/>
      <sheetName val="Điện_căn_hộ112"/>
      <sheetName val="Điện_căn_hộ122"/>
      <sheetName val="Điện_căn_hộ132"/>
      <sheetName val="Điện_căn_hộ172"/>
      <sheetName val="Điện_căn_hộ_182"/>
      <sheetName val="Điện_căn_hộ_212"/>
      <sheetName val="CS+OC+CSSC_HL2"/>
      <sheetName val="CN_CH2"/>
      <sheetName val="Tong_hop2"/>
      <sheetName val="BOQ(ELEC)_2"/>
      <sheetName val="Nhan_cong2"/>
      <sheetName val="Liệt_kê2"/>
      <sheetName val="MTO_REV_2_ARMOR_2"/>
      <sheetName val="Vat_tu_XD2"/>
      <sheetName val="Ｎｏ_132"/>
      <sheetName val="Budget_Code2"/>
      <sheetName val="Goi_thau1"/>
      <sheetName val="Bill_1_CPC1"/>
      <sheetName val="Bill_2_BoQ__(2)1"/>
      <sheetName val="Bảng_TH_cửa_CC1"/>
      <sheetName val="Bảng_TH_PK1"/>
      <sheetName val="Chi_tiết1"/>
      <sheetName val="Bill_3_PL1"/>
      <sheetName val="Bill_4_Do_boc_KL1"/>
      <sheetName val="Bill5__VT_CDT_cap1"/>
      <sheetName val="I_11"/>
      <sheetName val="I_21"/>
      <sheetName val="I_31"/>
      <sheetName val="I_41"/>
      <sheetName val="I_51"/>
      <sheetName val="A__Electrical1"/>
      <sheetName val="Priced_BOQ1"/>
      <sheetName val="_SHOPLIST_xls_70,_0s«iÆøí¬2"/>
      <sheetName val="VO-Curtain_Wall1"/>
      <sheetName val="Bar_Sched1"/>
      <sheetName val="TH_thiet_bi1"/>
      <sheetName val="TH_vat_tu1"/>
      <sheetName val="TH_may_TC1"/>
      <sheetName val="Bang_phan_tich1"/>
      <sheetName val="DM_Chi_phi1"/>
      <sheetName val="vanchuyen_TC"/>
      <sheetName val="Bill_1_Prelim"/>
      <sheetName val="Bill_2_Bored_Pile"/>
      <sheetName val="_SHOPLIST_xls_70?,_0_x0001"/>
      <sheetName val="Geneí¬_i??_?0_1"/>
      <sheetName val="70?,/0?s«_i?Æø_í¬_i?1"/>
      <sheetName val="[SHOPLIST_xls]70?,/0?s«_i?Æø_í1"/>
      <sheetName val="[SHOPLIST_xls]/VW?VU?)???)??1"/>
      <sheetName val="TK_T2"/>
      <sheetName val="T2_CAMERA"/>
      <sheetName val="T2_LOA"/>
      <sheetName val="T2_TRUNKING"/>
      <sheetName val="T2_MANG"/>
      <sheetName val="[SHOPLIST_xls]70,/0"/>
      <sheetName val="/VW?VU?)???)??????tÏØ0_??_1"/>
      <sheetName val="Bill_of_Qty_MEP"/>
      <sheetName val="Goc_CC"/>
      <sheetName val="Room_Type"/>
      <sheetName val="Basement2_DB"/>
      <sheetName val="_SHOPLIST_xls__VWVU))tÏØ0_101"/>
      <sheetName val="_SHOPLIST_xls__VWVU))tÏØ0_102"/>
      <sheetName val="_SHOPLIST_xls__VWVU))tÏØ0_103"/>
      <sheetName val="2_0_Cover_Sum"/>
      <sheetName val="Macro_custom_function"/>
      <sheetName val="_N_Finansal_Eğri"/>
      <sheetName val="EST"/>
      <sheetName val="Income_Statement1"/>
      <sheetName val="BT3-Package_05"/>
      <sheetName val="Cost_Any."/>
      <sheetName val="CAUSTIC"/>
      <sheetName val="pri-com"/>
      <sheetName val="Detail In Door Stad"/>
      <sheetName val="8. Cover"/>
      <sheetName val="GEN-TEC-02"/>
      <sheetName val="EPI Directo"/>
      <sheetName val="INSTRUCTIVO"/>
      <sheetName val="0-Datos de la Obra"/>
      <sheetName val="Gastos Generales"/>
      <sheetName val="1.1. Manpower(Data Ref)"/>
      <sheetName val="Total  Amount"/>
      <sheetName val="PMP"/>
      <sheetName val="_x005f_x005f_x005f_x0000__x005f_x005f_x005f_x0000__x005"/>
      <sheetName val="Gra¦_x005f_x0004_)_x005f_x0000__x005f_x0000__x0"/>
      <sheetName val="_VW_x005f_x0000_VU_x005f_x0000_)_x005f_x0000__x"/>
      <sheetName val="Geneí¬_x005f_x005f_x005f_x0008_i_x000"/>
      <sheetName val="70_,_0_s«_x005f_x0008_i_Æø_x005f_x0003_í¬_x"/>
      <sheetName val="Cac HS hieu chinh"/>
      <sheetName val="Cước CG"/>
      <sheetName val="gia tri theo phong"/>
      <sheetName val="DMCP"/>
      <sheetName val="BocXep"/>
      <sheetName val="TinhGiaMTC"/>
      <sheetName val="Truot_nen"/>
      <sheetName val="Bill 3- Restaurant 1"/>
      <sheetName val="PEBBill 2- Food Court"/>
      <sheetName val="PEBBill 3- Restaurant 1"/>
      <sheetName val="PEBBill 4- Restaurant 2 &amp;3"/>
      <sheetName val="Steeldoor"/>
      <sheetName val="Du toan"/>
      <sheetName val="Keothep"/>
      <sheetName val="TEMP"/>
      <sheetName val="PTdam"/>
      <sheetName val="09. DATABASE"/>
      <sheetName val="Chi tiet gia DT"/>
      <sheetName val="Gia DT bo Sung"/>
      <sheetName val="PT gia DT"/>
      <sheetName val="Phan tich vat tu"/>
      <sheetName val="PTgia DT BS"/>
      <sheetName val="FP-Labour_M"/>
      <sheetName val="GTNC"/>
      <sheetName val="2nd-corridor"/>
      <sheetName val="2nd-back corridor"/>
      <sheetName val="1st-Multi-function room"/>
      <sheetName val="2nd-Multi-function room"/>
      <sheetName val="2nd-Meeting room"/>
      <sheetName val="1st-Lobby"/>
      <sheetName val="2nd-Lobby"/>
      <sheetName val="1st-corridor"/>
      <sheetName val="1st-back chamber"/>
      <sheetName val="1st-Toilet"/>
      <sheetName val="2nd-Toilet"/>
      <sheetName val="Hot-Piping"/>
      <sheetName val="TT DZ35"/>
      <sheetName val="물량표"/>
      <sheetName val="TONGKE-HT"/>
      <sheetName val="Gra¦_x0004_)___VW_________ U"/>
      <sheetName val="_VW_VU_)___)____x0001____tÏØ0 _x0008___ _x0008_"/>
      <sheetName val="_SHOPLIST.xls_70_,_0_s«_x0008_i_Æø_x0003_í¬"/>
      <sheetName val="ConferenceCentre_옰ʒ䄂ʒ鵠ʐ䄂ʒ"/>
      <sheetName val="Geneí¬_x0008_i___x0"/>
      <sheetName val="70_,_0_s«_x0008_i_x"/>
      <sheetName val="Gra¦_x0004_)___x0"/>
      <sheetName val="_VW_VU_)__x"/>
      <sheetName val="_SHOPLIST.xls_70_,_0_x000"/>
      <sheetName val="_____x0"/>
      <sheetName val="ConferenceCentre_옰ʒ"/>
      <sheetName val="70_,_0_"/>
      <sheetName val="___x005"/>
      <sheetName val="_SHOPLIST.xls_70_,_0_s«_x0008_i_x"/>
      <sheetName val="Geneí¬ i__ _0."/>
      <sheetName val="70_,_0_s« i_Æø í¬ i_"/>
      <sheetName val="_SHOPLIST.xls_70_,_0_s« i_Æø í¬"/>
      <sheetName val="ConferenceCentre_옰ʒ䄂ʒ鵠ʐ䄂ʒ閐̐脭め_x0005__"/>
      <sheetName val="_SHOPLIST.xls__VW_VU_)___)___"/>
      <sheetName val="_SHOPLIST.xls_70___0_s__i_____2"/>
      <sheetName val="_SHOPLIST.xls__VW__VU_________2"/>
      <sheetName val="_SHOPLIST.xls__VW__VU_________3"/>
      <sheetName val="_SHOPLIST.xls_70_x005f_x0000___0_x0_2"/>
      <sheetName val="_SHOPLIST.xls__SHOPLIST.xls_7_2"/>
      <sheetName val="_SHOPLIST.xls__SHOPLIST.xls_7_3"/>
      <sheetName val="_SHOPLIST.xls_70_x005f_x005f_x005f_x0000__2"/>
      <sheetName val="_SHOPLIST.xls_70___0_s__i_____3"/>
      <sheetName val="_SHOPLIST.xls__SHOPLIST.xls___2"/>
      <sheetName val="_SHOPLIST.xls__SHOPLIST_xls_7_2"/>
      <sheetName val="_SHOPLIST.xls__SHOPLIST_xls_7_3"/>
      <sheetName val="_SHOPLIST.xls__SHOPLIST.xls___3"/>
      <sheetName val="_SHOPLIST.xls__SHOPLIST.xls___4"/>
      <sheetName val="_SHOPLIST.xls__SHOPLIST_xls_7_4"/>
      <sheetName val="_SHOPLIST.xls__SHOPLIST.xls___5"/>
      <sheetName val="_SHOPLIST.xls__SHOPLIST.xls_7_4"/>
      <sheetName val="_SHOPLIST.xls__SHOPLIST.xls_7_5"/>
      <sheetName val="_SHOPLIST.xls_70_x005f_x0000___0_x0_3"/>
      <sheetName val="_SHOPLIST.xls__SHOPLIST_xls_7_5"/>
      <sheetName val="_SHOPLIST.xls__SHOPLIST_xls___2"/>
      <sheetName val="_SHOPLIST.xls__SHOPLIST_xls___3"/>
      <sheetName val="_SHOPLIST.xls__SHOPLIST_xls___4"/>
      <sheetName val="_SHOPLIST.xls_70,_0s«i_x"/>
      <sheetName val="_SHOPLIST_xls_70,_0s«i_x"/>
      <sheetName val="Gra¦)___VW__________U"/>
      <sheetName val="_VW_VU_)___)______tÏØ0 __ "/>
      <sheetName val="_VW_VU_)___)______tÏØ0____"/>
      <sheetName val="_SHOPLIST_xls_70_,_0_s«i_Æøí¬"/>
      <sheetName val="Geneí¬i___x0"/>
      <sheetName val="70_,_0_s«i_x"/>
      <sheetName val="Gra¦)___x0"/>
      <sheetName val="_SHOPLIST_xls_70_,_0_x000"/>
      <sheetName val="_SHOPLIST_xls_70_,_0_s«i_x"/>
      <sheetName val="Geneí¬_i____0_"/>
      <sheetName val="70_,_0_s«_i_Æø_í¬_i_"/>
      <sheetName val="_SHOPLIST_xls_70_,_0_s«_i_Æø_í¬"/>
      <sheetName val="ConferenceCentre_옰ʒ䄂ʒ鵠ʐ䄂ʒ閐̐脭め_"/>
      <sheetName val="_SHOPLIST_xls__VW_VU_)___)___"/>
      <sheetName val="_SHOPLIST.xls__SHOPLIST_xls___5"/>
      <sheetName val="_SHOPLIST.xls_70___0_s__i_____4"/>
      <sheetName val="_SHOPLIST.xls__SHOPLIST.xls_7_6"/>
      <sheetName val="_SHOPLIST.xls__SHOPLIST.xls___6"/>
      <sheetName val="[SHOPLIST.xls]70___0_s__i____48"/>
      <sheetName val="[SHOPLIST.xls]_VW__VU________28"/>
      <sheetName val="[SHOPLIST.xls]_VW__VU________29"/>
      <sheetName val="[SHOPLIST.xls]70___0_s__i____49"/>
      <sheetName val="[SHOPLIST.xls]70_x005f_x0000___0_x_15"/>
      <sheetName val="[SHOPLIST.xls]70___0_s__i____50"/>
      <sheetName val="[SHOPLIST.xls]_SHOPLIST_xl_3232"/>
      <sheetName val="[SHOPLIST.xls]_SHOPLIST_xl_3233"/>
      <sheetName val="[SHOPLIST.xls]_SHOPLIST_xl_3234"/>
      <sheetName val="[SHOPLIST.xls]_SHOPLIST_xl_3235"/>
      <sheetName val="[SHOPLIST.xls]_SHOPLIST_xl_3236"/>
      <sheetName val="[SHOPLIST.xls]_SHOPLIST_xl_3237"/>
      <sheetName val="[SHOPLIST.xls]_SHOPLIST_xl_3238"/>
      <sheetName val="[SHOPLIST.xls]_SHOPLIST_xl_3239"/>
      <sheetName val="[SHOPLIST.xls]_SHOPLIST_xl_3240"/>
      <sheetName val="[SHOPLIST.xls]_SHOPLIST_xl_3241"/>
      <sheetName val="[SHOPLIST.xls]_SHOPLIST_xl_3242"/>
      <sheetName val="[SHOPLIST.xls]_SHOPLIST_xl_3243"/>
      <sheetName val="[SHOPLIST.xls]_SHOPLIST_xl_3244"/>
      <sheetName val="[SHOPLIST.xls]_SHOPLIST_xl_3245"/>
      <sheetName val="[SHOPLIST.xls]_SHOPLIST_xl_3246"/>
      <sheetName val="[SHOPLIST.xls]_SHOPLIST_xl_3247"/>
      <sheetName val="[SHOPLIST.xls]_SHOPLIST_xl_3248"/>
      <sheetName val="[SHOPLIST.xls]_SHOPLIST_xl_3249"/>
      <sheetName val="[SHOPLIST.xls]_SHOPLIST_xl_3250"/>
      <sheetName val="[SHOPLIST.xls]_SHOPLIST_xl_3251"/>
      <sheetName val="[SHOPLIST.xls]_SHOPLIST_xl_3252"/>
      <sheetName val="[SHOPLIST.xls]_SHOPLIST_xl_3253"/>
      <sheetName val="[SHOPLIST.xls]_SHOPLIST_xl_3254"/>
      <sheetName val="[SHOPLIST.xls]_SHOPLIST_xl_3255"/>
      <sheetName val="[SHOPLIST.xls]_SHOPLIST_xl_3256"/>
      <sheetName val="[SHOPLIST.xls]_SHOPLIST_xl_3257"/>
      <sheetName val="[SHOPLIST.xls]_SHOPLIST_xl_3258"/>
      <sheetName val="[SHOPLIST.xls]_SHOPLIST_xl_3259"/>
      <sheetName val="[SHOPLIST.xls]_SHOPLIST_xl_3260"/>
      <sheetName val="[SHOPLIST.xls]_SHOPLIST_xl_3261"/>
      <sheetName val="[SHOPLIST.xls]_SHOPLIST_xl_3262"/>
      <sheetName val="[SHOPLIST.xls]_SHOPLIST_xl_3263"/>
      <sheetName val="[SHOPLIST.xls]_SHOPLIST_xl_3264"/>
      <sheetName val="[SHOPLIST.xls]_SHOPLIST_xl_3265"/>
      <sheetName val="[SHOPLIST.xls]_SHOPLIST_xl_3266"/>
      <sheetName val="[SHOPLIST.xls]_SHOPLIST_xl_3267"/>
      <sheetName val="[SHOPLIST.xls]_SHOPLIST_xl_3268"/>
      <sheetName val="[SHOPLIST.xls]_SHOPLIST_xl_3269"/>
      <sheetName val="[SHOPLIST.xls]_SHOPLIST_xl_3270"/>
      <sheetName val="[SHOPLIST.xls]_SHOPLIST_xl_3271"/>
      <sheetName val="[SHOPLIST.xls]_SHOPLIST_xl_3272"/>
      <sheetName val="[SHOPLIST.xls]_SHOPLIST_xl_3273"/>
      <sheetName val="[SHOPLIST.xls]_SHOPLIST_xl_3274"/>
      <sheetName val="[SHOPLIST.xls]_SHOPLIST_xl_3275"/>
      <sheetName val="[SHOPLIST.xls]_SHOPLIST_xl_3276"/>
      <sheetName val="[SHOPLIST.xls]_SHOPLIST_xl_3277"/>
      <sheetName val="[SHOPLIST.xls]_SHOPLIST_xl_3278"/>
      <sheetName val="[SHOPLIST.xls]_SHOPLIST_xl_3279"/>
      <sheetName val="[SHOPLIST.xls]_SHOPLIST_xl_3280"/>
      <sheetName val="[SHOPLIST.xls]_SHOPLIST_xl_3281"/>
      <sheetName val="[SHOPLIST.xls]_SHOPLIST_xl_3282"/>
      <sheetName val="[SHOPLIST.xls]_SHOPLIST_xl_3283"/>
      <sheetName val="[SHOPLIST.xls]_SHOPLIST_xl_3284"/>
      <sheetName val="[SHOPLIST.xls]_SHOPLIST_xl_3285"/>
      <sheetName val="[SHOPLIST.xls]_SHOPLIST_xl_3286"/>
      <sheetName val="[SHOPLIST.xls]_SHOPLIST_xl_3287"/>
      <sheetName val="[SHOPLIST.xls]_SHOPLIST_xl_3288"/>
      <sheetName val="[SHOPLIST.xls]_SHOPLIST_xl_3289"/>
      <sheetName val="[SHOPLIST.xls]_SHOPLIST_xl_3290"/>
      <sheetName val="[SHOPLIST.xls]_SHOPLIST_xl_3291"/>
      <sheetName val="[SHOPLIST.xls]_SHOPLIST_xl_3292"/>
      <sheetName val="[SHOPLIST.xls]_SHOPLIST_xl_3293"/>
      <sheetName val="[SHOPLIST.xls]_SHOPLIST_xl_3294"/>
      <sheetName val="[SHOPLIST.xls]_SHOPLIST_xl_3295"/>
      <sheetName val="[SHOPLIST.xls]_SHOPLIST_xl_3296"/>
      <sheetName val="[SHOPLIST.xls]_SHOPLIST_xl_3297"/>
      <sheetName val="[SHOPLIST.xls]_SHOPLIST_xl_3298"/>
      <sheetName val="[SHOPLIST.xls]_SHOPLIST_xl_3299"/>
      <sheetName val="[SHOPLIST.xls]_SHOPLIST_xl_3300"/>
      <sheetName val="[SHOPLIST.xls]_SHOPLIST_xl_3301"/>
      <sheetName val="[SHOPLIST.xls]_SHOPLIST_xl_3302"/>
      <sheetName val="[SHOPLIST.xls]_SHOPLIST_xl_3303"/>
      <sheetName val="[SHOPLIST.xls]_SHOPLIST_xl_3304"/>
      <sheetName val="[SHOPLIST.xls]_SHOPLIST_xl_3305"/>
      <sheetName val="[SHOPLIST.xls]_SHOPLIST_xl_3306"/>
      <sheetName val="[SHOPLIST.xls]_SHOPLIST_xl_3307"/>
      <sheetName val="[SHOPLIST.xls]_SHOPLIST_xl_3308"/>
      <sheetName val="[SHOPLIST.xls]_SHOPLIST_xl_3309"/>
      <sheetName val="[SHOPLIST.xls]_SHOPLIST_xl_3310"/>
      <sheetName val="[SHOPLIST.xls]_SHOPLIST_xl_3311"/>
      <sheetName val="[SHOPLIST.xls]_SHOPLIST_xl_3312"/>
      <sheetName val="[SHOPLIST.xls]_SHOPLIST_xl_3313"/>
      <sheetName val="[SHOPLIST.xls]_SHOPLIST_xl_3314"/>
      <sheetName val="[SHOPLIST.xls]_SHOPLIST_xl_3315"/>
      <sheetName val="[SHOPLIST.xls]_SHOPLIST_xl_3316"/>
      <sheetName val="[SHOPLIST.xls]_SHOPLIST_xl_3317"/>
      <sheetName val="[SHOPLIST.xls]_SHOPLIST_xl_3318"/>
      <sheetName val="[SHOPLIST.xls]_SHOPLIST_xl_3319"/>
      <sheetName val="[SHOPLIST.xls]_SHOPLIST_xl_3320"/>
      <sheetName val="[SHOPLIST.xls]_SHOPLIST_xl_3321"/>
      <sheetName val="[SHOPLIST.xls]_SHOPLIST_xl_3322"/>
      <sheetName val="[SHOPLIST.xls]_SHOPLIST_xl_3323"/>
      <sheetName val="[SHOPLIST.xls]_SHOPLIST_xl_3324"/>
      <sheetName val="[SHOPLIST.xls]_SHOPLIST_xl_3325"/>
      <sheetName val="[SHOPLIST.xls]_SHOPLIST_xl_3326"/>
      <sheetName val="[SHOPLIST.xls]_SHOPLIST_xl_3327"/>
      <sheetName val="[SHOPLIST.xls]_SHOPLIST_xl_3328"/>
      <sheetName val="[SHOPLIST.xls]_SHOPLIST_xl_3329"/>
      <sheetName val="[SHOPLIST.xls]_SHOPLIST_xl_3330"/>
      <sheetName val="[SHOPLIST.xls]_SHOPLIST_xl_3331"/>
      <sheetName val="[SHOPLIST.xls]_SHOPLIST_xl_3332"/>
      <sheetName val="[SHOPLIST.xls]_SHOPLIST_xl_3333"/>
      <sheetName val="[SHOPLIST.xls]_SHOPLIST_xl_3334"/>
      <sheetName val="[SHOPLIST.xls]_SHOPLIST_xl_3335"/>
      <sheetName val="[SHOPLIST.xls]_SHOPLIST_xl_3336"/>
      <sheetName val="[SHOPLIST.xls]_SHOPLIST_xl_3337"/>
      <sheetName val="[SHOPLIST.xls]_SHOPLIST_xl_3338"/>
      <sheetName val="[SHOPLIST.xls]_SHOPLIST_xl_3339"/>
      <sheetName val="[SHOPLIST.xls]_SHOPLIST_xl_3340"/>
      <sheetName val="[SHOPLIST.xls]_SHOPLIST_xl_3341"/>
      <sheetName val="[SHOPLIST.xls]_SHOPLIST_xl_3342"/>
      <sheetName val="[SHOPLIST.xls]_SHOPLIST_xl_3343"/>
      <sheetName val="[SHOPLIST.xls]_SHOPLIST_xl_3344"/>
      <sheetName val="[SHOPLIST.xls]_SHOPLIST_xl_3345"/>
      <sheetName val="[SHOPLIST.xls]_SHOPLIST_xl_3346"/>
      <sheetName val="[SHOPLIST.xls]_SHOPLIST_xl_3347"/>
      <sheetName val="[SHOPLIST.xls]_SHOPLIST_xl_3348"/>
      <sheetName val="[SHOPLIST.xls]_SHOPLIST_xl_3349"/>
      <sheetName val="[SHOPLIST.xls]_SHOPLIST_xl_3350"/>
      <sheetName val="[SHOPLIST.xls]_SHOPLIST_xl_3351"/>
      <sheetName val="[SHOPLIST.xls]_SHOPLIST_xl_3352"/>
      <sheetName val="[SHOPLIST.xls]_SHOPLIST_xl_3353"/>
      <sheetName val="[SHOPLIST.xls]_SHOPLIST_xl_3354"/>
      <sheetName val="[SHOPLIST.xls]_SHOPLIST_xl_3355"/>
      <sheetName val="[SHOPLIST.xls]_SHOPLIST_xl_3356"/>
      <sheetName val="[SHOPLIST.xls]_SHOPLIST_xl_3357"/>
      <sheetName val="[SHOPLIST.xls]70_x005f_x005f_x005f_x0000_14"/>
      <sheetName val="[SHOPLIST.xls]_SHOPLIST_xl_3358"/>
      <sheetName val="[SHOPLIST.xls]_SHOPLIST_xl_3359"/>
      <sheetName val="[SHOPLIST.xls]_SHOPLIST_xl_3360"/>
      <sheetName val="[SHOPLIST.xls]_SHOPLIST_xl_3361"/>
      <sheetName val="[SHOPLIST.xls]_SHOPLIST_xl_3362"/>
      <sheetName val="[SHOPLIST.xls]_SHOPLIST_xl_3363"/>
      <sheetName val="[SHOPLIST.xls]_SHOPLIST_xl_3364"/>
      <sheetName val="[SHOPLIST.xls]_SHOPLIST_xl_3365"/>
      <sheetName val="[SHOPLIST.xls]_SHOPLIST_xl_3366"/>
      <sheetName val="[SHOPLIST.xls]_SHOPLIST_xl_3367"/>
      <sheetName val="[SHOPLIST.xls]_SHOPLIST_xl_3368"/>
      <sheetName val="[SHOPLIST.xls]_SHOPLIST_xl_3369"/>
      <sheetName val="[SHOPLIST.xls]_SHOPLIST_xl_3370"/>
      <sheetName val="[SHOPLIST.xls]70___0_s__i____51"/>
      <sheetName val="[SHOPLIST.xls]_SHOPLIST_xl_3371"/>
      <sheetName val="[SHOPLIST.xls]_SHOPLIST_xl_3372"/>
      <sheetName val="[SHOPLIST.xls]_SHOPLIST_xl_3373"/>
      <sheetName val="[SHOPLIST.xls]_SHOPLIST_xl_3374"/>
      <sheetName val="[SHOPLIST.xls]_SHOPLIST_xl_3375"/>
      <sheetName val="[SHOPLIST.xls]_SHOPLIST_xl_3376"/>
      <sheetName val="[SHOPLIST.xls]_SHOPLIST_xl_3377"/>
      <sheetName val="[SHOPLIST.xls]_SHOPLIST_xl_3378"/>
      <sheetName val="[SHOPLIST.xls]_SHOPLIST_xl_3379"/>
      <sheetName val="[SHOPLIST.xls]_SHOPLIST_xl_3380"/>
      <sheetName val="[SHOPLIST.xls]_SHOPLIST_xl_3381"/>
      <sheetName val="[SHOPLIST.xls]_SHOPLIST_xl_3382"/>
      <sheetName val="[SHOPLIST.xls]_SHOPLIST_xl_3383"/>
      <sheetName val="[SHOPLIST.xls]_SHOPLIST_xl_3384"/>
      <sheetName val="[SHOPLIST.xls]_SHOPLIST_xl_3385"/>
      <sheetName val="[SHOPLIST.xls]_SHOPLIST_xl_3386"/>
      <sheetName val="[SHOPLIST.xls]_SHOPLIST_xl_3387"/>
      <sheetName val="[SHOPLIST.xls]_SHOPLIST_xl_3388"/>
      <sheetName val="[SHOPLIST.xls]_SHOPLIST_xl_3389"/>
      <sheetName val="[SHOPLIST.xls]_SHOPLIST_xl_3390"/>
      <sheetName val="[SHOPLIST.xls]_SHOPLIST_xl_3391"/>
      <sheetName val="[SHOPLIST.xls]_SHOPLIST_xl_3392"/>
      <sheetName val="[SHOPLIST.xls]_SHOPLIST_xl_3393"/>
      <sheetName val="[SHOPLIST.xls]_SHOPLIST_xl_3394"/>
      <sheetName val="[SHOPLIST.xls]_SHOPLIST_xl_3395"/>
      <sheetName val="[SHOPLIST.xls]_SHOPLIST_xl_3396"/>
      <sheetName val="[SHOPLIST.xls]_SHOPLIST_xl_3397"/>
      <sheetName val="[SHOPLIST.xls]_SHOPLIST_xl_3398"/>
      <sheetName val="[SHOPLIST.xls]_SHOPLIST_xl_3399"/>
      <sheetName val="[SHOPLIST.xls]_SHOPLIST_xl_3400"/>
      <sheetName val="[SHOPLIST.xls]_SHOPLIST_xl_3401"/>
      <sheetName val="[SHOPLIST.xls]_SHOPLIST_xl_3402"/>
      <sheetName val="[SHOPLIST.xls]_SHOPLIST_xl_3403"/>
      <sheetName val="[SHOPLIST.xls]_SHOPLIST_xl_3404"/>
      <sheetName val="[SHOPLIST.xls]_SHOPLIST_xl_3405"/>
      <sheetName val="[SHOPLIST.xls]_SHOPLIST_xl_3406"/>
      <sheetName val="[SHOPLIST.xls]_SHOPLIST_xl_3407"/>
      <sheetName val="[SHOPLIST.xls]_SHOPLIST_xl_3408"/>
      <sheetName val="[SHOPLIST.xls]_SHOPLIST_xl_3409"/>
      <sheetName val="[SHOPLIST.xls]_SHOPLIST_xl_3410"/>
      <sheetName val="[SHOPLIST.xls]_SHOPLIST_xl_3411"/>
      <sheetName val="[SHOPLIST.xls]_SHOPLIST_xl_3412"/>
      <sheetName val="[SHOPLIST.xls]_SHOPLIST_xl_3413"/>
      <sheetName val="[SHOPLIST.xls]_SHOPLIST_xl_3414"/>
      <sheetName val="[SHOPLIST.xls]_SHOPLIST_xl_3415"/>
      <sheetName val="[SHOPLIST.xls]_SHOPLIST_xl_3416"/>
      <sheetName val="[SHOPLIST.xls]_SHOPLIST_xl_3417"/>
      <sheetName val="[SHOPLIST.xls]_SHOPLIST_xl_3418"/>
      <sheetName val="[SHOPLIST.xls]_SHOPLIST_xl_3419"/>
      <sheetName val="[SHOPLIST.xls]_SHOPLIST_xl_3420"/>
      <sheetName val="[SHOPLIST.xls]_SHOPLIST_xl_3421"/>
      <sheetName val="[SHOPLIST.xls]_SHOPLIST_xl_3422"/>
      <sheetName val="[SHOPLIST.xls]_SHOPLIST_xl_3423"/>
      <sheetName val="[SHOPLIST.xls]_SHOPLIST_xl_3424"/>
      <sheetName val="[SHOPLIST.xls]_SHOPLIST_xl_3425"/>
      <sheetName val="[SHOPLIST.xls]_SHOPLIST_xl_3426"/>
      <sheetName val="[SHOPLIST.xls]_SHOPLIST_xl_3427"/>
      <sheetName val="[SHOPLIST.xls]_SHOPLIST_xl_3428"/>
      <sheetName val="[SHOPLIST.xls]_SHOPLIST_xl_3429"/>
      <sheetName val="[SHOPLIST.xls]_SHOPLIST_xl_3430"/>
      <sheetName val="[SHOPLIST.xls]_SHOPLIST_xl_3431"/>
      <sheetName val="[SHOPLIST.xls]_SHOPLIST_xl_3432"/>
      <sheetName val="[SHOPLIST.xls]_SHOPLIST_xl_3433"/>
      <sheetName val="[SHOPLIST.xls]_SHOPLIST_xl_3434"/>
      <sheetName val="[SHOPLIST.xls]_SHOPLIST_xl_3435"/>
      <sheetName val="[SHOPLIST.xls]_SHOPLIST_xl_3436"/>
      <sheetName val="[SHOPLIST.xls]_SHOPLIST_xl_3437"/>
      <sheetName val="[SHOPLIST.xls]_SHOPLIST_xl_3438"/>
      <sheetName val="[SHOPLIST.xls]_SHOPLIST_xl_3439"/>
      <sheetName val="[SHOPLIST.xls]_SHOPLIST_xl_3440"/>
      <sheetName val="[SHOPLIST.xls]_SHOPLIST_xl_3441"/>
      <sheetName val="[SHOPLIST.xls]_SHOPLIST_xl_3442"/>
      <sheetName val="[SHOPLIST.xls]_SHOPLIST_xl_3443"/>
      <sheetName val="[SHOPLIST.xls]_SHOPLIST_xl_3444"/>
      <sheetName val="[SHOPLIST.xls]_SHOPLIST_xl_3445"/>
      <sheetName val="[SHOPLIST.xls]_SHOPLIST_xl_3446"/>
      <sheetName val="[SHOPLIST.xls]_SHOPLIST_xl_3447"/>
      <sheetName val="[SHOPLIST.xls]_SHOPLIST_xl_3448"/>
      <sheetName val="[SHOPLIST.xls]_SHOPLIST_xl_3449"/>
      <sheetName val="[SHOPLIST.xls]_SHOPLIST_xl_3450"/>
      <sheetName val="[SHOPLIST.xls]_SHOPLIST_xl_3451"/>
      <sheetName val="[SHOPLIST.xls]_SHOPLIST_xl_3452"/>
      <sheetName val="[SHOPLIST.xls]_SHOPLIST_xl_3453"/>
      <sheetName val="[SHOPLIST.xls]_SHOPLIST_xl_3454"/>
      <sheetName val="[SHOPLIST.xls]_SHOPLIST_xl_1394"/>
      <sheetName val="[SHOPLIST.xls]_SHOPLIST_xl_1395"/>
      <sheetName val="[SHOPLIST.xls]_SHOPLIST_xl_1396"/>
      <sheetName val="[SHOPLIST.xls]_SHOPLIST_xl_1397"/>
      <sheetName val="[SHOPLIST.xls]_SHOPLIST_xl_1398"/>
      <sheetName val="[SHOPLIST.xls]_SHOPLIST_xl_1399"/>
      <sheetName val="[SHOPLIST.xls]_SHOPLIST_xl_1400"/>
      <sheetName val="[SHOPLIST.xls]_SHOPLIST_xl_1401"/>
      <sheetName val="[SHOPLIST.xls]_SHOPLIST_xl_1402"/>
      <sheetName val="[SHOPLIST.xls]_SHOPLIST_xl_1403"/>
      <sheetName val="[SHOPLIST.xls]_SHOPLIST_xl_1404"/>
      <sheetName val="[SHOPLIST.xls]_SHOPLIST_xl_1405"/>
      <sheetName val="[SHOPLIST.xls]_SHOPLIST_xl_1406"/>
      <sheetName val="[SHOPLIST.xls]_SHOPLIST_xl_1407"/>
      <sheetName val="[SHOPLIST.xls]_SHOPLIST_xl_1408"/>
      <sheetName val="[SHOPLIST.xls]_SHOPLIST_xl_1409"/>
      <sheetName val="[SHOPLIST.xls]_SHOPLIST_xl_1410"/>
      <sheetName val="[SHOPLIST.xls]_SHOPLIST_xl_1411"/>
      <sheetName val="[SHOPLIST.xls]_SHOPLIST_xl_1412"/>
      <sheetName val="[SHOPLIST.xls]_SHOPLIST_xl_1413"/>
      <sheetName val="[SHOPLIST.xls]_SHOPLIST_xl_1414"/>
      <sheetName val="[SHOPLIST.xls]_SHOPLIST_xl_1415"/>
      <sheetName val="[SHOPLIST.xls]_SHOPLIST_xl_1416"/>
      <sheetName val="[SHOPLIST.xls]_SHOPLIST_xl_1417"/>
      <sheetName val="[SHOPLIST.xls]_SHOPLIST_xl_1418"/>
      <sheetName val="[SHOPLIST.xls]_SHOPLIST_xl_1419"/>
      <sheetName val="[SHOPLIST.xls]_SHOPLIST_xl_1420"/>
      <sheetName val="[SHOPLIST.xls]_SHOPLIST_xl_1421"/>
      <sheetName val="[SHOPLIST.xls]_SHOPLIST_xl_1422"/>
      <sheetName val="[SHOPLIST.xls]_SHOPLIST_xl_1423"/>
      <sheetName val="[SHOPLIST.xls]_SHOPLIST_xl_1424"/>
      <sheetName val="[SHOPLIST.xls]_SHOPLIST_xl_1425"/>
      <sheetName val="[SHOPLIST.xls]_SHOPLIST_xl_1426"/>
      <sheetName val="[SHOPLIST.xls]_SHOPLIST_xl_1427"/>
      <sheetName val="[SHOPLIST.xls]_SHOPLIST_xl_1428"/>
      <sheetName val="[SHOPLIST.xls]_SHOPLIST_xl_1429"/>
      <sheetName val="[SHOPLIST.xls]_SHOPLIST_xl_1430"/>
      <sheetName val="[SHOPLIST.xls]_SHOPLIST_xl_1433"/>
      <sheetName val="[SHOPLIST.xls]_SHOPLIST_xl_1431"/>
      <sheetName val="[SHOPLIST.xls]_SHOPLIST_xl_1432"/>
      <sheetName val="[SHOPLIST.xls]_SHOPLIST_xl_1823"/>
      <sheetName val="[SHOPLIST.xls]_SHOPLIST_xl_1824"/>
      <sheetName val="[SHOPLIST.xls]_SHOPLIST_xl_1825"/>
      <sheetName val="[SHOPLIST.xls]_SHOPLIST_xl_1826"/>
      <sheetName val="[SHOPLIST.xls]_SHOPLIST_xl_1827"/>
      <sheetName val="[SHOPLIST.xls]_SHOPLIST_xl_1828"/>
      <sheetName val="[SHOPLIST.xls]_SHOPLIST_xl_1434"/>
      <sheetName val="[SHOPLIST.xls]_SHOPLIST_xl_1435"/>
      <sheetName val="[SHOPLIST.xls]_SHOPLIST_xl_1829"/>
      <sheetName val="[SHOPLIST.xls]_SHOPLIST_xl_1830"/>
      <sheetName val="[SHOPLIST.xls]_SHOPLIST_xl_1831"/>
      <sheetName val="[SHOPLIST.xls]_SHOPLIST_xl_1436"/>
      <sheetName val="[SHOPLIST.xls]_SHOPLIST_xl_1437"/>
      <sheetName val="[SHOPLIST.xls]_SHOPLIST_xl_1438"/>
      <sheetName val="[SHOPLIST.xls]_SHOPLIST_xl_1832"/>
      <sheetName val="[SHOPLIST.xls]_SHOPLIST_xl_1439"/>
      <sheetName val="[SHOPLIST.xls]_SHOPLIST_xl_1833"/>
      <sheetName val="[SHOPLIST.xls]_SHOPLIST_xl_1440"/>
      <sheetName val="[SHOPLIST.xls]_SHOPLIST_xl_1441"/>
      <sheetName val="[SHOPLIST.xls]_SHOPLIST_xl_1442"/>
      <sheetName val="[SHOPLIST.xls]_SHOPLIST_xl_1443"/>
      <sheetName val="[SHOPLIST.xls]_SHOPLIST_xl_1444"/>
      <sheetName val="[SHOPLIST.xls]_SHOPLIST_xl_1445"/>
      <sheetName val="[SHOPLIST.xls]_SHOPLIST_xl_1834"/>
      <sheetName val="[SHOPLIST.xls]_SHOPLIST_xl_1446"/>
      <sheetName val="[SHOPLIST.xls]_SHOPLIST_xl_1447"/>
      <sheetName val="[SHOPLIST.xls]_SHOPLIST_xl_1448"/>
      <sheetName val="[SHOPLIST.xls]_SHOPLIST_xl_1449"/>
      <sheetName val="[SHOPLIST.xls]_SHOPLIST_xl_1450"/>
      <sheetName val="[SHOPLIST.xls]_SHOPLIST_xl_1451"/>
      <sheetName val="[SHOPLIST.xls]_SHOPLIST_xl_1835"/>
      <sheetName val="[SHOPLIST.xls]_SHOPLIST_xl_1452"/>
      <sheetName val="[SHOPLIST.xls]_SHOPLIST_xl_1836"/>
      <sheetName val="[SHOPLIST.xls]_SHOPLIST_xl_1453"/>
      <sheetName val="[SHOPLIST.xls]_SHOPLIST_xl_1454"/>
      <sheetName val="[SHOPLIST.xls]_SHOPLIST_xl_1455"/>
      <sheetName val="[SHOPLIST.xls]_SHOPLIST_xl_1456"/>
      <sheetName val="[SHOPLIST.xls]_SHOPLIST_xl_1457"/>
      <sheetName val="[SHOPLIST.xls]_SHOPLIST_xl_1458"/>
      <sheetName val="[SHOPLIST.xls]_SHOPLIST_xl_1459"/>
      <sheetName val="[SHOPLIST.xls]_SHOPLIST_xl_1460"/>
      <sheetName val="[SHOPLIST.xls]_SHOPLIST_xl_1461"/>
      <sheetName val="[SHOPLIST.xls]_SHOPLIST_xl_1462"/>
      <sheetName val="[SHOPLIST.xls]_SHOPLIST_xl_1837"/>
      <sheetName val="[SHOPLIST.xls]_SHOPLIST_xl_1463"/>
      <sheetName val="[SHOPLIST.xls]_SHOPLIST_xl_1464"/>
      <sheetName val="[SHOPLIST.xls]_SHOPLIST_xl_1465"/>
      <sheetName val="[SHOPLIST.xls]_SHOPLIST_xl_1466"/>
      <sheetName val="[SHOPLIST.xls]_SHOPLIST_xl_1467"/>
      <sheetName val="[SHOPLIST.xls]_SHOPLIST_xl_1838"/>
      <sheetName val="[SHOPLIST.xls]_SHOPLIST_xl_1468"/>
      <sheetName val="[SHOPLIST.xls]_SHOPLIST_xl_1469"/>
      <sheetName val="[SHOPLIST.xls]_SHOPLIST_xl_1839"/>
      <sheetName val="[SHOPLIST.xls]_SHOPLIST_xl_1470"/>
      <sheetName val="[SHOPLIST.xls]_SHOPLIST_xl_1471"/>
      <sheetName val="[SHOPLIST.xls]_SHOPLIST_xl_1472"/>
      <sheetName val="[SHOPLIST.xls]_SHOPLIST_xl_1473"/>
      <sheetName val="[SHOPLIST.xls]_SHOPLIST_xl_1474"/>
      <sheetName val="[SHOPLIST.xls]_SHOPLIST_xl_1475"/>
      <sheetName val="[SHOPLIST.xls]_SHOPLIST_xl_1476"/>
      <sheetName val="[SHOPLIST.xls]_SHOPLIST_xl_1477"/>
      <sheetName val="[SHOPLIST.xls]_SHOPLIST_xl_1478"/>
      <sheetName val="[SHOPLIST.xls]_SHOPLIST_xl_1840"/>
      <sheetName val="[SHOPLIST.xls]_SHOPLIST_xl_1479"/>
      <sheetName val="[SHOPLIST.xls]_SHOPLIST_xl_1480"/>
      <sheetName val="[SHOPLIST.xls]_SHOPLIST_xl_1481"/>
      <sheetName val="[SHOPLIST.xls]_SHOPLIST_xl_1482"/>
      <sheetName val="[SHOPLIST.xls]_SHOPLIST_xl_1483"/>
      <sheetName val="[SHOPLIST.xls]_SHOPLIST_xl_1484"/>
      <sheetName val="[SHOPLIST.xls]_SHOPLIST_xl_1485"/>
      <sheetName val="[SHOPLIST.xls]_SHOPLIST_xl_1486"/>
      <sheetName val="[SHOPLIST.xls]_SHOPLIST_xl_1841"/>
      <sheetName val="[SHOPLIST.xls]_SHOPLIST_xl_1842"/>
      <sheetName val="[SHOPLIST.xls]_SHOPLIST_xl_1487"/>
      <sheetName val="[SHOPLIST.xls]_SHOPLIST_xl_1488"/>
      <sheetName val="[SHOPLIST.xls]_SHOPLIST_xl_1489"/>
      <sheetName val="[SHOPLIST.xls]_SHOPLIST_xl_1490"/>
      <sheetName val="[SHOPLIST.xls]_SHOPLIST_xl_1491"/>
      <sheetName val="[SHOPLIST.xls]_SHOPLIST_xl_1492"/>
      <sheetName val="[SHOPLIST.xls]_SHOPLIST_xl_1493"/>
      <sheetName val="[SHOPLIST.xls]_SHOPLIST_xl_1494"/>
      <sheetName val="[SHOPLIST.xls]_SHOPLIST_xl_1843"/>
      <sheetName val="[SHOPLIST.xls]_SHOPLIST_xl_1495"/>
      <sheetName val="[SHOPLIST.xls]_SHOPLIST_xl_1496"/>
      <sheetName val="[SHOPLIST.xls]_SHOPLIST_xl_1497"/>
      <sheetName val="[SHOPLIST.xls]_SHOPLIST_xl_1498"/>
      <sheetName val="[SHOPLIST.xls]_SHOPLIST_xl_1499"/>
      <sheetName val="[SHOPLIST.xls]_SHOPLIST_xl_1500"/>
      <sheetName val="[SHOPLIST.xls]_SHOPLIST_xl_1501"/>
      <sheetName val="[SHOPLIST.xls]_SHOPLIST_xl_1502"/>
      <sheetName val="[SHOPLIST.xls]_SHOPLIST_xl_1503"/>
      <sheetName val="[SHOPLIST.xls]_SHOPLIST_xl_1844"/>
      <sheetName val="[SHOPLIST.xls]_SHOPLIST_xl_1845"/>
      <sheetName val="[SHOPLIST.xls]_SHOPLIST_xl_1504"/>
      <sheetName val="[SHOPLIST.xls]_SHOPLIST_xl_1505"/>
      <sheetName val="[SHOPLIST.xls]_SHOPLIST_xl_1506"/>
      <sheetName val="[SHOPLIST.xls]_SHOPLIST_xl_1507"/>
      <sheetName val="[SHOPLIST.xls]_SHOPLIST_xl_1508"/>
      <sheetName val="[SHOPLIST.xls]_SHOPLIST_xl_1509"/>
      <sheetName val="[SHOPLIST.xls]_SHOPLIST_xl_1510"/>
      <sheetName val="[SHOPLIST.xls]_SHOPLIST_xl_1511"/>
      <sheetName val="[SHOPLIST.xls]_SHOPLIST_xl_1512"/>
      <sheetName val="[SHOPLIST.xls]_SHOPLIST_xl_1846"/>
      <sheetName val="[SHOPLIST.xls]_SHOPLIST_xl_1513"/>
      <sheetName val="[SHOPLIST.xls]_SHOPLIST_xl_1514"/>
      <sheetName val="[SHOPLIST.xls]_SHOPLIST_xl_1515"/>
      <sheetName val="[SHOPLIST.xls]_SHOPLIST_xl_1516"/>
      <sheetName val="[SHOPLIST.xls]_SHOPLIST_xl_1517"/>
      <sheetName val="[SHOPLIST.xls]_SHOPLIST_xl_1518"/>
      <sheetName val="[SHOPLIST.xls]_SHOPLIST_xl_1519"/>
      <sheetName val="[SHOPLIST.xls]_SHOPLIST_xl_1520"/>
      <sheetName val="[SHOPLIST.xls]_SHOPLIST_xl_1521"/>
      <sheetName val="[SHOPLIST.xls]_SHOPLIST_xl_1522"/>
      <sheetName val="[SHOPLIST.xls]_SHOPLIST_xl_1523"/>
      <sheetName val="[SHOPLIST.xls]_SHOPLIST_xl_1524"/>
      <sheetName val="[SHOPLIST.xls]_SHOPLIST_xl_1525"/>
      <sheetName val="[SHOPLIST.xls]_SHOPLIST_xl_1526"/>
      <sheetName val="[SHOPLIST.xls]_SHOPLIST_xl_1527"/>
      <sheetName val="[SHOPLIST.xls]_SHOPLIST_xl_1528"/>
      <sheetName val="[SHOPLIST.xls]_SHOPLIST_xl_1529"/>
      <sheetName val="[SHOPLIST.xls]_SHOPLIST_xl_1530"/>
      <sheetName val="[SHOPLIST.xls]_SHOPLIST_xl_1847"/>
      <sheetName val="[SHOPLIST.xls]_SHOPLIST_xl_1531"/>
      <sheetName val="[SHOPLIST.xls]_SHOPLIST_xl_1532"/>
      <sheetName val="[SHOPLIST.xls]_SHOPLIST_xl_1533"/>
      <sheetName val="[SHOPLIST.xls]_SHOPLIST_xl_1534"/>
      <sheetName val="[SHOPLIST.xls]_SHOPLIST_xl_1535"/>
      <sheetName val="[SHOPLIST.xls]_SHOPLIST_xl_1536"/>
      <sheetName val="[SHOPLIST.xls]_SHOPLIST_xl_1537"/>
      <sheetName val="[SHOPLIST.xls]_SHOPLIST_xl_1538"/>
      <sheetName val="[SHOPLIST.xls]_SHOPLIST_xl_1539"/>
      <sheetName val="[SHOPLIST.xls]_SHOPLIST_xl_1848"/>
      <sheetName val="[SHOPLIST.xls]_SHOPLIST_xl_1540"/>
      <sheetName val="[SHOPLIST.xls]_SHOPLIST_xl_1541"/>
      <sheetName val="[SHOPLIST.xls]_SHOPLIST_xl_1542"/>
      <sheetName val="[SHOPLIST.xls]_SHOPLIST_xl_1543"/>
      <sheetName val="[SHOPLIST.xls]_SHOPLIST_xl_1544"/>
      <sheetName val="[SHOPLIST.xls]_SHOPLIST_xl_1545"/>
      <sheetName val="[SHOPLIST.xls]_SHOPLIST_xl_1546"/>
      <sheetName val="[SHOPLIST.xls]_SHOPLIST_xl_1547"/>
      <sheetName val="[SHOPLIST.xls]_SHOPLIST_xl_1548"/>
      <sheetName val="[SHOPLIST.xls]_SHOPLIST_xl_1849"/>
      <sheetName val="[SHOPLIST.xls]_SHOPLIST_xl_1549"/>
      <sheetName val="[SHOPLIST.xls]_SHOPLIST_xl_1550"/>
      <sheetName val="[SHOPLIST.xls]_SHOPLIST_xl_1551"/>
      <sheetName val="[SHOPLIST.xls]_SHOPLIST_xl_1552"/>
      <sheetName val="[SHOPLIST.xls]_SHOPLIST_xl_1553"/>
      <sheetName val="[SHOPLIST.xls]_SHOPLIST_xl_1554"/>
      <sheetName val="[SHOPLIST.xls]_SHOPLIST_xl_1555"/>
      <sheetName val="[SHOPLIST.xls]_SHOPLIST_xl_1556"/>
      <sheetName val="[SHOPLIST.xls]_SHOPLIST_xl_1557"/>
      <sheetName val="[SHOPLIST.xls]_SHOPLIST_xl_1558"/>
      <sheetName val="[SHOPLIST.xls]_SHOPLIST_xl_1559"/>
      <sheetName val="[SHOPLIST.xls]_SHOPLIST_xl_1850"/>
      <sheetName val="[SHOPLIST.xls]_SHOPLIST_xl_1851"/>
      <sheetName val="[SHOPLIST.xls]_SHOPLIST_xl_1852"/>
      <sheetName val="[SHOPLIST.xls]_SHOPLIST_xl_1853"/>
      <sheetName val="[SHOPLIST.xls]_SHOPLIST_xl_1854"/>
      <sheetName val="[SHOPLIST.xls]_SHOPLIST_xl_1560"/>
      <sheetName val="[SHOPLIST.xls]_SHOPLIST_xl_1561"/>
      <sheetName val="[SHOPLIST.xls]_SHOPLIST_xl_1562"/>
      <sheetName val="[SHOPLIST.xls]_SHOPLIST_xl_1563"/>
      <sheetName val="[SHOPLIST.xls]_SHOPLIST_xl_1564"/>
      <sheetName val="[SHOPLIST.xls]_SHOPLIST_xl_1855"/>
      <sheetName val="[SHOPLIST.xls]_SHOPLIST_xl_1565"/>
      <sheetName val="[SHOPLIST.xls]_SHOPLIST_xl_1566"/>
      <sheetName val="[SHOPLIST.xls]_SHOPLIST_xl_1567"/>
      <sheetName val="[SHOPLIST.xls]_SHOPLIST_xl_1568"/>
      <sheetName val="[SHOPLIST.xls]_SHOPLIST_xl_1569"/>
      <sheetName val="[SHOPLIST.xls]_SHOPLIST_xl_1570"/>
      <sheetName val="[SHOPLIST.xls]_SHOPLIST_xl_1571"/>
      <sheetName val="[SHOPLIST.xls]_SHOPLIST_xl_1572"/>
      <sheetName val="[SHOPLIST.xls]_SHOPLIST_xl_1573"/>
      <sheetName val="[SHOPLIST.xls]_SHOPLIST_xl_1574"/>
      <sheetName val="[SHOPLIST.xls]_SHOPLIST_xl_1575"/>
      <sheetName val="[SHOPLIST.xls]_SHOPLIST_xl_1576"/>
      <sheetName val="[SHOPLIST.xls]_SHOPLIST_xl_1577"/>
      <sheetName val="[SHOPLIST.xls]_SHOPLIST_xl_1578"/>
      <sheetName val="[SHOPLIST.xls]_SHOPLIST_xl_1856"/>
      <sheetName val="[SHOPLIST.xls]_SHOPLIST_xl_1857"/>
      <sheetName val="[SHOPLIST.xls]_SHOPLIST_xl_1858"/>
      <sheetName val="[SHOPLIST.xls]_SHOPLIST_xl_1579"/>
      <sheetName val="[SHOPLIST.xls]_SHOPLIST_xl_1580"/>
      <sheetName val="[SHOPLIST.xls]_SHOPLIST_xl_1859"/>
      <sheetName val="[SHOPLIST.xls]_SHOPLIST_xl_1581"/>
      <sheetName val="[SHOPLIST.xls]_SHOPLIST_xl_1582"/>
      <sheetName val="[SHOPLIST.xls]_SHOPLIST_xl_1583"/>
      <sheetName val="[SHOPLIST.xls]_SHOPLIST_xl_1584"/>
      <sheetName val="[SHOPLIST.xls]_SHOPLIST_xl_1585"/>
      <sheetName val="[SHOPLIST.xls]_SHOPLIST_xl_1586"/>
      <sheetName val="[SHOPLIST.xls]_SHOPLIST_xl_1587"/>
      <sheetName val="[SHOPLIST.xls]_SHOPLIST_xl_1588"/>
      <sheetName val="[SHOPLIST.xls]_SHOPLIST_xl_1589"/>
      <sheetName val="[SHOPLIST.xls]_SHOPLIST_xl_1590"/>
      <sheetName val="[SHOPLIST.xls]_SHOPLIST_xl_1591"/>
      <sheetName val="[SHOPLIST.xls]_SHOPLIST_xl_1592"/>
      <sheetName val="[SHOPLIST.xls]_SHOPLIST_xl_1593"/>
      <sheetName val="[SHOPLIST.xls]_SHOPLIST_xl_1860"/>
      <sheetName val="[SHOPLIST.xls]_SHOPLIST_xl_1594"/>
      <sheetName val="[SHOPLIST.xls]_SHOPLIST_xl_1595"/>
      <sheetName val="[SHOPLIST.xls]_SHOPLIST_xl_1596"/>
      <sheetName val="[SHOPLIST.xls]_SHOPLIST_xl_1597"/>
      <sheetName val="[SHOPLIST.xls]_SHOPLIST_xl_1598"/>
      <sheetName val="[SHOPLIST.xls]_SHOPLIST_xl_1599"/>
      <sheetName val="[SHOPLIST.xls]_SHOPLIST_xl_1600"/>
      <sheetName val="[SHOPLIST.xls]_SHOPLIST_xl_1601"/>
      <sheetName val="[SHOPLIST.xls]_SHOPLIST_xl_1602"/>
      <sheetName val="[SHOPLIST.xls]_SHOPLIST_xl_1603"/>
      <sheetName val="[SHOPLIST.xls]_SHOPLIST_xl_1604"/>
      <sheetName val="[SHOPLIST.xls]_SHOPLIST_xl_1605"/>
      <sheetName val="[SHOPLIST.xls]_SHOPLIST_xl_1606"/>
      <sheetName val="[SHOPLIST.xls]_SHOPLIST_xl_1607"/>
      <sheetName val="[SHOPLIST.xls]_SHOPLIST_xl_1608"/>
      <sheetName val="[SHOPLIST.xls]_SHOPLIST_xl_1609"/>
      <sheetName val="[SHOPLIST.xls]_SHOPLIST_xl_1610"/>
      <sheetName val="[SHOPLIST.xls]_SHOPLIST_xl_1611"/>
      <sheetName val="[SHOPLIST.xls]_SHOPLIST_xl_1612"/>
      <sheetName val="[SHOPLIST.xls]_SHOPLIST_xl_1613"/>
      <sheetName val="[SHOPLIST.xls]_SHOPLIST_xl_1614"/>
      <sheetName val="[SHOPLIST.xls]_SHOPLIST_xl_1861"/>
      <sheetName val="[SHOPLIST.xls]_SHOPLIST_xl_1615"/>
      <sheetName val="[SHOPLIST.xls]_SHOPLIST_xl_1616"/>
      <sheetName val="[SHOPLIST.xls]_SHOPLIST_xl_1617"/>
      <sheetName val="[SHOPLIST.xls]_SHOPLIST_xl_1618"/>
      <sheetName val="[SHOPLIST.xls]_SHOPLIST_xl_1619"/>
      <sheetName val="[SHOPLIST.xls]_SHOPLIST_xl_1620"/>
      <sheetName val="[SHOPLIST.xls]_SHOPLIST_xl_1621"/>
      <sheetName val="[SHOPLIST.xls]_SHOPLIST_xl_1622"/>
      <sheetName val="[SHOPLIST.xls]_SHOPLIST_xl_1623"/>
      <sheetName val="[SHOPLIST.xls]_SHOPLIST_xl_1624"/>
      <sheetName val="[SHOPLIST.xls]_SHOPLIST_xl_1625"/>
      <sheetName val="[SHOPLIST.xls]_SHOPLIST_xl_1626"/>
      <sheetName val="[SHOPLIST.xls]_SHOPLIST_xl_1627"/>
      <sheetName val="[SHOPLIST.xls]_SHOPLIST_xl_1628"/>
      <sheetName val="[SHOPLIST.xls]_SHOPLIST_xl_1629"/>
      <sheetName val="[SHOPLIST.xls]_SHOPLIST_xl_1630"/>
      <sheetName val="[SHOPLIST.xls]_SHOPLIST_xl_1631"/>
      <sheetName val="[SHOPLIST.xls]_SHOPLIST_xl_1632"/>
      <sheetName val="[SHOPLIST.xls]_SHOPLIST_xl_1633"/>
      <sheetName val="[SHOPLIST.xls]_SHOPLIST_xl_1634"/>
      <sheetName val="[SHOPLIST.xls]_SHOPLIST_xl_1862"/>
      <sheetName val="[SHOPLIST.xls]_SHOPLIST_xl_1635"/>
      <sheetName val="[SHOPLIST.xls]_SHOPLIST_xl_1636"/>
      <sheetName val="[SHOPLIST.xls]_SHOPLIST_xl_1637"/>
      <sheetName val="[SHOPLIST.xls]_SHOPLIST_xl_1638"/>
      <sheetName val="[SHOPLIST.xls]_SHOPLIST_xl_1639"/>
      <sheetName val="[SHOPLIST.xls]_SHOPLIST_xl_1640"/>
      <sheetName val="[SHOPLIST.xls]_SHOPLIST_xl_1641"/>
      <sheetName val="[SHOPLIST.xls]_SHOPLIST_xl_1642"/>
      <sheetName val="[SHOPLIST.xls]_SHOPLIST_xl_1643"/>
      <sheetName val="[SHOPLIST.xls]_SHOPLIST_xl_1644"/>
      <sheetName val="[SHOPLIST.xls]_SHOPLIST_xl_1645"/>
      <sheetName val="[SHOPLIST.xls]_SHOPLIST_xl_1646"/>
      <sheetName val="[SHOPLIST.xls]_SHOPLIST_xl_1647"/>
      <sheetName val="[SHOPLIST.xls]_SHOPLIST_xl_1648"/>
      <sheetName val="[SHOPLIST.xls]_SHOPLIST_xl_1649"/>
      <sheetName val="[SHOPLIST.xls]_SHOPLIST_xl_1650"/>
      <sheetName val="[SHOPLIST.xls]_SHOPLIST_xl_1651"/>
      <sheetName val="[SHOPLIST.xls]_SHOPLIST_xl_1652"/>
      <sheetName val="[SHOPLIST.xls]_SHOPLIST_xl_1653"/>
      <sheetName val="[SHOPLIST.xls]_SHOPLIST_xl_1654"/>
      <sheetName val="[SHOPLIST.xls]_SHOPLIST_xl_1655"/>
      <sheetName val="[SHOPLIST.xls]_SHOPLIST_xl_1863"/>
      <sheetName val="[SHOPLIST.xls]_SHOPLIST_xl_1864"/>
      <sheetName val="[SHOPLIST.xls]_SHOPLIST_xl_1865"/>
      <sheetName val="[SHOPLIST.xls]_SHOPLIST_xl_1866"/>
      <sheetName val="[SHOPLIST.xls]_SHOPLIST_xl_1867"/>
      <sheetName val="[SHOPLIST.xls]_SHOPLIST_xl_1868"/>
      <sheetName val="[SHOPLIST.xls]_SHOPLIST_xl_1869"/>
      <sheetName val="[SHOPLIST.xls]_SHOPLIST_xl_1870"/>
      <sheetName val="[SHOPLIST.xls]_SHOPLIST_xl_1871"/>
      <sheetName val="[SHOPLIST.xls]_SHOPLIST_xl_1872"/>
      <sheetName val="[SHOPLIST.xls]_SHOPLIST_xl_1873"/>
      <sheetName val="[SHOPLIST.xls]_SHOPLIST_xl_1874"/>
      <sheetName val="[SHOPLIST.xls]_SHOPLIST_xl_1875"/>
      <sheetName val="[SHOPLIST.xls]_SHOPLIST_xl_1876"/>
      <sheetName val="[SHOPLIST.xls]_SHOPLIST_xl_1877"/>
      <sheetName val="[SHOPLIST.xls]_SHOPLIST_xl_1878"/>
      <sheetName val="[SHOPLIST.xls]_SHOPLIST_xl_1879"/>
      <sheetName val="[SHOPLIST.xls]_SHOPLIST_xl_1880"/>
      <sheetName val="[SHOPLIST.xls]_SHOPLIST_xl_1881"/>
      <sheetName val="[SHOPLIST.xls]_SHOPLIST_xl_1882"/>
      <sheetName val="[SHOPLIST.xls]_SHOPLIST_xl_1883"/>
      <sheetName val="[SHOPLIST.xls]_SHOPLIST_xl_1884"/>
      <sheetName val="[SHOPLIST.xls]_SHOPLIST_xl_1885"/>
      <sheetName val="[SHOPLIST.xls]_SHOPLIST_xl_1886"/>
      <sheetName val="[SHOPLIST.xls]_SHOPLIST_xl_1887"/>
      <sheetName val="[SHOPLIST.xls]_SHOPLIST_xl_1888"/>
      <sheetName val="[SHOPLIST.xls]_SHOPLIST_xl_1889"/>
      <sheetName val="[SHOPLIST.xls]_SHOPLIST_xl_1890"/>
      <sheetName val="[SHOPLIST.xls]_SHOPLIST_xl_1891"/>
      <sheetName val="[SHOPLIST.xls]_SHOPLIST_xl_1892"/>
      <sheetName val="[SHOPLIST.xls]_SHOPLIST_xl_1893"/>
      <sheetName val="[SHOPLIST.xls]_SHOPLIST_xl_1894"/>
      <sheetName val="[SHOPLIST.xls]_SHOPLIST_xl_1895"/>
      <sheetName val="[SHOPLIST.xls]_SHOPLIST_xl_1896"/>
      <sheetName val="[SHOPLIST.xls]_SHOPLIST_xl_1897"/>
      <sheetName val="[SHOPLIST.xls]_SHOPLIST_xl_1898"/>
      <sheetName val="[SHOPLIST.xls]_SHOPLIST_xl_1899"/>
      <sheetName val="[SHOPLIST.xls]_SHOPLIST_xl_1900"/>
      <sheetName val="[SHOPLIST.xls]_SHOPLIST_xl_1901"/>
      <sheetName val="[SHOPLIST.xls]_SHOPLIST_xl_1902"/>
      <sheetName val="[SHOPLIST.xls]_SHOPLIST_xl_1903"/>
      <sheetName val="[SHOPLIST.xls]_SHOPLIST_xl_1904"/>
      <sheetName val="[SHOPLIST.xls]_SHOPLIST_xl_1905"/>
      <sheetName val="[SHOPLIST.xls]_SHOPLIST_xl_1906"/>
      <sheetName val="[SHOPLIST.xls]_SHOPLIST_xl_1907"/>
      <sheetName val="[SHOPLIST.xls]_SHOPLIST_xl_1908"/>
      <sheetName val="[SHOPLIST.xls]_SHOPLIST_xl_1909"/>
      <sheetName val="[SHOPLIST.xls]_SHOPLIST_xl_1910"/>
      <sheetName val="[SHOPLIST.xls]_SHOPLIST_xl_1911"/>
      <sheetName val="[SHOPLIST.xls]_SHOPLIST_xl_1912"/>
      <sheetName val="[SHOPLIST.xls]_SHOPLIST_xl_1913"/>
      <sheetName val="[SHOPLIST.xls]_SHOPLIST_xl_1914"/>
      <sheetName val="[SHOPLIST.xls]_SHOPLIST_xl_1915"/>
      <sheetName val="[SHOPLIST.xls]_SHOPLIST_xl_1916"/>
      <sheetName val="[SHOPLIST.xls]_SHOPLIST_xl_1917"/>
      <sheetName val="[SHOPLIST.xls]_SHOPLIST_xl_1918"/>
      <sheetName val="[SHOPLIST.xls]_SHOPLIST_xl_1919"/>
      <sheetName val="[SHOPLIST.xls]_SHOPLIST_xl_1920"/>
      <sheetName val="[SHOPLIST.xls]_SHOPLIST_xl_1921"/>
      <sheetName val="[SHOPLIST.xls]_SHOPLIST_xl_1922"/>
      <sheetName val="[SHOPLIST.xls]_SHOPLIST_xl_1923"/>
      <sheetName val="[SHOPLIST.xls]_SHOPLIST_xl_1924"/>
      <sheetName val="[SHOPLIST.xls]_SHOPLIST_xl_1925"/>
      <sheetName val="[SHOPLIST.xls]_SHOPLIST_xl_1926"/>
      <sheetName val="[SHOPLIST.xls]_SHOPLIST_xl_1927"/>
      <sheetName val="[SHOPLIST.xls]_SHOPLIST_xl_1928"/>
      <sheetName val="[SHOPLIST.xls]_SHOPLIST_xl_1929"/>
      <sheetName val="[SHOPLIST.xls]_SHOPLIST_xl_1930"/>
      <sheetName val="[SHOPLIST.xls]_SHOPLIST_xl_1931"/>
      <sheetName val="[SHOPLIST.xls]_SHOPLIST_xl_1932"/>
      <sheetName val="[SHOPLIST.xls]_SHOPLIST_xl_1933"/>
      <sheetName val="[SHOPLIST.xls]_SHOPLIST_xl_2142"/>
      <sheetName val="[SHOPLIST.xls]_SHOPLIST_xl_1934"/>
      <sheetName val="[SHOPLIST.xls]_SHOPLIST_xl_1656"/>
      <sheetName val="[SHOPLIST.xls]_SHOPLIST_xl_1935"/>
      <sheetName val="[SHOPLIST.xls]_SHOPLIST_xl_1657"/>
      <sheetName val="[SHOPLIST.xls]_SHOPLIST_xl_1658"/>
      <sheetName val="[SHOPLIST.xls]_SHOPLIST_xl_1659"/>
      <sheetName val="[SHOPLIST.xls]_SHOPLIST_xl_1660"/>
      <sheetName val="[SHOPLIST.xls]_SHOPLIST_xl_1661"/>
      <sheetName val="[SHOPLIST.xls]_SHOPLIST_xl_1662"/>
      <sheetName val="[SHOPLIST.xls]_SHOPLIST_xl_1663"/>
      <sheetName val="[SHOPLIST.xls]_SHOPLIST_xl_1664"/>
      <sheetName val="[SHOPLIST.xls]_SHOPLIST_xl_1665"/>
      <sheetName val="[SHOPLIST.xls]_SHOPLIST_xl_1666"/>
      <sheetName val="[SHOPLIST.xls]_SHOPLIST_xl_1667"/>
      <sheetName val="[SHOPLIST.xls]_SHOPLIST_xl_1668"/>
      <sheetName val="[SHOPLIST.xls]_SHOPLIST_xl_1669"/>
      <sheetName val="[SHOPLIST.xls]_SHOPLIST_xl_1670"/>
      <sheetName val="[SHOPLIST.xls]_SHOPLIST_xl_1671"/>
      <sheetName val="[SHOPLIST.xls]_SHOPLIST_xl_1672"/>
      <sheetName val="[SHOPLIST.xls]_SHOPLIST_xl_1673"/>
      <sheetName val="[SHOPLIST.xls]_SHOPLIST_xl_1674"/>
      <sheetName val="[SHOPLIST.xls]_SHOPLIST_xl_1675"/>
      <sheetName val="[SHOPLIST.xls]_SHOPLIST_xl_1676"/>
      <sheetName val="[SHOPLIST.xls]_SHOPLIST_xl_1677"/>
      <sheetName val="[SHOPLIST.xls]_SHOPLIST_xl_1678"/>
      <sheetName val="[SHOPLIST.xls]_SHOPLIST_xl_1679"/>
      <sheetName val="[SHOPLIST.xls]_SHOPLIST_xl_1680"/>
      <sheetName val="[SHOPLIST.xls]_SHOPLIST_xl_1681"/>
      <sheetName val="[SHOPLIST.xls]_SHOPLIST_xl_1682"/>
      <sheetName val="[SHOPLIST.xls]_SHOPLIST_xl_1683"/>
      <sheetName val="[SHOPLIST.xls]_SHOPLIST_xl_1684"/>
      <sheetName val="[SHOPLIST.xls]_SHOPLIST_xl_1685"/>
      <sheetName val="[SHOPLIST.xls]_SHOPLIST_xl_1686"/>
      <sheetName val="[SHOPLIST.xls]_SHOPLIST_xl_1687"/>
      <sheetName val="[SHOPLIST.xls]_SHOPLIST_xl_1688"/>
      <sheetName val="[SHOPLIST.xls]_SHOPLIST_xl_1689"/>
      <sheetName val="[SHOPLIST.xls]_SHOPLIST_xl_1690"/>
      <sheetName val="[SHOPLIST.xls]_SHOPLIST_xl_1691"/>
      <sheetName val="[SHOPLIST.xls]_SHOPLIST_xl_1692"/>
      <sheetName val="[SHOPLIST.xls]_SHOPLIST_xl_1693"/>
      <sheetName val="[SHOPLIST.xls]_SHOPLIST_xl_1694"/>
      <sheetName val="[SHOPLIST.xls]_SHOPLIST_xl_1695"/>
      <sheetName val="[SHOPLIST.xls]_SHOPLIST_xl_1696"/>
      <sheetName val="[SHOPLIST.xls]_SHOPLIST_xl_1697"/>
      <sheetName val="[SHOPLIST.xls]_SHOPLIST_xl_1698"/>
      <sheetName val="[SHOPLIST.xls]_SHOPLIST_xl_1699"/>
      <sheetName val="[SHOPLIST.xls]_SHOPLIST_xl_1700"/>
      <sheetName val="[SHOPLIST.xls]_SHOPLIST_xl_1701"/>
      <sheetName val="[SHOPLIST.xls]_SHOPLIST_xl_1702"/>
      <sheetName val="[SHOPLIST.xls]_SHOPLIST_xl_1703"/>
      <sheetName val="[SHOPLIST.xls]_SHOPLIST_xl_1704"/>
      <sheetName val="[SHOPLIST.xls]_SHOPLIST_xl_1705"/>
      <sheetName val="[SHOPLIST.xls]_SHOPLIST_xl_1706"/>
      <sheetName val="[SHOPLIST.xls]_SHOPLIST_xl_1707"/>
      <sheetName val="[SHOPLIST.xls]_SHOPLIST_xl_1708"/>
      <sheetName val="[SHOPLIST.xls]_SHOPLIST_xl_1709"/>
      <sheetName val="[SHOPLIST.xls]_SHOPLIST_xl_1710"/>
      <sheetName val="[SHOPLIST.xls]_SHOPLIST_xl_1711"/>
      <sheetName val="[SHOPLIST.xls]_SHOPLIST_xl_1712"/>
      <sheetName val="[SHOPLIST.xls]_SHOPLIST_xl_1713"/>
      <sheetName val="[SHOPLIST.xls]_SHOPLIST_xl_1714"/>
      <sheetName val="[SHOPLIST.xls]_SHOPLIST_xl_1715"/>
      <sheetName val="[SHOPLIST.xls]_SHOPLIST_xl_1716"/>
      <sheetName val="[SHOPLIST.xls]_SHOPLIST_xl_1717"/>
      <sheetName val="[SHOPLIST.xls]_SHOPLIST_xl_1718"/>
      <sheetName val="[SHOPLIST.xls]_SHOPLIST_xl_1719"/>
      <sheetName val="[SHOPLIST.xls]_SHOPLIST_xl_1720"/>
      <sheetName val="[SHOPLIST.xls]_SHOPLIST_xl_1721"/>
      <sheetName val="[SHOPLIST.xls]_SHOPLIST_xl_1722"/>
      <sheetName val="[SHOPLIST.xls]_SHOPLIST_xl_1723"/>
      <sheetName val="[SHOPLIST.xls]_SHOPLIST_xl_1724"/>
      <sheetName val="[SHOPLIST.xls]_SHOPLIST_xl_1725"/>
      <sheetName val="[SHOPLIST.xls]_SHOPLIST_xl_1726"/>
      <sheetName val="[SHOPLIST.xls]_SHOPLIST_xl_1727"/>
      <sheetName val="[SHOPLIST.xls]_SHOPLIST_xl_1728"/>
      <sheetName val="[SHOPLIST.xls]_SHOPLIST_xl_1729"/>
      <sheetName val="[SHOPLIST.xls]_SHOPLIST_xl_1730"/>
      <sheetName val="[SHOPLIST.xls]_SHOPLIST_xl_1731"/>
      <sheetName val="[SHOPLIST.xls]_SHOPLIST_xl_1732"/>
      <sheetName val="[SHOPLIST.xls]_SHOPLIST_xl_1733"/>
      <sheetName val="[SHOPLIST.xls]_SHOPLIST_xl_1734"/>
      <sheetName val="[SHOPLIST.xls]_SHOPLIST_xl_1735"/>
      <sheetName val="[SHOPLIST.xls]_SHOPLIST_xl_1736"/>
      <sheetName val="[SHOPLIST.xls]_SHOPLIST_xl_1737"/>
      <sheetName val="[SHOPLIST.xls]_SHOPLIST_xl_1738"/>
      <sheetName val="[SHOPLIST.xls]_SHOPLIST_xl_1739"/>
      <sheetName val="[SHOPLIST.xls]_SHOPLIST_xl_1740"/>
      <sheetName val="[SHOPLIST.xls]_SHOPLIST_xl_1741"/>
      <sheetName val="[SHOPLIST.xls]_SHOPLIST_xl_1742"/>
      <sheetName val="[SHOPLIST.xls]_SHOPLIST_xl_1743"/>
      <sheetName val="[SHOPLIST.xls]_SHOPLIST_xl_1744"/>
      <sheetName val="[SHOPLIST.xls]_SHOPLIST_xl_1745"/>
      <sheetName val="[SHOPLIST.xls]_SHOPLIST_xl_1746"/>
      <sheetName val="[SHOPLIST.xls]_SHOPLIST_xl_1747"/>
      <sheetName val="[SHOPLIST.xls]_SHOPLIST_xl_1748"/>
      <sheetName val="[SHOPLIST.xls]_SHOPLIST_xl_1749"/>
      <sheetName val="[SHOPLIST.xls]_SHOPLIST_xl_1750"/>
      <sheetName val="[SHOPLIST.xls]_SHOPLIST_xl_1751"/>
      <sheetName val="[SHOPLIST.xls]_SHOPLIST_xl_1936"/>
      <sheetName val="[SHOPLIST.xls]_SHOPLIST_xl_1937"/>
      <sheetName val="[SHOPLIST.xls]_SHOPLIST_xl_1938"/>
      <sheetName val="[SHOPLIST.xls]_SHOPLIST_xl_1939"/>
      <sheetName val="[SHOPLIST.xls]_SHOPLIST_xl_1940"/>
      <sheetName val="[SHOPLIST.xls]_SHOPLIST_xl_1941"/>
      <sheetName val="[SHOPLIST.xls]_SHOPLIST_xl_1942"/>
      <sheetName val="[SHOPLIST.xls]_SHOPLIST_xl_1943"/>
      <sheetName val="[SHOPLIST.xls]_SHOPLIST_xl_1944"/>
      <sheetName val="[SHOPLIST.xls]_SHOPLIST_xl_1945"/>
      <sheetName val="[SHOPLIST.xls]_SHOPLIST_xl_1946"/>
      <sheetName val="[SHOPLIST.xls]_SHOPLIST_xl_1947"/>
      <sheetName val="[SHOPLIST.xls]_SHOPLIST_xl_1948"/>
      <sheetName val="[SHOPLIST.xls]_SHOPLIST_xl_1949"/>
      <sheetName val="[SHOPLIST.xls]_SHOPLIST_xl_1950"/>
      <sheetName val="[SHOPLIST.xls]_SHOPLIST_xl_1951"/>
      <sheetName val="[SHOPLIST.xls]_SHOPLIST_xl_1952"/>
      <sheetName val="[SHOPLIST.xls]_SHOPLIST_xl_1752"/>
      <sheetName val="[SHOPLIST.xls]_SHOPLIST_xl_1753"/>
      <sheetName val="[SHOPLIST.xls]_SHOPLIST_xl_1754"/>
      <sheetName val="[SHOPLIST.xls]_SHOPLIST_xl_1755"/>
      <sheetName val="[SHOPLIST.xls]_SHOPLIST_xl_1756"/>
      <sheetName val="[SHOPLIST.xls]_SHOPLIST_xl_1757"/>
      <sheetName val="[SHOPLIST.xls]_SHOPLIST_xl_1758"/>
      <sheetName val="[SHOPLIST.xls]_SHOPLIST_xl_1759"/>
      <sheetName val="[SHOPLIST.xls]_SHOPLIST_xl_1760"/>
      <sheetName val="[SHOPLIST.xls]_SHOPLIST_xl_1761"/>
      <sheetName val="[SHOPLIST.xls]_SHOPLIST_xl_1762"/>
      <sheetName val="[SHOPLIST.xls]_SHOPLIST_xl_1763"/>
      <sheetName val="[SHOPLIST.xls]_SHOPLIST_xl_1764"/>
      <sheetName val="[SHOPLIST.xls]_SHOPLIST_xl_1765"/>
      <sheetName val="[SHOPLIST.xls]_SHOPLIST_xl_1766"/>
      <sheetName val="[SHOPLIST.xls]_SHOPLIST_xl_1767"/>
      <sheetName val="[SHOPLIST.xls]_SHOPLIST_xl_1768"/>
      <sheetName val="[SHOPLIST.xls]_SHOPLIST_xl_1769"/>
      <sheetName val="[SHOPLIST.xls]_SHOPLIST_xl_1770"/>
      <sheetName val="[SHOPLIST.xls]_SHOPLIST_xl_1771"/>
      <sheetName val="[SHOPLIST.xls]_SHOPLIST_xl_1772"/>
      <sheetName val="[SHOPLIST.xls]_SHOPLIST_xl_1773"/>
      <sheetName val="[SHOPLIST.xls]_SHOPLIST_xl_1774"/>
      <sheetName val="[SHOPLIST.xls]_SHOPLIST_xl_1775"/>
      <sheetName val="[SHOPLIST.xls]_SHOPLIST_xl_1776"/>
      <sheetName val="[SHOPLIST.xls]_SHOPLIST_xl_1777"/>
      <sheetName val="[SHOPLIST.xls]_SHOPLIST_xl_1778"/>
      <sheetName val="[SHOPLIST.xls]_SHOPLIST_xl_1779"/>
      <sheetName val="[SHOPLIST.xls]_SHOPLIST_xl_1780"/>
      <sheetName val="[SHOPLIST.xls]_SHOPLIST_xl_1781"/>
      <sheetName val="[SHOPLIST.xls]_SHOPLIST_xl_1782"/>
      <sheetName val="[SHOPLIST.xls]_SHOPLIST_xl_1783"/>
      <sheetName val="[SHOPLIST.xls]_SHOPLIST_xl_1784"/>
      <sheetName val="[SHOPLIST.xls]_SHOPLIST_xl_1785"/>
      <sheetName val="[SHOPLIST.xls]_SHOPLIST_xl_1786"/>
      <sheetName val="[SHOPLIST.xls]_SHOPLIST_xl_1787"/>
      <sheetName val="[SHOPLIST.xls]_SHOPLIST_xl_1788"/>
      <sheetName val="[SHOPLIST.xls]_SHOPLIST_xl_1789"/>
      <sheetName val="[SHOPLIST.xls]_SHOPLIST_xl_1790"/>
      <sheetName val="[SHOPLIST.xls]_SHOPLIST_xl_1791"/>
      <sheetName val="[SHOPLIST.xls]_SHOPLIST_xl_1792"/>
      <sheetName val="[SHOPLIST.xls]_SHOPLIST_xl_1793"/>
      <sheetName val="[SHOPLIST.xls]_SHOPLIST_xl_1794"/>
      <sheetName val="[SHOPLIST.xls]_SHOPLIST_xl_1795"/>
      <sheetName val="[SHOPLIST.xls]_SHOPLIST_xl_1796"/>
      <sheetName val="[SHOPLIST.xls]_SHOPLIST_xl_1797"/>
      <sheetName val="[SHOPLIST.xls]_SHOPLIST_xl_1798"/>
      <sheetName val="[SHOPLIST.xls]_SHOPLIST_xl_1799"/>
      <sheetName val="[SHOPLIST.xls]_SHOPLIST_xl_1800"/>
      <sheetName val="[SHOPLIST.xls]_SHOPLIST_xl_1801"/>
      <sheetName val="[SHOPLIST.xls]_SHOPLIST_xl_1802"/>
      <sheetName val="[SHOPLIST.xls]_SHOPLIST_xl_1803"/>
      <sheetName val="[SHOPLIST.xls]_SHOPLIST_xl_1804"/>
      <sheetName val="[SHOPLIST.xls]_SHOPLIST_xl_1805"/>
      <sheetName val="[SHOPLIST.xls]_SHOPLIST_xl_1806"/>
      <sheetName val="[SHOPLIST.xls]_SHOPLIST_xl_1807"/>
      <sheetName val="[SHOPLIST.xls]_SHOPLIST_xl_1808"/>
      <sheetName val="[SHOPLIST.xls]_SHOPLIST_xl_1809"/>
      <sheetName val="[SHOPLIST.xls]_SHOPLIST_xl_1810"/>
      <sheetName val="[SHOPLIST.xls]_SHOPLIST_xl_1811"/>
      <sheetName val="[SHOPLIST.xls]_SHOPLIST_xl_1812"/>
      <sheetName val="[SHOPLIST.xls]_SHOPLIST_xl_1813"/>
      <sheetName val="[SHOPLIST.xls]_SHOPLIST_xl_1814"/>
      <sheetName val="[SHOPLIST.xls]_SHOPLIST_xl_1815"/>
      <sheetName val="[SHOPLIST.xls]_SHOPLIST_xl_1816"/>
      <sheetName val="[SHOPLIST.xls]_SHOPLIST_xl_1817"/>
      <sheetName val="[SHOPLIST.xls]_SHOPLIST_xl_1818"/>
      <sheetName val="[SHOPLIST.xls]_SHOPLIST_xl_1819"/>
      <sheetName val="[SHOPLIST.xls]_SHOPLIST_xl_1820"/>
      <sheetName val="[SHOPLIST.xls]_SHOPLIST_xl_1821"/>
      <sheetName val="[SHOPLIST.xls]_SHOPLIST_xl_1822"/>
      <sheetName val="[SHOPLIST.xls]_SHOPLIST_xl_2143"/>
      <sheetName val="[SHOPLIST.xls]_SHOPLIST_xl_2144"/>
      <sheetName val="[SHOPLIST.xls]_SHOPLIST_xl_2145"/>
      <sheetName val="[SHOPLIST.xls]_SHOPLIST_xl_2146"/>
      <sheetName val="[SHOPLIST.xls]_SHOPLIST_xl_2147"/>
      <sheetName val="[SHOPLIST.xls]_SHOPLIST_xl_1953"/>
      <sheetName val="[SHOPLIST.xls]70___0_s__i____38"/>
      <sheetName val="[SHOPLIST.xls]_SHOPLIST_xl_2148"/>
      <sheetName val="[SHOPLIST.xls]_SHOPLIST_xl_2149"/>
      <sheetName val="[SHOPLIST.xls]_SHOPLIST_xl_1954"/>
      <sheetName val="[SHOPLIST.xls]_SHOPLIST_xl_1955"/>
      <sheetName val="[SHOPLIST.xls]_SHOPLIST_xl_2150"/>
      <sheetName val="[SHOPLIST.xls]_SHOPLIST_xl_1956"/>
      <sheetName val="[SHOPLIST.xls]_SHOPLIST_xl_2151"/>
      <sheetName val="[SHOPLIST.xls]_SHOPLIST_xl_1957"/>
      <sheetName val="[SHOPLIST.xls]_SHOPLIST_xl_2152"/>
      <sheetName val="[SHOPLIST.xls]_SHOPLIST_xl_1958"/>
      <sheetName val="[SHOPLIST.xls]_SHOPLIST_xl_1959"/>
      <sheetName val="[SHOPLIST.xls]_SHOPLIST_xl_2153"/>
      <sheetName val="[SHOPLIST.xls]_SHOPLIST_xl_1960"/>
      <sheetName val="[SHOPLIST.xls]_SHOPLIST_xl_2154"/>
      <sheetName val="[SHOPLIST.xls]_SHOPLIST_xl_1961"/>
      <sheetName val="[SHOPLIST.xls]_SHOPLIST_xl_2155"/>
      <sheetName val="[SHOPLIST.xls]_SHOPLIST_xl_1962"/>
      <sheetName val="[SHOPLIST.xls]_SHOPLIST_xl_2156"/>
      <sheetName val="[SHOPLIST.xls]_SHOPLIST_xl_1963"/>
      <sheetName val="[SHOPLIST.xls]_SHOPLIST_xl_1964"/>
      <sheetName val="[SHOPLIST.xls]_SHOPLIST_xl_1965"/>
      <sheetName val="[SHOPLIST.xls]_SHOPLIST_xl_1966"/>
      <sheetName val="[SHOPLIST.xls]_SHOPLIST_xl_1967"/>
      <sheetName val="[SHOPLIST.xls]_SHOPLIST_xl_1968"/>
      <sheetName val="[SHOPLIST.xls]_SHOPLIST_xl_1969"/>
      <sheetName val="[SHOPLIST.xls]_SHOPLIST_xl_2157"/>
      <sheetName val="[SHOPLIST.xls]_SHOPLIST_xl_1970"/>
      <sheetName val="[SHOPLIST.xls]_SHOPLIST_xl_1971"/>
      <sheetName val="[SHOPLIST.xls]_SHOPLIST_xl_1972"/>
      <sheetName val="[SHOPLIST.xls]_SHOPLIST_xl_2158"/>
      <sheetName val="[SHOPLIST.xls]_SHOPLIST_xl_1973"/>
      <sheetName val="[SHOPLIST.xls]_SHOPLIST_xl_1974"/>
      <sheetName val="[SHOPLIST.xls]_SHOPLIST_xl_2159"/>
      <sheetName val="[SHOPLIST.xls]_SHOPLIST_xl_1975"/>
      <sheetName val="[SHOPLIST.xls]_SHOPLIST_xl_1976"/>
      <sheetName val="[SHOPLIST.xls]_SHOPLIST_xl_1977"/>
      <sheetName val="[SHOPLIST.xls]_SHOPLIST_xl_1978"/>
      <sheetName val="[SHOPLIST.xls]_SHOPLIST_xl_1979"/>
      <sheetName val="[SHOPLIST.xls]_SHOPLIST_xl_1980"/>
      <sheetName val="[SHOPLIST.xls]_SHOPLIST_xl_1981"/>
      <sheetName val="[SHOPLIST.xls]_SHOPLIST_xl_1982"/>
      <sheetName val="[SHOPLIST.xls]_SHOPLIST_xl_1983"/>
      <sheetName val="[SHOPLIST.xls]_SHOPLIST_xl_2160"/>
      <sheetName val="[SHOPLIST.xls]_SHOPLIST_xl_1984"/>
      <sheetName val="[SHOPLIST.xls]_SHOPLIST_xl_1985"/>
      <sheetName val="[SHOPLIST.xls]_SHOPLIST_xl_1986"/>
      <sheetName val="[SHOPLIST.xls]_SHOPLIST_xl_1987"/>
      <sheetName val="[SHOPLIST.xls]_SHOPLIST_xl_1988"/>
      <sheetName val="[SHOPLIST.xls]_SHOPLIST_xl_1989"/>
      <sheetName val="[SHOPLIST.xls]_SHOPLIST_xl_1990"/>
      <sheetName val="[SHOPLIST.xls]_SHOPLIST_xl_2161"/>
      <sheetName val="[SHOPLIST.xls]_SHOPLIST_xl_1991"/>
      <sheetName val="[SHOPLIST.xls]_SHOPLIST_xl_2162"/>
      <sheetName val="[SHOPLIST.xls]_SHOPLIST_xl_1992"/>
      <sheetName val="[SHOPLIST.xls]_SHOPLIST_xl_1993"/>
      <sheetName val="[SHOPLIST.xls]_SHOPLIST_xl_1994"/>
      <sheetName val="[SHOPLIST.xls]_SHOPLIST_xl_1995"/>
      <sheetName val="[SHOPLIST.xls]_SHOPLIST_xl_1996"/>
      <sheetName val="[SHOPLIST.xls]_SHOPLIST_xl_1997"/>
      <sheetName val="[SHOPLIST.xls]_SHOPLIST_xl_1998"/>
      <sheetName val="[SHOPLIST.xls]_SHOPLIST_xl_1999"/>
      <sheetName val="[SHOPLIST.xls]_SHOPLIST_xl_2163"/>
      <sheetName val="[SHOPLIST.xls]_SHOPLIST_xl_2000"/>
      <sheetName val="[SHOPLIST.xls]_SHOPLIST_xl_2001"/>
      <sheetName val="[SHOPLIST.xls]_SHOPLIST_xl_2002"/>
      <sheetName val="[SHOPLIST.xls]_SHOPLIST_xl_2003"/>
      <sheetName val="[SHOPLIST.xls]_SHOPLIST_xl_2004"/>
      <sheetName val="[SHOPLIST.xls]_SHOPLIST_xl_2005"/>
      <sheetName val="[SHOPLIST.xls]_SHOPLIST_xl_2006"/>
      <sheetName val="[SHOPLIST.xls]_SHOPLIST_xl_2007"/>
      <sheetName val="[SHOPLIST.xls]_SHOPLIST_xl_2008"/>
      <sheetName val="[SHOPLIST.xls]_SHOPLIST_xl_2164"/>
      <sheetName val="[SHOPLIST.xls]_SHOPLIST_xl_2165"/>
      <sheetName val="[SHOPLIST.xls]_SHOPLIST_xl_2009"/>
      <sheetName val="[SHOPLIST.xls]_SHOPLIST_xl_2010"/>
      <sheetName val="[SHOPLIST.xls]_SHOPLIST_xl_2011"/>
      <sheetName val="[SHOPLIST.xls]_SHOPLIST_xl_2012"/>
      <sheetName val="[SHOPLIST.xls]_SHOPLIST_xl_2013"/>
      <sheetName val="[SHOPLIST.xls]_SHOPLIST_xl_2014"/>
      <sheetName val="[SHOPLIST.xls]_SHOPLIST_xl_2015"/>
      <sheetName val="[SHOPLIST.xls]_SHOPLIST_xl_2016"/>
      <sheetName val="[SHOPLIST.xls]_SHOPLIST_xl_2017"/>
      <sheetName val="[SHOPLIST.xls]_SHOPLIST_xl_2166"/>
      <sheetName val="[SHOPLIST.xls]_SHOPLIST_xl_2018"/>
      <sheetName val="[SHOPLIST.xls]_SHOPLIST_xl_2019"/>
      <sheetName val="[SHOPLIST.xls]_SHOPLIST_xl_2020"/>
      <sheetName val="[SHOPLIST.xls]_SHOPLIST_xl_2021"/>
      <sheetName val="[SHOPLIST.xls]_SHOPLIST_xl_2022"/>
      <sheetName val="[SHOPLIST.xls]_SHOPLIST_xl_2023"/>
      <sheetName val="[SHOPLIST.xls]_SHOPLIST_xl_2024"/>
      <sheetName val="[SHOPLIST.xls]_SHOPLIST_xl_2025"/>
      <sheetName val="[SHOPLIST.xls]_SHOPLIST_xl_2026"/>
      <sheetName val="[SHOPLIST.xls]_SHOPLIST_xl_2027"/>
      <sheetName val="[SHOPLIST.xls]_SHOPLIST_xl_2028"/>
      <sheetName val="[SHOPLIST.xls]_SHOPLIST_xl_2029"/>
      <sheetName val="[SHOPLIST.xls]_SHOPLIST_xl_2030"/>
      <sheetName val="[SHOPLIST.xls]_SHOPLIST_xl_2031"/>
      <sheetName val="[SHOPLIST.xls]_SHOPLIST_xl_2032"/>
      <sheetName val="[SHOPLIST.xls]_SHOPLIST_xl_2033"/>
      <sheetName val="[SHOPLIST.xls]_SHOPLIST_xl_2034"/>
      <sheetName val="[SHOPLIST.xls]_SHOPLIST_xl_2035"/>
      <sheetName val="[SHOPLIST.xls]_SHOPLIST_xl_2167"/>
      <sheetName val="[SHOPLIST.xls]_SHOPLIST_xl_2036"/>
      <sheetName val="[SHOPLIST.xls]_SHOPLIST_xl_2037"/>
      <sheetName val="[SHOPLIST.xls]_SHOPLIST_xl_2038"/>
      <sheetName val="[SHOPLIST.xls]_SHOPLIST_xl_2039"/>
      <sheetName val="[SHOPLIST.xls]_SHOPLIST_xl_2040"/>
      <sheetName val="[SHOPLIST.xls]_SHOPLIST_xl_2041"/>
      <sheetName val="[SHOPLIST.xls]_SHOPLIST_xl_2042"/>
      <sheetName val="[SHOPLIST.xls]_SHOPLIST_xl_2043"/>
      <sheetName val="[SHOPLIST.xls]_SHOPLIST_xl_2044"/>
      <sheetName val="[SHOPLIST.xls]_SHOPLIST_xl_2168"/>
      <sheetName val="[SHOPLIST.xls]_SHOPLIST_xl_2045"/>
      <sheetName val="[SHOPLIST.xls]_SHOPLIST_xl_2046"/>
      <sheetName val="[SHOPLIST.xls]_SHOPLIST_xl_2047"/>
      <sheetName val="[SHOPLIST.xls]_SHOPLIST_xl_2048"/>
      <sheetName val="[SHOPLIST.xls]_SHOPLIST_xl_2049"/>
      <sheetName val="[SHOPLIST.xls]_SHOPLIST_xl_2050"/>
      <sheetName val="[SHOPLIST.xls]_SHOPLIST_xl_2051"/>
      <sheetName val="[SHOPLIST.xls]_SHOPLIST_xl_2052"/>
      <sheetName val="[SHOPLIST.xls]_SHOPLIST_xl_2053"/>
      <sheetName val="[SHOPLIST.xls]_SHOPLIST_xl_2169"/>
      <sheetName val="[SHOPLIST.xls]_SHOPLIST_xl_2054"/>
      <sheetName val="[SHOPLIST.xls]_SHOPLIST_xl_2055"/>
      <sheetName val="[SHOPLIST.xls]_SHOPLIST_xl_2056"/>
      <sheetName val="[SHOPLIST.xls]_SHOPLIST_xl_2057"/>
      <sheetName val="[SHOPLIST.xls]_SHOPLIST_xl_2058"/>
      <sheetName val="[SHOPLIST.xls]_SHOPLIST_xl_2059"/>
      <sheetName val="[SHOPLIST.xls]_SHOPLIST_xl_2060"/>
      <sheetName val="[SHOPLIST.xls]_SHOPLIST_xl_2061"/>
      <sheetName val="[SHOPLIST.xls]_SHOPLIST_xl_2062"/>
      <sheetName val="[SHOPLIST.xls]_SHOPLIST_xl_2170"/>
      <sheetName val="[SHOPLIST.xls]_SHOPLIST_xl_2063"/>
      <sheetName val="[SHOPLIST.xls]_SHOPLIST_xl_2064"/>
      <sheetName val="[SHOPLIST.xls]_SHOPLIST_xl_2171"/>
      <sheetName val="[SHOPLIST.xls]_SHOPLIST_xl_2172"/>
      <sheetName val="[SHOPLIST.xls]_SHOPLIST_xl_2173"/>
      <sheetName val="[SHOPLIST.xls]_SHOPLIST_xl_2174"/>
      <sheetName val="[SHOPLIST.xls]_SHOPLIST_xl_2065"/>
      <sheetName val="[SHOPLIST.xls]_SHOPLIST_xl_2175"/>
      <sheetName val="[SHOPLIST.xls]_SHOPLIST_xl_2176"/>
      <sheetName val="[SHOPLIST.xls]_SHOPLIST_xl_2177"/>
      <sheetName val="[SHOPLIST.xls]70___0_s__i____39"/>
      <sheetName val="[SHOPLIST.xls]_SHOPLIST_xl_2178"/>
      <sheetName val="[SHOPLIST.xls]_SHOPLIST_xl_2179"/>
      <sheetName val="[SHOPLIST.xls]_SHOPLIST_xl_2180"/>
      <sheetName val="[SHOPLIST.xls]_SHOPLIST_xl_2181"/>
      <sheetName val="[SHOPLIST.xls]_SHOPLIST_xl_2182"/>
      <sheetName val="[SHOPLIST.xls]_SHOPLIST_xl_2183"/>
      <sheetName val="[SHOPLIST.xls]_SHOPLIST_xl_2184"/>
      <sheetName val="[SHOPLIST.xls]_SHOPLIST_xl_2185"/>
      <sheetName val="[SHOPLIST.xls]_SHOPLIST_xl_2186"/>
      <sheetName val="[SHOPLIST.xls]_SHOPLIST_xl_2187"/>
      <sheetName val="[SHOPLIST.xls]_SHOPLIST_xl_2188"/>
      <sheetName val="[SHOPLIST.xls]_SHOPLIST_xl_2189"/>
      <sheetName val="[SHOPLIST.xls]_SHOPLIST_xl_2190"/>
      <sheetName val="[SHOPLIST.xls]_SHOPLIST_xl_2191"/>
      <sheetName val="[SHOPLIST.xls]_SHOPLIST_xl_2192"/>
      <sheetName val="[SHOPLIST.xls]_SHOPLIST_xl_2193"/>
      <sheetName val="[SHOPLIST.xls]_SHOPLIST_xl_2194"/>
      <sheetName val="[SHOPLIST.xls]_SHOPLIST_xl_2195"/>
      <sheetName val="[SHOPLIST.xls]_SHOPLIST_xl_2196"/>
      <sheetName val="[SHOPLIST.xls]_SHOPLIST_xl_2197"/>
      <sheetName val="[SHOPLIST.xls]_SHOPLIST_xl_2198"/>
      <sheetName val="[SHOPLIST.xls]_SHOPLIST_xl_2199"/>
      <sheetName val="[SHOPLIST.xls]_SHOPLIST_xl_2200"/>
      <sheetName val="[SHOPLIST.xls]_SHOPLIST_xl_2201"/>
      <sheetName val="[SHOPLIST.xls]_SHOPLIST_xl_2202"/>
      <sheetName val="[SHOPLIST.xls]_SHOPLIST_xl_2203"/>
      <sheetName val="[SHOPLIST.xls]_SHOPLIST_xl_2204"/>
      <sheetName val="[SHOPLIST.xls]_SHOPLIST_xl_2205"/>
      <sheetName val="[SHOPLIST.xls]_SHOPLIST_xl_2206"/>
      <sheetName val="[SHOPLIST.xls]_SHOPLIST_xl_2207"/>
      <sheetName val="[SHOPLIST.xls]_SHOPLIST_xl_2208"/>
      <sheetName val="[SHOPLIST.xls]_SHOPLIST_xl_2209"/>
      <sheetName val="[SHOPLIST.xls]_SHOPLIST_xl_2210"/>
      <sheetName val="[SHOPLIST.xls]_SHOPLIST_xl_2211"/>
      <sheetName val="[SHOPLIST.xls]_SHOPLIST_xl_2212"/>
      <sheetName val="[SHOPLIST.xls]_SHOPLIST_xl_2213"/>
      <sheetName val="[SHOPLIST.xls]_SHOPLIST_xl_2214"/>
      <sheetName val="[SHOPLIST.xls]_SHOPLIST_xl_2215"/>
      <sheetName val="[SHOPLIST.xls]_SHOPLIST_xl_2216"/>
      <sheetName val="[SHOPLIST.xls]_SHOPLIST_xl_2217"/>
      <sheetName val="[SHOPLIST.xls]_SHOPLIST_xl_2218"/>
      <sheetName val="[SHOPLIST.xls]_SHOPLIST_xl_2219"/>
      <sheetName val="[SHOPLIST.xls]_SHOPLIST_xl_2220"/>
      <sheetName val="[SHOPLIST.xls]_SHOPLIST_xl_2221"/>
      <sheetName val="[SHOPLIST.xls]_SHOPLIST_xl_2222"/>
      <sheetName val="[SHOPLIST.xls]_SHOPLIST_xl_2223"/>
      <sheetName val="[SHOPLIST.xls]_SHOPLIST_xl_2224"/>
      <sheetName val="[SHOPLIST.xls]_SHOPLIST_xl_2225"/>
      <sheetName val="[SHOPLIST.xls]_SHOPLIST_xl_2226"/>
      <sheetName val="[SHOPLIST.xls]_SHOPLIST_xl_2227"/>
      <sheetName val="[SHOPLIST.xls]_SHOPLIST_xl_2228"/>
      <sheetName val="[SHOPLIST.xls]_SHOPLIST_xl_2229"/>
      <sheetName val="[SHOPLIST.xls]_SHOPLIST_xl_2230"/>
      <sheetName val="[SHOPLIST.xls]_SHOPLIST_xl_2231"/>
      <sheetName val="[SHOPLIST.xls]_SHOPLIST_xl_2232"/>
      <sheetName val="[SHOPLIST.xls]_SHOPLIST_xl_2233"/>
      <sheetName val="[SHOPLIST.xls]_SHOPLIST_xl_2234"/>
      <sheetName val="[SHOPLIST.xls]_SHOPLIST_xl_2235"/>
      <sheetName val="[SHOPLIST.xls]_SHOPLIST_xl_2236"/>
      <sheetName val="[SHOPLIST.xls]_SHOPLIST_xl_2237"/>
      <sheetName val="[SHOPLIST.xls]_SHOPLIST_xl_2238"/>
      <sheetName val="[SHOPLIST.xls]_SHOPLIST_xl_2239"/>
      <sheetName val="[SHOPLIST.xls]_SHOPLIST_xl_2240"/>
      <sheetName val="[SHOPLIST.xls]_SHOPLIST_xl_2241"/>
      <sheetName val="[SHOPLIST.xls]_SHOPLIST_xl_2242"/>
      <sheetName val="[SHOPLIST.xls]_SHOPLIST_xl_2243"/>
      <sheetName val="[SHOPLIST.xls]_SHOPLIST_xl_2244"/>
      <sheetName val="[SHOPLIST.xls]_SHOPLIST_xl_2245"/>
      <sheetName val="[SHOPLIST.xls]_SHOPLIST_xl_2246"/>
      <sheetName val="[SHOPLIST.xls]_SHOPLIST_xl_2247"/>
      <sheetName val="[SHOPLIST.xls]_SHOPLIST_xl_2248"/>
      <sheetName val="[SHOPLIST.xls]_SHOPLIST_xl_2249"/>
      <sheetName val="[SHOPLIST.xls]_SHOPLIST_xl_2250"/>
      <sheetName val="[SHOPLIST.xls]_SHOPLIST_xl_2251"/>
      <sheetName val="[SHOPLIST.xls]_SHOPLIST_xl_2252"/>
      <sheetName val="[SHOPLIST.xls]_SHOPLIST_xl_2066"/>
      <sheetName val="[SHOPLIST.xls]_SHOPLIST_xl_2067"/>
      <sheetName val="[SHOPLIST.xls]_SHOPLIST_xl_2068"/>
      <sheetName val="[SHOPLIST.xls]_SHOPLIST_xl_2069"/>
      <sheetName val="[SHOPLIST.xls]_SHOPLIST_xl_2070"/>
      <sheetName val="[SHOPLIST.xls]_SHOPLIST_xl_2071"/>
      <sheetName val="[SHOPLIST.xls]_SHOPLIST_xl_2072"/>
      <sheetName val="[SHOPLIST.xls]_SHOPLIST_xl_2073"/>
      <sheetName val="[SHOPLIST.xls]_SHOPLIST_xl_2074"/>
      <sheetName val="[SHOPLIST.xls]_SHOPLIST_xl_2075"/>
      <sheetName val="[SHOPLIST.xls]_SHOPLIST_xl_2076"/>
      <sheetName val="[SHOPLIST.xls]_SHOPLIST_xl_2077"/>
      <sheetName val="[SHOPLIST.xls]_SHOPLIST_xl_2078"/>
      <sheetName val="[SHOPLIST.xls]_SHOPLIST_xl_2079"/>
      <sheetName val="[SHOPLIST.xls]_SHOPLIST_xl_2080"/>
      <sheetName val="[SHOPLIST.xls]_SHOPLIST_xl_2081"/>
      <sheetName val="[SHOPLIST.xls]_SHOPLIST_xl_2253"/>
      <sheetName val="[SHOPLIST.xls]_SHOPLIST_xl_2254"/>
      <sheetName val="[SHOPLIST.xls]_SHOPLIST_xl_2255"/>
      <sheetName val="[SHOPLIST.xls]_SHOPLIST_xl_2082"/>
      <sheetName val="[SHOPLIST.xls]_SHOPLIST_xl_2083"/>
      <sheetName val="[SHOPLIST.xls]_SHOPLIST_xl_2084"/>
      <sheetName val="[SHOPLIST.xls]_SHOPLIST_xl_2085"/>
      <sheetName val="[SHOPLIST.xls]_SHOPLIST_xl_2086"/>
      <sheetName val="[SHOPLIST.xls]_SHOPLIST_xl_2087"/>
      <sheetName val="[SHOPLIST.xls]_SHOPLIST_xl_2256"/>
      <sheetName val="[SHOPLIST.xls]_SHOPLIST_xl_2257"/>
      <sheetName val="[SHOPLIST.xls]_SHOPLIST_xl_2258"/>
      <sheetName val="[SHOPLIST.xls]_SHOPLIST_xl_2259"/>
      <sheetName val="[SHOPLIST.xls]_SHOPLIST_xl_2260"/>
      <sheetName val="[SHOPLIST.xls]_SHOPLIST_xl_2261"/>
      <sheetName val="[SHOPLIST.xls]_SHOPLIST_xl_2262"/>
      <sheetName val="[SHOPLIST.xls]_SHOPLIST_xl_2263"/>
      <sheetName val="[SHOPLIST.xls]_SHOPLIST_xl_2264"/>
      <sheetName val="[SHOPLIST.xls]_SHOPLIST_xl_2265"/>
      <sheetName val="[SHOPLIST.xls]_SHOPLIST_xl_2266"/>
      <sheetName val="[SHOPLIST.xls]_SHOPLIST_xl_2267"/>
      <sheetName val="[SHOPLIST.xls]_SHOPLIST_xl_2268"/>
      <sheetName val="[SHOPLIST.xls]_SHOPLIST_xl_2269"/>
      <sheetName val="[SHOPLIST.xls]_SHOPLIST_xl_2270"/>
      <sheetName val="[SHOPLIST.xls]_SHOPLIST_xl_2088"/>
      <sheetName val="[SHOPLIST.xls]_SHOPLIST_xl_2089"/>
      <sheetName val="[SHOPLIST.xls]_SHOPLIST_xl_2090"/>
      <sheetName val="[SHOPLIST.xls]_SHOPLIST_xl_2091"/>
      <sheetName val="[SHOPLIST.xls]_SHOPLIST_xl_2092"/>
      <sheetName val="[SHOPLIST.xls]_SHOPLIST_xl_2093"/>
      <sheetName val="[SHOPLIST.xls]_SHOPLIST_xl_2271"/>
      <sheetName val="[SHOPLIST.xls]_SHOPLIST_xl_2094"/>
      <sheetName val="[SHOPLIST.xls]_SHOPLIST_xl_2095"/>
      <sheetName val="[SHOPLIST.xls]_SHOPLIST_xl_2096"/>
      <sheetName val="[SHOPLIST.xls]_SHOPLIST_xl_2097"/>
      <sheetName val="[SHOPLIST.xls]_SHOPLIST_xl_2098"/>
      <sheetName val="[SHOPLIST.xls]_SHOPLIST_xl_2099"/>
      <sheetName val="[SHOPLIST.xls]_SHOPLIST_xl_2100"/>
      <sheetName val="[SHOPLIST.xls]_SHOPLIST_xl_2101"/>
      <sheetName val="[SHOPLIST.xls]_SHOPLIST_xl_2102"/>
      <sheetName val="[SHOPLIST.xls]_SHOPLIST_xl_2103"/>
      <sheetName val="[SHOPLIST.xls]_SHOPLIST_xl_2104"/>
      <sheetName val="[SHOPLIST.xls]_SHOPLIST_xl_2105"/>
      <sheetName val="[SHOPLIST.xls]_SHOPLIST_xl_2106"/>
      <sheetName val="[SHOPLIST.xls]_SHOPLIST_xl_2107"/>
      <sheetName val="[SHOPLIST.xls]_SHOPLIST_xl_2108"/>
      <sheetName val="[SHOPLIST.xls]_SHOPLIST_xl_2109"/>
      <sheetName val="[SHOPLIST.xls]_SHOPLIST_xl_2110"/>
      <sheetName val="[SHOPLIST.xls]_SHOPLIST_xl_2111"/>
      <sheetName val="[SHOPLIST.xls]_SHOPLIST_xl_2112"/>
      <sheetName val="[SHOPLIST.xls]_SHOPLIST_xl_2113"/>
      <sheetName val="[SHOPLIST.xls]_SHOPLIST_xl_2114"/>
      <sheetName val="[SHOPLIST.xls]_SHOPLIST_xl_2115"/>
      <sheetName val="[SHOPLIST.xls]_SHOPLIST_xl_2116"/>
      <sheetName val="[SHOPLIST.xls]_SHOPLIST_xl_2117"/>
      <sheetName val="[SHOPLIST.xls]_SHOPLIST_xl_2118"/>
      <sheetName val="[SHOPLIST.xls]_SHOPLIST_xl_2119"/>
      <sheetName val="[SHOPLIST.xls]_SHOPLIST_xl_2120"/>
      <sheetName val="[SHOPLIST.xls]_SHOPLIST_xl_2121"/>
      <sheetName val="[SHOPLIST.xls]_SHOPLIST_xl_2122"/>
      <sheetName val="[SHOPLIST.xls]_SHOPLIST_xl_2123"/>
      <sheetName val="[SHOPLIST.xls]_SHOPLIST_xl_2124"/>
      <sheetName val="[SHOPLIST.xls]_SHOPLIST_xl_2125"/>
      <sheetName val="[SHOPLIST.xls]_SHOPLIST_xl_2126"/>
      <sheetName val="[SHOPLIST.xls]_SHOPLIST_xl_2127"/>
      <sheetName val="[SHOPLIST.xls]_SHOPLIST_xl_2128"/>
      <sheetName val="[SHOPLIST.xls]_SHOPLIST_xl_2129"/>
      <sheetName val="[SHOPLIST.xls]_SHOPLIST_xl_2130"/>
      <sheetName val="[SHOPLIST.xls]_SHOPLIST_xl_2131"/>
      <sheetName val="[SHOPLIST.xls]_SHOPLIST_xl_2132"/>
      <sheetName val="[SHOPLIST.xls]_SHOPLIST_xl_2133"/>
      <sheetName val="[SHOPLIST.xls]_SHOPLIST_xl_2134"/>
      <sheetName val="[SHOPLIST.xls]_SHOPLIST_xl_2135"/>
      <sheetName val="[SHOPLIST.xls]_SHOPLIST_xl_2136"/>
      <sheetName val="[SHOPLIST.xls]_SHOPLIST_xl_2137"/>
      <sheetName val="[SHOPLIST.xls]_SHOPLIST_xl_2138"/>
      <sheetName val="[SHOPLIST.xls]_SHOPLIST_xl_2139"/>
      <sheetName val="[SHOPLIST.xls]_SHOPLIST_xl_2140"/>
      <sheetName val="[SHOPLIST.xls]_SHOPLIST_xl_2141"/>
      <sheetName val="[SHOPLIST.xls]70___0_s__i____40"/>
      <sheetName val="[SHOPLIST.xls]70___0_s__i____41"/>
      <sheetName val="[SHOPLIST.xls]_SHOPLIST_xl_2272"/>
      <sheetName val="[SHOPLIST.xls]70___0_s__i____42"/>
      <sheetName val="[SHOPLIST.xls]_SHOPLIST_xl_2273"/>
      <sheetName val="[SHOPLIST.xls]_SHOPLIST_xl_2274"/>
      <sheetName val="[SHOPLIST.xls]_SHOPLIST_xl_2275"/>
      <sheetName val="[SHOPLIST.xls]_SHOPLIST_xl_2276"/>
      <sheetName val="[SHOPLIST.xls]_SHOPLIST_xl_2277"/>
      <sheetName val="[SHOPLIST.xls]_SHOPLIST_xl_2278"/>
      <sheetName val="[SHOPLIST.xls]_SHOPLIST_xl_2279"/>
      <sheetName val="[SHOPLIST.xls]_SHOPLIST_xl_2280"/>
      <sheetName val="[SHOPLIST.xls]_SHOPLIST_xl_2281"/>
      <sheetName val="[SHOPLIST.xls]_SHOPLIST_xl_2282"/>
      <sheetName val="[SHOPLIST.xls]_SHOPLIST_xl_2283"/>
      <sheetName val="[SHOPLIST.xls]_SHOPLIST_xl_2284"/>
      <sheetName val="[SHOPLIST.xls]_SHOPLIST_xl_2285"/>
      <sheetName val="[SHOPLIST.xls]_SHOPLIST_xl_2286"/>
      <sheetName val="[SHOPLIST.xls]_SHOPLIST_xl_2287"/>
      <sheetName val="[SHOPLIST.xls]_SHOPLIST_xl_2288"/>
      <sheetName val="[SHOPLIST.xls]_SHOPLIST_xl_2289"/>
      <sheetName val="[SHOPLIST.xls]_SHOPLIST_xl_2290"/>
      <sheetName val="[SHOPLIST.xls]_SHOPLIST_xl_2291"/>
      <sheetName val="[SHOPLIST.xls]_SHOPLIST_xl_2292"/>
      <sheetName val="[SHOPLIST.xls]_SHOPLIST_xl_2293"/>
      <sheetName val="[SHOPLIST.xls]_SHOPLIST_xl_2294"/>
      <sheetName val="[SHOPLIST.xls]_SHOPLIST_xl_2295"/>
      <sheetName val="[SHOPLIST.xls]_SHOPLIST_xl_2296"/>
      <sheetName val="[SHOPLIST.xls]_SHOPLIST_xl_2297"/>
      <sheetName val="[SHOPLIST.xls]_SHOPLIST_xl_2298"/>
      <sheetName val="[SHOPLIST.xls]_SHOPLIST_xl_2299"/>
      <sheetName val="[SHOPLIST.xls]_SHOPLIST_xl_2300"/>
      <sheetName val="[SHOPLIST.xls]_SHOPLIST_xl_2301"/>
      <sheetName val="[SHOPLIST.xls]_SHOPLIST_xl_2302"/>
      <sheetName val="[SHOPLIST.xls]_SHOPLIST_xl_2303"/>
      <sheetName val="[SHOPLIST.xls]_SHOPLIST_xl_2304"/>
      <sheetName val="[SHOPLIST.xls]_SHOPLIST_xl_2305"/>
      <sheetName val="[SHOPLIST.xls]_SHOPLIST_xl_2306"/>
      <sheetName val="[SHOPLIST.xls]_SHOPLIST_xl_2307"/>
      <sheetName val="[SHOPLIST.xls]_SHOPLIST_xl_2308"/>
      <sheetName val="[SHOPLIST.xls]_SHOPLIST_xl_2309"/>
      <sheetName val="[SHOPLIST.xls]_SHOPLIST_xl_2310"/>
      <sheetName val="[SHOPLIST.xls]_SHOPLIST_xl_2311"/>
      <sheetName val="[SHOPLIST.xls]_SHOPLIST_xl_2312"/>
      <sheetName val="[SHOPLIST.xls]_SHOPLIST_xl_2313"/>
      <sheetName val="[SHOPLIST.xls]_SHOPLIST_xl_2314"/>
      <sheetName val="[SHOPLIST.xls]_SHOPLIST_xl_2315"/>
      <sheetName val="[SHOPLIST.xls]_SHOPLIST_xl_2316"/>
      <sheetName val="[SHOPLIST.xls]_SHOPLIST_xl_2317"/>
      <sheetName val="[SHOPLIST.xls]_SHOPLIST_xl_2318"/>
      <sheetName val="[SHOPLIST.xls]_SHOPLIST_xl_2319"/>
      <sheetName val="[SHOPLIST.xls]_SHOPLIST_xl_2320"/>
      <sheetName val="[SHOPLIST.xls]_SHOPLIST_xl_2321"/>
      <sheetName val="[SHOPLIST.xls]_SHOPLIST_xl_2322"/>
      <sheetName val="[SHOPLIST.xls]_SHOPLIST_xl_2323"/>
      <sheetName val="[SHOPLIST.xls]_SHOPLIST_xl_2324"/>
      <sheetName val="[SHOPLIST.xls]_SHOPLIST_xl_2325"/>
      <sheetName val="[SHOPLIST.xls]_SHOPLIST_xl_2326"/>
      <sheetName val="[SHOPLIST.xls]_SHOPLIST_xl_2327"/>
      <sheetName val="[SHOPLIST.xls]_SHOPLIST_xl_2328"/>
      <sheetName val="[SHOPLIST.xls]_SHOPLIST_xl_2329"/>
      <sheetName val="[SHOPLIST.xls]_SHOPLIST_xl_2330"/>
      <sheetName val="[SHOPLIST.xls]_SHOPLIST_xl_2331"/>
      <sheetName val="[SHOPLIST.xls]_SHOPLIST_xl_2332"/>
      <sheetName val="[SHOPLIST.xls]_SHOPLIST_xl_2333"/>
      <sheetName val="[SHOPLIST.xls]_SHOPLIST_xl_2334"/>
      <sheetName val="[SHOPLIST.xls]_SHOPLIST_xl_2335"/>
      <sheetName val="[SHOPLIST.xls]_SHOPLIST_xl_2336"/>
      <sheetName val="[SHOPLIST.xls]_SHOPLIST_xl_2337"/>
      <sheetName val="[SHOPLIST.xls]_SHOPLIST_xl_2338"/>
      <sheetName val="[SHOPLIST.xls]_SHOPLIST_xl_2339"/>
      <sheetName val="[SHOPLIST.xls]_SHOPLIST_xl_2340"/>
      <sheetName val="[SHOPLIST.xls]_SHOPLIST_xl_2341"/>
      <sheetName val="[SHOPLIST.xls]_SHOPLIST_xl_2342"/>
      <sheetName val="[SHOPLIST.xls]_SHOPLIST_xl_2343"/>
      <sheetName val="[SHOPLIST.xls]_SHOPLIST_xl_2344"/>
      <sheetName val="[SHOPLIST.xls]_SHOPLIST_xl_2345"/>
      <sheetName val="[SHOPLIST.xls]_SHOPLIST_xl_2346"/>
      <sheetName val="[SHOPLIST.xls]_SHOPLIST_xl_2347"/>
      <sheetName val="[SHOPLIST.xls]_SHOPLIST_xl_2348"/>
      <sheetName val="[SHOPLIST.xls]_SHOPLIST_xl_2349"/>
      <sheetName val="[SHOPLIST.xls]_SHOPLIST_xl_2350"/>
      <sheetName val="[SHOPLIST.xls]_SHOPLIST_xl_2351"/>
      <sheetName val="[SHOPLIST.xls]_SHOPLIST_xl_2352"/>
      <sheetName val="[SHOPLIST.xls]_SHOPLIST_xl_2353"/>
      <sheetName val="[SHOPLIST.xls]_SHOPLIST_xl_2354"/>
      <sheetName val="[SHOPLIST.xls]_SHOPLIST_xl_2355"/>
      <sheetName val="[SHOPLIST.xls]_SHOPLIST_xl_2356"/>
      <sheetName val="[SHOPLIST.xls]_SHOPLIST_xl_2357"/>
      <sheetName val="[SHOPLIST.xls]_SHOPLIST_xl_2358"/>
      <sheetName val="[SHOPLIST.xls]_SHOPLIST_xl_2359"/>
      <sheetName val="[SHOPLIST.xls]_SHOPLIST_xl_2360"/>
      <sheetName val="[SHOPLIST.xls]_SHOPLIST_xl_2361"/>
      <sheetName val="[SHOPLIST.xls]_SHOPLIST_xl_2362"/>
      <sheetName val="[SHOPLIST.xls]_SHOPLIST_xl_2363"/>
      <sheetName val="[SHOPLIST.xls]_SHOPLIST_xl_2364"/>
      <sheetName val="[SHOPLIST.xls]_SHOPLIST_xl_2365"/>
      <sheetName val="[SHOPLIST.xls]_SHOPLIST_xl_2366"/>
      <sheetName val="[SHOPLIST.xls]_SHOPLIST_xl_2367"/>
      <sheetName val="[SHOPLIST.xls]_SHOPLIST_xl_2368"/>
      <sheetName val="[SHOPLIST.xls]_SHOPLIST_xl_2369"/>
      <sheetName val="[SHOPLIST.xls]_SHOPLIST_xl_2370"/>
      <sheetName val="[SHOPLIST.xls]_SHOPLIST_xl_2371"/>
      <sheetName val="[SHOPLIST.xls]_SHOPLIST_xl_2372"/>
      <sheetName val="[SHOPLIST.xls]_SHOPLIST_xl_2373"/>
      <sheetName val="[SHOPLIST.xls]_SHOPLIST_xl_2374"/>
      <sheetName val="[SHOPLIST.xls]_SHOPLIST_xl_2375"/>
      <sheetName val="[SHOPLIST.xls]_SHOPLIST_xl_2376"/>
      <sheetName val="[SHOPLIST.xls]_SHOPLIST_xl_2377"/>
      <sheetName val="[SHOPLIST.xls]_SHOPLIST_xl_2378"/>
      <sheetName val="[SHOPLIST.xls]_SHOPLIST_xl_2379"/>
      <sheetName val="[SHOPLIST.xls]_SHOPLIST_xl_2380"/>
      <sheetName val="[SHOPLIST.xls]_SHOPLIST_xl_2381"/>
      <sheetName val="[SHOPLIST.xls]_SHOPLIST_xl_2382"/>
      <sheetName val="[SHOPLIST.xls]_SHOPLIST_xl_2383"/>
      <sheetName val="[SHOPLIST.xls]_SHOPLIST_xl_2384"/>
      <sheetName val="[SHOPLIST.xls]70___0_s__i____43"/>
      <sheetName val="[SHOPLIST.xls]_SHOPLIST_xl_3455"/>
      <sheetName val="[SHOPLIST.xls]_SHOPLIST_xl_3456"/>
      <sheetName val="[SHOPLIST.xls]_SHOPLIST_xl_3457"/>
      <sheetName val="[SHOPLIST.xls]_SHOPLIST_xl_2385"/>
      <sheetName val="[SHOPLIST.xls]_SHOPLIST_xl_2386"/>
      <sheetName val="[SHOPLIST.xls]_SHOPLIST_xl_2387"/>
      <sheetName val="[SHOPLIST.xls]_SHOPLIST_xl_2388"/>
      <sheetName val="[SHOPLIST.xls]_SHOPLIST_xl_2389"/>
      <sheetName val="[SHOPLIST.xls]_SHOPLIST_xl_2390"/>
      <sheetName val="[SHOPLIST.xls]_SHOPLIST_xl_2391"/>
      <sheetName val="[SHOPLIST.xls]_SHOPLIST_xl_2392"/>
      <sheetName val="[SHOPLIST.xls]_SHOPLIST_xl_2393"/>
      <sheetName val="[SHOPLIST.xls]_SHOPLIST_xl_2394"/>
      <sheetName val="[SHOPLIST.xls]_SHOPLIST_xl_2395"/>
      <sheetName val="[SHOPLIST.xls]_SHOPLIST_xl_2396"/>
      <sheetName val="[SHOPLIST.xls]_SHOPLIST_xl_2397"/>
      <sheetName val="[SHOPLIST.xls]_SHOPLIST_xl_2398"/>
      <sheetName val="[SHOPLIST.xls]_SHOPLIST_xl_2399"/>
      <sheetName val="[SHOPLIST.xls]_SHOPLIST_xl_2400"/>
      <sheetName val="[SHOPLIST.xls]_SHOPLIST_xl_2401"/>
      <sheetName val="[SHOPLIST.xls]_SHOPLIST_xl_2402"/>
      <sheetName val="[SHOPLIST.xls]_SHOPLIST_xl_2403"/>
      <sheetName val="[SHOPLIST.xls]_SHOPLIST_xl_2404"/>
      <sheetName val="[SHOPLIST.xls]_SHOPLIST_xl_2405"/>
      <sheetName val="[SHOPLIST.xls]_SHOPLIST_xl_2406"/>
      <sheetName val="[SHOPLIST.xls]_SHOPLIST_xl_3458"/>
      <sheetName val="[SHOPLIST.xls]_SHOPLIST_xl_3459"/>
      <sheetName val="[SHOPLIST.xls]_SHOPLIST_xl_2407"/>
      <sheetName val="[SHOPLIST.xls]_SHOPLIST_xl_2408"/>
      <sheetName val="[SHOPLIST.xls]_SHOPLIST_xl_2409"/>
      <sheetName val="[SHOPLIST.xls]_SHOPLIST_xl_2410"/>
      <sheetName val="[SHOPLIST.xls]_SHOPLIST_xl_2411"/>
      <sheetName val="[SHOPLIST.xls]_SHOPLIST_xl_2412"/>
      <sheetName val="[SHOPLIST.xls]_SHOPLIST_xl_2413"/>
      <sheetName val="[SHOPLIST.xls]_SHOPLIST_xl_2414"/>
      <sheetName val="[SHOPLIST.xls]_SHOPLIST_xl_2415"/>
      <sheetName val="[SHOPLIST.xls]_SHOPLIST_xl_2416"/>
      <sheetName val="[SHOPLIST.xls]_SHOPLIST_xl_2417"/>
      <sheetName val="[SHOPLIST.xls]_SHOPLIST_xl_2418"/>
      <sheetName val="[SHOPLIST.xls]_SHOPLIST_xl_2419"/>
      <sheetName val="[SHOPLIST.xls]_SHOPLIST_xl_2420"/>
      <sheetName val="[SHOPLIST.xls]_SHOPLIST_xl_3460"/>
      <sheetName val="[SHOPLIST.xls]_SHOPLIST_xl_3461"/>
      <sheetName val="[SHOPLIST.xls]_SHOPLIST_xl_3462"/>
      <sheetName val="[SHOPLIST.xls]_SHOPLIST_xl_3463"/>
      <sheetName val="[SHOPLIST.xls]_SHOPLIST_xl_3464"/>
      <sheetName val="[SHOPLIST.xls]_SHOPLIST_xl_3465"/>
      <sheetName val="[SHOPLIST.xls]_SHOPLIST_xl_3466"/>
      <sheetName val="[SHOPLIST.xls]_SHOPLIST_xl_3467"/>
      <sheetName val="[SHOPLIST.xls]_SHOPLIST_xl_3468"/>
      <sheetName val="[SHOPLIST.xls]_SHOPLIST_xl_3469"/>
      <sheetName val="[SHOPLIST.xls]_SHOPLIST_xl_3470"/>
      <sheetName val="[SHOPLIST.xls]_SHOPLIST_xl_3471"/>
      <sheetName val="[SHOPLIST.xls]_SHOPLIST_xl_3472"/>
      <sheetName val="[SHOPLIST.xls]_SHOPLIST_xl_3473"/>
      <sheetName val="[SHOPLIST.xls]_SHOPLIST_xl_3474"/>
      <sheetName val="[SHOPLIST.xls]_SHOPLIST_xl_3475"/>
      <sheetName val="[SHOPLIST.xls]_SHOPLIST_xl_3476"/>
      <sheetName val="[SHOPLIST.xls]_SHOPLIST_xl_3477"/>
      <sheetName val="[SHOPLIST.xls]_SHOPLIST_xl_3478"/>
      <sheetName val="[SHOPLIST.xls]_SHOPLIST_xl_3479"/>
      <sheetName val="[SHOPLIST.xls]_SHOPLIST_xl_3480"/>
      <sheetName val="[SHOPLIST.xls]_SHOPLIST_xl_3481"/>
      <sheetName val="[SHOPLIST.xls]_SHOPLIST_xl_3482"/>
      <sheetName val="[SHOPLIST.xls]_SHOPLIST_xl_3483"/>
      <sheetName val="[SHOPLIST.xls]_SHOPLIST_xl_3484"/>
      <sheetName val="[SHOPLIST.xls]_SHOPLIST_xl_3485"/>
      <sheetName val="[SHOPLIST.xls]_SHOPLIST_xl_3486"/>
      <sheetName val="[SHOPLIST.xls]_SHOPLIST_xl_3487"/>
      <sheetName val="[SHOPLIST.xls]_SHOPLIST_xl_3488"/>
      <sheetName val="[SHOPLIST.xls]_SHOPLIST_xl_3489"/>
      <sheetName val="[SHOPLIST.xls]_SHOPLIST_xl_3490"/>
      <sheetName val="[SHOPLIST.xls]_SHOPLIST_xl_3491"/>
      <sheetName val="[SHOPLIST.xls]_SHOPLIST_xl_3492"/>
      <sheetName val="[SHOPLIST.xls]_SHOPLIST_xl_3493"/>
      <sheetName val="[SHOPLIST.xls]_SHOPLIST_xl_3494"/>
      <sheetName val="[SHOPLIST.xls]_SHOPLIST_xl_3495"/>
      <sheetName val="[SHOPLIST.xls]_SHOPLIST_xl_3496"/>
      <sheetName val="[SHOPLIST.xls]_SHOPLIST_xl_3497"/>
      <sheetName val="[SHOPLIST.xls]_SHOPLIST_xl_3498"/>
      <sheetName val="[SHOPLIST.xls]_SHOPLIST_xl_3499"/>
      <sheetName val="[SHOPLIST.xls]_SHOPLIST_xl_3500"/>
      <sheetName val="[SHOPLIST.xls]_SHOPLIST_xl_3501"/>
      <sheetName val="[SHOPLIST.xls]_SHOPLIST_xl_3502"/>
      <sheetName val="[SHOPLIST.xls]_SHOPLIST_xl_3503"/>
      <sheetName val="[SHOPLIST.xls]_SHOPLIST_xl_3504"/>
      <sheetName val="[SHOPLIST.xls]_SHOPLIST_xl_3505"/>
      <sheetName val="[SHOPLIST.xls]_SHOPLIST_xl_3506"/>
      <sheetName val="[SHOPLIST.xls]_SHOPLIST_xl_3507"/>
      <sheetName val="[SHOPLIST.xls]_SHOPLIST_xl_3508"/>
      <sheetName val="[SHOPLIST.xls]_SHOPLIST_xl_3509"/>
      <sheetName val="[SHOPLIST.xls]_SHOPLIST_xl_3510"/>
      <sheetName val="[SHOPLIST.xls]_SHOPLIST_xl_3511"/>
      <sheetName val="[SHOPLIST.xls]_SHOPLIST_xl_3512"/>
      <sheetName val="[SHOPLIST.xls]_SHOPLIST_xl_3513"/>
      <sheetName val="[SHOPLIST.xls]_SHOPLIST_xl_3514"/>
      <sheetName val="[SHOPLIST.xls]_SHOPLIST_xl_3515"/>
      <sheetName val="[SHOPLIST.xls]_SHOPLIST_xl_3516"/>
      <sheetName val="[SHOPLIST.xls]_SHOPLIST_xl_3517"/>
      <sheetName val="[SHOPLIST.xls]_SHOPLIST_xl_3518"/>
      <sheetName val="[SHOPLIST.xls]_SHOPLIST_xl_3519"/>
      <sheetName val="[SHOPLIST.xls]_SHOPLIST_xl_3520"/>
      <sheetName val="[SHOPLIST.xls]_SHOPLIST_xl_3521"/>
      <sheetName val="[SHOPLIST.xls]_SHOPLIST_xl_3522"/>
      <sheetName val="[SHOPLIST.xls]_SHOPLIST_xl_3523"/>
      <sheetName val="[SHOPLIST.xls]_SHOPLIST_xl_3524"/>
      <sheetName val="[SHOPLIST.xls]_SHOPLIST_xl_3525"/>
      <sheetName val="[SHOPLIST.xls]_SHOPLIST_xl_3526"/>
      <sheetName val="[SHOPLIST.xls]_SHOPLIST_xl_3527"/>
      <sheetName val="[SHOPLIST.xls]_SHOPLIST_xl_3528"/>
      <sheetName val="[SHOPLIST.xls]_SHOPLIST_xl_3529"/>
      <sheetName val="[SHOPLIST.xls]_SHOPLIST_xl_3530"/>
      <sheetName val="[SHOPLIST.xls]_SHOPLIST_xl_3531"/>
      <sheetName val="[SHOPLIST.xls]_SHOPLIST_xl_3532"/>
      <sheetName val="[SHOPLIST.xls]_SHOPLIST_xl_2421"/>
      <sheetName val="[SHOPLIST.xls]_SHOPLIST_xl_2422"/>
      <sheetName val="[SHOPLIST.xls]_SHOPLIST_xl_2423"/>
      <sheetName val="[SHOPLIST.xls]_SHOPLIST_xl_2424"/>
      <sheetName val="[SHOPLIST.xls]_SHOPLIST_xl_2425"/>
      <sheetName val="[SHOPLIST.xls]_SHOPLIST_xl_3533"/>
      <sheetName val="[SHOPLIST.xls]_SHOPLIST_xl_2426"/>
      <sheetName val="[SHOPLIST.xls]_SHOPLIST_xl_2427"/>
      <sheetName val="[SHOPLIST.xls]_SHOPLIST_xl_2428"/>
      <sheetName val="[SHOPLIST.xls]_SHOPLIST_xl_2429"/>
      <sheetName val="[SHOPLIST.xls]_SHOPLIST_xl_2430"/>
      <sheetName val="[SHOPLIST.xls]_SHOPLIST_xl_2431"/>
      <sheetName val="[SHOPLIST.xls]_SHOPLIST_xl_2432"/>
      <sheetName val="[SHOPLIST.xls]_SHOPLIST_xl_2433"/>
      <sheetName val="[SHOPLIST.xls]_SHOPLIST_xl_2434"/>
      <sheetName val="[SHOPLIST.xls]_SHOPLIST_xl_2435"/>
      <sheetName val="[SHOPLIST.xls]_SHOPLIST_xl_2436"/>
      <sheetName val="[SHOPLIST.xls]_SHOPLIST_xl_2437"/>
      <sheetName val="[SHOPLIST.xls]_SHOPLIST_xl_2438"/>
      <sheetName val="[SHOPLIST.xls]_SHOPLIST_xl_2439"/>
      <sheetName val="[SHOPLIST.xls]_SHOPLIST_xl_2440"/>
      <sheetName val="[SHOPLIST.xls]_SHOPLIST_xl_2441"/>
      <sheetName val="[SHOPLIST.xls]_SHOPLIST_xl_2442"/>
      <sheetName val="[SHOPLIST.xls]_SHOPLIST_xl_2443"/>
      <sheetName val="[SHOPLIST.xls]_SHOPLIST_xl_2444"/>
      <sheetName val="[SHOPLIST.xls]_SHOPLIST_xl_2445"/>
      <sheetName val="[SHOPLIST.xls]_SHOPLIST_xl_2446"/>
      <sheetName val="[SHOPLIST.xls]_SHOPLIST_xl_2447"/>
      <sheetName val="[SHOPLIST.xls]_SHOPLIST_xl_2448"/>
      <sheetName val="[SHOPLIST.xls]_SHOPLIST_xl_2449"/>
      <sheetName val="[SHOPLIST.xls]_SHOPLIST_xl_2450"/>
      <sheetName val="[SHOPLIST.xls]_SHOPLIST_xl_2451"/>
      <sheetName val="[SHOPLIST.xls]_SHOPLIST_xl_2452"/>
      <sheetName val="[SHOPLIST.xls]_SHOPLIST_xl_2453"/>
      <sheetName val="[SHOPLIST.xls]_SHOPLIST_xl_2454"/>
      <sheetName val="[SHOPLIST.xls]_SHOPLIST_xl_2455"/>
      <sheetName val="[SHOPLIST.xls]_SHOPLIST_xl_2456"/>
      <sheetName val="[SHOPLIST.xls]_SHOPLIST_xl_2457"/>
      <sheetName val="[SHOPLIST.xls]_SHOPLIST_xl_2458"/>
      <sheetName val="[SHOPLIST.xls]_SHOPLIST_xl_2459"/>
      <sheetName val="[SHOPLIST.xls]_SHOPLIST_xl_2460"/>
      <sheetName val="[SHOPLIST.xls]_SHOPLIST_xl_2800"/>
      <sheetName val="[SHOPLIST.xls]_SHOPLIST_xl_2801"/>
      <sheetName val="[SHOPLIST.xls]_SHOPLIST_xl_2802"/>
      <sheetName val="[SHOPLIST.xls]_SHOPLIST_xl_2803"/>
      <sheetName val="[SHOPLIST.xls]_SHOPLIST_xl_2804"/>
      <sheetName val="[SHOPLIST.xls]_SHOPLIST_xl_2805"/>
      <sheetName val="[SHOPLIST.xls]_SHOPLIST_xl_2806"/>
      <sheetName val="[SHOPLIST.xls]_SHOPLIST_xl_2807"/>
      <sheetName val="[SHOPLIST.xls]_SHOPLIST_xl_2808"/>
      <sheetName val="[SHOPLIST.xls]_SHOPLIST_xl_2809"/>
      <sheetName val="[SHOPLIST.xls]_SHOPLIST_xl_2810"/>
      <sheetName val="[SHOPLIST.xls]_SHOPLIST_xl_2811"/>
      <sheetName val="[SHOPLIST.xls]_SHOPLIST_xl_2812"/>
      <sheetName val="[SHOPLIST.xls]_SHOPLIST_xl_2813"/>
      <sheetName val="[SHOPLIST.xls]_SHOPLIST_xl_2814"/>
      <sheetName val="[SHOPLIST.xls]_SHOPLIST_xl_2815"/>
      <sheetName val="[SHOPLIST.xls]_SHOPLIST_xl_2816"/>
      <sheetName val="[SHOPLIST.xls]_SHOPLIST_xl_2817"/>
      <sheetName val="[SHOPLIST.xls]_SHOPLIST_xl_2818"/>
      <sheetName val="[SHOPLIST.xls]_SHOPLIST_xl_2819"/>
      <sheetName val="[SHOPLIST.xls]_SHOPLIST_xl_2820"/>
      <sheetName val="[SHOPLIST.xls]_SHOPLIST_xl_2821"/>
      <sheetName val="[SHOPLIST.xls]_SHOPLIST_xl_2822"/>
      <sheetName val="[SHOPLIST.xls]_SHOPLIST_xl_2823"/>
      <sheetName val="[SHOPLIST.xls]_SHOPLIST_xl_2824"/>
      <sheetName val="[SHOPLIST.xls]_SHOPLIST_xl_2825"/>
      <sheetName val="[SHOPLIST.xls]_SHOPLIST_xl_2826"/>
      <sheetName val="[SHOPLIST.xls]_SHOPLIST_xl_2827"/>
      <sheetName val="[SHOPLIST.xls]_SHOPLIST_xl_2828"/>
      <sheetName val="[SHOPLIST.xls]_SHOPLIST_xl_2829"/>
      <sheetName val="[SHOPLIST.xls]_SHOPLIST_xl_2830"/>
      <sheetName val="[SHOPLIST.xls]_SHOPLIST_xl_2831"/>
      <sheetName val="[SHOPLIST.xls]_SHOPLIST_xl_2832"/>
      <sheetName val="[SHOPLIST.xls]_SHOPLIST_xl_2833"/>
      <sheetName val="[SHOPLIST.xls]_SHOPLIST_xl_2834"/>
      <sheetName val="[SHOPLIST.xls]_SHOPLIST_xl_2835"/>
      <sheetName val="[SHOPLIST.xls]_SHOPLIST_xl_2836"/>
      <sheetName val="[SHOPLIST.xls]_SHOPLIST_xl_2837"/>
      <sheetName val="[SHOPLIST.xls]_SHOPLIST_xl_2838"/>
      <sheetName val="[SHOPLIST.xls]_SHOPLIST_xl_2839"/>
      <sheetName val="[SHOPLIST.xls]_SHOPLIST_xl_2840"/>
      <sheetName val="[SHOPLIST.xls]_SHOPLIST_xl_2841"/>
      <sheetName val="[SHOPLIST.xls]_SHOPLIST_xl_2842"/>
      <sheetName val="[SHOPLIST.xls]_SHOPLIST_xl_2843"/>
      <sheetName val="[SHOPLIST.xls]_SHOPLIST_xl_2844"/>
      <sheetName val="[SHOPLIST.xls]_SHOPLIST_xl_2845"/>
      <sheetName val="[SHOPLIST.xls]_SHOPLIST_xl_2846"/>
      <sheetName val="[SHOPLIST.xls]_SHOPLIST_xl_2847"/>
      <sheetName val="[SHOPLIST.xls]_SHOPLIST_xl_2848"/>
      <sheetName val="[SHOPLIST.xls]_SHOPLIST_xl_2849"/>
      <sheetName val="[SHOPLIST.xls]_SHOPLIST_xl_2850"/>
      <sheetName val="[SHOPLIST.xls]_SHOPLIST_xl_2851"/>
      <sheetName val="[SHOPLIST.xls]_SHOPLIST_xl_2852"/>
      <sheetName val="[SHOPLIST.xls]_SHOPLIST_xl_2853"/>
      <sheetName val="[SHOPLIST.xls]_SHOPLIST_xl_2854"/>
      <sheetName val="[SHOPLIST.xls]_SHOPLIST_xl_2855"/>
      <sheetName val="[SHOPLIST.xls]_SHOPLIST_xl_2856"/>
      <sheetName val="[SHOPLIST.xls]_SHOPLIST_xl_2857"/>
      <sheetName val="[SHOPLIST.xls]_SHOPLIST_xl_2858"/>
      <sheetName val="[SHOPLIST.xls]_SHOPLIST_xl_2859"/>
      <sheetName val="[SHOPLIST.xls]_SHOPLIST_xl_2860"/>
      <sheetName val="[SHOPLIST.xls]_SHOPLIST_xl_2861"/>
      <sheetName val="[SHOPLIST.xls]_SHOPLIST_xl_2862"/>
      <sheetName val="[SHOPLIST.xls]_SHOPLIST_xl_2863"/>
      <sheetName val="[SHOPLIST.xls]_SHOPLIST_xl_2864"/>
      <sheetName val="[SHOPLIST.xls]_SHOPLIST_xl_2865"/>
      <sheetName val="[SHOPLIST.xls]_SHOPLIST_xl_2866"/>
      <sheetName val="[SHOPLIST.xls]_SHOPLIST_xl_2867"/>
      <sheetName val="[SHOPLIST.xls]_SHOPLIST_xl_2868"/>
      <sheetName val="[SHOPLIST.xls]_SHOPLIST_xl_2869"/>
      <sheetName val="[SHOPLIST.xls]_SHOPLIST_xl_2870"/>
      <sheetName val="[SHOPLIST.xls]_SHOPLIST_xl_2871"/>
      <sheetName val="[SHOPLIST.xls]_SHOPLIST_xl_2872"/>
      <sheetName val="[SHOPLIST.xls]_SHOPLIST_xl_2873"/>
      <sheetName val="[SHOPLIST.xls]_SHOPLIST_xl_2874"/>
      <sheetName val="[SHOPLIST.xls]_SHOPLIST_xl_2875"/>
      <sheetName val="[SHOPLIST.xls]_SHOPLIST_xl_2876"/>
      <sheetName val="[SHOPLIST.xls]_SHOPLIST_xl_2877"/>
      <sheetName val="[SHOPLIST.xls]_SHOPLIST_xl_2878"/>
      <sheetName val="[SHOPLIST.xls]_SHOPLIST_xl_2879"/>
      <sheetName val="[SHOPLIST.xls]_SHOPLIST_xl_2880"/>
      <sheetName val="[SHOPLIST.xls]_SHOPLIST_xl_2881"/>
      <sheetName val="[SHOPLIST.xls]_SHOPLIST_xl_2882"/>
      <sheetName val="[SHOPLIST.xls]_SHOPLIST_xl_2883"/>
      <sheetName val="[SHOPLIST.xls]_SHOPLIST_xl_2884"/>
      <sheetName val="[SHOPLIST.xls]_SHOPLIST_xl_2885"/>
      <sheetName val="[SHOPLIST.xls]_SHOPLIST_xl_2886"/>
      <sheetName val="[SHOPLIST.xls]_SHOPLIST_xl_2887"/>
      <sheetName val="[SHOPLIST.xls]_SHOPLIST_xl_2888"/>
      <sheetName val="[SHOPLIST.xls]_SHOPLIST_xl_2889"/>
      <sheetName val="[SHOPLIST.xls]_SHOPLIST_xl_2890"/>
      <sheetName val="[SHOPLIST.xls]_SHOPLIST_xl_2891"/>
      <sheetName val="[SHOPLIST.xls]_SHOPLIST_xl_2892"/>
      <sheetName val="[SHOPLIST.xls]_SHOPLIST_xl_2893"/>
      <sheetName val="[SHOPLIST.xls]_SHOPLIST_xl_2894"/>
      <sheetName val="[SHOPLIST.xls]_SHOPLIST_xl_2895"/>
      <sheetName val="[SHOPLIST.xls]_SHOPLIST_xl_2896"/>
      <sheetName val="[SHOPLIST.xls]_SHOPLIST_xl_2897"/>
      <sheetName val="[SHOPLIST.xls]_SHOPLIST_xl_2898"/>
      <sheetName val="[SHOPLIST.xls]_SHOPLIST_xl_2899"/>
      <sheetName val="[SHOPLIST.xls]_SHOPLIST_xl_2900"/>
      <sheetName val="[SHOPLIST.xls]_SHOPLIST_xl_2901"/>
      <sheetName val="[SHOPLIST.xls]_SHOPLIST_xl_2902"/>
      <sheetName val="[SHOPLIST.xls]_SHOPLIST_xl_2903"/>
      <sheetName val="[SHOPLIST.xls]_SHOPLIST_xl_2904"/>
      <sheetName val="[SHOPLIST.xls]_SHOPLIST_xl_2905"/>
      <sheetName val="[SHOPLIST.xls]_SHOPLIST_xl_2906"/>
      <sheetName val="[SHOPLIST.xls]_SHOPLIST_xl_2907"/>
      <sheetName val="[SHOPLIST.xls]_SHOPLIST_xl_2908"/>
      <sheetName val="[SHOPLIST.xls]_SHOPLIST_xl_2909"/>
      <sheetName val="[SHOPLIST.xls]_SHOPLIST_xl_2910"/>
      <sheetName val="[SHOPLIST.xls]_SHOPLIST_xl_2911"/>
      <sheetName val="[SHOPLIST.xls]_SHOPLIST_xl_2912"/>
      <sheetName val="[SHOPLIST.xls]_SHOPLIST_xl_2687"/>
      <sheetName val="[SHOPLIST.xls]_SHOPLIST_xl_2688"/>
      <sheetName val="[SHOPLIST.xls]_SHOPLIST_xl_2689"/>
      <sheetName val="[SHOPLIST.xls]_SHOPLIST_xl_2690"/>
      <sheetName val="[SHOPLIST.xls]_SHOPLIST_xl_2691"/>
      <sheetName val="[SHOPLIST.xls]_SHOPLIST_xl_2692"/>
      <sheetName val="[SHOPLIST.xls]_SHOPLIST_xl_2693"/>
      <sheetName val="[SHOPLIST.xls]_SHOPLIST_xl_2694"/>
      <sheetName val="[SHOPLIST.xls]_SHOPLIST_xl_2695"/>
      <sheetName val="[SHOPLIST.xls]_SHOPLIST_xl_2696"/>
      <sheetName val="[SHOPLIST.xls]_SHOPLIST_xl_2697"/>
      <sheetName val="[SHOPLIST.xls]_SHOPLIST_xl_2698"/>
      <sheetName val="[SHOPLIST.xls]_SHOPLIST_xl_2699"/>
      <sheetName val="[SHOPLIST.xls]_SHOPLIST_xl_2700"/>
      <sheetName val="[SHOPLIST.xls]_SHOPLIST_xl_2701"/>
      <sheetName val="[SHOPLIST.xls]_SHOPLIST_xl_2702"/>
      <sheetName val="[SHOPLIST.xls]_SHOPLIST_xl_2703"/>
      <sheetName val="[SHOPLIST.xls]_SHOPLIST_xl_2704"/>
      <sheetName val="[SHOPLIST.xls]_SHOPLIST_xl_2705"/>
      <sheetName val="[SHOPLIST.xls]_SHOPLIST_xl_2706"/>
      <sheetName val="[SHOPLIST.xls]_SHOPLIST_xl_2707"/>
      <sheetName val="[SHOPLIST.xls]_SHOPLIST_xl_2708"/>
      <sheetName val="[SHOPLIST.xls]_SHOPLIST_xl_2709"/>
      <sheetName val="[SHOPLIST.xls]_SHOPLIST_xl_2710"/>
      <sheetName val="[SHOPLIST.xls]_SHOPLIST_xl_2711"/>
      <sheetName val="[SHOPLIST.xls]_SHOPLIST_xl_2712"/>
      <sheetName val="[SHOPLIST.xls]_SHOPLIST_xl_2713"/>
      <sheetName val="[SHOPLIST.xls]_SHOPLIST_xl_2714"/>
      <sheetName val="[SHOPLIST.xls]_SHOPLIST_xl_2715"/>
      <sheetName val="[SHOPLIST.xls]_SHOPLIST_xl_2716"/>
      <sheetName val="[SHOPLIST.xls]_SHOPLIST_xl_2717"/>
      <sheetName val="[SHOPLIST.xls]_SHOPLIST_xl_2718"/>
      <sheetName val="[SHOPLIST.xls]_SHOPLIST_xl_2719"/>
      <sheetName val="[SHOPLIST.xls]_SHOPLIST_xl_2720"/>
      <sheetName val="[SHOPLIST.xls]_SHOPLIST_xl_2721"/>
      <sheetName val="[SHOPLIST.xls]_SHOPLIST_xl_2722"/>
      <sheetName val="[SHOPLIST.xls]_SHOPLIST_xl_2723"/>
      <sheetName val="[SHOPLIST.xls]_SHOPLIST_xl_2724"/>
      <sheetName val="[SHOPLIST.xls]_SHOPLIST_xl_2725"/>
      <sheetName val="[SHOPLIST.xls]_SHOPLIST_xl_2726"/>
      <sheetName val="[SHOPLIST.xls]_SHOPLIST_xl_2727"/>
      <sheetName val="[SHOPLIST.xls]_SHOPLIST_xl_2728"/>
      <sheetName val="[SHOPLIST.xls]_SHOPLIST_xl_2729"/>
      <sheetName val="[SHOPLIST.xls]_SHOPLIST_xl_2730"/>
      <sheetName val="[SHOPLIST.xls]_SHOPLIST_xl_2731"/>
      <sheetName val="[SHOPLIST.xls]_SHOPLIST_xl_2732"/>
      <sheetName val="[SHOPLIST.xls]_SHOPLIST_xl_2733"/>
      <sheetName val="[SHOPLIST.xls]_SHOPLIST_xl_2734"/>
      <sheetName val="[SHOPLIST.xls]_SHOPLIST_xl_2735"/>
      <sheetName val="[SHOPLIST.xls]_SHOPLIST_xl_2736"/>
      <sheetName val="[SHOPLIST.xls]_SHOPLIST_xl_2737"/>
      <sheetName val="[SHOPLIST.xls]_SHOPLIST_xl_2738"/>
      <sheetName val="[SHOPLIST.xls]_SHOPLIST_xl_2739"/>
      <sheetName val="[SHOPLIST.xls]_SHOPLIST_xl_2740"/>
      <sheetName val="[SHOPLIST.xls]_SHOPLIST_xl_2741"/>
      <sheetName val="[SHOPLIST.xls]_SHOPLIST_xl_2742"/>
      <sheetName val="[SHOPLIST.xls]_SHOPLIST_xl_2743"/>
      <sheetName val="[SHOPLIST.xls]_SHOPLIST_xl_2744"/>
      <sheetName val="[SHOPLIST.xls]_SHOPLIST_xl_2745"/>
      <sheetName val="[SHOPLIST.xls]_SHOPLIST_xl_2746"/>
      <sheetName val="[SHOPLIST.xls]_SHOPLIST_xl_2747"/>
      <sheetName val="[SHOPLIST.xls]_SHOPLIST_xl_2748"/>
      <sheetName val="[SHOPLIST.xls]_SHOPLIST_xl_2749"/>
      <sheetName val="[SHOPLIST.xls]_SHOPLIST_xl_2750"/>
      <sheetName val="[SHOPLIST.xls]_SHOPLIST_xl_2751"/>
      <sheetName val="[SHOPLIST.xls]_SHOPLIST_xl_2752"/>
      <sheetName val="[SHOPLIST.xls]_SHOPLIST_xl_2753"/>
      <sheetName val="[SHOPLIST.xls]_SHOPLIST_xl_2754"/>
      <sheetName val="[SHOPLIST.xls]_SHOPLIST_xl_2755"/>
      <sheetName val="[SHOPLIST.xls]_SHOPLIST_xl_2756"/>
      <sheetName val="[SHOPLIST.xls]_SHOPLIST_xl_2757"/>
      <sheetName val="[SHOPLIST.xls]_SHOPLIST_xl_2758"/>
      <sheetName val="[SHOPLIST.xls]_SHOPLIST_xl_2759"/>
      <sheetName val="[SHOPLIST.xls]_SHOPLIST_xl_2760"/>
      <sheetName val="[SHOPLIST.xls]_SHOPLIST_xl_2761"/>
      <sheetName val="[SHOPLIST.xls]_SHOPLIST_xl_2762"/>
      <sheetName val="[SHOPLIST.xls]_SHOPLIST_xl_2763"/>
      <sheetName val="[SHOPLIST.xls]_SHOPLIST_xl_2764"/>
      <sheetName val="[SHOPLIST.xls]_SHOPLIST_xl_2765"/>
      <sheetName val="[SHOPLIST.xls]_SHOPLIST_xl_2766"/>
      <sheetName val="[SHOPLIST.xls]_SHOPLIST_xl_2767"/>
      <sheetName val="[SHOPLIST.xls]_SHOPLIST_xl_2768"/>
      <sheetName val="[SHOPLIST.xls]_SHOPLIST_xl_2769"/>
      <sheetName val="[SHOPLIST.xls]_SHOPLIST_xl_2770"/>
      <sheetName val="[SHOPLIST.xls]_SHOPLIST_xl_2771"/>
      <sheetName val="[SHOPLIST.xls]_SHOPLIST_xl_2772"/>
      <sheetName val="[SHOPLIST.xls]_SHOPLIST_xl_2773"/>
      <sheetName val="[SHOPLIST.xls]_SHOPLIST_xl_2774"/>
      <sheetName val="[SHOPLIST.xls]_SHOPLIST_xl_2775"/>
      <sheetName val="[SHOPLIST.xls]_SHOPLIST_xl_2776"/>
      <sheetName val="[SHOPLIST.xls]_SHOPLIST_xl_2777"/>
      <sheetName val="[SHOPLIST.xls]_SHOPLIST_xl_2778"/>
      <sheetName val="[SHOPLIST.xls]_SHOPLIST_xl_2779"/>
      <sheetName val="[SHOPLIST.xls]_SHOPLIST_xl_2780"/>
      <sheetName val="[SHOPLIST.xls]_SHOPLIST_xl_2781"/>
      <sheetName val="[SHOPLIST.xls]_SHOPLIST_xl_2782"/>
      <sheetName val="[SHOPLIST.xls]_SHOPLIST_xl_2783"/>
      <sheetName val="[SHOPLIST.xls]_SHOPLIST_xl_2784"/>
      <sheetName val="[SHOPLIST.xls]_SHOPLIST_xl_2785"/>
      <sheetName val="[SHOPLIST.xls]_SHOPLIST_xl_2786"/>
      <sheetName val="[SHOPLIST.xls]_SHOPLIST_xl_2787"/>
      <sheetName val="[SHOPLIST.xls]_SHOPLIST_xl_2788"/>
      <sheetName val="[SHOPLIST.xls]_SHOPLIST_xl_2789"/>
      <sheetName val="[SHOPLIST.xls]_SHOPLIST_xl_2790"/>
      <sheetName val="[SHOPLIST.xls]_SHOPLIST_xl_2791"/>
      <sheetName val="[SHOPLIST.xls]_SHOPLIST_xl_2792"/>
      <sheetName val="[SHOPLIST.xls]_SHOPLIST_xl_2793"/>
      <sheetName val="[SHOPLIST.xls]_SHOPLIST_xl_2794"/>
      <sheetName val="[SHOPLIST.xls]_SHOPLIST_xl_2795"/>
      <sheetName val="[SHOPLIST.xls]_SHOPLIST_xl_2796"/>
      <sheetName val="[SHOPLIST.xls]_SHOPLIST_xl_2797"/>
      <sheetName val="[SHOPLIST.xls]_SHOPLIST_xl_2798"/>
      <sheetName val="[SHOPLIST.xls]_SHOPLIST_xl_2799"/>
      <sheetName val="[SHOPLIST.xls]_SHOPLIST_xl_2461"/>
      <sheetName val="[SHOPLIST.xls]_SHOPLIST_xl_2462"/>
      <sheetName val="[SHOPLIST.xls]_SHOPLIST_xl_2463"/>
      <sheetName val="[SHOPLIST.xls]_SHOPLIST_xl_2464"/>
      <sheetName val="[SHOPLIST.xls]_SHOPLIST_xl_2465"/>
      <sheetName val="[SHOPLIST.xls]_SHOPLIST_xl_2466"/>
      <sheetName val="[SHOPLIST.xls]_SHOPLIST_xl_2467"/>
      <sheetName val="[SHOPLIST.xls]_SHOPLIST_xl_2468"/>
      <sheetName val="[SHOPLIST.xls]_SHOPLIST_xl_2469"/>
      <sheetName val="[SHOPLIST.xls]_SHOPLIST_xl_2470"/>
      <sheetName val="[SHOPLIST.xls]_SHOPLIST_xl_2471"/>
      <sheetName val="[SHOPLIST.xls]_SHOPLIST_xl_2472"/>
      <sheetName val="[SHOPLIST.xls]_SHOPLIST_xl_2473"/>
      <sheetName val="[SHOPLIST.xls]_SHOPLIST_xl_2474"/>
      <sheetName val="[SHOPLIST.xls]_SHOPLIST_xl_2475"/>
      <sheetName val="[SHOPLIST.xls]_SHOPLIST_xl_2476"/>
      <sheetName val="[SHOPLIST.xls]_SHOPLIST_xl_2477"/>
      <sheetName val="[SHOPLIST.xls]_SHOPLIST_xl_2478"/>
      <sheetName val="[SHOPLIST.xls]_SHOPLIST_xl_2479"/>
      <sheetName val="[SHOPLIST.xls]_SHOPLIST_xl_2480"/>
      <sheetName val="[SHOPLIST.xls]_SHOPLIST_xl_2481"/>
      <sheetName val="[SHOPLIST.xls]_SHOPLIST_xl_2482"/>
      <sheetName val="[SHOPLIST.xls]_SHOPLIST_xl_2483"/>
      <sheetName val="[SHOPLIST.xls]_SHOPLIST_xl_2484"/>
      <sheetName val="[SHOPLIST.xls]_SHOPLIST_xl_2485"/>
      <sheetName val="[SHOPLIST.xls]_SHOPLIST_xl_2486"/>
      <sheetName val="[SHOPLIST.xls]_SHOPLIST_xl_2487"/>
      <sheetName val="[SHOPLIST.xls]_SHOPLIST_xl_2488"/>
      <sheetName val="[SHOPLIST.xls]_SHOPLIST_xl_2489"/>
      <sheetName val="[SHOPLIST.xls]_SHOPLIST_xl_2490"/>
      <sheetName val="[SHOPLIST.xls]_SHOPLIST_xl_2491"/>
      <sheetName val="[SHOPLIST.xls]_SHOPLIST_xl_2492"/>
      <sheetName val="[SHOPLIST.xls]_SHOPLIST_xl_2493"/>
      <sheetName val="[SHOPLIST.xls]_SHOPLIST_xl_2494"/>
      <sheetName val="[SHOPLIST.xls]_SHOPLIST_xl_2495"/>
      <sheetName val="[SHOPLIST.xls]_SHOPLIST_xl_2496"/>
      <sheetName val="[SHOPLIST.xls]_SHOPLIST_xl_2497"/>
      <sheetName val="[SHOPLIST.xls]_SHOPLIST_xl_2498"/>
      <sheetName val="[SHOPLIST.xls]_SHOPLIST_xl_2499"/>
      <sheetName val="[SHOPLIST.xls]_SHOPLIST_xl_2500"/>
      <sheetName val="[SHOPLIST.xls]_SHOPLIST_xl_2501"/>
      <sheetName val="[SHOPLIST.xls]_SHOPLIST_xl_2502"/>
      <sheetName val="[SHOPLIST.xls]_SHOPLIST_xl_2503"/>
      <sheetName val="[SHOPLIST.xls]_SHOPLIST_xl_2504"/>
      <sheetName val="[SHOPLIST.xls]_SHOPLIST_xl_2505"/>
      <sheetName val="[SHOPLIST.xls]_SHOPLIST_xl_2506"/>
      <sheetName val="[SHOPLIST.xls]_SHOPLIST_xl_2507"/>
      <sheetName val="[SHOPLIST.xls]_SHOPLIST_xl_2508"/>
      <sheetName val="[SHOPLIST.xls]_SHOPLIST_xl_2509"/>
      <sheetName val="[SHOPLIST.xls]_SHOPLIST_xl_2510"/>
      <sheetName val="[SHOPLIST.xls]_SHOPLIST_xl_2511"/>
      <sheetName val="[SHOPLIST.xls]_SHOPLIST_xl_2512"/>
      <sheetName val="[SHOPLIST.xls]_SHOPLIST_xl_2513"/>
      <sheetName val="[SHOPLIST.xls]_SHOPLIST_xl_2514"/>
      <sheetName val="[SHOPLIST.xls]_SHOPLIST_xl_2515"/>
      <sheetName val="[SHOPLIST.xls]_SHOPLIST_xl_2516"/>
      <sheetName val="[SHOPLIST.xls]_SHOPLIST_xl_2517"/>
      <sheetName val="[SHOPLIST.xls]_SHOPLIST_xl_2518"/>
      <sheetName val="[SHOPLIST.xls]_SHOPLIST_xl_2519"/>
      <sheetName val="[SHOPLIST.xls]_SHOPLIST_xl_2520"/>
      <sheetName val="[SHOPLIST.xls]_SHOPLIST_xl_2521"/>
      <sheetName val="[SHOPLIST.xls]_SHOPLIST_xl_2522"/>
      <sheetName val="[SHOPLIST.xls]_SHOPLIST_xl_2523"/>
      <sheetName val="[SHOPLIST.xls]_SHOPLIST_xl_2524"/>
      <sheetName val="[SHOPLIST.xls]_SHOPLIST_xl_2525"/>
      <sheetName val="[SHOPLIST.xls]_SHOPLIST_xl_2526"/>
      <sheetName val="[SHOPLIST.xls]_SHOPLIST_xl_2527"/>
      <sheetName val="[SHOPLIST.xls]_SHOPLIST_xl_2528"/>
      <sheetName val="[SHOPLIST.xls]_SHOPLIST_xl_2529"/>
      <sheetName val="[SHOPLIST.xls]_SHOPLIST_xl_2530"/>
      <sheetName val="[SHOPLIST.xls]_SHOPLIST_xl_2531"/>
      <sheetName val="[SHOPLIST.xls]_SHOPLIST_xl_2532"/>
      <sheetName val="[SHOPLIST.xls]_SHOPLIST_xl_2533"/>
      <sheetName val="[SHOPLIST.xls]_SHOPLIST_xl_2534"/>
      <sheetName val="[SHOPLIST.xls]_SHOPLIST_xl_2535"/>
      <sheetName val="[SHOPLIST.xls]_SHOPLIST_xl_2536"/>
      <sheetName val="[SHOPLIST.xls]_SHOPLIST_xl_2537"/>
      <sheetName val="[SHOPLIST.xls]_SHOPLIST_xl_2538"/>
      <sheetName val="[SHOPLIST.xls]_SHOPLIST_xl_2539"/>
      <sheetName val="[SHOPLIST.xls]_SHOPLIST_xl_2540"/>
      <sheetName val="[SHOPLIST.xls]_SHOPLIST_xl_2541"/>
      <sheetName val="[SHOPLIST.xls]_SHOPLIST_xl_2542"/>
      <sheetName val="[SHOPLIST.xls]_SHOPLIST_xl_2543"/>
      <sheetName val="[SHOPLIST.xls]_SHOPLIST_xl_2544"/>
      <sheetName val="[SHOPLIST.xls]_SHOPLIST_xl_2545"/>
      <sheetName val="[SHOPLIST.xls]_SHOPLIST_xl_2546"/>
      <sheetName val="[SHOPLIST.xls]_SHOPLIST_xl_2547"/>
      <sheetName val="[SHOPLIST.xls]_SHOPLIST_xl_2548"/>
      <sheetName val="[SHOPLIST.xls]_SHOPLIST_xl_2549"/>
      <sheetName val="[SHOPLIST.xls]_SHOPLIST_xl_2550"/>
      <sheetName val="[SHOPLIST.xls]_SHOPLIST_xl_2551"/>
      <sheetName val="[SHOPLIST.xls]_SHOPLIST_xl_2552"/>
      <sheetName val="[SHOPLIST.xls]_SHOPLIST_xl_2553"/>
      <sheetName val="[SHOPLIST.xls]_SHOPLIST_xl_2554"/>
      <sheetName val="[SHOPLIST.xls]_SHOPLIST_xl_2555"/>
      <sheetName val="[SHOPLIST.xls]_SHOPLIST_xl_2556"/>
      <sheetName val="[SHOPLIST.xls]_SHOPLIST_xl_2557"/>
      <sheetName val="[SHOPLIST.xls]_SHOPLIST_xl_2558"/>
      <sheetName val="[SHOPLIST.xls]_SHOPLIST_xl_2559"/>
      <sheetName val="[SHOPLIST.xls]_SHOPLIST_xl_2560"/>
      <sheetName val="[SHOPLIST.xls]_SHOPLIST_xl_2561"/>
      <sheetName val="[SHOPLIST.xls]_SHOPLIST_xl_2562"/>
      <sheetName val="[SHOPLIST.xls]_SHOPLIST_xl_2563"/>
      <sheetName val="[SHOPLIST.xls]_SHOPLIST_xl_2564"/>
      <sheetName val="[SHOPLIST.xls]_SHOPLIST_xl_2565"/>
      <sheetName val="[SHOPLIST.xls]_SHOPLIST_xl_2566"/>
      <sheetName val="[SHOPLIST.xls]_SHOPLIST_xl_2567"/>
      <sheetName val="[SHOPLIST.xls]_SHOPLIST_xl_2568"/>
      <sheetName val="[SHOPLIST.xls]_SHOPLIST_xl_2569"/>
      <sheetName val="[SHOPLIST.xls]_SHOPLIST_xl_2570"/>
      <sheetName val="[SHOPLIST.xls]_SHOPLIST_xl_2571"/>
      <sheetName val="[SHOPLIST.xls]_SHOPLIST_xl_2572"/>
      <sheetName val="[SHOPLIST.xls]_SHOPLIST_xl_2573"/>
      <sheetName val="[SHOPLIST.xls]_SHOPLIST_xl_2574"/>
      <sheetName val="[SHOPLIST.xls]_SHOPLIST_xl_2575"/>
      <sheetName val="[SHOPLIST.xls]_SHOPLIST_xl_2576"/>
      <sheetName val="[SHOPLIST.xls]_SHOPLIST_xl_2577"/>
      <sheetName val="[SHOPLIST.xls]_SHOPLIST_xl_2578"/>
      <sheetName val="[SHOPLIST.xls]_SHOPLIST_xl_2579"/>
      <sheetName val="[SHOPLIST.xls]_SHOPLIST_xl_2580"/>
      <sheetName val="[SHOPLIST.xls]_SHOPLIST_xl_2581"/>
      <sheetName val="[SHOPLIST.xls]_SHOPLIST_xl_2582"/>
      <sheetName val="[SHOPLIST.xls]_SHOPLIST_xl_2583"/>
      <sheetName val="[SHOPLIST.xls]_SHOPLIST_xl_2584"/>
      <sheetName val="[SHOPLIST.xls]_SHOPLIST_xl_2585"/>
      <sheetName val="[SHOPLIST.xls]_SHOPLIST_xl_2586"/>
      <sheetName val="[SHOPLIST.xls]_SHOPLIST_xl_2587"/>
      <sheetName val="[SHOPLIST.xls]_SHOPLIST_xl_2588"/>
      <sheetName val="[SHOPLIST.xls]_SHOPLIST_xl_2589"/>
      <sheetName val="[SHOPLIST.xls]_SHOPLIST_xl_2590"/>
      <sheetName val="[SHOPLIST.xls]_SHOPLIST_xl_2591"/>
      <sheetName val="[SHOPLIST.xls]_SHOPLIST_xl_2592"/>
      <sheetName val="[SHOPLIST.xls]_SHOPLIST_xl_2593"/>
      <sheetName val="[SHOPLIST.xls]_SHOPLIST_xl_2594"/>
      <sheetName val="[SHOPLIST.xls]_SHOPLIST_xl_2595"/>
      <sheetName val="[SHOPLIST.xls]_SHOPLIST_xl_2596"/>
      <sheetName val="[SHOPLIST.xls]_SHOPLIST_xl_2597"/>
      <sheetName val="[SHOPLIST.xls]_SHOPLIST_xl_2598"/>
      <sheetName val="[SHOPLIST.xls]_SHOPLIST_xl_2599"/>
      <sheetName val="[SHOPLIST.xls]_SHOPLIST_xl_2600"/>
      <sheetName val="[SHOPLIST.xls]_SHOPLIST_xl_2601"/>
      <sheetName val="[SHOPLIST.xls]_SHOPLIST_xl_2602"/>
      <sheetName val="[SHOPLIST.xls]_SHOPLIST_xl_2603"/>
      <sheetName val="[SHOPLIST.xls]_SHOPLIST_xl_2604"/>
      <sheetName val="[SHOPLIST.xls]_SHOPLIST_xl_2605"/>
      <sheetName val="[SHOPLIST.xls]_SHOPLIST_xl_2606"/>
      <sheetName val="[SHOPLIST.xls]_SHOPLIST_xl_2607"/>
      <sheetName val="[SHOPLIST.xls]_SHOPLIST_xl_2608"/>
      <sheetName val="[SHOPLIST.xls]_SHOPLIST_xl_2609"/>
      <sheetName val="[SHOPLIST.xls]_SHOPLIST_xl_2610"/>
      <sheetName val="[SHOPLIST.xls]_SHOPLIST_xl_2611"/>
      <sheetName val="[SHOPLIST.xls]_SHOPLIST_xl_2612"/>
      <sheetName val="[SHOPLIST.xls]_SHOPLIST_xl_2613"/>
      <sheetName val="[SHOPLIST.xls]_SHOPLIST_xl_2614"/>
      <sheetName val="[SHOPLIST.xls]_SHOPLIST_xl_2615"/>
      <sheetName val="[SHOPLIST.xls]_SHOPLIST_xl_2616"/>
      <sheetName val="[SHOPLIST.xls]_SHOPLIST_xl_2617"/>
      <sheetName val="[SHOPLIST.xls]_SHOPLIST_xl_2618"/>
      <sheetName val="[SHOPLIST.xls]_SHOPLIST_xl_2619"/>
      <sheetName val="[SHOPLIST.xls]_SHOPLIST_xl_2620"/>
      <sheetName val="[SHOPLIST.xls]_SHOPLIST_xl_2621"/>
      <sheetName val="[SHOPLIST.xls]_SHOPLIST_xl_2622"/>
      <sheetName val="[SHOPLIST.xls]_SHOPLIST_xl_2623"/>
      <sheetName val="[SHOPLIST.xls]_SHOPLIST_xl_2624"/>
      <sheetName val="[SHOPLIST.xls]_SHOPLIST_xl_2625"/>
      <sheetName val="[SHOPLIST.xls]_SHOPLIST_xl_2626"/>
      <sheetName val="[SHOPLIST.xls]_SHOPLIST_xl_2627"/>
      <sheetName val="[SHOPLIST.xls]_SHOPLIST_xl_2628"/>
      <sheetName val="[SHOPLIST.xls]_SHOPLIST_xl_2629"/>
      <sheetName val="[SHOPLIST.xls]_SHOPLIST_xl_2630"/>
      <sheetName val="[SHOPLIST.xls]_SHOPLIST_xl_2631"/>
      <sheetName val="[SHOPLIST.xls]_SHOPLIST_xl_2632"/>
      <sheetName val="[SHOPLIST.xls]_SHOPLIST_xl_2633"/>
      <sheetName val="[SHOPLIST.xls]_SHOPLIST_xl_2634"/>
      <sheetName val="[SHOPLIST.xls]_SHOPLIST_xl_2635"/>
      <sheetName val="[SHOPLIST.xls]_SHOPLIST_xl_2636"/>
      <sheetName val="[SHOPLIST.xls]_SHOPLIST_xl_2637"/>
      <sheetName val="[SHOPLIST.xls]_SHOPLIST_xl_2638"/>
      <sheetName val="[SHOPLIST.xls]_SHOPLIST_xl_2639"/>
      <sheetName val="[SHOPLIST.xls]_SHOPLIST_xl_2640"/>
      <sheetName val="[SHOPLIST.xls]_SHOPLIST_xl_2641"/>
      <sheetName val="[SHOPLIST.xls]_SHOPLIST_xl_2642"/>
      <sheetName val="[SHOPLIST.xls]_SHOPLIST_xl_2643"/>
      <sheetName val="[SHOPLIST.xls]_SHOPLIST_xl_2644"/>
      <sheetName val="[SHOPLIST.xls]_SHOPLIST_xl_2645"/>
      <sheetName val="[SHOPLIST.xls]_SHOPLIST_xl_2646"/>
      <sheetName val="[SHOPLIST.xls]_SHOPLIST_xl_2647"/>
      <sheetName val="[SHOPLIST.xls]_SHOPLIST_xl_2648"/>
      <sheetName val="[SHOPLIST.xls]_SHOPLIST_xl_2649"/>
      <sheetName val="[SHOPLIST.xls]_SHOPLIST_xl_2650"/>
      <sheetName val="[SHOPLIST.xls]_SHOPLIST_xl_2651"/>
      <sheetName val="[SHOPLIST.xls]_SHOPLIST_xl_2652"/>
      <sheetName val="[SHOPLIST.xls]_SHOPLIST_xl_2653"/>
      <sheetName val="[SHOPLIST.xls]_SHOPLIST_xl_2654"/>
      <sheetName val="[SHOPLIST.xls]_SHOPLIST_xl_2655"/>
      <sheetName val="[SHOPLIST.xls]_SHOPLIST_xl_2656"/>
      <sheetName val="[SHOPLIST.xls]_SHOPLIST_xl_2657"/>
      <sheetName val="[SHOPLIST.xls]_SHOPLIST_xl_2658"/>
      <sheetName val="[SHOPLIST.xls]_SHOPLIST_xl_2659"/>
      <sheetName val="[SHOPLIST.xls]_SHOPLIST_xl_2660"/>
      <sheetName val="[SHOPLIST.xls]_SHOPLIST_xl_2661"/>
      <sheetName val="[SHOPLIST.xls]_SHOPLIST_xl_2662"/>
      <sheetName val="[SHOPLIST.xls]_SHOPLIST_xl_2663"/>
      <sheetName val="[SHOPLIST.xls]_SHOPLIST_xl_2664"/>
      <sheetName val="[SHOPLIST.xls]_SHOPLIST_xl_2665"/>
      <sheetName val="[SHOPLIST.xls]_SHOPLIST_xl_2666"/>
      <sheetName val="[SHOPLIST.xls]_SHOPLIST_xl_2667"/>
      <sheetName val="[SHOPLIST.xls]_SHOPLIST_xl_2668"/>
      <sheetName val="[SHOPLIST.xls]_SHOPLIST_xl_2669"/>
      <sheetName val="[SHOPLIST.xls]_SHOPLIST_xl_2670"/>
      <sheetName val="[SHOPLIST.xls]_SHOPLIST_xl_2671"/>
      <sheetName val="[SHOPLIST.xls]_SHOPLIST_xl_2672"/>
      <sheetName val="[SHOPLIST.xls]_SHOPLIST_xl_2673"/>
      <sheetName val="[SHOPLIST.xls]_SHOPLIST_xl_2674"/>
      <sheetName val="[SHOPLIST.xls]_SHOPLIST_xl_2675"/>
      <sheetName val="[SHOPLIST.xls]_SHOPLIST_xl_2676"/>
      <sheetName val="[SHOPLIST.xls]_SHOPLIST_xl_2677"/>
      <sheetName val="[SHOPLIST.xls]_SHOPLIST_xl_2678"/>
      <sheetName val="[SHOPLIST.xls]_SHOPLIST_xl_2679"/>
      <sheetName val="[SHOPLIST.xls]_SHOPLIST_xl_2680"/>
      <sheetName val="[SHOPLIST.xls]_SHOPLIST_xl_2681"/>
      <sheetName val="[SHOPLIST.xls]_SHOPLIST_xl_2682"/>
      <sheetName val="[SHOPLIST.xls]_SHOPLIST_xl_2683"/>
      <sheetName val="[SHOPLIST.xls]_SHOPLIST_xl_2684"/>
      <sheetName val="[SHOPLIST.xls]_SHOPLIST_xl_2685"/>
      <sheetName val="[SHOPLIST.xls]_SHOPLIST_xl_2686"/>
      <sheetName val="[SHOPLIST.xls]_SHOPLIST_xl_3534"/>
      <sheetName val="[SHOPLIST.xls]_SHOPLIST_xl_3535"/>
      <sheetName val="[SHOPLIST.xls]_SHOPLIST_xl_3536"/>
      <sheetName val="[SHOPLIST.xls]_SHOPLIST_xl_3537"/>
      <sheetName val="[SHOPLIST.xls]_SHOPLIST_xl_3538"/>
      <sheetName val="[SHOPLIST.xls]_SHOPLIST_xl_3539"/>
      <sheetName val="[SHOPLIST.xls]_SHOPLIST_xl_3540"/>
      <sheetName val="[SHOPLIST.xls]_SHOPLIST_xl_3541"/>
      <sheetName val="[SHOPLIST.xls]_SHOPLIST_xl_3542"/>
      <sheetName val="[SHOPLIST.xls]_SHOPLIST_xl_3543"/>
      <sheetName val="[SHOPLIST.xls]_SHOPLIST_xl_3544"/>
      <sheetName val="[SHOPLIST.xls]_SHOPLIST_xl_3545"/>
      <sheetName val="[SHOPLIST.xls]_SHOPLIST_xl_3546"/>
      <sheetName val="[SHOPLIST.xls]_SHOPLIST_xl_3547"/>
      <sheetName val="[SHOPLIST.xls]_SHOPLIST_xl_3548"/>
      <sheetName val="[SHOPLIST.xls]_SHOPLIST_xl_3549"/>
      <sheetName val="[SHOPLIST.xls]70,/0s«iÆøí¬i16"/>
      <sheetName val="[SHOPLIST.xls]/VW11"/>
      <sheetName val="[SHOPLIST.xls]/VWVU))tÏØ0__55"/>
      <sheetName val="[SHOPLIST.xls]/VWVU))tÏØ0__56"/>
      <sheetName val="[SHOPLIST.xls]/VWVU))tÏØ0__57"/>
      <sheetName val="[SHOPLIST.xls]/VWVU))tÏØ0__58"/>
      <sheetName val="[SHOPLIST.xls]/VWVU))tÏØ0__59"/>
      <sheetName val="[SHOPLIST.xls]70,/0s«_iÆø_í¬_11"/>
      <sheetName val="[SHOPLIST.xls]70?,/0?s«i?Æøí¬11"/>
      <sheetName val="[SHOPLIST.xls]/VWVU))tÏØ0__60"/>
      <sheetName val="[SHOPLIST.xls]/VWVU))tÏØ0__62"/>
      <sheetName val="[SHOPLIST.xls]/VWVU))tÏØ0__63"/>
      <sheetName val="[SHOPLIST.xls]/VWVU))tÏØ0__81"/>
      <sheetName val="[SHOPLIST.xls]/VWVU))tÏØ0__91"/>
      <sheetName val="[SHOPLIST.xls]_SHOPLIST_xl_3550"/>
      <sheetName val="[SHOPLIST.xls]_SHOPLIST_xl_2913"/>
      <sheetName val="[SHOPLIST.xls]_SHOPLIST_xl_2914"/>
      <sheetName val="[SHOPLIST.xls]_SHOPLIST_xl_2915"/>
      <sheetName val="[SHOPLIST.xls]_SHOPLIST_xl_2916"/>
      <sheetName val="[SHOPLIST.xls]_SHOPLIST_xl_2917"/>
      <sheetName val="[SHOPLIST.xls]_SHOPLIST_xl_2918"/>
      <sheetName val="[SHOPLIST.xls]_SHOPLIST_xl_2919"/>
      <sheetName val="[SHOPLIST.xls]_SHOPLIST_xl_2920"/>
      <sheetName val="[SHOPLIST.xls]_SHOPLIST_xl_2921"/>
      <sheetName val="[SHOPLIST.xls]_SHOPLIST_xl_2922"/>
      <sheetName val="[SHOPLIST.xls]_SHOPLIST_xl_2923"/>
      <sheetName val="[SHOPLIST.xls]_SHOPLIST_xl_2924"/>
      <sheetName val="[SHOPLIST.xls]_SHOPLIST_xl_2925"/>
      <sheetName val="[SHOPLIST.xls]_SHOPLIST_xl_2926"/>
      <sheetName val="[SHOPLIST.xls]_SHOPLIST_xl_2927"/>
      <sheetName val="[SHOPLIST.xls]_SHOPLIST_xl_2928"/>
      <sheetName val="[SHOPLIST.xls]_SHOPLIST_xl_2929"/>
      <sheetName val="[SHOPLIST.xls]_SHOPLIST_xl_2930"/>
      <sheetName val="[SHOPLIST.xls]_SHOPLIST_xl_2931"/>
      <sheetName val="[SHOPLIST.xls]_SHOPLIST_xl_2932"/>
      <sheetName val="[SHOPLIST.xls]_SHOPLIST_xl_2933"/>
      <sheetName val="[SHOPLIST.xls]_SHOPLIST_xl_2934"/>
      <sheetName val="[SHOPLIST.xls]_SHOPLIST_xl_2935"/>
      <sheetName val="[SHOPLIST.xls]_SHOPLIST_xl_2936"/>
      <sheetName val="[SHOPLIST.xls]_SHOPLIST_xl_2937"/>
      <sheetName val="[SHOPLIST.xls]_SHOPLIST_xl_2938"/>
      <sheetName val="[SHOPLIST.xls]_SHOPLIST_xl_2939"/>
      <sheetName val="[SHOPLIST.xls]_SHOPLIST_xl_2940"/>
      <sheetName val="[SHOPLIST.xls]_SHOPLIST_xl_2941"/>
      <sheetName val="[SHOPLIST.xls]_SHOPLIST_xl_2942"/>
      <sheetName val="[SHOPLIST.xls]_SHOPLIST_xl_2943"/>
      <sheetName val="[SHOPLIST.xls]_SHOPLIST_xl_2944"/>
      <sheetName val="[SHOPLIST.xls]_SHOPLIST_xl_2945"/>
      <sheetName val="[SHOPLIST.xls]_SHOPLIST_xl_2946"/>
      <sheetName val="[SHOPLIST.xls]_SHOPLIST_xl_2947"/>
      <sheetName val="[SHOPLIST.xls]_SHOPLIST_xl_2948"/>
      <sheetName val="[SHOPLIST.xls]_SHOPLIST_xl_2949"/>
      <sheetName val="[SHOPLIST.xls]_SHOPLIST_xl_2950"/>
      <sheetName val="[SHOPLIST.xls]_SHOPLIST_xl_2951"/>
      <sheetName val="[SHOPLIST.xls]_SHOPLIST_xl_2952"/>
      <sheetName val="[SHOPLIST.xls]_SHOPLIST_xl_2953"/>
      <sheetName val="[SHOPLIST.xls]_SHOPLIST_xl_2954"/>
      <sheetName val="[SHOPLIST.xls]_SHOPLIST_xl_2955"/>
      <sheetName val="[SHOPLIST.xls]_SHOPLIST_xl_2956"/>
      <sheetName val="[SHOPLIST.xls]_SHOPLIST_xl_2957"/>
      <sheetName val="[SHOPLIST.xls]_SHOPLIST_xl_2958"/>
      <sheetName val="[SHOPLIST.xls]_SHOPLIST_xl_2959"/>
      <sheetName val="[SHOPLIST.xls]_SHOPLIST_xl_2960"/>
      <sheetName val="[SHOPLIST.xls]_SHOPLIST_xl_2961"/>
      <sheetName val="[SHOPLIST.xls]_SHOPLIST_xl_2962"/>
      <sheetName val="[SHOPLIST.xls]_SHOPLIST_xl_2963"/>
      <sheetName val="[SHOPLIST.xls]_SHOPLIST_xl_2964"/>
      <sheetName val="[SHOPLIST.xls]_SHOPLIST_xl_2965"/>
      <sheetName val="[SHOPLIST.xls]_SHOPLIST_xl_2966"/>
      <sheetName val="[SHOPLIST.xls]_SHOPLIST_xl_2967"/>
      <sheetName val="[SHOPLIST.xls]_SHOPLIST_xl_2968"/>
      <sheetName val="[SHOPLIST.xls]_SHOPLIST_xl_2969"/>
      <sheetName val="[SHOPLIST.xls]_SHOPLIST_xl_2970"/>
      <sheetName val="[SHOPLIST.xls]_SHOPLIST_xl_2971"/>
      <sheetName val="[SHOPLIST.xls]_SHOPLIST_xl_2972"/>
      <sheetName val="[SHOPLIST.xls]_SHOPLIST_xl_2973"/>
      <sheetName val="[SHOPLIST.xls]_SHOPLIST_xl_2974"/>
      <sheetName val="[SHOPLIST.xls]_SHOPLIST_xl_2975"/>
      <sheetName val="[SHOPLIST.xls]_SHOPLIST_xl_2976"/>
      <sheetName val="[SHOPLIST.xls]_SHOPLIST_xl_2977"/>
      <sheetName val="[SHOPLIST.xls]_SHOPLIST_xl_2978"/>
      <sheetName val="[SHOPLIST.xls]_SHOPLIST_xl_2979"/>
      <sheetName val="[SHOPLIST.xls]_SHOPLIST_xl_2980"/>
      <sheetName val="[SHOPLIST.xls]_SHOPLIST_xl_2981"/>
      <sheetName val="[SHOPLIST.xls]_SHOPLIST_xl_2982"/>
      <sheetName val="[SHOPLIST.xls]_SHOPLIST_xl_2983"/>
      <sheetName val="[SHOPLIST.xls]_SHOPLIST_xl_2984"/>
      <sheetName val="[SHOPLIST.xls]_SHOPLIST_xl_2985"/>
      <sheetName val="[SHOPLIST.xls]_SHOPLIST_xl_2986"/>
      <sheetName val="[SHOPLIST.xls]_SHOPLIST_xl_2987"/>
      <sheetName val="[SHOPLIST.xls]_SHOPLIST_xl_2988"/>
      <sheetName val="[SHOPLIST.xls]_SHOPLIST_xl_2989"/>
      <sheetName val="[SHOPLIST.xls]_SHOPLIST_xl_2990"/>
      <sheetName val="[SHOPLIST.xls]_SHOPLIST_xl_2991"/>
      <sheetName val="[SHOPLIST.xls]_SHOPLIST_xl_2992"/>
      <sheetName val="[SHOPLIST.xls]_SHOPLIST_xl_2993"/>
      <sheetName val="[SHOPLIST.xls]_SHOPLIST_xl_2994"/>
      <sheetName val="[SHOPLIST.xls]_SHOPLIST_xl_2995"/>
      <sheetName val="[SHOPLIST.xls]_SHOPLIST_xl_2996"/>
      <sheetName val="[SHOPLIST.xls]_SHOPLIST_xl_2997"/>
      <sheetName val="[SHOPLIST.xls]_SHOPLIST_xl_2998"/>
      <sheetName val="[SHOPLIST.xls]_SHOPLIST_xl_2999"/>
      <sheetName val="[SHOPLIST.xls]_SHOPLIST_xl_3000"/>
      <sheetName val="[SHOPLIST.xls]_SHOPLIST_xl_3001"/>
      <sheetName val="[SHOPLIST.xls]_SHOPLIST_xl_3002"/>
      <sheetName val="[SHOPLIST.xls]_SHOPLIST_xl_3003"/>
      <sheetName val="[SHOPLIST.xls]_SHOPLIST_xl_3004"/>
      <sheetName val="[SHOPLIST.xls]_SHOPLIST_xl_3005"/>
      <sheetName val="[SHOPLIST.xls]_SHOPLIST_xl_3006"/>
      <sheetName val="[SHOPLIST.xls]_SHOPLIST_xl_3007"/>
      <sheetName val="[SHOPLIST.xls]_SHOPLIST_xl_3008"/>
      <sheetName val="[SHOPLIST.xls]_SHOPLIST_xl_3009"/>
      <sheetName val="[SHOPLIST.xls]_SHOPLIST_xl_3010"/>
      <sheetName val="[SHOPLIST.xls]_SHOPLIST_xl_3011"/>
      <sheetName val="[SHOPLIST.xls]_SHOPLIST_xl_3012"/>
      <sheetName val="[SHOPLIST.xls]_SHOPLIST_xl_3013"/>
      <sheetName val="[SHOPLIST.xls]_SHOPLIST_xl_3014"/>
      <sheetName val="[SHOPLIST.xls]_SHOPLIST_xl_3015"/>
      <sheetName val="[SHOPLIST.xls]_SHOPLIST_xl_3016"/>
      <sheetName val="[SHOPLIST.xls]_SHOPLIST_xl_3017"/>
      <sheetName val="[SHOPLIST.xls]_SHOPLIST_xl_3018"/>
      <sheetName val="[SHOPLIST.xls]_SHOPLIST_xl_3019"/>
      <sheetName val="[SHOPLIST.xls]_SHOPLIST_xl_3020"/>
      <sheetName val="[SHOPLIST.xls]_SHOPLIST_xl_3021"/>
      <sheetName val="[SHOPLIST.xls]_SHOPLIST_xl_3022"/>
      <sheetName val="[SHOPLIST.xls]_SHOPLIST_xl_3023"/>
      <sheetName val="[SHOPLIST.xls]_SHOPLIST_xl_3024"/>
      <sheetName val="[SHOPLIST.xls]_SHOPLIST_xl_3025"/>
      <sheetName val="[SHOPLIST.xls]70___0_s__i____44"/>
      <sheetName val="[SHOPLIST.xls]_VW__VU________26"/>
      <sheetName val="[SHOPLIST.xls]_VW__VU________27"/>
      <sheetName val="[SHOPLIST.xls]70_x005f_x0000___0_x_14"/>
      <sheetName val="[SHOPLIST.xls]70___0_s__i____45"/>
      <sheetName val="[SHOPLIST.xls]_SHOPLIST_xl_3026"/>
      <sheetName val="[SHOPLIST.xls]70___0_s__i____46"/>
      <sheetName val="[SHOPLIST.xls]_SHOPLIST_xl_3027"/>
      <sheetName val="[SHOPLIST.xls]_SHOPLIST_xl_3028"/>
      <sheetName val="[SHOPLIST.xls]_SHOPLIST_xl_3029"/>
      <sheetName val="[SHOPLIST.xls]_SHOPLIST_xl_3030"/>
      <sheetName val="[SHOPLIST.xls]_SHOPLIST_xl_3031"/>
      <sheetName val="[SHOPLIST.xls]_SHOPLIST_xl_3032"/>
      <sheetName val="[SHOPLIST.xls]_SHOPLIST_xl_3033"/>
      <sheetName val="[SHOPLIST.xls]_SHOPLIST_xl_3034"/>
      <sheetName val="[SHOPLIST.xls]_SHOPLIST_xl_3035"/>
      <sheetName val="[SHOPLIST.xls]_SHOPLIST_xl_3036"/>
      <sheetName val="[SHOPLIST.xls]_SHOPLIST_xl_3037"/>
      <sheetName val="[SHOPLIST.xls]_SHOPLIST_xl_3038"/>
      <sheetName val="[SHOPLIST.xls]_SHOPLIST_xl_3039"/>
      <sheetName val="[SHOPLIST.xls]_SHOPLIST_xl_3040"/>
      <sheetName val="[SHOPLIST.xls]_SHOPLIST_xl_3041"/>
      <sheetName val="[SHOPLIST.xls]_SHOPLIST_xl_3042"/>
      <sheetName val="[SHOPLIST.xls]_SHOPLIST_xl_3043"/>
      <sheetName val="[SHOPLIST.xls]_SHOPLIST_xl_3044"/>
      <sheetName val="[SHOPLIST.xls]_SHOPLIST_xl_3045"/>
      <sheetName val="[SHOPLIST.xls]_SHOPLIST_xl_3046"/>
      <sheetName val="[SHOPLIST.xls]_SHOPLIST_xl_3047"/>
      <sheetName val="[SHOPLIST.xls]_SHOPLIST_xl_3048"/>
      <sheetName val="[SHOPLIST.xls]_SHOPLIST_xl_3049"/>
      <sheetName val="[SHOPLIST.xls]_SHOPLIST_xl_3050"/>
      <sheetName val="[SHOPLIST.xls]_SHOPLIST_xl_3051"/>
      <sheetName val="[SHOPLIST.xls]_SHOPLIST_xl_3052"/>
      <sheetName val="[SHOPLIST.xls]_SHOPLIST_xl_3053"/>
      <sheetName val="[SHOPLIST.xls]_SHOPLIST_xl_3054"/>
      <sheetName val="[SHOPLIST.xls]_SHOPLIST_xl_3055"/>
      <sheetName val="[SHOPLIST.xls]_SHOPLIST_xl_3056"/>
      <sheetName val="[SHOPLIST.xls]_SHOPLIST_xl_3057"/>
      <sheetName val="[SHOPLIST.xls]_SHOPLIST_xl_3058"/>
      <sheetName val="[SHOPLIST.xls]_SHOPLIST_xl_3059"/>
      <sheetName val="[SHOPLIST.xls]_SHOPLIST_xl_3060"/>
      <sheetName val="[SHOPLIST.xls]_SHOPLIST_xl_3061"/>
      <sheetName val="[SHOPLIST.xls]_SHOPLIST_xl_3062"/>
      <sheetName val="[SHOPLIST.xls]_SHOPLIST_xl_3063"/>
      <sheetName val="[SHOPLIST.xls]_SHOPLIST_xl_3064"/>
      <sheetName val="[SHOPLIST.xls]_SHOPLIST_xl_3065"/>
      <sheetName val="[SHOPLIST.xls]_SHOPLIST_xl_3066"/>
      <sheetName val="[SHOPLIST.xls]_SHOPLIST_xl_3067"/>
      <sheetName val="[SHOPLIST.xls]_SHOPLIST_xl_3068"/>
      <sheetName val="[SHOPLIST.xls]_SHOPLIST_xl_3069"/>
      <sheetName val="[SHOPLIST.xls]_SHOPLIST_xl_3070"/>
      <sheetName val="[SHOPLIST.xls]_SHOPLIST_xl_3071"/>
      <sheetName val="[SHOPLIST.xls]_SHOPLIST_xl_3072"/>
      <sheetName val="[SHOPLIST.xls]_SHOPLIST_xl_3073"/>
      <sheetName val="[SHOPLIST.xls]_SHOPLIST_xl_3074"/>
      <sheetName val="[SHOPLIST.xls]_SHOPLIST_xl_3075"/>
      <sheetName val="[SHOPLIST.xls]_SHOPLIST_xl_3076"/>
      <sheetName val="[SHOPLIST.xls]_SHOPLIST_xl_3077"/>
      <sheetName val="[SHOPLIST.xls]_SHOPLIST_xl_3078"/>
      <sheetName val="[SHOPLIST.xls]_SHOPLIST_xl_3079"/>
      <sheetName val="[SHOPLIST.xls]_SHOPLIST_xl_3080"/>
      <sheetName val="[SHOPLIST.xls]_SHOPLIST_xl_3081"/>
      <sheetName val="[SHOPLIST.xls]_SHOPLIST_xl_3082"/>
      <sheetName val="[SHOPLIST.xls]_SHOPLIST_xl_3083"/>
      <sheetName val="[SHOPLIST.xls]_SHOPLIST_xl_3084"/>
      <sheetName val="[SHOPLIST.xls]_SHOPLIST_xl_3085"/>
      <sheetName val="[SHOPLIST.xls]_SHOPLIST_xl_3086"/>
      <sheetName val="[SHOPLIST.xls]_SHOPLIST_xl_3087"/>
      <sheetName val="[SHOPLIST.xls]_SHOPLIST_xl_3088"/>
      <sheetName val="[SHOPLIST.xls]_SHOPLIST_xl_3089"/>
      <sheetName val="[SHOPLIST.xls]_SHOPLIST_xl_3090"/>
      <sheetName val="[SHOPLIST.xls]_SHOPLIST_xl_3091"/>
      <sheetName val="[SHOPLIST.xls]_SHOPLIST_xl_3092"/>
      <sheetName val="[SHOPLIST.xls]_SHOPLIST_xl_3093"/>
      <sheetName val="[SHOPLIST.xls]_SHOPLIST_xl_3094"/>
      <sheetName val="[SHOPLIST.xls]_SHOPLIST_xl_3095"/>
      <sheetName val="[SHOPLIST.xls]_SHOPLIST_xl_3096"/>
      <sheetName val="[SHOPLIST.xls]_SHOPLIST_xl_3097"/>
      <sheetName val="[SHOPLIST.xls]_SHOPLIST_xl_3098"/>
      <sheetName val="[SHOPLIST.xls]_SHOPLIST_xl_3099"/>
      <sheetName val="[SHOPLIST.xls]_SHOPLIST_xl_3100"/>
      <sheetName val="[SHOPLIST.xls]_SHOPLIST_xl_3101"/>
      <sheetName val="[SHOPLIST.xls]_SHOPLIST_xl_3102"/>
      <sheetName val="[SHOPLIST.xls]_SHOPLIST_xl_3103"/>
      <sheetName val="[SHOPLIST.xls]_SHOPLIST_xl_3104"/>
      <sheetName val="[SHOPLIST.xls]_SHOPLIST_xl_3105"/>
      <sheetName val="[SHOPLIST.xls]_SHOPLIST_xl_3106"/>
      <sheetName val="[SHOPLIST.xls]_SHOPLIST_xl_3107"/>
      <sheetName val="[SHOPLIST.xls]_SHOPLIST_xl_3108"/>
      <sheetName val="[SHOPLIST.xls]_SHOPLIST_xl_3109"/>
      <sheetName val="[SHOPLIST.xls]_SHOPLIST_xl_3110"/>
      <sheetName val="[SHOPLIST.xls]_SHOPLIST_xl_3111"/>
      <sheetName val="[SHOPLIST.xls]_SHOPLIST_xl_3112"/>
      <sheetName val="[SHOPLIST.xls]_SHOPLIST_xl_3113"/>
      <sheetName val="[SHOPLIST.xls]_SHOPLIST_xl_3114"/>
      <sheetName val="[SHOPLIST.xls]_SHOPLIST_xl_3115"/>
      <sheetName val="[SHOPLIST.xls]_SHOPLIST_xl_3116"/>
      <sheetName val="[SHOPLIST.xls]_SHOPLIST_xl_3117"/>
      <sheetName val="[SHOPLIST.xls]_SHOPLIST_xl_3118"/>
      <sheetName val="[SHOPLIST.xls]_SHOPLIST_xl_3119"/>
      <sheetName val="[SHOPLIST.xls]_SHOPLIST_xl_3120"/>
      <sheetName val="[SHOPLIST.xls]_SHOPLIST_xl_3121"/>
      <sheetName val="[SHOPLIST.xls]_SHOPLIST_xl_3122"/>
      <sheetName val="[SHOPLIST.xls]_SHOPLIST_xl_3123"/>
      <sheetName val="[SHOPLIST.xls]_SHOPLIST_xl_3124"/>
      <sheetName val="[SHOPLIST.xls]_SHOPLIST_xl_3125"/>
      <sheetName val="[SHOPLIST.xls]_SHOPLIST_xl_3126"/>
      <sheetName val="[SHOPLIST.xls]_SHOPLIST_xl_3127"/>
      <sheetName val="[SHOPLIST.xls]_SHOPLIST_xl_3128"/>
      <sheetName val="[SHOPLIST.xls]_SHOPLIST_xl_3129"/>
      <sheetName val="[SHOPLIST.xls]_SHOPLIST_xl_3130"/>
      <sheetName val="[SHOPLIST.xls]_SHOPLIST_xl_3131"/>
      <sheetName val="[SHOPLIST.xls]_SHOPLIST_xl_3132"/>
      <sheetName val="[SHOPLIST.xls]_SHOPLIST_xl_3133"/>
      <sheetName val="[SHOPLIST.xls]_SHOPLIST_xl_3134"/>
      <sheetName val="[SHOPLIST.xls]_SHOPLIST_xl_3135"/>
      <sheetName val="[SHOPLIST.xls]_SHOPLIST_xl_3136"/>
      <sheetName val="[SHOPLIST.xls]_SHOPLIST_xl_3137"/>
      <sheetName val="[SHOPLIST.xls]_SHOPLIST_xl_3138"/>
      <sheetName val="[SHOPLIST.xls]_SHOPLIST_xl_3139"/>
      <sheetName val="[SHOPLIST.xls]_SHOPLIST_xl_3140"/>
      <sheetName val="[SHOPLIST.xls]_SHOPLIST_xl_3141"/>
      <sheetName val="[SHOPLIST.xls]_SHOPLIST_xl_3142"/>
      <sheetName val="[SHOPLIST.xls]_SHOPLIST_xl_3143"/>
      <sheetName val="[SHOPLIST.xls]_SHOPLIST_xl_3144"/>
      <sheetName val="[SHOPLIST.xls]_SHOPLIST_xl_3145"/>
      <sheetName val="[SHOPLIST.xls]_SHOPLIST_xl_3146"/>
      <sheetName val="[SHOPLIST.xls]_SHOPLIST_xl_3147"/>
      <sheetName val="[SHOPLIST.xls]_SHOPLIST_xl_3148"/>
      <sheetName val="[SHOPLIST.xls]_SHOPLIST_xl_3149"/>
      <sheetName val="[SHOPLIST.xls]_SHOPLIST_xl_3150"/>
      <sheetName val="[SHOPLIST.xls]_SHOPLIST_xl_3151"/>
      <sheetName val="[SHOPLIST.xls]_SHOPLIST_xl_3152"/>
      <sheetName val="[SHOPLIST.xls]_SHOPLIST_xl_3153"/>
      <sheetName val="[SHOPLIST.xls]_SHOPLIST_xl_3154"/>
      <sheetName val="[SHOPLIST.xls]_SHOPLIST_xl_3155"/>
      <sheetName val="[SHOPLIST.xls]70___0_s__i____47"/>
      <sheetName val="[SHOPLIST.xls]_SHOPLIST_xl_3156"/>
      <sheetName val="[SHOPLIST.xls]_SHOPLIST_xl_3157"/>
      <sheetName val="[SHOPLIST.xls]_SHOPLIST_xl_3158"/>
      <sheetName val="[SHOPLIST.xls]_SHOPLIST_xl_3159"/>
      <sheetName val="[SHOPLIST.xls]_SHOPLIST_xl_3160"/>
      <sheetName val="[SHOPLIST.xls]_SHOPLIST_xl_3161"/>
      <sheetName val="[SHOPLIST.xls]_SHOPLIST_xl_3162"/>
      <sheetName val="[SHOPLIST.xls]_SHOPLIST_xl_3163"/>
      <sheetName val="[SHOPLIST.xls]_SHOPLIST_xl_3164"/>
      <sheetName val="[SHOPLIST.xls]_SHOPLIST_xl_3165"/>
      <sheetName val="[SHOPLIST.xls]_SHOPLIST_xl_3166"/>
      <sheetName val="[SHOPLIST.xls]_SHOPLIST_xl_3167"/>
      <sheetName val="[SHOPLIST.xls]_SHOPLIST_xl_3168"/>
      <sheetName val="[SHOPLIST.xls]_SHOPLIST_xl_3169"/>
      <sheetName val="[SHOPLIST.xls]_SHOPLIST_xl_3170"/>
      <sheetName val="[SHOPLIST.xls]_SHOPLIST_xl_3171"/>
      <sheetName val="[SHOPLIST.xls]_SHOPLIST_xl_3172"/>
      <sheetName val="[SHOPLIST.xls]_SHOPLIST_xl_3173"/>
      <sheetName val="[SHOPLIST.xls]_SHOPLIST_xl_3174"/>
      <sheetName val="[SHOPLIST.xls]_SHOPLIST_xl_3175"/>
      <sheetName val="[SHOPLIST.xls]_SHOPLIST_xl_3176"/>
      <sheetName val="[SHOPLIST.xls]_SHOPLIST_xl_3177"/>
      <sheetName val="[SHOPLIST.xls]_SHOPLIST_xl_3178"/>
      <sheetName val="[SHOPLIST.xls]_SHOPLIST_xl_3179"/>
      <sheetName val="[SHOPLIST.xls]_SHOPLIST_xl_3180"/>
      <sheetName val="[SHOPLIST.xls]_SHOPLIST_xl_3181"/>
      <sheetName val="[SHOPLIST.xls]_SHOPLIST_xl_3182"/>
      <sheetName val="[SHOPLIST.xls]_SHOPLIST_xl_3183"/>
      <sheetName val="[SHOPLIST.xls]_SHOPLIST_xl_3184"/>
      <sheetName val="[SHOPLIST.xls]_SHOPLIST_xl_3185"/>
      <sheetName val="[SHOPLIST.xls]_SHOPLIST_xl_3186"/>
      <sheetName val="[SHOPLIST.xls]_SHOPLIST_xl_3187"/>
      <sheetName val="[SHOPLIST.xls]_SHOPLIST_xl_3188"/>
      <sheetName val="[SHOPLIST.xls]_SHOPLIST_xl_3189"/>
      <sheetName val="[SHOPLIST.xls]_SHOPLIST_xl_3190"/>
      <sheetName val="[SHOPLIST.xls]_SHOPLIST_xl_3191"/>
      <sheetName val="[SHOPLIST.xls]_SHOPLIST_xl_3192"/>
      <sheetName val="[SHOPLIST.xls]_SHOPLIST_xl_3193"/>
      <sheetName val="[SHOPLIST.xls]_SHOPLIST_xl_3194"/>
      <sheetName val="[SHOPLIST.xls]_SHOPLIST_xl_3195"/>
      <sheetName val="[SHOPLIST.xls]_SHOPLIST_xl_3196"/>
      <sheetName val="[SHOPLIST.xls]_SHOPLIST_xl_3197"/>
      <sheetName val="[SHOPLIST.xls]_SHOPLIST_xl_3198"/>
      <sheetName val="[SHOPLIST.xls]_SHOPLIST_xl_3199"/>
      <sheetName val="[SHOPLIST.xls]_SHOPLIST_xl_3200"/>
      <sheetName val="[SHOPLIST.xls]_SHOPLIST_xl_3201"/>
      <sheetName val="[SHOPLIST.xls]_SHOPLIST_xl_3202"/>
      <sheetName val="[SHOPLIST.xls]_SHOPLIST_xl_3203"/>
      <sheetName val="[SHOPLIST.xls]_SHOPLIST_xl_3204"/>
      <sheetName val="[SHOPLIST.xls]_SHOPLIST_xl_3205"/>
      <sheetName val="[SHOPLIST.xls]_SHOPLIST_xl_3206"/>
      <sheetName val="[SHOPLIST.xls]_SHOPLIST_xl_3207"/>
      <sheetName val="[SHOPLIST.xls]_SHOPLIST_xl_3208"/>
      <sheetName val="[SHOPLIST.xls]_SHOPLIST_xl_3209"/>
      <sheetName val="[SHOPLIST.xls]_SHOPLIST_xl_3210"/>
      <sheetName val="[SHOPLIST.xls]_SHOPLIST_xl_3211"/>
      <sheetName val="[SHOPLIST.xls]_SHOPLIST_xl_3212"/>
      <sheetName val="[SHOPLIST.xls]_SHOPLIST_xl_3213"/>
      <sheetName val="[SHOPLIST.xls]_SHOPLIST_xl_3214"/>
      <sheetName val="[SHOPLIST.xls]_SHOPLIST_xl_3215"/>
      <sheetName val="[SHOPLIST.xls]_SHOPLIST_xl_3216"/>
      <sheetName val="[SHOPLIST.xls]_SHOPLIST_xl_3217"/>
      <sheetName val="[SHOPLIST.xls]_SHOPLIST_xl_3218"/>
      <sheetName val="[SHOPLIST.xls]_SHOPLIST_xl_3219"/>
      <sheetName val="[SHOPLIST.xls]_SHOPLIST_xl_3220"/>
      <sheetName val="[SHOPLIST.xls]_SHOPLIST_xl_3221"/>
      <sheetName val="[SHOPLIST.xls]_SHOPLIST_xl_3222"/>
      <sheetName val="[SHOPLIST.xls]_SHOPLIST_xl_3223"/>
      <sheetName val="[SHOPLIST.xls]_SHOPLIST_xl_3224"/>
      <sheetName val="[SHOPLIST.xls]_SHOPLIST_xl_3225"/>
      <sheetName val="[SHOPLIST.xls]_SHOPLIST_xl_3226"/>
      <sheetName val="[SHOPLIST.xls]_SHOPLIST_xl_3227"/>
      <sheetName val="[SHOPLIST.xls]_SHOPLIST_xl_3228"/>
      <sheetName val="[SHOPLIST.xls]_SHOPLIST_xl_3229"/>
      <sheetName val="[SHOPLIST.xls]_SHOPLIST_xl_3230"/>
      <sheetName val="[SHOPLIST.xls]_SHOPLIST_xl_3231"/>
      <sheetName val="1. Scenario Manager"/>
      <sheetName val="Joseph_Record4"/>
      <sheetName val="_boaboard_(1)3"/>
      <sheetName val="#3E1_GCR"/>
      <sheetName val="BOQ LT"/>
      <sheetName val="BP"/>
      <sheetName val="Abstract-2"/>
      <sheetName val="Shor &amp; Shuter"/>
      <sheetName val="nVision"/>
      <sheetName val="Customer Master Data"/>
      <sheetName val="ZED Inventory Phase 1"/>
      <sheetName val="cancelled"/>
      <sheetName val="5% 5% &amp; 7Years"/>
      <sheetName val="10% 5% 6Y"/>
      <sheetName val="Data validation 1"/>
      <sheetName val="Data Validation 2"/>
      <sheetName val="calculator"/>
      <sheetName val="Receipt"/>
      <sheetName val="Receipt manual"/>
      <sheetName val="pivot-summary"/>
      <sheetName val="pivot-summary (2)"/>
      <sheetName val="Updated Sales Report"/>
      <sheetName val="A1-2 &amp; B1-2 "/>
      <sheetName val="Deleted Buildings"/>
      <sheetName val="Reconcilation"/>
      <sheetName val="Yard"/>
      <sheetName val="VenCF"/>
      <sheetName val="70,/0s«iÆøí¬i20"/>
      <sheetName val="[SHOPLIST_xls]741"/>
      <sheetName val="[SHOPLIST_xls]742"/>
      <sheetName val="[SHOPLIST_xls]743"/>
      <sheetName val="/VWVU))tÏØ0_108"/>
      <sheetName val="/VWVU))tÏØ0_109"/>
      <sheetName val="/VWVU))tÏØ0_110"/>
      <sheetName val="/VWVU))tÏØ0_111"/>
      <sheetName val="/VWVU))tÏØ0_112"/>
      <sheetName val="/VWVU))tÏØ0_113"/>
      <sheetName val="/VWVU))tÏØ0_114"/>
      <sheetName val="/VWVU))tÏØ0_115"/>
      <sheetName val="/VWVU))tÏØ0_116"/>
      <sheetName val="/VWVU))tÏØ0_117"/>
      <sheetName val="70,/0s«iÆøí¬4"/>
      <sheetName val="[SH4"/>
      <sheetName val="70_4"/>
      <sheetName val="/VW3"/>
      <sheetName val="/VWVU))tÏØ0_118"/>
      <sheetName val="/VWVU))tÏØ0_119"/>
      <sheetName val="/VWVU))tÏØ0_120"/>
      <sheetName val="70,/0s«i_x3"/>
      <sheetName val="70_x005f_x0000_,/0_x001"/>
      <sheetName val="/VWVU))tÏØ0_121"/>
      <sheetName val="/VWVU))tÏØ0_122"/>
      <sheetName val="/VWVU))tÏØ0_123"/>
      <sheetName val="/VWVU))tÏØ0_124"/>
      <sheetName val="/VWVU))tÏØ0_125"/>
      <sheetName val="/VWVU))tÏØ0_126"/>
      <sheetName val="/VWVU))tÏØ0_127"/>
      <sheetName val="/VWVU))tÏØ0_128"/>
      <sheetName val="70___0_s__i_____1"/>
      <sheetName val="_VW__VU_________1"/>
      <sheetName val="[SHOPLIST_xls]744"/>
      <sheetName val="[SHOPLIST_xls]115"/>
      <sheetName val="[SHOPLIST_xls]745"/>
      <sheetName val="70_x005f_x0000___0_x0_1"/>
      <sheetName val="[SHOPLIST_xls]116"/>
      <sheetName val="[SHOPLIST_xls]117"/>
      <sheetName val="[SHOPLIST_xls]118"/>
      <sheetName val="[SHOPLIST_xls]119"/>
      <sheetName val="[SHOPLIST_xls]120"/>
      <sheetName val="[SHOPLIST_xls]746"/>
      <sheetName val="[SHOPLIST_xls]747"/>
      <sheetName val="[SHOPLIST_xls]748"/>
      <sheetName val="[SHOPLIST_xls]749"/>
      <sheetName val="[SHOPLIST_xls]750"/>
      <sheetName val="[SHOPLIST_xls]751"/>
      <sheetName val="[SHOPLIST_xls]752"/>
      <sheetName val="[SHOPLIST_xls]753"/>
      <sheetName val="[SHOPLIST_xls]121"/>
      <sheetName val="[SHOPLIST_xls]754"/>
      <sheetName val="[SHOPLIST_xls]755"/>
      <sheetName val="[SHOPLIST_xls]122"/>
      <sheetName val="[SHOPLIST_xls]123"/>
      <sheetName val="[SHOPLIST_xls]124"/>
      <sheetName val="[SHOPLIST_xls]125"/>
      <sheetName val="[SHOPLIST_xls]756"/>
      <sheetName val="[SHOPLIST_xls]126"/>
      <sheetName val="[SHOPLIST_xls]127"/>
      <sheetName val="[SHOPLIST_xls]128"/>
      <sheetName val="[SHOPLIST_xls]129"/>
      <sheetName val="[SHOPLIST_xls]130"/>
      <sheetName val="[SHOPLIST_xls]131"/>
      <sheetName val="[SHOPLIST_xls]132"/>
      <sheetName val="[SHOPLIST_xls]133"/>
      <sheetName val="[SHOPLIST_xls]134"/>
      <sheetName val="[SHOPLIST_xls]135"/>
      <sheetName val="[SHOPLIST_xls]136"/>
      <sheetName val="[SHOPLIST_xls]137"/>
      <sheetName val="[SHOPLIST_xls]138"/>
      <sheetName val="[SHOPLIST_xls]139"/>
      <sheetName val="[SHOPLIST_xls]140"/>
      <sheetName val="[SHOPLIST_xls]141"/>
      <sheetName val="[SHOPLIST_xls]142"/>
      <sheetName val="[SHOPLIST_xls]143"/>
      <sheetName val="[SHOPLIST_xls]144"/>
      <sheetName val="[SHOPLIST_xls]145"/>
      <sheetName val="[SHOPLIST_xls]146"/>
      <sheetName val="[SHOPLIST_xls]147"/>
      <sheetName val="[SHOPLIST_xls]148"/>
      <sheetName val="[SHOPLIST_xls]149"/>
      <sheetName val="[SHOPLIST_xls]150"/>
      <sheetName val="[SHOPLIST_xls]151"/>
      <sheetName val="[SHOPLIST_xls]152"/>
      <sheetName val="[SHOPLIST_xls]153"/>
      <sheetName val="[SHOPLIST_xls]154"/>
      <sheetName val="[SHOPLIST_xls]155"/>
      <sheetName val="[SHOPLIST_xls]156"/>
      <sheetName val="[SHOPLIST_xls]157"/>
      <sheetName val="[SHOPLIST_xls]158"/>
      <sheetName val="[SHOPLIST_xls]159"/>
      <sheetName val="[SHOPLIST_xls]160"/>
      <sheetName val="[SHOPLIST_xls]161"/>
      <sheetName val="[SHOPLIST_xls]162"/>
      <sheetName val="[SHOPLIST_xls]163"/>
      <sheetName val="[SHOPLIST_xls]164"/>
      <sheetName val="[SHOPLIST_xls]165"/>
      <sheetName val="[SHOPLIST_xls]166"/>
      <sheetName val="[SHOPLIST_xls]167"/>
      <sheetName val="[SHOPLIST_xls]168"/>
      <sheetName val="[SHOPLIST_xls]169"/>
      <sheetName val="[SHOPLIST_xls]170"/>
      <sheetName val="[SHOPLIST_xls]171"/>
      <sheetName val="[SHOPLIST_xls]172"/>
      <sheetName val="[SHOPLIST_xls]173"/>
      <sheetName val="[SHOPLIST_xls]174"/>
      <sheetName val="[SHOPLIST_xls]175"/>
      <sheetName val="[SHOPLIST_xls]176"/>
      <sheetName val="[SHOPLIST_xls]177"/>
      <sheetName val="[SHOPLIST_xls]178"/>
      <sheetName val="[SHOPLIST_xls]179"/>
      <sheetName val="[SHOPLIST_xls]180"/>
      <sheetName val="[SHOPLIST_xls]181"/>
      <sheetName val="[SHOPLIST_xls]182"/>
      <sheetName val="[SHOPLIST_xls]183"/>
      <sheetName val="[SHOPLIST_xls]184"/>
      <sheetName val="[SHOPLIST_xls]185"/>
      <sheetName val="[SHOPLIST_xls]186"/>
      <sheetName val="[SHOPLIST_xls]187"/>
      <sheetName val="[SHOPLIST_xls]188"/>
      <sheetName val="[SHOPLIST_xls]189"/>
      <sheetName val="[SHOPLIST_xls]190"/>
      <sheetName val="[SHOPLIST_xls]191"/>
      <sheetName val="[SHOPLIST_xls]192"/>
      <sheetName val="[SHOPLIST_xls]193"/>
      <sheetName val="[SHOPLIST_xls]194"/>
      <sheetName val="[SHOPLIST_xls]195"/>
      <sheetName val="[SHOPLIST_xls]196"/>
      <sheetName val="[SHOPLIST_xls]197"/>
      <sheetName val="[SHOPLIST_xls]198"/>
      <sheetName val="[SHOPLIST_xls]199"/>
      <sheetName val="[SHOPLIST_xls]200"/>
      <sheetName val="[SHOPLIST_xls]201"/>
      <sheetName val="[SHOPLIST_xls]202"/>
      <sheetName val="[SHOPLIST_xls]203"/>
      <sheetName val="[SHOPLIST_xls]204"/>
      <sheetName val="[SHOPLIST_xls]205"/>
      <sheetName val="[SHOPLIST_xls]206"/>
      <sheetName val="[SHOPLIST_xls]207"/>
      <sheetName val="[SHOPLIST_xls]208"/>
      <sheetName val="[SHOPLIST_xls]209"/>
      <sheetName val="[SHOPLIST_xls]210"/>
      <sheetName val="[SHOPLIST_xls]211"/>
      <sheetName val="[SHOPLIST_xls]212"/>
      <sheetName val="[SHOPLIST_xls]213"/>
      <sheetName val="[SHOPLIST_xls]214"/>
      <sheetName val="[SHOPLIST_xls]215"/>
      <sheetName val="[SHOPLIST_xls]216"/>
      <sheetName val="[SHOPLIST_xls]217"/>
      <sheetName val="[SHOPLIST_xls]218"/>
      <sheetName val="[SHOPLIST_xls]219"/>
      <sheetName val="[SHOPLIST_xls]220"/>
      <sheetName val="[SHOPLIST_xls]221"/>
      <sheetName val="[SHOPLIST_xls]222"/>
      <sheetName val="[SHOPLIST_xls]223"/>
      <sheetName val="[SHOPLIST_xls]224"/>
      <sheetName val="[SHOPLIST_xls]225"/>
      <sheetName val="[SHOPLIST_xls]226"/>
      <sheetName val="[SHOPLIST_xls]757"/>
      <sheetName val="[SHOPLIST_xls]227"/>
      <sheetName val="[SHOPLIST_xls]228"/>
      <sheetName val="70,/0s«iÆøí¬i110"/>
      <sheetName val="70,/0s«_iÆø_í¬2"/>
      <sheetName val="70,/0s«iÆøí¬i22"/>
      <sheetName val="70,/0s«iÆøí¬i32"/>
      <sheetName val="[SHOPLIST_xls]758"/>
      <sheetName val="/VWVU))2"/>
      <sheetName val="70_x005f_x005f_x005f_x0000__1"/>
      <sheetName val="/VW1"/>
      <sheetName val="70,/0s«i_x1"/>
      <sheetName val="[SHOPLIST_xls]7_1"/>
      <sheetName val="[SHOPLIST_xls]__1"/>
      <sheetName val="[SHOPLIST_xls]100"/>
      <sheetName val="[SHOPLIST_xls]101"/>
      <sheetName val="[SHOPLIST_xls]102"/>
      <sheetName val="[SHOPLIST_xls]103"/>
      <sheetName val="[SHOPLIST_xls]104"/>
      <sheetName val="[SHOPLIST_xls]105"/>
      <sheetName val="[SHOPLIST_xls]106"/>
      <sheetName val="[SHOPLIST_xls]107"/>
      <sheetName val="[SHOPLIST_xls]108"/>
      <sheetName val="[SHOPLIST_xls]109"/>
      <sheetName val="[SHOPLIST_xls]110"/>
      <sheetName val="[SHOPLIST_xls]111"/>
      <sheetName val="[SHOPLIST_xls]112"/>
      <sheetName val="[SHOPLIST_xls]113"/>
      <sheetName val="[SHOPLIST_xls]114"/>
      <sheetName val="70,/0s«_iÆø_í¬1"/>
      <sheetName val="70,/0s«iÆøí¬i21"/>
      <sheetName val="70,/0s«iÆøí¬i31"/>
      <sheetName val="/VWVU))1"/>
      <sheetName val="/VW2"/>
      <sheetName val="70,/0s«i_x2"/>
      <sheetName val="[SHOPLIST_xls]738"/>
      <sheetName val="[SHOPLIST_xls]739"/>
      <sheetName val="[SHOPLIST_xls]740"/>
      <sheetName val="[SHOPLIST_xls]759"/>
      <sheetName val="70,/0s«iÆøí¬i23"/>
      <sheetName val="[SHOPLIST_xls][15"/>
      <sheetName val="/VW15"/>
      <sheetName val="/VWVU))tÏØ0_129"/>
      <sheetName val="/VWVU))tÏØ0_130"/>
      <sheetName val="[SHOPLIST_xls]760"/>
      <sheetName val="7015"/>
      <sheetName val="70,15"/>
      <sheetName val="[SHOPLIST_xls]761"/>
      <sheetName val="/VWVU))tÏØ0_131"/>
      <sheetName val="/VWVU))tÏØ0_132"/>
      <sheetName val="/VWVU))tÏØ0_133"/>
      <sheetName val="70,/0s«_iÆø_í¬_15"/>
      <sheetName val="70?,/0?s«i?Æøí¬15"/>
      <sheetName val="/VWVU))tÏØ0_134"/>
      <sheetName val="/VWVU))tÏØ0_135"/>
      <sheetName val="/VWVU))tÏØ0_136"/>
      <sheetName val="/VWVU))tÏØ0_137"/>
      <sheetName val="/VWVU))tÏØ0_138"/>
      <sheetName val="/VWVU))tÏØ0_139"/>
      <sheetName val="[SHOPLIST_xls]/V4"/>
      <sheetName val="70,/0s«iÆøí¬5"/>
      <sheetName val="[SH5"/>
      <sheetName val="70_5"/>
      <sheetName val="/VWVU))tÏØ0_140"/>
      <sheetName val="/VWVU))tÏØ0_141"/>
      <sheetName val="/VWVU))tÏØ0_142"/>
      <sheetName val="70,/0s«i_x4"/>
      <sheetName val="/VW4"/>
      <sheetName val="70_x005f_x0000_,/0_x002"/>
      <sheetName val="/VWVU))tÏØ0_143"/>
      <sheetName val="/VWVU))tÏØ0_144"/>
      <sheetName val="/VWVU))tÏØ0_145"/>
      <sheetName val="/VWVU))tÏØ0_146"/>
      <sheetName val="/VWVU))tÏØ0_147"/>
      <sheetName val="/VWVU))tÏØ0_148"/>
      <sheetName val="/VWVU))tÏØ0_149"/>
      <sheetName val="/VWVU))tÏØ0_150"/>
      <sheetName val="[SHOPLIST_xls]762"/>
      <sheetName val="[SHOPLIST_xls]229"/>
      <sheetName val="[SHOPLIST_xls]763"/>
      <sheetName val="[SHOPLIST_xls]230"/>
      <sheetName val="[SHOPLIST_xls]231"/>
      <sheetName val="[SHOPLIST_xls]232"/>
      <sheetName val="[SHOPLIST_xls]233"/>
      <sheetName val="[SHOPLIST_xls]234"/>
      <sheetName val="[SHOPLIST_xls]764"/>
      <sheetName val="[SHOPLIST_xls]765"/>
      <sheetName val="[SHOPLIST_xls]766"/>
      <sheetName val="[SHOPLIST_xls]767"/>
      <sheetName val="[SHOPLIST_xls]768"/>
      <sheetName val="[SHOPLIST_xls]769"/>
      <sheetName val="[SHOPLIST_xls]770"/>
      <sheetName val="[SHOPLIST_xls]771"/>
      <sheetName val="[SHOPLIST_xls]235"/>
      <sheetName val="[SHOPLIST_xls]772"/>
      <sheetName val="[SHOPLIST_xls]773"/>
      <sheetName val="[SHOPLIST_xls]236"/>
      <sheetName val="[SHOPLIST_xls]237"/>
      <sheetName val="[SHOPLIST_xls]238"/>
      <sheetName val="[SHOPLIST_xls]239"/>
      <sheetName val="[SHOPLIST_xls]774"/>
      <sheetName val="[SHOPLIST_xls]240"/>
      <sheetName val="[SHOPLIST_xls]241"/>
      <sheetName val="[SHOPLIST_xls]242"/>
      <sheetName val="[SHOPLIST_xls]243"/>
      <sheetName val="[SHOPLIST_xls]244"/>
      <sheetName val="[SHOPLIST_xls]245"/>
      <sheetName val="[SHOPLIST_xls]246"/>
      <sheetName val="[SHOPLIST_xls]247"/>
      <sheetName val="[SHOPLIST_xls]248"/>
      <sheetName val="[SHOPLIST_xls]249"/>
      <sheetName val="[SHOPLIST_xls]250"/>
      <sheetName val="[SHOPLIST_xls]251"/>
      <sheetName val="[SHOPLIST_xls]252"/>
      <sheetName val="[SHOPLIST_xls]253"/>
      <sheetName val="[SHOPLIST_xls]254"/>
      <sheetName val="[SHOPLIST_xls]255"/>
      <sheetName val="[SHOPLIST_xls]256"/>
      <sheetName val="[SHOPLIST_xls]257"/>
      <sheetName val="[SHOPLIST_xls]258"/>
      <sheetName val="[SHOPLIST_xls]259"/>
      <sheetName val="[SHOPLIST_xls]260"/>
      <sheetName val="[SHOPLIST_xls]261"/>
      <sheetName val="[SHOPLIST_xls]262"/>
      <sheetName val="[SHOPLIST_xls]263"/>
      <sheetName val="[SHOPLIST_xls]264"/>
      <sheetName val="[SHOPLIST_xls]265"/>
      <sheetName val="[SHOPLIST_xls]266"/>
      <sheetName val="[SHOPLIST_xls]267"/>
      <sheetName val="[SHOPLIST_xls]268"/>
      <sheetName val="[SHOPLIST_xls]269"/>
      <sheetName val="[SHOPLIST_xls]270"/>
      <sheetName val="[SHOPLIST_xls]271"/>
      <sheetName val="[SHOPLIST_xls]272"/>
      <sheetName val="[SHOPLIST_xls]273"/>
      <sheetName val="[SHOPLIST_xls]274"/>
      <sheetName val="[SHOPLIST_xls]275"/>
      <sheetName val="[SHOPLIST_xls]276"/>
      <sheetName val="[SHOPLIST_xls]277"/>
      <sheetName val="[SHOPLIST_xls]278"/>
      <sheetName val="[SHOPLIST_xls]279"/>
      <sheetName val="[SHOPLIST_xls]280"/>
      <sheetName val="[SHOPLIST_xls]281"/>
      <sheetName val="[SHOPLIST_xls]282"/>
      <sheetName val="[SHOPLIST_xls]283"/>
      <sheetName val="[SHOPLIST_xls]284"/>
      <sheetName val="[SHOPLIST_xls]285"/>
      <sheetName val="[SHOPLIST_xls]286"/>
      <sheetName val="[SHOPLIST_xls]287"/>
      <sheetName val="[SHOPLIST_xls]288"/>
      <sheetName val="[SHOPLIST_xls]289"/>
      <sheetName val="[SHOPLIST_xls]290"/>
      <sheetName val="[SHOPLIST_xls]291"/>
      <sheetName val="[SHOPLIST_xls]292"/>
      <sheetName val="[SHOPLIST_xls]293"/>
      <sheetName val="[SHOPLIST_xls]294"/>
      <sheetName val="[SHOPLIST_xls]295"/>
      <sheetName val="[SHOPLIST_xls]296"/>
      <sheetName val="[SHOPLIST_xls]297"/>
      <sheetName val="[SHOPLIST_xls]298"/>
      <sheetName val="[SHOPLIST_xls]299"/>
      <sheetName val="[SHOPLIST_xls]300"/>
      <sheetName val="[SHOPLIST_xls]301"/>
      <sheetName val="[SHOPLIST_xls]302"/>
      <sheetName val="[SHOPLIST_xls]303"/>
      <sheetName val="[SHOPLIST_xls]304"/>
      <sheetName val="[SHOPLIST_xls]305"/>
      <sheetName val="[SHOPLIST_xls]306"/>
      <sheetName val="[SHOPLIST_xls]307"/>
      <sheetName val="[SHOPLIST_xls]308"/>
      <sheetName val="[SHOPLIST_xls]309"/>
      <sheetName val="[SHOPLIST_xls]310"/>
      <sheetName val="[SHOPLIST_xls]311"/>
      <sheetName val="[SHOPLIST_xls]312"/>
      <sheetName val="[SHOPLIST_xls]313"/>
      <sheetName val="[SHOPLIST_xls]314"/>
      <sheetName val="[SHOPLIST_xls]315"/>
      <sheetName val="[SHOPLIST_xls]316"/>
      <sheetName val="[SHOPLIST_xls]317"/>
      <sheetName val="[SHOPLIST_xls]318"/>
      <sheetName val="[SHOPLIST_xls]319"/>
      <sheetName val="[SHOPLIST_xls]320"/>
      <sheetName val="[SHOPLIST_xls]321"/>
      <sheetName val="[SHOPLIST_xls]322"/>
      <sheetName val="[SHOPLIST_xls]323"/>
      <sheetName val="[SHOPLIST_xls]324"/>
      <sheetName val="[SHOPLIST_xls]325"/>
      <sheetName val="[SHOPLIST_xls]326"/>
      <sheetName val="[SHOPLIST_xls]327"/>
      <sheetName val="[SHOPLIST_xls]328"/>
      <sheetName val="[SHOPLIST_xls]329"/>
      <sheetName val="[SHOPLIST_xls]330"/>
      <sheetName val="[SHOPLIST_xls]331"/>
      <sheetName val="[SHOPLIST_xls]332"/>
      <sheetName val="[SHOPLIST_xls]333"/>
      <sheetName val="[SHOPLIST_xls]334"/>
      <sheetName val="[SHOPLIST_xls]335"/>
      <sheetName val="[SHOPLIST_xls]336"/>
      <sheetName val="[SHOPLIST_xls]337"/>
      <sheetName val="[SHOPLIST_xls]338"/>
      <sheetName val="[SHOPLIST_xls]339"/>
      <sheetName val="[SHOPLIST_xls]340"/>
      <sheetName val="[SHOPLIST_xls]775"/>
      <sheetName val="[SHOPLIST_xls]341"/>
      <sheetName val="[SHOPLIST_xls]342"/>
      <sheetName val="70,/0s«iÆøí¬i111"/>
      <sheetName val="70,/0s«_iÆø_í¬3"/>
      <sheetName val="70,/0s«iÆøí¬i24"/>
      <sheetName val="70,/0s«iÆøí¬i33"/>
      <sheetName val="[SHOPLIST_xls]776"/>
      <sheetName val="/VWVU))3"/>
      <sheetName val="[SHOPLIST_xls]343"/>
      <sheetName val="[SHOPLIST_xls]344"/>
      <sheetName val="[SHOPLIST_xls]345"/>
      <sheetName val="[SHOPLIST_xls]346"/>
      <sheetName val="[SHOPLIST_xls]347"/>
      <sheetName val="[SHOPLIST_xls]348"/>
      <sheetName val="[SHOPLIST_xls]349"/>
      <sheetName val="[SHOPLIST_xls]350"/>
      <sheetName val="7_2"/>
      <sheetName val="__2"/>
      <sheetName val="7_3"/>
      <sheetName val="__3"/>
      <sheetName val="__4"/>
      <sheetName val="__5"/>
      <sheetName val="__6"/>
      <sheetName val="__7"/>
      <sheetName val="7_4"/>
      <sheetName val="7_5"/>
      <sheetName val="7_6"/>
      <sheetName val="7_7"/>
      <sheetName val="7_8"/>
      <sheetName val="__8"/>
      <sheetName val="__9"/>
      <sheetName val="7_9"/>
      <sheetName val="_10"/>
      <sheetName val="_11"/>
      <sheetName val="_12"/>
      <sheetName val="_13"/>
      <sheetName val="_14"/>
      <sheetName val="_15"/>
      <sheetName val="_16"/>
      <sheetName val="_17"/>
      <sheetName val="_18"/>
      <sheetName val="_19"/>
      <sheetName val="_20"/>
      <sheetName val="_21"/>
      <sheetName val="_22"/>
      <sheetName val="_23"/>
      <sheetName val="_24"/>
      <sheetName val="_25"/>
      <sheetName val="_26"/>
      <sheetName val="_27"/>
      <sheetName val="_28"/>
      <sheetName val="_29"/>
      <sheetName val="_30"/>
      <sheetName val="_31"/>
      <sheetName val="_32"/>
      <sheetName val="_33"/>
      <sheetName val="_34"/>
      <sheetName val="_35"/>
      <sheetName val="_36"/>
      <sheetName val="_37"/>
      <sheetName val="_38"/>
      <sheetName val="_39"/>
      <sheetName val="_40"/>
      <sheetName val="_41"/>
      <sheetName val="_42"/>
      <sheetName val="_43"/>
      <sheetName val="_44"/>
      <sheetName val="_45"/>
      <sheetName val="_46"/>
      <sheetName val="_47"/>
      <sheetName val="_48"/>
      <sheetName val="_49"/>
      <sheetName val="_50"/>
      <sheetName val="_51"/>
      <sheetName val="_52"/>
      <sheetName val="_53"/>
      <sheetName val="_54"/>
      <sheetName val="_55"/>
      <sheetName val="_56"/>
      <sheetName val="_57"/>
      <sheetName val="_58"/>
      <sheetName val="_59"/>
      <sheetName val="_60"/>
      <sheetName val="_61"/>
      <sheetName val="_62"/>
      <sheetName val="_63"/>
      <sheetName val="_64"/>
      <sheetName val="_65"/>
      <sheetName val="_66"/>
      <sheetName val="_67"/>
      <sheetName val="_68"/>
      <sheetName val="_69"/>
      <sheetName val="_70"/>
      <sheetName val="_71"/>
      <sheetName val="_72"/>
      <sheetName val="_73"/>
      <sheetName val="_74"/>
      <sheetName val="_75"/>
      <sheetName val="_76"/>
      <sheetName val="_77"/>
      <sheetName val="_78"/>
      <sheetName val="_79"/>
      <sheetName val="_80"/>
      <sheetName val="_81"/>
      <sheetName val="_82"/>
      <sheetName val="_83"/>
      <sheetName val="_84"/>
      <sheetName val="_85"/>
      <sheetName val="_86"/>
      <sheetName val="_87"/>
      <sheetName val="_88"/>
      <sheetName val="_89"/>
      <sheetName val="_90"/>
      <sheetName val="_91"/>
      <sheetName val="_92"/>
      <sheetName val="_93"/>
      <sheetName val="_94"/>
      <sheetName val="_95"/>
      <sheetName val="_96"/>
      <sheetName val="_97"/>
      <sheetName val="_98"/>
      <sheetName val="_99"/>
      <sheetName val="729"/>
      <sheetName val="730"/>
      <sheetName val="[12"/>
      <sheetName val="731"/>
      <sheetName val="/V1"/>
      <sheetName val="741"/>
      <sheetName val="742"/>
      <sheetName val="743"/>
      <sheetName val="[14"/>
      <sheetName val="/V3"/>
      <sheetName val="744"/>
      <sheetName val="115"/>
      <sheetName val="745"/>
      <sheetName val="116"/>
      <sheetName val="117"/>
      <sheetName val="118"/>
      <sheetName val="119"/>
      <sheetName val="120"/>
      <sheetName val="746"/>
      <sheetName val="747"/>
      <sheetName val="748"/>
      <sheetName val="749"/>
      <sheetName val="750"/>
      <sheetName val="751"/>
      <sheetName val="752"/>
      <sheetName val="753"/>
      <sheetName val="121"/>
      <sheetName val="754"/>
      <sheetName val="755"/>
      <sheetName val="122"/>
      <sheetName val="123"/>
      <sheetName val="124"/>
      <sheetName val="125"/>
      <sheetName val="756"/>
      <sheetName val="126"/>
      <sheetName val="127"/>
      <sheetName val="128"/>
      <sheetName val="129"/>
      <sheetName val="130"/>
      <sheetName val="131"/>
      <sheetName val="132"/>
      <sheetName val="133"/>
      <sheetName val="134"/>
      <sheetName val="135"/>
      <sheetName val="136"/>
      <sheetName val="137"/>
      <sheetName val="138"/>
      <sheetName val="139"/>
      <sheetName val="140"/>
      <sheetName val="141"/>
      <sheetName val="142"/>
      <sheetName val="143"/>
      <sheetName val="144"/>
      <sheetName val="145"/>
      <sheetName val="146"/>
      <sheetName val="147"/>
      <sheetName val="148"/>
      <sheetName val="149"/>
      <sheetName val="150"/>
      <sheetName val="151"/>
      <sheetName val="152"/>
      <sheetName val="153"/>
      <sheetName val="154"/>
      <sheetName val="155"/>
      <sheetName val="156"/>
      <sheetName val="157"/>
      <sheetName val="158"/>
      <sheetName val="159"/>
      <sheetName val="160"/>
      <sheetName val="161"/>
      <sheetName val="162"/>
      <sheetName val="163"/>
      <sheetName val="164"/>
      <sheetName val="165"/>
      <sheetName val="166"/>
      <sheetName val="167"/>
      <sheetName val="168"/>
      <sheetName val="169"/>
      <sheetName val="170"/>
      <sheetName val="171"/>
      <sheetName val="172"/>
      <sheetName val="173"/>
      <sheetName val="174"/>
      <sheetName val="175"/>
      <sheetName val="176"/>
      <sheetName val="177"/>
      <sheetName val="178"/>
      <sheetName val="179"/>
      <sheetName val="180"/>
      <sheetName val="181"/>
      <sheetName val="182"/>
      <sheetName val="183"/>
      <sheetName val="184"/>
      <sheetName val="185"/>
      <sheetName val="186"/>
      <sheetName val="187"/>
      <sheetName val="188"/>
      <sheetName val="189"/>
      <sheetName val="190"/>
      <sheetName val="191"/>
      <sheetName val="192"/>
      <sheetName val="193"/>
      <sheetName val="194"/>
      <sheetName val="195"/>
      <sheetName val="196"/>
      <sheetName val="197"/>
      <sheetName val="198"/>
      <sheetName val="199"/>
      <sheetName val="200"/>
      <sheetName val="201"/>
      <sheetName val="202"/>
      <sheetName val="203"/>
      <sheetName val="204"/>
      <sheetName val="205"/>
      <sheetName val="206"/>
      <sheetName val="207"/>
      <sheetName val="208"/>
      <sheetName val="209"/>
      <sheetName val="210"/>
      <sheetName val="211"/>
      <sheetName val="212"/>
      <sheetName val="213"/>
      <sheetName val="214"/>
      <sheetName val="215"/>
      <sheetName val="216"/>
      <sheetName val="217"/>
      <sheetName val="218"/>
      <sheetName val="219"/>
      <sheetName val="220"/>
      <sheetName val="221"/>
      <sheetName val="222"/>
      <sheetName val="223"/>
      <sheetName val="224"/>
      <sheetName val="225"/>
      <sheetName val="226"/>
      <sheetName val="757"/>
      <sheetName val="227"/>
      <sheetName val="228"/>
      <sheetName val="758"/>
      <sheetName val="7_1"/>
      <sheetName val="732"/>
      <sheetName val="733"/>
      <sheetName val="734"/>
      <sheetName val="__1"/>
      <sheetName val="735"/>
      <sheetName val="100"/>
      <sheetName val="101"/>
      <sheetName val="102"/>
      <sheetName val="103"/>
      <sheetName val="104"/>
      <sheetName val="105"/>
      <sheetName val="106"/>
      <sheetName val="107"/>
      <sheetName val="108"/>
      <sheetName val="109"/>
      <sheetName val="110"/>
      <sheetName val="111"/>
      <sheetName val="112"/>
      <sheetName val="736"/>
      <sheetName val="113"/>
      <sheetName val="114"/>
      <sheetName val="737"/>
      <sheetName val="[13"/>
      <sheetName val="/V2"/>
      <sheetName val="738"/>
      <sheetName val="739"/>
      <sheetName val="740"/>
      <sheetName val="759"/>
      <sheetName val="[15"/>
      <sheetName val="760"/>
      <sheetName val="761"/>
      <sheetName val="/V4"/>
      <sheetName val="762"/>
      <sheetName val="229"/>
      <sheetName val="763"/>
      <sheetName val="230"/>
      <sheetName val="231"/>
      <sheetName val="232"/>
      <sheetName val="233"/>
      <sheetName val="234"/>
      <sheetName val="764"/>
      <sheetName val="765"/>
      <sheetName val="766"/>
      <sheetName val="767"/>
      <sheetName val="768"/>
      <sheetName val="769"/>
      <sheetName val="770"/>
      <sheetName val="771"/>
      <sheetName val="235"/>
      <sheetName val="772"/>
      <sheetName val="773"/>
      <sheetName val="236"/>
      <sheetName val="237"/>
      <sheetName val="238"/>
      <sheetName val="239"/>
      <sheetName val="774"/>
      <sheetName val="240"/>
      <sheetName val="241"/>
      <sheetName val="242"/>
      <sheetName val="243"/>
      <sheetName val="244"/>
      <sheetName val="245"/>
      <sheetName val="246"/>
      <sheetName val="247"/>
      <sheetName val="248"/>
      <sheetName val="249"/>
      <sheetName val="250"/>
      <sheetName val="251"/>
      <sheetName val="252"/>
      <sheetName val="253"/>
      <sheetName val="254"/>
      <sheetName val="255"/>
      <sheetName val="256"/>
      <sheetName val="257"/>
      <sheetName val="258"/>
      <sheetName val="259"/>
      <sheetName val="260"/>
      <sheetName val="261"/>
      <sheetName val="262"/>
      <sheetName val="263"/>
      <sheetName val="265"/>
      <sheetName val="266"/>
      <sheetName val="267"/>
      <sheetName val="268"/>
      <sheetName val="269"/>
      <sheetName val="270"/>
      <sheetName val="271"/>
      <sheetName val="272"/>
      <sheetName val="273"/>
      <sheetName val="274"/>
      <sheetName val="275"/>
      <sheetName val="276"/>
      <sheetName val="277"/>
      <sheetName val="278"/>
      <sheetName val="279"/>
      <sheetName val="280"/>
      <sheetName val="281"/>
      <sheetName val="282"/>
      <sheetName val="283"/>
      <sheetName val="284"/>
      <sheetName val="285"/>
      <sheetName val="286"/>
      <sheetName val="287"/>
      <sheetName val="288"/>
      <sheetName val="289"/>
      <sheetName val="290"/>
      <sheetName val="291"/>
      <sheetName val="292"/>
      <sheetName val="293"/>
      <sheetName val="294"/>
      <sheetName val="295"/>
      <sheetName val="296"/>
      <sheetName val="297"/>
      <sheetName val="298"/>
      <sheetName val="299"/>
      <sheetName val="300"/>
      <sheetName val="301"/>
      <sheetName val="302"/>
      <sheetName val="303"/>
      <sheetName val="304"/>
      <sheetName val="305"/>
      <sheetName val="306"/>
      <sheetName val="307"/>
      <sheetName val="308"/>
      <sheetName val="309"/>
      <sheetName val="310"/>
      <sheetName val="311"/>
      <sheetName val="312"/>
      <sheetName val="313"/>
      <sheetName val="314"/>
      <sheetName val="315"/>
      <sheetName val="316"/>
      <sheetName val="317"/>
      <sheetName val="318"/>
      <sheetName val="319"/>
      <sheetName val="320"/>
      <sheetName val="321"/>
      <sheetName val="322"/>
      <sheetName val="323"/>
      <sheetName val="324"/>
      <sheetName val="325"/>
      <sheetName val="326"/>
      <sheetName val="327"/>
      <sheetName val="328"/>
      <sheetName val="329"/>
      <sheetName val="330"/>
      <sheetName val="331"/>
      <sheetName val="332"/>
      <sheetName val="333"/>
      <sheetName val="334"/>
      <sheetName val="335"/>
      <sheetName val="336"/>
      <sheetName val="337"/>
      <sheetName val="338"/>
      <sheetName val="339"/>
      <sheetName val="340"/>
      <sheetName val="775"/>
      <sheetName val="341"/>
      <sheetName val="342"/>
      <sheetName val="776"/>
      <sheetName val="343"/>
      <sheetName val="344"/>
      <sheetName val="345"/>
      <sheetName val="346"/>
      <sheetName val="347"/>
      <sheetName val="348"/>
      <sheetName val="349"/>
      <sheetName val="350"/>
      <sheetName val="ConferenceCentre______________2"/>
      <sheetName val="ProjInfo"/>
      <sheetName val="Rate (2)"/>
      <sheetName val="CERT.NO 1"/>
      <sheetName val="org"/>
      <sheetName val="Bill 2K"/>
      <sheetName val="1) COMMON FACILITIES"/>
      <sheetName val="Bldg Brkdown"/>
      <sheetName val="参数"/>
      <sheetName val="D.5 Bid statement"/>
      <sheetName val="计算表"/>
      <sheetName val="03定额库"/>
      <sheetName val="94定额库"/>
      <sheetName val="清单库"/>
      <sheetName val="工程量汇总表"/>
      <sheetName val="D.MAKAN"/>
      <sheetName val="Superstruc"/>
      <sheetName val="Data Input-A"/>
      <sheetName val="Sum cost"/>
      <sheetName val="Sheet366"/>
      <sheetName val="Sheet367"/>
      <sheetName val="Sheet370"/>
      <sheetName val="Sheet371"/>
      <sheetName val="Sheet372"/>
      <sheetName val="Sheet373"/>
      <sheetName val="Sheet374"/>
      <sheetName val="Sheet375"/>
      <sheetName val="Sheet359"/>
      <sheetName val="Sheet361"/>
      <sheetName val="Sheet378"/>
      <sheetName val="Sheet379"/>
      <sheetName val="Sheet380"/>
      <sheetName val="Sheet111"/>
      <sheetName val="5_1-AB"/>
      <sheetName val="Sheet388"/>
      <sheetName val="Mus &amp; DC"/>
      <sheetName val="Kian Wan"/>
      <sheetName val="RT1_conc"/>
      <sheetName val="RT2_fmk"/>
      <sheetName val="RT2_conc"/>
      <sheetName val="S3_fmk"/>
      <sheetName val="S3_conc"/>
      <sheetName val="RT1_rebar"/>
      <sheetName val="RT2_rebar"/>
      <sheetName val="S3_rebar"/>
      <sheetName val="110 cs EW"/>
      <sheetName val="2851"/>
      <sheetName val="Blk A"/>
      <sheetName val="Bill  No. 4"/>
      <sheetName val="SUM(D2)"/>
      <sheetName val="Workdone_MFI"/>
      <sheetName val="BIF"/>
      <sheetName val="Flr.Fin"/>
      <sheetName val="STR-Var"/>
      <sheetName val="Structure Progress"/>
      <sheetName val="Structure Exec Qty"/>
      <sheetName val="Structure Sub"/>
      <sheetName val="Structure Approval"/>
      <sheetName val="Structure BBS Qty"/>
      <sheetName val="Structure BBS Sub"/>
      <sheetName val="Structure BBS Approval"/>
      <sheetName val="Arch Approval"/>
      <sheetName val="Arch Qty"/>
      <sheetName val="Elec Qty"/>
      <sheetName val="Elec Progress"/>
      <sheetName val="Arch-Var"/>
      <sheetName val="Elec-Var"/>
      <sheetName val="Mech-Var"/>
      <sheetName val="Mech Qty"/>
      <sheetName val="Mech SUB"/>
      <sheetName val="Mech Progress"/>
      <sheetName val="2.0 Section 2 Cover"/>
      <sheetName val="DGG"/>
      <sheetName val="골조시행"/>
      <sheetName val="실행철강하도"/>
      <sheetName val="KỲ TT"/>
      <sheetName val="Joinery works"/>
      <sheetName val="Geneí¬_x005f_x005f_x005f_x005f_x005f_x005f_x005f_x005f_"/>
      <sheetName val="01. DATA"/>
      <sheetName val="_SHOPLIST.xls__SHOPLIST.xls_7_7"/>
      <sheetName val="_SHOPLIST.xls__SHOPLIST.xls___7"/>
      <sheetName val="_SHOPLIST.xls__SHOPLIST.xls___8"/>
      <sheetName val="_SHOPLIST.xls__SHOPLIST.xls___9"/>
      <sheetName val="_SHOPLIST.xls__SHOPLIST.xls__10"/>
      <sheetName val="_SHOPLIST.xls__SHOPLIST.xls_7_8"/>
      <sheetName val="_SHOPLIST.xls__SHOPLIST.xls_7_9"/>
      <sheetName val="_SHOPLIST.xls__SHOPLIST.xls__11"/>
      <sheetName val="_SHOPLIST.xls__SHOPLIST.xls__12"/>
      <sheetName val="_SHOPLIST.xls__SHOPLIST.xls__13"/>
      <sheetName val="_SHOPLIST.xls__SHOPLIST.xls__14"/>
      <sheetName val="_SHOPLIST.xls__SHOPLIST.xls__15"/>
      <sheetName val="_SHOPLIST.xls__SHOPLIST.xls__16"/>
      <sheetName val="_SHOPLIST.xls__SHOPLIST.xls__17"/>
      <sheetName val="DGchitiet "/>
      <sheetName val="Inter unit set off"/>
      <sheetName val="Consolidated"/>
      <sheetName val="JOB COSTING SHEET HVAC"/>
      <sheetName val="SUBCON OR OTHER"/>
      <sheetName val="CASH"/>
      <sheetName val="SSuppliers"/>
      <sheetName val="Section(0)Preliminaries"/>
      <sheetName val="Section(1)Demolition"/>
      <sheetName val="Section(2)Exca "/>
      <sheetName val="Back"/>
      <sheetName val="jobhist"/>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sheetData sheetId="257"/>
      <sheetData sheetId="258"/>
      <sheetData sheetId="259"/>
      <sheetData sheetId="260"/>
      <sheetData sheetId="261"/>
      <sheetData sheetId="262"/>
      <sheetData sheetId="263"/>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sheetData sheetId="352" refreshError="1"/>
      <sheetData sheetId="353" refreshError="1"/>
      <sheetData sheetId="354" refreshError="1"/>
      <sheetData sheetId="355" refreshError="1"/>
      <sheetData sheetId="356" refreshError="1"/>
      <sheetData sheetId="357" refreshError="1"/>
      <sheetData sheetId="358"/>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refreshError="1"/>
      <sheetData sheetId="422"/>
      <sheetData sheetId="423" refreshError="1"/>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refreshError="1"/>
      <sheetData sheetId="516" refreshError="1"/>
      <sheetData sheetId="517"/>
      <sheetData sheetId="518"/>
      <sheetData sheetId="519" refreshError="1"/>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refreshError="1"/>
      <sheetData sheetId="538" refreshError="1"/>
      <sheetData sheetId="539" refreshError="1"/>
      <sheetData sheetId="540"/>
      <sheetData sheetId="541"/>
      <sheetData sheetId="542"/>
      <sheetData sheetId="543" refreshError="1"/>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refreshError="1"/>
      <sheetData sheetId="756" refreshError="1"/>
      <sheetData sheetId="757" refreshError="1"/>
      <sheetData sheetId="758" refreshError="1"/>
      <sheetData sheetId="759" refreshError="1"/>
      <sheetData sheetId="760"/>
      <sheetData sheetId="761"/>
      <sheetData sheetId="762"/>
      <sheetData sheetId="763"/>
      <sheetData sheetId="764"/>
      <sheetData sheetId="765" refreshError="1"/>
      <sheetData sheetId="766" refreshError="1"/>
      <sheetData sheetId="767" refreshError="1"/>
      <sheetData sheetId="768" refreshError="1"/>
      <sheetData sheetId="769" refreshError="1"/>
      <sheetData sheetId="770" refreshError="1"/>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refreshError="1"/>
      <sheetData sheetId="801" refreshError="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sheetData sheetId="830"/>
      <sheetData sheetId="831"/>
      <sheetData sheetId="832"/>
      <sheetData sheetId="833" refreshError="1"/>
      <sheetData sheetId="834" refreshError="1"/>
      <sheetData sheetId="835" refreshError="1"/>
      <sheetData sheetId="836" refreshError="1"/>
      <sheetData sheetId="837" refreshError="1"/>
      <sheetData sheetId="838" refreshError="1"/>
      <sheetData sheetId="839" refreshError="1"/>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refreshError="1"/>
      <sheetData sheetId="904"/>
      <sheetData sheetId="905"/>
      <sheetData sheetId="906"/>
      <sheetData sheetId="907"/>
      <sheetData sheetId="908"/>
      <sheetData sheetId="909"/>
      <sheetData sheetId="910"/>
      <sheetData sheetId="911"/>
      <sheetData sheetId="912" refreshError="1"/>
      <sheetData sheetId="913" refreshError="1"/>
      <sheetData sheetId="914" refreshError="1"/>
      <sheetData sheetId="915" refreshError="1"/>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refreshError="1"/>
      <sheetData sheetId="939" refreshError="1"/>
      <sheetData sheetId="940" refreshError="1"/>
      <sheetData sheetId="941" refreshError="1"/>
      <sheetData sheetId="942" refreshError="1"/>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refreshError="1"/>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sheetData sheetId="1066"/>
      <sheetData sheetId="1067" refreshError="1"/>
      <sheetData sheetId="1068" refreshError="1"/>
      <sheetData sheetId="1069" refreshError="1"/>
      <sheetData sheetId="1070" refreshError="1"/>
      <sheetData sheetId="1071" refreshError="1"/>
      <sheetData sheetId="1072"/>
      <sheetData sheetId="1073"/>
      <sheetData sheetId="1074"/>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sheetData sheetId="1085"/>
      <sheetData sheetId="1086"/>
      <sheetData sheetId="1087"/>
      <sheetData sheetId="1088"/>
      <sheetData sheetId="1089" refreshError="1"/>
      <sheetData sheetId="1090" refreshError="1"/>
      <sheetData sheetId="1091" refreshError="1"/>
      <sheetData sheetId="1092" refreshError="1"/>
      <sheetData sheetId="1093" refreshError="1"/>
      <sheetData sheetId="1094" refreshError="1"/>
      <sheetData sheetId="1095" refreshError="1"/>
      <sheetData sheetId="1096"/>
      <sheetData sheetId="1097" refreshError="1"/>
      <sheetData sheetId="1098" refreshError="1"/>
      <sheetData sheetId="1099" refreshError="1"/>
      <sheetData sheetId="1100" refreshError="1"/>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refreshError="1"/>
      <sheetData sheetId="1129"/>
      <sheetData sheetId="1130"/>
      <sheetData sheetId="1131" refreshError="1"/>
      <sheetData sheetId="1132" refreshError="1"/>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refreshError="1"/>
      <sheetData sheetId="1305" refreshError="1"/>
      <sheetData sheetId="1306" refreshError="1"/>
      <sheetData sheetId="1307" refreshError="1"/>
      <sheetData sheetId="1308" refreshError="1"/>
      <sheetData sheetId="1309"/>
      <sheetData sheetId="1310"/>
      <sheetData sheetId="1311"/>
      <sheetData sheetId="1312"/>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sheetData sheetId="1345"/>
      <sheetData sheetId="1346"/>
      <sheetData sheetId="1347"/>
      <sheetData sheetId="1348"/>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sheetData sheetId="1359"/>
      <sheetData sheetId="1360" refreshError="1"/>
      <sheetData sheetId="1361" refreshError="1"/>
      <sheetData sheetId="1362" refreshError="1"/>
      <sheetData sheetId="1363" refreshError="1"/>
      <sheetData sheetId="1364" refreshError="1"/>
      <sheetData sheetId="1365" refreshError="1"/>
      <sheetData sheetId="1366"/>
      <sheetData sheetId="1367"/>
      <sheetData sheetId="1368"/>
      <sheetData sheetId="1369" refreshError="1"/>
      <sheetData sheetId="1370" refreshError="1"/>
      <sheetData sheetId="1371" refreshError="1"/>
      <sheetData sheetId="1372" refreshError="1"/>
      <sheetData sheetId="1373" refreshError="1"/>
      <sheetData sheetId="1374" refreshError="1"/>
      <sheetData sheetId="1375"/>
      <sheetData sheetId="1376"/>
      <sheetData sheetId="1377"/>
      <sheetData sheetId="1378" refreshError="1"/>
      <sheetData sheetId="1379"/>
      <sheetData sheetId="1380"/>
      <sheetData sheetId="1381"/>
      <sheetData sheetId="1382" refreshError="1"/>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refreshError="1"/>
      <sheetData sheetId="1709" refreshError="1"/>
      <sheetData sheetId="1710" refreshError="1"/>
      <sheetData sheetId="1711" refreshError="1"/>
      <sheetData sheetId="1712" refreshError="1"/>
      <sheetData sheetId="1713" refreshError="1"/>
      <sheetData sheetId="1714"/>
      <sheetData sheetId="1715"/>
      <sheetData sheetId="1716"/>
      <sheetData sheetId="1717"/>
      <sheetData sheetId="1718"/>
      <sheetData sheetId="1719"/>
      <sheetData sheetId="1720"/>
      <sheetData sheetId="1721" refreshError="1"/>
      <sheetData sheetId="1722"/>
      <sheetData sheetId="1723"/>
      <sheetData sheetId="1724"/>
      <sheetData sheetId="1725" refreshError="1"/>
      <sheetData sheetId="1726" refreshError="1"/>
      <sheetData sheetId="1727" refreshError="1"/>
      <sheetData sheetId="1728" refreshError="1"/>
      <sheetData sheetId="1729" refreshError="1"/>
      <sheetData sheetId="1730" refreshError="1"/>
      <sheetData sheetId="1731" refreshError="1"/>
      <sheetData sheetId="1732"/>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sheetData sheetId="1742" refreshError="1"/>
      <sheetData sheetId="1743" refreshError="1"/>
      <sheetData sheetId="1744" refreshError="1"/>
      <sheetData sheetId="1745" refreshError="1"/>
      <sheetData sheetId="1746"/>
      <sheetData sheetId="1747" refreshError="1"/>
      <sheetData sheetId="1748" refreshError="1"/>
      <sheetData sheetId="1749" refreshError="1"/>
      <sheetData sheetId="1750" refreshError="1"/>
      <sheetData sheetId="1751" refreshError="1"/>
      <sheetData sheetId="1752"/>
      <sheetData sheetId="1753" refreshError="1"/>
      <sheetData sheetId="1754" refreshError="1"/>
      <sheetData sheetId="1755"/>
      <sheetData sheetId="1756"/>
      <sheetData sheetId="1757"/>
      <sheetData sheetId="1758" refreshError="1"/>
      <sheetData sheetId="1759" refreshError="1"/>
      <sheetData sheetId="1760" refreshError="1"/>
      <sheetData sheetId="1761" refreshError="1"/>
      <sheetData sheetId="1762"/>
      <sheetData sheetId="1763"/>
      <sheetData sheetId="1764" refreshError="1"/>
      <sheetData sheetId="1765"/>
      <sheetData sheetId="1766"/>
      <sheetData sheetId="1767"/>
      <sheetData sheetId="1768"/>
      <sheetData sheetId="1769"/>
      <sheetData sheetId="1770"/>
      <sheetData sheetId="1771"/>
      <sheetData sheetId="1772"/>
      <sheetData sheetId="1773"/>
      <sheetData sheetId="1774"/>
      <sheetData sheetId="1775" refreshError="1"/>
      <sheetData sheetId="1776"/>
      <sheetData sheetId="1777"/>
      <sheetData sheetId="1778" refreshError="1"/>
      <sheetData sheetId="1779" refreshError="1"/>
      <sheetData sheetId="1780"/>
      <sheetData sheetId="1781"/>
      <sheetData sheetId="1782"/>
      <sheetData sheetId="1783" refreshError="1"/>
      <sheetData sheetId="1784" refreshError="1"/>
      <sheetData sheetId="1785" refreshError="1"/>
      <sheetData sheetId="1786" refreshError="1"/>
      <sheetData sheetId="1787" refreshError="1"/>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refreshError="1"/>
      <sheetData sheetId="2069" refreshError="1"/>
      <sheetData sheetId="2070" refreshError="1"/>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refreshError="1"/>
      <sheetData sheetId="2333" refreshError="1"/>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refreshError="1"/>
      <sheetData sheetId="2618" refreshError="1"/>
      <sheetData sheetId="2619" refreshError="1"/>
      <sheetData sheetId="2620" refreshError="1"/>
      <sheetData sheetId="2621" refreshError="1"/>
      <sheetData sheetId="2622" refreshError="1"/>
      <sheetData sheetId="2623" refreshError="1"/>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refreshError="1"/>
      <sheetData sheetId="2896"/>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sheetData sheetId="2921"/>
      <sheetData sheetId="2922" refreshError="1"/>
      <sheetData sheetId="2923" refreshError="1"/>
      <sheetData sheetId="2924" refreshError="1"/>
      <sheetData sheetId="2925" refreshError="1"/>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refreshError="1"/>
      <sheetData sheetId="3207" refreshError="1"/>
      <sheetData sheetId="3208"/>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sheetData sheetId="3222"/>
      <sheetData sheetId="3223" refreshError="1"/>
      <sheetData sheetId="3224" refreshError="1"/>
      <sheetData sheetId="3225"/>
      <sheetData sheetId="3226"/>
      <sheetData sheetId="3227"/>
      <sheetData sheetId="3228"/>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sheetData sheetId="3252"/>
      <sheetData sheetId="3253"/>
      <sheetData sheetId="3254"/>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sheetData sheetId="3302"/>
      <sheetData sheetId="3303"/>
      <sheetData sheetId="3304"/>
      <sheetData sheetId="3305"/>
      <sheetData sheetId="3306" refreshError="1"/>
      <sheetData sheetId="3307" refreshError="1"/>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refreshError="1"/>
      <sheetData sheetId="4326" refreshError="1"/>
      <sheetData sheetId="4327" refreshError="1"/>
      <sheetData sheetId="4328" refreshError="1"/>
      <sheetData sheetId="4329" refreshError="1"/>
      <sheetData sheetId="4330" refreshError="1"/>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sheetData sheetId="4457"/>
      <sheetData sheetId="4458"/>
      <sheetData sheetId="4459" refreshError="1"/>
      <sheetData sheetId="4460" refreshError="1"/>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refreshError="1"/>
      <sheetData sheetId="4745"/>
      <sheetData sheetId="4746" refreshError="1"/>
      <sheetData sheetId="4747" refreshError="1"/>
      <sheetData sheetId="4748"/>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refreshError="1"/>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sheetData sheetId="7015"/>
      <sheetData sheetId="7016"/>
      <sheetData sheetId="7017"/>
      <sheetData sheetId="7018"/>
      <sheetData sheetId="7019"/>
      <sheetData sheetId="7020"/>
      <sheetData sheetId="7021"/>
      <sheetData sheetId="7022"/>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sheetData sheetId="7421" refreshError="1"/>
      <sheetData sheetId="7422"/>
      <sheetData sheetId="7423" refreshError="1"/>
      <sheetData sheetId="7424"/>
      <sheetData sheetId="7425"/>
      <sheetData sheetId="7426"/>
      <sheetData sheetId="7427"/>
      <sheetData sheetId="7428"/>
      <sheetData sheetId="7429"/>
      <sheetData sheetId="7430"/>
      <sheetData sheetId="7431" refreshError="1"/>
      <sheetData sheetId="7432" refreshError="1"/>
      <sheetData sheetId="7433" refreshError="1"/>
      <sheetData sheetId="7434"/>
      <sheetData sheetId="7435"/>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sheetData sheetId="7454"/>
      <sheetData sheetId="7455"/>
      <sheetData sheetId="7456"/>
      <sheetData sheetId="7457"/>
      <sheetData sheetId="7458" refreshError="1"/>
      <sheetData sheetId="7459" refreshError="1"/>
      <sheetData sheetId="7460" refreshError="1"/>
      <sheetData sheetId="7461" refreshError="1"/>
      <sheetData sheetId="7462" refreshError="1"/>
      <sheetData sheetId="7463" refreshError="1"/>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refreshError="1"/>
      <sheetData sheetId="7503"/>
      <sheetData sheetId="7504"/>
      <sheetData sheetId="7505"/>
      <sheetData sheetId="7506"/>
      <sheetData sheetId="7507"/>
      <sheetData sheetId="7508"/>
      <sheetData sheetId="7509"/>
      <sheetData sheetId="7510"/>
      <sheetData sheetId="7511"/>
      <sheetData sheetId="7512"/>
      <sheetData sheetId="7513" refreshError="1"/>
      <sheetData sheetId="7514" refreshError="1"/>
      <sheetData sheetId="7515" refreshError="1"/>
      <sheetData sheetId="7516"/>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sheetData sheetId="7576"/>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refreshError="1"/>
      <sheetData sheetId="7626" refreshError="1"/>
      <sheetData sheetId="7627" refreshError="1"/>
      <sheetData sheetId="7628" refreshError="1"/>
      <sheetData sheetId="7629" refreshError="1"/>
      <sheetData sheetId="7630" refreshError="1"/>
      <sheetData sheetId="7631"/>
      <sheetData sheetId="7632"/>
      <sheetData sheetId="7633"/>
      <sheetData sheetId="7634" refreshError="1"/>
      <sheetData sheetId="7635" refreshError="1"/>
      <sheetData sheetId="7636" refreshError="1"/>
      <sheetData sheetId="7637" refreshError="1"/>
      <sheetData sheetId="7638" refreshError="1"/>
      <sheetData sheetId="7639" refreshError="1"/>
      <sheetData sheetId="7640"/>
      <sheetData sheetId="7641" refreshError="1"/>
      <sheetData sheetId="7642" refreshError="1"/>
      <sheetData sheetId="7643" refreshError="1"/>
      <sheetData sheetId="7644" refreshError="1"/>
      <sheetData sheetId="7645"/>
      <sheetData sheetId="7646"/>
      <sheetData sheetId="7647" refreshError="1"/>
      <sheetData sheetId="7648" refreshError="1"/>
      <sheetData sheetId="7649"/>
      <sheetData sheetId="7650"/>
      <sheetData sheetId="7651"/>
      <sheetData sheetId="7652"/>
      <sheetData sheetId="7653" refreshError="1"/>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refreshError="1"/>
      <sheetData sheetId="7670"/>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sheetData sheetId="7701"/>
      <sheetData sheetId="7702"/>
      <sheetData sheetId="7703"/>
      <sheetData sheetId="7704" refreshError="1"/>
      <sheetData sheetId="7705" refreshError="1"/>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refreshError="1"/>
      <sheetData sheetId="7736"/>
      <sheetData sheetId="7737" refreshError="1"/>
      <sheetData sheetId="7738" refreshError="1"/>
      <sheetData sheetId="7739" refreshError="1"/>
      <sheetData sheetId="7740" refreshError="1"/>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refreshError="1"/>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refreshError="1"/>
      <sheetData sheetId="7859"/>
      <sheetData sheetId="7860"/>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refreshError="1"/>
      <sheetData sheetId="7916" refreshError="1"/>
      <sheetData sheetId="7917" refreshError="1"/>
      <sheetData sheetId="7918" refreshError="1"/>
      <sheetData sheetId="7919" refreshError="1"/>
      <sheetData sheetId="7920"/>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sheetData sheetId="7940"/>
      <sheetData sheetId="7941"/>
      <sheetData sheetId="7942"/>
      <sheetData sheetId="7943"/>
      <sheetData sheetId="7944"/>
      <sheetData sheetId="7945"/>
      <sheetData sheetId="7946"/>
      <sheetData sheetId="7947"/>
      <sheetData sheetId="7948" refreshError="1"/>
      <sheetData sheetId="7949" refreshError="1"/>
      <sheetData sheetId="7950"/>
      <sheetData sheetId="7951"/>
      <sheetData sheetId="7952"/>
      <sheetData sheetId="7953"/>
      <sheetData sheetId="7954"/>
      <sheetData sheetId="7955"/>
      <sheetData sheetId="7956"/>
      <sheetData sheetId="7957"/>
      <sheetData sheetId="7958"/>
      <sheetData sheetId="7959"/>
      <sheetData sheetId="7960"/>
      <sheetData sheetId="7961" refreshError="1"/>
      <sheetData sheetId="7962" refreshError="1"/>
      <sheetData sheetId="7963"/>
      <sheetData sheetId="7964" refreshError="1"/>
      <sheetData sheetId="7965" refreshError="1"/>
      <sheetData sheetId="7966" refreshError="1"/>
      <sheetData sheetId="7967" refreshError="1"/>
      <sheetData sheetId="7968"/>
      <sheetData sheetId="7969" refreshError="1"/>
      <sheetData sheetId="7970"/>
      <sheetData sheetId="7971"/>
      <sheetData sheetId="7972" refreshError="1"/>
      <sheetData sheetId="7973" refreshError="1"/>
      <sheetData sheetId="7974" refreshError="1"/>
      <sheetData sheetId="7975" refreshError="1"/>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refreshError="1"/>
      <sheetData sheetId="8341"/>
      <sheetData sheetId="8342"/>
      <sheetData sheetId="8343"/>
      <sheetData sheetId="8344"/>
      <sheetData sheetId="8345"/>
      <sheetData sheetId="8346"/>
      <sheetData sheetId="8347"/>
      <sheetData sheetId="8348"/>
      <sheetData sheetId="8349"/>
      <sheetData sheetId="8350"/>
      <sheetData sheetId="8351"/>
      <sheetData sheetId="8352" refreshError="1"/>
      <sheetData sheetId="8353" refreshError="1"/>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refreshError="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refreshError="1"/>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sheetData sheetId="8544"/>
      <sheetData sheetId="8545"/>
      <sheetData sheetId="8546"/>
      <sheetData sheetId="8547"/>
      <sheetData sheetId="8548"/>
      <sheetData sheetId="8549"/>
      <sheetData sheetId="8550"/>
      <sheetData sheetId="8551"/>
      <sheetData sheetId="8552"/>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sheetData sheetId="8572"/>
      <sheetData sheetId="8573" refreshError="1"/>
      <sheetData sheetId="8574" refreshError="1"/>
      <sheetData sheetId="8575" refreshError="1"/>
      <sheetData sheetId="8576" refreshError="1"/>
      <sheetData sheetId="8577" refreshError="1"/>
      <sheetData sheetId="8578" refreshError="1"/>
      <sheetData sheetId="8579" refreshError="1"/>
      <sheetData sheetId="8580"/>
      <sheetData sheetId="8581"/>
      <sheetData sheetId="8582"/>
      <sheetData sheetId="8583"/>
      <sheetData sheetId="8584" refreshError="1"/>
      <sheetData sheetId="8585" refreshError="1"/>
      <sheetData sheetId="8586" refreshError="1"/>
      <sheetData sheetId="8587" refreshError="1"/>
      <sheetData sheetId="8588"/>
      <sheetData sheetId="8589"/>
      <sheetData sheetId="8590"/>
      <sheetData sheetId="8591"/>
      <sheetData sheetId="8592"/>
      <sheetData sheetId="8593"/>
      <sheetData sheetId="8594"/>
      <sheetData sheetId="8595"/>
      <sheetData sheetId="8596"/>
      <sheetData sheetId="8597"/>
      <sheetData sheetId="8598" refreshError="1"/>
      <sheetData sheetId="8599" refreshError="1"/>
      <sheetData sheetId="8600" refreshError="1"/>
      <sheetData sheetId="8601" refreshError="1"/>
      <sheetData sheetId="8602" refreshError="1"/>
      <sheetData sheetId="8603" refreshError="1"/>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sheetData sheetId="8657"/>
      <sheetData sheetId="8658"/>
      <sheetData sheetId="8659"/>
      <sheetData sheetId="8660"/>
      <sheetData sheetId="8661"/>
      <sheetData sheetId="8662"/>
      <sheetData sheetId="8663"/>
      <sheetData sheetId="8664"/>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sheetData sheetId="8749" refreshError="1"/>
      <sheetData sheetId="8750" refreshError="1"/>
      <sheetData sheetId="8751" refreshError="1"/>
      <sheetData sheetId="8752" refreshError="1"/>
      <sheetData sheetId="8753"/>
      <sheetData sheetId="8754"/>
      <sheetData sheetId="8755" refreshError="1"/>
      <sheetData sheetId="8756" refreshError="1"/>
      <sheetData sheetId="8757" refreshError="1"/>
      <sheetData sheetId="8758" refreshError="1"/>
      <sheetData sheetId="8759"/>
      <sheetData sheetId="8760"/>
      <sheetData sheetId="8761"/>
      <sheetData sheetId="8762"/>
      <sheetData sheetId="8763"/>
      <sheetData sheetId="8764"/>
      <sheetData sheetId="8765"/>
      <sheetData sheetId="8766"/>
      <sheetData sheetId="8767" refreshError="1"/>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refreshError="1"/>
      <sheetData sheetId="8792" refreshError="1"/>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refreshError="1"/>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sheetData sheetId="8902" refreshError="1"/>
      <sheetData sheetId="8903" refreshError="1"/>
      <sheetData sheetId="8904"/>
      <sheetData sheetId="8905"/>
      <sheetData sheetId="8906"/>
      <sheetData sheetId="8907"/>
      <sheetData sheetId="8908"/>
      <sheetData sheetId="8909"/>
      <sheetData sheetId="8910"/>
      <sheetData sheetId="8911" refreshError="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refreshError="1"/>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refreshError="1"/>
      <sheetData sheetId="9034" refreshError="1"/>
      <sheetData sheetId="9035"/>
      <sheetData sheetId="9036"/>
      <sheetData sheetId="9037"/>
      <sheetData sheetId="9038"/>
      <sheetData sheetId="9039" refreshError="1"/>
      <sheetData sheetId="9040" refreshError="1"/>
      <sheetData sheetId="9041" refreshError="1"/>
      <sheetData sheetId="9042" refreshError="1"/>
      <sheetData sheetId="9043"/>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sheetData sheetId="9055"/>
      <sheetData sheetId="9056"/>
      <sheetData sheetId="9057"/>
      <sheetData sheetId="9058"/>
      <sheetData sheetId="9059"/>
      <sheetData sheetId="9060"/>
      <sheetData sheetId="9061"/>
      <sheetData sheetId="9062" refreshError="1"/>
      <sheetData sheetId="9063" refreshError="1"/>
      <sheetData sheetId="9064" refreshError="1"/>
      <sheetData sheetId="9065" refreshError="1"/>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refreshError="1"/>
      <sheetData sheetId="9087" refreshError="1"/>
      <sheetData sheetId="9088" refreshError="1"/>
      <sheetData sheetId="9089" refreshError="1"/>
      <sheetData sheetId="9090" refreshError="1"/>
      <sheetData sheetId="9091" refreshError="1"/>
      <sheetData sheetId="9092"/>
      <sheetData sheetId="9093"/>
      <sheetData sheetId="9094" refreshError="1"/>
      <sheetData sheetId="9095" refreshError="1"/>
      <sheetData sheetId="9096"/>
      <sheetData sheetId="9097"/>
      <sheetData sheetId="9098"/>
      <sheetData sheetId="9099"/>
      <sheetData sheetId="9100" refreshError="1"/>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refreshError="1"/>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refreshError="1"/>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refreshError="1"/>
      <sheetData sheetId="9204" refreshError="1"/>
      <sheetData sheetId="9205"/>
      <sheetData sheetId="9206"/>
      <sheetData sheetId="9207"/>
      <sheetData sheetId="9208"/>
      <sheetData sheetId="9209"/>
      <sheetData sheetId="9210" refreshError="1"/>
      <sheetData sheetId="9211"/>
      <sheetData sheetId="9212"/>
      <sheetData sheetId="9213"/>
      <sheetData sheetId="9214"/>
      <sheetData sheetId="9215" refreshError="1"/>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refreshError="1"/>
      <sheetData sheetId="9236" refreshError="1"/>
      <sheetData sheetId="9237" refreshError="1"/>
      <sheetData sheetId="9238" refreshError="1"/>
      <sheetData sheetId="9239" refreshError="1"/>
      <sheetData sheetId="9240"/>
      <sheetData sheetId="9241" refreshError="1"/>
      <sheetData sheetId="9242"/>
      <sheetData sheetId="9243"/>
      <sheetData sheetId="9244" refreshError="1"/>
      <sheetData sheetId="9245" refreshError="1"/>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refreshError="1"/>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refreshError="1"/>
      <sheetData sheetId="9354" refreshError="1"/>
      <sheetData sheetId="9355"/>
      <sheetData sheetId="9356" refreshError="1"/>
      <sheetData sheetId="9357" refreshError="1"/>
      <sheetData sheetId="9358"/>
      <sheetData sheetId="9359" refreshError="1"/>
      <sheetData sheetId="9360" refreshError="1"/>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refreshError="1"/>
      <sheetData sheetId="9948" refreshError="1"/>
      <sheetData sheetId="9949" refreshError="1"/>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sheetData sheetId="9982" refreshError="1"/>
      <sheetData sheetId="9983" refreshError="1"/>
      <sheetData sheetId="9984" refreshError="1"/>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sheetData sheetId="10071"/>
      <sheetData sheetId="10072"/>
      <sheetData sheetId="10073"/>
      <sheetData sheetId="10074"/>
      <sheetData sheetId="10075"/>
      <sheetData sheetId="10076"/>
      <sheetData sheetId="10077"/>
      <sheetData sheetId="10078"/>
      <sheetData sheetId="10079"/>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refreshError="1"/>
      <sheetData sheetId="10380" refreshError="1"/>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refreshError="1"/>
      <sheetData sheetId="11442"/>
      <sheetData sheetId="11443"/>
      <sheetData sheetId="11444"/>
      <sheetData sheetId="11445"/>
      <sheetData sheetId="11446"/>
      <sheetData sheetId="11447"/>
      <sheetData sheetId="11448"/>
      <sheetData sheetId="11449"/>
      <sheetData sheetId="11450"/>
      <sheetData sheetId="11451" refreshError="1"/>
      <sheetData sheetId="11452"/>
      <sheetData sheetId="11453"/>
      <sheetData sheetId="11454"/>
      <sheetData sheetId="11455"/>
      <sheetData sheetId="11456"/>
      <sheetData sheetId="11457"/>
      <sheetData sheetId="11458"/>
      <sheetData sheetId="11459"/>
      <sheetData sheetId="11460"/>
      <sheetData sheetId="11461"/>
      <sheetData sheetId="11462" refreshError="1"/>
      <sheetData sheetId="11463" refreshError="1"/>
      <sheetData sheetId="11464" refreshError="1"/>
      <sheetData sheetId="11465" refreshError="1"/>
      <sheetData sheetId="11466" refreshError="1"/>
      <sheetData sheetId="11467" refreshError="1"/>
      <sheetData sheetId="11468"/>
      <sheetData sheetId="11469"/>
      <sheetData sheetId="11470"/>
      <sheetData sheetId="11471"/>
      <sheetData sheetId="11472"/>
      <sheetData sheetId="11473"/>
      <sheetData sheetId="11474" refreshError="1"/>
      <sheetData sheetId="11475" refreshError="1"/>
      <sheetData sheetId="11476" refreshError="1"/>
      <sheetData sheetId="11477" refreshError="1"/>
      <sheetData sheetId="11478" refreshError="1"/>
      <sheetData sheetId="11479" refreshError="1"/>
      <sheetData sheetId="11480" refreshError="1"/>
      <sheetData sheetId="11481" refreshError="1"/>
      <sheetData sheetId="11482" refreshError="1"/>
      <sheetData sheetId="11483" refreshError="1"/>
      <sheetData sheetId="11484" refreshError="1"/>
      <sheetData sheetId="11485"/>
      <sheetData sheetId="11486"/>
      <sheetData sheetId="11487"/>
      <sheetData sheetId="11488"/>
      <sheetData sheetId="11489"/>
      <sheetData sheetId="11490"/>
      <sheetData sheetId="11491" refreshError="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refreshError="1"/>
      <sheetData sheetId="11559"/>
      <sheetData sheetId="11560"/>
      <sheetData sheetId="11561" refreshError="1"/>
      <sheetData sheetId="11562" refreshError="1"/>
      <sheetData sheetId="11563" refreshError="1"/>
      <sheetData sheetId="11564" refreshError="1"/>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refreshError="1"/>
      <sheetData sheetId="11578"/>
      <sheetData sheetId="11579"/>
      <sheetData sheetId="11580"/>
      <sheetData sheetId="11581"/>
      <sheetData sheetId="11582"/>
      <sheetData sheetId="11583"/>
      <sheetData sheetId="11584"/>
      <sheetData sheetId="11585"/>
      <sheetData sheetId="11586"/>
      <sheetData sheetId="11587"/>
      <sheetData sheetId="11588" refreshError="1"/>
      <sheetData sheetId="11589"/>
      <sheetData sheetId="11590"/>
      <sheetData sheetId="11591" refreshError="1"/>
      <sheetData sheetId="11592"/>
      <sheetData sheetId="11593" refreshError="1"/>
      <sheetData sheetId="11594" refreshError="1"/>
      <sheetData sheetId="11595" refreshError="1"/>
      <sheetData sheetId="11596" refreshError="1"/>
      <sheetData sheetId="11597"/>
      <sheetData sheetId="11598"/>
      <sheetData sheetId="11599"/>
      <sheetData sheetId="11600"/>
      <sheetData sheetId="11601"/>
      <sheetData sheetId="11602"/>
      <sheetData sheetId="11603"/>
      <sheetData sheetId="11604"/>
      <sheetData sheetId="11605" refreshError="1"/>
      <sheetData sheetId="11606" refreshError="1"/>
      <sheetData sheetId="11607" refreshError="1"/>
      <sheetData sheetId="11608" refreshError="1"/>
      <sheetData sheetId="11609" refreshError="1"/>
      <sheetData sheetId="11610" refreshError="1"/>
      <sheetData sheetId="11611"/>
      <sheetData sheetId="11612" refreshError="1"/>
      <sheetData sheetId="11613" refreshError="1"/>
      <sheetData sheetId="11614" refreshError="1"/>
      <sheetData sheetId="11615" refreshError="1"/>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refreshError="1"/>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refreshError="1"/>
      <sheetData sheetId="11724" refreshError="1"/>
      <sheetData sheetId="11725" refreshError="1"/>
      <sheetData sheetId="11726" refreshError="1"/>
      <sheetData sheetId="11727" refreshError="1"/>
      <sheetData sheetId="11728" refreshError="1"/>
      <sheetData sheetId="11729" refreshError="1"/>
      <sheetData sheetId="11730" refreshError="1"/>
      <sheetData sheetId="11731" refreshError="1"/>
      <sheetData sheetId="11732" refreshError="1"/>
      <sheetData sheetId="11733" refreshError="1"/>
      <sheetData sheetId="11734" refreshError="1"/>
      <sheetData sheetId="11735" refreshError="1"/>
      <sheetData sheetId="11736" refreshError="1"/>
      <sheetData sheetId="11737" refreshError="1"/>
      <sheetData sheetId="11738" refreshError="1"/>
      <sheetData sheetId="11739" refreshError="1"/>
      <sheetData sheetId="11740" refreshError="1"/>
      <sheetData sheetId="11741" refreshError="1"/>
      <sheetData sheetId="11742" refreshError="1"/>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refreshError="1"/>
      <sheetData sheetId="11760" refreshError="1"/>
      <sheetData sheetId="11761" refreshError="1"/>
      <sheetData sheetId="11762" refreshError="1"/>
      <sheetData sheetId="11763"/>
      <sheetData sheetId="11764"/>
      <sheetData sheetId="11765"/>
      <sheetData sheetId="11766"/>
      <sheetData sheetId="11767"/>
      <sheetData sheetId="11768"/>
      <sheetData sheetId="11769"/>
      <sheetData sheetId="11770"/>
      <sheetData sheetId="11771"/>
      <sheetData sheetId="11772" refreshError="1"/>
      <sheetData sheetId="11773" refreshError="1"/>
      <sheetData sheetId="11774" refreshError="1"/>
      <sheetData sheetId="11775" refreshError="1"/>
      <sheetData sheetId="11776" refreshError="1"/>
      <sheetData sheetId="11777" refreshError="1"/>
      <sheetData sheetId="11778"/>
      <sheetData sheetId="11779"/>
      <sheetData sheetId="11780" refreshError="1"/>
      <sheetData sheetId="11781" refreshError="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efreshError="1"/>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refreshError="1"/>
      <sheetData sheetId="11890" refreshError="1"/>
      <sheetData sheetId="11891" refreshError="1"/>
      <sheetData sheetId="11892" refreshError="1"/>
      <sheetData sheetId="11893" refreshError="1"/>
      <sheetData sheetId="11894" refreshError="1"/>
      <sheetData sheetId="11895" refreshError="1"/>
      <sheetData sheetId="11896" refreshError="1"/>
      <sheetData sheetId="11897" refreshError="1"/>
      <sheetData sheetId="11898" refreshError="1"/>
      <sheetData sheetId="11899" refreshError="1"/>
      <sheetData sheetId="11900" refreshError="1"/>
      <sheetData sheetId="11901" refreshError="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refreshError="1"/>
      <sheetData sheetId="11928" refreshError="1"/>
      <sheetData sheetId="11929" refreshError="1"/>
      <sheetData sheetId="11930" refreshError="1"/>
      <sheetData sheetId="11931" refreshError="1"/>
      <sheetData sheetId="11932" refreshError="1"/>
      <sheetData sheetId="11933" refreshError="1"/>
      <sheetData sheetId="11934" refreshError="1"/>
      <sheetData sheetId="11935" refreshError="1"/>
      <sheetData sheetId="11936" refreshError="1"/>
      <sheetData sheetId="11937" refreshError="1"/>
      <sheetData sheetId="11938" refreshError="1"/>
      <sheetData sheetId="11939" refreshError="1"/>
      <sheetData sheetId="11940" refreshError="1"/>
      <sheetData sheetId="11941" refreshError="1"/>
      <sheetData sheetId="11942" refreshError="1"/>
      <sheetData sheetId="11943" refreshError="1"/>
      <sheetData sheetId="11944" refreshError="1"/>
      <sheetData sheetId="11945" refreshError="1"/>
      <sheetData sheetId="11946" refreshError="1"/>
      <sheetData sheetId="11947" refreshError="1"/>
      <sheetData sheetId="11948" refreshError="1"/>
      <sheetData sheetId="11949"/>
      <sheetData sheetId="11950"/>
      <sheetData sheetId="11951"/>
      <sheetData sheetId="11952"/>
      <sheetData sheetId="11953"/>
      <sheetData sheetId="11954"/>
      <sheetData sheetId="11955"/>
      <sheetData sheetId="11956"/>
      <sheetData sheetId="11957"/>
      <sheetData sheetId="11958"/>
      <sheetData sheetId="11959"/>
      <sheetData sheetId="11960" refreshError="1"/>
      <sheetData sheetId="11961" refreshError="1"/>
      <sheetData sheetId="11962" refreshError="1"/>
      <sheetData sheetId="11963" refreshError="1"/>
      <sheetData sheetId="11964"/>
      <sheetData sheetId="11965"/>
      <sheetData sheetId="11966" refreshError="1"/>
      <sheetData sheetId="11967" refreshError="1"/>
      <sheetData sheetId="11968" refreshError="1"/>
      <sheetData sheetId="11969" refreshError="1"/>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sheetData sheetId="12211"/>
      <sheetData sheetId="12212"/>
      <sheetData sheetId="12213"/>
      <sheetData sheetId="12214"/>
      <sheetData sheetId="12215"/>
      <sheetData sheetId="12216"/>
      <sheetData sheetId="12217"/>
      <sheetData sheetId="12218"/>
      <sheetData sheetId="12219"/>
      <sheetData sheetId="12220"/>
      <sheetData sheetId="12221"/>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sheetData sheetId="12324"/>
      <sheetData sheetId="12325"/>
      <sheetData sheetId="12326"/>
      <sheetData sheetId="12327"/>
      <sheetData sheetId="12328"/>
      <sheetData sheetId="12329"/>
      <sheetData sheetId="12330"/>
      <sheetData sheetId="12331"/>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sheetData sheetId="12405"/>
      <sheetData sheetId="12406"/>
      <sheetData sheetId="12407"/>
      <sheetData sheetId="12408"/>
      <sheetData sheetId="12409"/>
      <sheetData sheetId="12410"/>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sheetData sheetId="12430"/>
      <sheetData sheetId="12431"/>
      <sheetData sheetId="12432"/>
      <sheetData sheetId="12433"/>
      <sheetData sheetId="12434"/>
      <sheetData sheetId="12435"/>
      <sheetData sheetId="12436"/>
      <sheetData sheetId="12437"/>
      <sheetData sheetId="12438"/>
      <sheetData sheetId="12439"/>
      <sheetData sheetId="12440"/>
      <sheetData sheetId="12441"/>
      <sheetData sheetId="12442"/>
      <sheetData sheetId="12443"/>
      <sheetData sheetId="12444"/>
      <sheetData sheetId="12445"/>
      <sheetData sheetId="12446"/>
      <sheetData sheetId="12447"/>
      <sheetData sheetId="12448"/>
      <sheetData sheetId="12449"/>
      <sheetData sheetId="12450"/>
      <sheetData sheetId="12451"/>
      <sheetData sheetId="12452"/>
      <sheetData sheetId="12453"/>
      <sheetData sheetId="12454"/>
      <sheetData sheetId="12455"/>
      <sheetData sheetId="12456"/>
      <sheetData sheetId="12457"/>
      <sheetData sheetId="12458"/>
      <sheetData sheetId="12459"/>
      <sheetData sheetId="12460"/>
      <sheetData sheetId="12461"/>
      <sheetData sheetId="12462"/>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sheetData sheetId="12477"/>
      <sheetData sheetId="12478"/>
      <sheetData sheetId="12479"/>
      <sheetData sheetId="12480"/>
      <sheetData sheetId="12481"/>
      <sheetData sheetId="12482"/>
      <sheetData sheetId="12483"/>
      <sheetData sheetId="12484"/>
      <sheetData sheetId="12485"/>
      <sheetData sheetId="12486"/>
      <sheetData sheetId="12487"/>
      <sheetData sheetId="12488"/>
      <sheetData sheetId="12489"/>
      <sheetData sheetId="12490"/>
      <sheetData sheetId="12491"/>
      <sheetData sheetId="12492"/>
      <sheetData sheetId="12493"/>
      <sheetData sheetId="12494"/>
      <sheetData sheetId="12495"/>
      <sheetData sheetId="12496"/>
      <sheetData sheetId="12497"/>
      <sheetData sheetId="12498"/>
      <sheetData sheetId="12499"/>
      <sheetData sheetId="12500"/>
      <sheetData sheetId="12501"/>
      <sheetData sheetId="12502"/>
      <sheetData sheetId="12503"/>
      <sheetData sheetId="12504"/>
      <sheetData sheetId="12505"/>
      <sheetData sheetId="12506"/>
      <sheetData sheetId="12507"/>
      <sheetData sheetId="12508"/>
      <sheetData sheetId="12509"/>
      <sheetData sheetId="12510"/>
      <sheetData sheetId="12511"/>
      <sheetData sheetId="12512"/>
      <sheetData sheetId="12513"/>
      <sheetData sheetId="12514"/>
      <sheetData sheetId="12515"/>
      <sheetData sheetId="12516"/>
      <sheetData sheetId="12517"/>
      <sheetData sheetId="12518"/>
      <sheetData sheetId="12519"/>
      <sheetData sheetId="12520"/>
      <sheetData sheetId="12521"/>
      <sheetData sheetId="12522"/>
      <sheetData sheetId="12523"/>
      <sheetData sheetId="12524"/>
      <sheetData sheetId="12525"/>
      <sheetData sheetId="12526"/>
      <sheetData sheetId="12527"/>
      <sheetData sheetId="12528"/>
      <sheetData sheetId="12529"/>
      <sheetData sheetId="12530"/>
      <sheetData sheetId="12531"/>
      <sheetData sheetId="12532"/>
      <sheetData sheetId="12533"/>
      <sheetData sheetId="12534"/>
      <sheetData sheetId="12535"/>
      <sheetData sheetId="12536"/>
      <sheetData sheetId="12537"/>
      <sheetData sheetId="12538"/>
      <sheetData sheetId="12539"/>
      <sheetData sheetId="12540"/>
      <sheetData sheetId="12541"/>
      <sheetData sheetId="12542"/>
      <sheetData sheetId="12543"/>
      <sheetData sheetId="12544"/>
      <sheetData sheetId="12545"/>
      <sheetData sheetId="12546"/>
      <sheetData sheetId="12547"/>
      <sheetData sheetId="12548"/>
      <sheetData sheetId="12549"/>
      <sheetData sheetId="12550"/>
      <sheetData sheetId="12551"/>
      <sheetData sheetId="12552"/>
      <sheetData sheetId="12553"/>
      <sheetData sheetId="12554"/>
      <sheetData sheetId="12555"/>
      <sheetData sheetId="12556"/>
      <sheetData sheetId="12557"/>
      <sheetData sheetId="12558"/>
      <sheetData sheetId="12559"/>
      <sheetData sheetId="12560"/>
      <sheetData sheetId="12561"/>
      <sheetData sheetId="12562"/>
      <sheetData sheetId="12563"/>
      <sheetData sheetId="12564"/>
      <sheetData sheetId="12565"/>
      <sheetData sheetId="12566"/>
      <sheetData sheetId="12567"/>
      <sheetData sheetId="12568"/>
      <sheetData sheetId="12569"/>
      <sheetData sheetId="12570"/>
      <sheetData sheetId="12571"/>
      <sheetData sheetId="12572"/>
      <sheetData sheetId="12573"/>
      <sheetData sheetId="12574"/>
      <sheetData sheetId="12575"/>
      <sheetData sheetId="12576"/>
      <sheetData sheetId="12577"/>
      <sheetData sheetId="12578"/>
      <sheetData sheetId="12579"/>
      <sheetData sheetId="12580"/>
      <sheetData sheetId="12581"/>
      <sheetData sheetId="12582"/>
      <sheetData sheetId="12583"/>
      <sheetData sheetId="12584"/>
      <sheetData sheetId="12585"/>
      <sheetData sheetId="12586"/>
      <sheetData sheetId="12587"/>
      <sheetData sheetId="12588"/>
      <sheetData sheetId="12589"/>
      <sheetData sheetId="12590"/>
      <sheetData sheetId="12591"/>
      <sheetData sheetId="12592"/>
      <sheetData sheetId="12593"/>
      <sheetData sheetId="12594"/>
      <sheetData sheetId="12595"/>
      <sheetData sheetId="12596"/>
      <sheetData sheetId="12597"/>
      <sheetData sheetId="12598"/>
      <sheetData sheetId="12599"/>
      <sheetData sheetId="12600"/>
      <sheetData sheetId="12601"/>
      <sheetData sheetId="12602"/>
      <sheetData sheetId="12603"/>
      <sheetData sheetId="12604"/>
      <sheetData sheetId="12605"/>
      <sheetData sheetId="12606"/>
      <sheetData sheetId="12607"/>
      <sheetData sheetId="12608"/>
      <sheetData sheetId="12609"/>
      <sheetData sheetId="12610"/>
      <sheetData sheetId="12611"/>
      <sheetData sheetId="12612"/>
      <sheetData sheetId="12613"/>
      <sheetData sheetId="12614"/>
      <sheetData sheetId="12615"/>
      <sheetData sheetId="12616"/>
      <sheetData sheetId="12617"/>
      <sheetData sheetId="12618"/>
      <sheetData sheetId="12619"/>
      <sheetData sheetId="12620"/>
      <sheetData sheetId="12621"/>
      <sheetData sheetId="12622"/>
      <sheetData sheetId="12623"/>
      <sheetData sheetId="12624"/>
      <sheetData sheetId="12625"/>
      <sheetData sheetId="12626"/>
      <sheetData sheetId="12627"/>
      <sheetData sheetId="12628"/>
      <sheetData sheetId="12629"/>
      <sheetData sheetId="12630"/>
      <sheetData sheetId="12631"/>
      <sheetData sheetId="12632"/>
      <sheetData sheetId="12633"/>
      <sheetData sheetId="12634"/>
      <sheetData sheetId="12635"/>
      <sheetData sheetId="12636"/>
      <sheetData sheetId="12637"/>
      <sheetData sheetId="12638"/>
      <sheetData sheetId="12639"/>
      <sheetData sheetId="12640"/>
      <sheetData sheetId="12641"/>
      <sheetData sheetId="12642"/>
      <sheetData sheetId="12643"/>
      <sheetData sheetId="12644"/>
      <sheetData sheetId="12645"/>
      <sheetData sheetId="12646"/>
      <sheetData sheetId="12647"/>
      <sheetData sheetId="12648"/>
      <sheetData sheetId="12649"/>
      <sheetData sheetId="12650"/>
      <sheetData sheetId="12651"/>
      <sheetData sheetId="12652"/>
      <sheetData sheetId="12653"/>
      <sheetData sheetId="12654"/>
      <sheetData sheetId="12655"/>
      <sheetData sheetId="12656"/>
      <sheetData sheetId="12657"/>
      <sheetData sheetId="12658"/>
      <sheetData sheetId="12659"/>
      <sheetData sheetId="12660"/>
      <sheetData sheetId="12661"/>
      <sheetData sheetId="12662"/>
      <sheetData sheetId="12663"/>
      <sheetData sheetId="12664"/>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refreshError="1"/>
      <sheetData sheetId="12868" refreshError="1"/>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sheetData sheetId="12886"/>
      <sheetData sheetId="12887"/>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sheetData sheetId="12898"/>
      <sheetData sheetId="12899"/>
      <sheetData sheetId="12900"/>
      <sheetData sheetId="12901"/>
      <sheetData sheetId="12902" refreshError="1"/>
      <sheetData sheetId="12903" refreshError="1"/>
      <sheetData sheetId="12904" refreshError="1"/>
      <sheetData sheetId="12905" refreshError="1"/>
      <sheetData sheetId="12906" refreshError="1"/>
      <sheetData sheetId="12907" refreshError="1"/>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refreshError="1"/>
      <sheetData sheetId="12916" refreshError="1"/>
      <sheetData sheetId="12917" refreshError="1"/>
      <sheetData sheetId="12918" refreshError="1"/>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efreshError="1"/>
      <sheetData sheetId="12929" refreshError="1"/>
      <sheetData sheetId="12930" refreshError="1"/>
      <sheetData sheetId="12931" refreshError="1"/>
      <sheetData sheetId="12932" refreshError="1"/>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sheetData sheetId="12990"/>
      <sheetData sheetId="12991"/>
      <sheetData sheetId="12992"/>
      <sheetData sheetId="12993"/>
      <sheetData sheetId="12994"/>
      <sheetData sheetId="12995"/>
      <sheetData sheetId="12996"/>
      <sheetData sheetId="12997"/>
      <sheetData sheetId="12998"/>
      <sheetData sheetId="12999"/>
      <sheetData sheetId="13000"/>
      <sheetData sheetId="13001"/>
      <sheetData sheetId="13002"/>
      <sheetData sheetId="13003"/>
      <sheetData sheetId="13004"/>
      <sheetData sheetId="13005"/>
      <sheetData sheetId="13006"/>
      <sheetData sheetId="13007"/>
      <sheetData sheetId="13008"/>
      <sheetData sheetId="13009"/>
      <sheetData sheetId="13010"/>
      <sheetData sheetId="13011"/>
      <sheetData sheetId="13012"/>
      <sheetData sheetId="13013"/>
      <sheetData sheetId="13014"/>
      <sheetData sheetId="13015"/>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sheetData sheetId="13025" refreshError="1"/>
      <sheetData sheetId="13026" refreshError="1"/>
      <sheetData sheetId="13027"/>
      <sheetData sheetId="13028"/>
      <sheetData sheetId="13029"/>
      <sheetData sheetId="13030"/>
      <sheetData sheetId="13031"/>
      <sheetData sheetId="13032"/>
      <sheetData sheetId="13033"/>
      <sheetData sheetId="13034"/>
      <sheetData sheetId="13035"/>
      <sheetData sheetId="13036"/>
      <sheetData sheetId="13037"/>
      <sheetData sheetId="13038"/>
      <sheetData sheetId="13039"/>
      <sheetData sheetId="13040"/>
      <sheetData sheetId="13041"/>
      <sheetData sheetId="13042"/>
      <sheetData sheetId="13043"/>
      <sheetData sheetId="13044"/>
      <sheetData sheetId="13045"/>
      <sheetData sheetId="13046"/>
      <sheetData sheetId="13047"/>
      <sheetData sheetId="13048"/>
      <sheetData sheetId="13049"/>
      <sheetData sheetId="13050"/>
      <sheetData sheetId="13051"/>
      <sheetData sheetId="13052"/>
      <sheetData sheetId="13053"/>
      <sheetData sheetId="13054"/>
      <sheetData sheetId="13055"/>
      <sheetData sheetId="13056"/>
      <sheetData sheetId="13057"/>
      <sheetData sheetId="13058"/>
      <sheetData sheetId="13059"/>
      <sheetData sheetId="13060"/>
      <sheetData sheetId="13061"/>
      <sheetData sheetId="13062"/>
      <sheetData sheetId="13063"/>
      <sheetData sheetId="13064"/>
      <sheetData sheetId="13065"/>
      <sheetData sheetId="13066"/>
      <sheetData sheetId="13067"/>
      <sheetData sheetId="13068"/>
      <sheetData sheetId="13069"/>
      <sheetData sheetId="13070"/>
      <sheetData sheetId="13071"/>
      <sheetData sheetId="13072"/>
      <sheetData sheetId="13073"/>
      <sheetData sheetId="13074"/>
      <sheetData sheetId="13075"/>
      <sheetData sheetId="13076"/>
      <sheetData sheetId="13077"/>
      <sheetData sheetId="13078"/>
      <sheetData sheetId="13079"/>
      <sheetData sheetId="13080"/>
      <sheetData sheetId="13081"/>
      <sheetData sheetId="13082"/>
      <sheetData sheetId="13083"/>
      <sheetData sheetId="13084"/>
      <sheetData sheetId="13085"/>
      <sheetData sheetId="13086"/>
      <sheetData sheetId="13087"/>
      <sheetData sheetId="13088" refreshError="1"/>
      <sheetData sheetId="13089"/>
      <sheetData sheetId="13090" refreshError="1"/>
      <sheetData sheetId="13091" refreshError="1"/>
      <sheetData sheetId="13092"/>
      <sheetData sheetId="13093"/>
      <sheetData sheetId="13094"/>
      <sheetData sheetId="13095"/>
      <sheetData sheetId="13096"/>
      <sheetData sheetId="13097"/>
      <sheetData sheetId="13098"/>
      <sheetData sheetId="13099"/>
      <sheetData sheetId="13100"/>
      <sheetData sheetId="13101"/>
      <sheetData sheetId="13102" refreshError="1"/>
      <sheetData sheetId="13103"/>
      <sheetData sheetId="13104"/>
      <sheetData sheetId="13105"/>
      <sheetData sheetId="13106" refreshError="1"/>
      <sheetData sheetId="13107"/>
      <sheetData sheetId="13108"/>
      <sheetData sheetId="13109"/>
      <sheetData sheetId="13110"/>
      <sheetData sheetId="13111"/>
      <sheetData sheetId="13112"/>
      <sheetData sheetId="13113"/>
      <sheetData sheetId="13114"/>
      <sheetData sheetId="13115"/>
      <sheetData sheetId="13116"/>
      <sheetData sheetId="13117"/>
      <sheetData sheetId="13118" refreshError="1"/>
      <sheetData sheetId="13119" refreshError="1"/>
      <sheetData sheetId="13120" refreshError="1"/>
      <sheetData sheetId="13121" refreshError="1"/>
      <sheetData sheetId="13122" refreshError="1"/>
      <sheetData sheetId="13123" refreshError="1"/>
      <sheetData sheetId="13124"/>
      <sheetData sheetId="13125"/>
      <sheetData sheetId="13126"/>
      <sheetData sheetId="13127"/>
      <sheetData sheetId="13128" refreshError="1"/>
      <sheetData sheetId="13129" refreshError="1"/>
      <sheetData sheetId="13130"/>
      <sheetData sheetId="13131"/>
      <sheetData sheetId="13132"/>
      <sheetData sheetId="13133" refreshError="1"/>
      <sheetData sheetId="13134" refreshError="1"/>
      <sheetData sheetId="13135" refreshError="1"/>
      <sheetData sheetId="13136" refreshError="1"/>
      <sheetData sheetId="13137"/>
      <sheetData sheetId="13138"/>
      <sheetData sheetId="13139"/>
      <sheetData sheetId="13140"/>
      <sheetData sheetId="13141"/>
      <sheetData sheetId="13142"/>
      <sheetData sheetId="13143"/>
      <sheetData sheetId="13144" refreshError="1"/>
      <sheetData sheetId="13145"/>
      <sheetData sheetId="13146"/>
      <sheetData sheetId="13147"/>
      <sheetData sheetId="13148"/>
      <sheetData sheetId="13149"/>
      <sheetData sheetId="13150"/>
      <sheetData sheetId="13151"/>
      <sheetData sheetId="13152"/>
      <sheetData sheetId="13153"/>
      <sheetData sheetId="13154"/>
      <sheetData sheetId="13155"/>
      <sheetData sheetId="13156"/>
      <sheetData sheetId="13157"/>
      <sheetData sheetId="13158"/>
      <sheetData sheetId="13159" refreshError="1"/>
      <sheetData sheetId="13160" refreshError="1"/>
      <sheetData sheetId="13161"/>
      <sheetData sheetId="13162"/>
      <sheetData sheetId="13163"/>
      <sheetData sheetId="13164"/>
      <sheetData sheetId="13165"/>
      <sheetData sheetId="13166"/>
      <sheetData sheetId="13167"/>
      <sheetData sheetId="13168"/>
      <sheetData sheetId="13169"/>
      <sheetData sheetId="13170"/>
      <sheetData sheetId="13171"/>
      <sheetData sheetId="13172"/>
      <sheetData sheetId="13173" refreshError="1"/>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refreshError="1"/>
      <sheetData sheetId="13188" refreshError="1"/>
      <sheetData sheetId="13189" refreshError="1"/>
      <sheetData sheetId="13190" refreshError="1"/>
      <sheetData sheetId="13191" refreshError="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refreshError="1"/>
      <sheetData sheetId="13268"/>
      <sheetData sheetId="13269" refreshError="1"/>
      <sheetData sheetId="13270" refreshError="1"/>
      <sheetData sheetId="13271"/>
      <sheetData sheetId="13272" refreshError="1"/>
      <sheetData sheetId="13273" refreshError="1"/>
      <sheetData sheetId="13274"/>
      <sheetData sheetId="13275"/>
      <sheetData sheetId="13276"/>
      <sheetData sheetId="13277"/>
      <sheetData sheetId="13278"/>
      <sheetData sheetId="13279"/>
      <sheetData sheetId="13280"/>
      <sheetData sheetId="13281"/>
      <sheetData sheetId="13282"/>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refreshError="1"/>
      <sheetData sheetId="13313" refreshError="1"/>
      <sheetData sheetId="13314" refreshError="1"/>
      <sheetData sheetId="13315" refreshError="1"/>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refreshError="1"/>
      <sheetData sheetId="13346"/>
      <sheetData sheetId="13347" refreshError="1"/>
      <sheetData sheetId="13348"/>
      <sheetData sheetId="13349" refreshError="1"/>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efreshError="1"/>
      <sheetData sheetId="13362" refreshError="1"/>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efreshError="1"/>
      <sheetData sheetId="13372" refreshError="1"/>
      <sheetData sheetId="13373" refreshError="1"/>
      <sheetData sheetId="13374" refreshError="1"/>
      <sheetData sheetId="13375" refreshError="1"/>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refreshError="1"/>
      <sheetData sheetId="13384" refreshError="1"/>
      <sheetData sheetId="13385" refreshError="1"/>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efreshError="1"/>
      <sheetData sheetId="13397" refreshError="1"/>
      <sheetData sheetId="13398" refreshError="1"/>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refreshError="1"/>
      <sheetData sheetId="13408" refreshError="1"/>
      <sheetData sheetId="13409" refreshError="1"/>
      <sheetData sheetId="13410" refreshError="1"/>
      <sheetData sheetId="13411" refreshError="1"/>
      <sheetData sheetId="13412" refreshError="1"/>
      <sheetData sheetId="13413" refreshError="1"/>
      <sheetData sheetId="13414" refreshError="1"/>
      <sheetData sheetId="13415" refreshError="1"/>
      <sheetData sheetId="13416" refreshError="1"/>
      <sheetData sheetId="13417" refreshError="1"/>
      <sheetData sheetId="13418" refreshError="1"/>
      <sheetData sheetId="13419" refreshError="1"/>
      <sheetData sheetId="13420" refreshError="1"/>
      <sheetData sheetId="13421" refreshError="1"/>
      <sheetData sheetId="13422" refreshError="1"/>
      <sheetData sheetId="13423" refreshError="1"/>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efreshError="1"/>
      <sheetData sheetId="13434" refreshError="1"/>
      <sheetData sheetId="13435" refreshError="1"/>
      <sheetData sheetId="13436" refreshError="1"/>
      <sheetData sheetId="13437" refreshError="1"/>
      <sheetData sheetId="13438" refreshError="1"/>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efreshError="1"/>
      <sheetData sheetId="13469" refreshError="1"/>
      <sheetData sheetId="13470" refreshError="1"/>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efreshError="1"/>
      <sheetData sheetId="13498" refreshError="1"/>
      <sheetData sheetId="13499" refreshError="1"/>
      <sheetData sheetId="13500" refreshError="1"/>
      <sheetData sheetId="13501" refreshError="1"/>
      <sheetData sheetId="13502" refreshError="1"/>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refreshError="1"/>
      <sheetData sheetId="13513" refreshError="1"/>
      <sheetData sheetId="13514" refreshError="1"/>
      <sheetData sheetId="13515" refreshError="1"/>
      <sheetData sheetId="13516" refreshError="1"/>
      <sheetData sheetId="13517" refreshError="1"/>
      <sheetData sheetId="13518" refreshError="1"/>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efreshError="1"/>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refreshError="1"/>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refreshError="1"/>
      <sheetData sheetId="14062" refreshError="1"/>
      <sheetData sheetId="14063" refreshError="1"/>
      <sheetData sheetId="14064" refreshError="1"/>
      <sheetData sheetId="14065" refreshError="1"/>
      <sheetData sheetId="14066" refreshError="1"/>
      <sheetData sheetId="14067" refreshError="1"/>
      <sheetData sheetId="14068" refreshError="1"/>
      <sheetData sheetId="14069"/>
      <sheetData sheetId="14070" refreshError="1"/>
      <sheetData sheetId="14071"/>
      <sheetData sheetId="14072"/>
      <sheetData sheetId="14073"/>
      <sheetData sheetId="14074" refreshError="1"/>
      <sheetData sheetId="14075" refreshError="1"/>
      <sheetData sheetId="14076" refreshError="1"/>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refreshError="1"/>
      <sheetData sheetId="14323"/>
      <sheetData sheetId="14324"/>
      <sheetData sheetId="14325" refreshError="1"/>
      <sheetData sheetId="14326" refreshError="1"/>
      <sheetData sheetId="14327" refreshError="1"/>
      <sheetData sheetId="14328" refreshError="1"/>
      <sheetData sheetId="14329" refreshError="1"/>
      <sheetData sheetId="14330" refreshError="1"/>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refreshError="1"/>
      <sheetData sheetId="14350" refreshError="1"/>
      <sheetData sheetId="14351" refreshError="1"/>
      <sheetData sheetId="14352" refreshError="1"/>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sheetData sheetId="14375"/>
      <sheetData sheetId="14376" refreshError="1"/>
      <sheetData sheetId="14377" refreshError="1"/>
      <sheetData sheetId="14378" refreshError="1"/>
      <sheetData sheetId="14379" refreshError="1"/>
      <sheetData sheetId="14380" refreshError="1"/>
      <sheetData sheetId="14381" refreshError="1"/>
      <sheetData sheetId="14382"/>
      <sheetData sheetId="14383" refreshError="1"/>
      <sheetData sheetId="14384" refreshError="1"/>
      <sheetData sheetId="14385"/>
      <sheetData sheetId="14386"/>
      <sheetData sheetId="14387"/>
      <sheetData sheetId="14388"/>
      <sheetData sheetId="14389"/>
      <sheetData sheetId="14390"/>
      <sheetData sheetId="14391"/>
      <sheetData sheetId="14392"/>
      <sheetData sheetId="14393"/>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refreshError="1"/>
      <sheetData sheetId="14478" refreshError="1"/>
      <sheetData sheetId="14479" refreshError="1"/>
      <sheetData sheetId="14480" refreshError="1"/>
      <sheetData sheetId="14481" refreshError="1"/>
      <sheetData sheetId="14482" refreshError="1"/>
      <sheetData sheetId="14483" refreshError="1"/>
      <sheetData sheetId="14484" refreshError="1"/>
      <sheetData sheetId="14485" refreshError="1"/>
      <sheetData sheetId="14486" refreshError="1"/>
      <sheetData sheetId="14487" refreshError="1"/>
      <sheetData sheetId="14488" refreshError="1"/>
      <sheetData sheetId="14489" refreshError="1"/>
      <sheetData sheetId="14490" refreshError="1"/>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refreshError="1"/>
      <sheetData sheetId="14506" refreshError="1"/>
      <sheetData sheetId="14507" refreshError="1"/>
      <sheetData sheetId="14508" refreshError="1"/>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refreshError="1"/>
      <sheetData sheetId="14556" refreshError="1"/>
      <sheetData sheetId="14557" refreshError="1"/>
      <sheetData sheetId="14558" refreshError="1"/>
      <sheetData sheetId="14559" refreshError="1"/>
      <sheetData sheetId="14560" refreshError="1"/>
      <sheetData sheetId="14561" refreshError="1"/>
      <sheetData sheetId="14562" refreshError="1"/>
      <sheetData sheetId="14563" refreshError="1"/>
      <sheetData sheetId="14564" refreshError="1"/>
      <sheetData sheetId="14565" refreshError="1"/>
      <sheetData sheetId="14566" refreshError="1"/>
      <sheetData sheetId="14567" refreshError="1"/>
      <sheetData sheetId="14568" refreshError="1"/>
      <sheetData sheetId="14569" refreshError="1"/>
      <sheetData sheetId="14570" refreshError="1"/>
      <sheetData sheetId="14571" refreshError="1"/>
      <sheetData sheetId="14572" refreshError="1"/>
      <sheetData sheetId="14573" refreshError="1"/>
      <sheetData sheetId="14574" refreshError="1"/>
      <sheetData sheetId="14575" refreshError="1"/>
      <sheetData sheetId="14576" refreshError="1"/>
      <sheetData sheetId="14577" refreshError="1"/>
      <sheetData sheetId="14578" refreshError="1"/>
      <sheetData sheetId="14579" refreshError="1"/>
      <sheetData sheetId="14580" refreshError="1"/>
      <sheetData sheetId="14581" refreshError="1"/>
      <sheetData sheetId="14582" refreshError="1"/>
      <sheetData sheetId="14583" refreshError="1"/>
      <sheetData sheetId="14584" refreshError="1"/>
      <sheetData sheetId="14585" refreshError="1"/>
      <sheetData sheetId="14586" refreshError="1"/>
      <sheetData sheetId="14587" refreshError="1"/>
      <sheetData sheetId="14588" refreshError="1"/>
      <sheetData sheetId="14589" refreshError="1"/>
      <sheetData sheetId="14590" refreshError="1"/>
      <sheetData sheetId="14591" refreshError="1"/>
      <sheetData sheetId="14592" refreshError="1"/>
      <sheetData sheetId="14593" refreshError="1"/>
      <sheetData sheetId="14594" refreshError="1"/>
      <sheetData sheetId="14595" refreshError="1"/>
      <sheetData sheetId="14596" refreshError="1"/>
      <sheetData sheetId="14597" refreshError="1"/>
      <sheetData sheetId="14598" refreshError="1"/>
      <sheetData sheetId="14599" refreshError="1"/>
      <sheetData sheetId="14600" refreshError="1"/>
      <sheetData sheetId="14601" refreshError="1"/>
      <sheetData sheetId="14602" refreshError="1"/>
      <sheetData sheetId="14603" refreshError="1"/>
      <sheetData sheetId="14604" refreshError="1"/>
      <sheetData sheetId="14605" refreshError="1"/>
      <sheetData sheetId="14606" refreshError="1"/>
      <sheetData sheetId="14607" refreshError="1"/>
      <sheetData sheetId="14608" refreshError="1"/>
      <sheetData sheetId="14609" refreshError="1"/>
      <sheetData sheetId="14610" refreshError="1"/>
      <sheetData sheetId="14611" refreshError="1"/>
      <sheetData sheetId="14612" refreshError="1"/>
      <sheetData sheetId="14613" refreshError="1"/>
      <sheetData sheetId="14614" refreshError="1"/>
      <sheetData sheetId="14615" refreshError="1"/>
      <sheetData sheetId="14616" refreshError="1"/>
      <sheetData sheetId="14617" refreshError="1"/>
      <sheetData sheetId="14618" refreshError="1"/>
      <sheetData sheetId="14619" refreshError="1"/>
      <sheetData sheetId="14620" refreshError="1"/>
      <sheetData sheetId="14621" refreshError="1"/>
      <sheetData sheetId="14622" refreshError="1"/>
      <sheetData sheetId="14623" refreshError="1"/>
      <sheetData sheetId="14624" refreshError="1"/>
      <sheetData sheetId="14625" refreshError="1"/>
      <sheetData sheetId="14626" refreshError="1"/>
      <sheetData sheetId="14627" refreshError="1"/>
      <sheetData sheetId="14628" refreshError="1"/>
      <sheetData sheetId="14629" refreshError="1"/>
      <sheetData sheetId="14630" refreshError="1"/>
      <sheetData sheetId="14631" refreshError="1"/>
      <sheetData sheetId="14632" refreshError="1"/>
      <sheetData sheetId="14633" refreshError="1"/>
      <sheetData sheetId="14634" refreshError="1"/>
      <sheetData sheetId="14635" refreshError="1"/>
      <sheetData sheetId="14636" refreshError="1"/>
      <sheetData sheetId="14637" refreshError="1"/>
      <sheetData sheetId="14638" refreshError="1"/>
      <sheetData sheetId="14639" refreshError="1"/>
      <sheetData sheetId="14640" refreshError="1"/>
      <sheetData sheetId="14641" refreshError="1"/>
      <sheetData sheetId="14642" refreshError="1"/>
      <sheetData sheetId="14643" refreshError="1"/>
      <sheetData sheetId="14644" refreshError="1"/>
      <sheetData sheetId="14645" refreshError="1"/>
      <sheetData sheetId="14646" refreshError="1"/>
      <sheetData sheetId="14647" refreshError="1"/>
      <sheetData sheetId="14648" refreshError="1"/>
      <sheetData sheetId="14649" refreshError="1"/>
      <sheetData sheetId="14650" refreshError="1"/>
      <sheetData sheetId="14651" refreshError="1"/>
      <sheetData sheetId="14652" refreshError="1"/>
      <sheetData sheetId="14653" refreshError="1"/>
      <sheetData sheetId="14654" refreshError="1"/>
      <sheetData sheetId="14655" refreshError="1"/>
      <sheetData sheetId="14656" refreshError="1"/>
      <sheetData sheetId="14657" refreshError="1"/>
      <sheetData sheetId="14658" refreshError="1"/>
      <sheetData sheetId="14659" refreshError="1"/>
      <sheetData sheetId="14660" refreshError="1"/>
      <sheetData sheetId="14661" refreshError="1"/>
      <sheetData sheetId="14662" refreshError="1"/>
      <sheetData sheetId="14663" refreshError="1"/>
      <sheetData sheetId="14664" refreshError="1"/>
      <sheetData sheetId="14665" refreshError="1"/>
      <sheetData sheetId="14666" refreshError="1"/>
      <sheetData sheetId="14667" refreshError="1"/>
      <sheetData sheetId="14668" refreshError="1"/>
      <sheetData sheetId="14669" refreshError="1"/>
      <sheetData sheetId="14670" refreshError="1"/>
      <sheetData sheetId="14671" refreshError="1"/>
      <sheetData sheetId="14672" refreshError="1"/>
      <sheetData sheetId="14673" refreshError="1"/>
      <sheetData sheetId="14674" refreshError="1"/>
      <sheetData sheetId="14675" refreshError="1"/>
      <sheetData sheetId="14676" refreshError="1"/>
      <sheetData sheetId="14677" refreshError="1"/>
      <sheetData sheetId="14678" refreshError="1"/>
      <sheetData sheetId="14679" refreshError="1"/>
      <sheetData sheetId="14680" refreshError="1"/>
      <sheetData sheetId="14681" refreshError="1"/>
      <sheetData sheetId="14682" refreshError="1"/>
      <sheetData sheetId="14683" refreshError="1"/>
      <sheetData sheetId="14684" refreshError="1"/>
      <sheetData sheetId="14685" refreshError="1"/>
      <sheetData sheetId="14686" refreshError="1"/>
      <sheetData sheetId="14687" refreshError="1"/>
      <sheetData sheetId="14688" refreshError="1"/>
      <sheetData sheetId="14689" refreshError="1"/>
      <sheetData sheetId="14690" refreshError="1"/>
      <sheetData sheetId="14691" refreshError="1"/>
      <sheetData sheetId="14692" refreshError="1"/>
      <sheetData sheetId="14693" refreshError="1"/>
      <sheetData sheetId="14694" refreshError="1"/>
      <sheetData sheetId="14695" refreshError="1"/>
      <sheetData sheetId="14696" refreshError="1"/>
      <sheetData sheetId="14697" refreshError="1"/>
      <sheetData sheetId="14698" refreshError="1"/>
      <sheetData sheetId="14699" refreshError="1"/>
      <sheetData sheetId="14700" refreshError="1"/>
      <sheetData sheetId="14701" refreshError="1"/>
      <sheetData sheetId="14702" refreshError="1"/>
      <sheetData sheetId="14703" refreshError="1"/>
      <sheetData sheetId="14704" refreshError="1"/>
      <sheetData sheetId="14705" refreshError="1"/>
      <sheetData sheetId="14706" refreshError="1"/>
      <sheetData sheetId="14707" refreshError="1"/>
      <sheetData sheetId="14708" refreshError="1"/>
      <sheetData sheetId="14709" refreshError="1"/>
      <sheetData sheetId="14710" refreshError="1"/>
      <sheetData sheetId="14711" refreshError="1"/>
      <sheetData sheetId="14712" refreshError="1"/>
      <sheetData sheetId="14713" refreshError="1"/>
      <sheetData sheetId="14714" refreshError="1"/>
      <sheetData sheetId="14715" refreshError="1"/>
      <sheetData sheetId="14716" refreshError="1"/>
      <sheetData sheetId="14717" refreshError="1"/>
      <sheetData sheetId="14718" refreshError="1"/>
      <sheetData sheetId="14719" refreshError="1"/>
      <sheetData sheetId="14720" refreshError="1"/>
      <sheetData sheetId="14721" refreshError="1"/>
      <sheetData sheetId="14722" refreshError="1"/>
      <sheetData sheetId="14723" refreshError="1"/>
      <sheetData sheetId="14724" refreshError="1"/>
      <sheetData sheetId="14725" refreshError="1"/>
      <sheetData sheetId="14726" refreshError="1"/>
      <sheetData sheetId="14727" refreshError="1"/>
      <sheetData sheetId="14728" refreshError="1"/>
      <sheetData sheetId="14729" refreshError="1"/>
      <sheetData sheetId="14730" refreshError="1"/>
      <sheetData sheetId="14731" refreshError="1"/>
      <sheetData sheetId="14732" refreshError="1"/>
      <sheetData sheetId="14733" refreshError="1"/>
      <sheetData sheetId="14734" refreshError="1"/>
      <sheetData sheetId="14735" refreshError="1"/>
      <sheetData sheetId="14736" refreshError="1"/>
      <sheetData sheetId="14737" refreshError="1"/>
      <sheetData sheetId="14738" refreshError="1"/>
      <sheetData sheetId="14739" refreshError="1"/>
      <sheetData sheetId="14740" refreshError="1"/>
      <sheetData sheetId="14741" refreshError="1"/>
      <sheetData sheetId="14742" refreshError="1"/>
      <sheetData sheetId="14743" refreshError="1"/>
      <sheetData sheetId="14744" refreshError="1"/>
      <sheetData sheetId="14745" refreshError="1"/>
      <sheetData sheetId="14746" refreshError="1"/>
      <sheetData sheetId="14747" refreshError="1"/>
      <sheetData sheetId="14748" refreshError="1"/>
      <sheetData sheetId="14749" refreshError="1"/>
      <sheetData sheetId="14750" refreshError="1"/>
      <sheetData sheetId="14751" refreshError="1"/>
      <sheetData sheetId="14752" refreshError="1"/>
      <sheetData sheetId="14753" refreshError="1"/>
      <sheetData sheetId="14754" refreshError="1"/>
      <sheetData sheetId="14755" refreshError="1"/>
      <sheetData sheetId="14756" refreshError="1"/>
      <sheetData sheetId="14757" refreshError="1"/>
      <sheetData sheetId="14758" refreshError="1"/>
      <sheetData sheetId="14759" refreshError="1"/>
      <sheetData sheetId="14760" refreshError="1"/>
      <sheetData sheetId="14761" refreshError="1"/>
      <sheetData sheetId="14762" refreshError="1"/>
      <sheetData sheetId="14763" refreshError="1"/>
      <sheetData sheetId="14764" refreshError="1"/>
      <sheetData sheetId="14765" refreshError="1"/>
      <sheetData sheetId="14766" refreshError="1"/>
      <sheetData sheetId="14767" refreshError="1"/>
      <sheetData sheetId="14768" refreshError="1"/>
      <sheetData sheetId="14769" refreshError="1"/>
      <sheetData sheetId="14770" refreshError="1"/>
      <sheetData sheetId="14771" refreshError="1"/>
      <sheetData sheetId="14772" refreshError="1"/>
      <sheetData sheetId="14773" refreshError="1"/>
      <sheetData sheetId="14774" refreshError="1"/>
      <sheetData sheetId="14775" refreshError="1"/>
      <sheetData sheetId="14776" refreshError="1"/>
      <sheetData sheetId="14777" refreshError="1"/>
      <sheetData sheetId="14778" refreshError="1"/>
      <sheetData sheetId="14779" refreshError="1"/>
      <sheetData sheetId="14780" refreshError="1"/>
      <sheetData sheetId="14781" refreshError="1"/>
      <sheetData sheetId="14782" refreshError="1"/>
      <sheetData sheetId="14783" refreshError="1"/>
      <sheetData sheetId="14784" refreshError="1"/>
      <sheetData sheetId="14785" refreshError="1"/>
      <sheetData sheetId="14786" refreshError="1"/>
      <sheetData sheetId="14787" refreshError="1"/>
      <sheetData sheetId="14788" refreshError="1"/>
      <sheetData sheetId="14789" refreshError="1"/>
      <sheetData sheetId="14790" refreshError="1"/>
      <sheetData sheetId="14791" refreshError="1"/>
      <sheetData sheetId="14792" refreshError="1"/>
      <sheetData sheetId="14793" refreshError="1"/>
      <sheetData sheetId="14794" refreshError="1"/>
      <sheetData sheetId="14795" refreshError="1"/>
      <sheetData sheetId="14796" refreshError="1"/>
      <sheetData sheetId="14797" refreshError="1"/>
      <sheetData sheetId="14798" refreshError="1"/>
      <sheetData sheetId="14799" refreshError="1"/>
      <sheetData sheetId="14800" refreshError="1"/>
      <sheetData sheetId="14801" refreshError="1"/>
      <sheetData sheetId="14802" refreshError="1"/>
      <sheetData sheetId="14803" refreshError="1"/>
      <sheetData sheetId="14804" refreshError="1"/>
      <sheetData sheetId="14805" refreshError="1"/>
      <sheetData sheetId="14806" refreshError="1"/>
      <sheetData sheetId="14807" refreshError="1"/>
      <sheetData sheetId="14808" refreshError="1"/>
      <sheetData sheetId="14809" refreshError="1"/>
      <sheetData sheetId="14810" refreshError="1"/>
      <sheetData sheetId="14811" refreshError="1"/>
      <sheetData sheetId="14812" refreshError="1"/>
      <sheetData sheetId="14813" refreshError="1"/>
      <sheetData sheetId="14814" refreshError="1"/>
      <sheetData sheetId="14815" refreshError="1"/>
      <sheetData sheetId="14816" refreshError="1"/>
      <sheetData sheetId="14817" refreshError="1"/>
      <sheetData sheetId="14818" refreshError="1"/>
      <sheetData sheetId="14819" refreshError="1"/>
      <sheetData sheetId="14820" refreshError="1"/>
      <sheetData sheetId="14821" refreshError="1"/>
      <sheetData sheetId="14822" refreshError="1"/>
      <sheetData sheetId="14823" refreshError="1"/>
      <sheetData sheetId="14824" refreshError="1"/>
      <sheetData sheetId="14825" refreshError="1"/>
      <sheetData sheetId="14826" refreshError="1"/>
      <sheetData sheetId="14827" refreshError="1"/>
      <sheetData sheetId="14828" refreshError="1"/>
      <sheetData sheetId="14829" refreshError="1"/>
      <sheetData sheetId="14830" refreshError="1"/>
      <sheetData sheetId="14831" refreshError="1"/>
      <sheetData sheetId="14832" refreshError="1"/>
      <sheetData sheetId="14833" refreshError="1"/>
      <sheetData sheetId="14834" refreshError="1"/>
      <sheetData sheetId="14835" refreshError="1"/>
      <sheetData sheetId="14836" refreshError="1"/>
      <sheetData sheetId="14837" refreshError="1"/>
      <sheetData sheetId="14838" refreshError="1"/>
      <sheetData sheetId="14839" refreshError="1"/>
      <sheetData sheetId="14840" refreshError="1"/>
      <sheetData sheetId="14841" refreshError="1"/>
      <sheetData sheetId="14842" refreshError="1"/>
      <sheetData sheetId="14843" refreshError="1"/>
      <sheetData sheetId="14844" refreshError="1"/>
      <sheetData sheetId="14845" refreshError="1"/>
      <sheetData sheetId="14846" refreshError="1"/>
      <sheetData sheetId="14847" refreshError="1"/>
      <sheetData sheetId="14848" refreshError="1"/>
      <sheetData sheetId="14849" refreshError="1"/>
      <sheetData sheetId="14850" refreshError="1"/>
      <sheetData sheetId="14851" refreshError="1"/>
      <sheetData sheetId="14852" refreshError="1"/>
      <sheetData sheetId="14853" refreshError="1"/>
      <sheetData sheetId="14854" refreshError="1"/>
      <sheetData sheetId="14855" refreshError="1"/>
      <sheetData sheetId="14856" refreshError="1"/>
      <sheetData sheetId="14857" refreshError="1"/>
      <sheetData sheetId="14858" refreshError="1"/>
      <sheetData sheetId="14859" refreshError="1"/>
      <sheetData sheetId="14860" refreshError="1"/>
      <sheetData sheetId="14861" refreshError="1"/>
      <sheetData sheetId="14862" refreshError="1"/>
      <sheetData sheetId="14863" refreshError="1"/>
      <sheetData sheetId="14864" refreshError="1"/>
      <sheetData sheetId="14865" refreshError="1"/>
      <sheetData sheetId="14866" refreshError="1"/>
      <sheetData sheetId="14867" refreshError="1"/>
      <sheetData sheetId="14868" refreshError="1"/>
      <sheetData sheetId="14869" refreshError="1"/>
      <sheetData sheetId="14870" refreshError="1"/>
      <sheetData sheetId="14871" refreshError="1"/>
      <sheetData sheetId="14872" refreshError="1"/>
      <sheetData sheetId="14873" refreshError="1"/>
      <sheetData sheetId="14874" refreshError="1"/>
      <sheetData sheetId="14875" refreshError="1"/>
      <sheetData sheetId="14876" refreshError="1"/>
      <sheetData sheetId="14877" refreshError="1"/>
      <sheetData sheetId="14878" refreshError="1"/>
      <sheetData sheetId="14879" refreshError="1"/>
      <sheetData sheetId="14880" refreshError="1"/>
      <sheetData sheetId="14881" refreshError="1"/>
      <sheetData sheetId="14882" refreshError="1"/>
      <sheetData sheetId="14883" refreshError="1"/>
      <sheetData sheetId="14884" refreshError="1"/>
      <sheetData sheetId="14885" refreshError="1"/>
      <sheetData sheetId="14886" refreshError="1"/>
      <sheetData sheetId="14887" refreshError="1"/>
      <sheetData sheetId="14888" refreshError="1"/>
      <sheetData sheetId="14889" refreshError="1"/>
      <sheetData sheetId="14890" refreshError="1"/>
      <sheetData sheetId="14891" refreshError="1"/>
      <sheetData sheetId="14892" refreshError="1"/>
      <sheetData sheetId="14893" refreshError="1"/>
      <sheetData sheetId="14894" refreshError="1"/>
      <sheetData sheetId="14895" refreshError="1"/>
      <sheetData sheetId="14896" refreshError="1"/>
      <sheetData sheetId="14897" refreshError="1"/>
      <sheetData sheetId="14898" refreshError="1"/>
      <sheetData sheetId="14899" refreshError="1"/>
      <sheetData sheetId="14900" refreshError="1"/>
      <sheetData sheetId="14901" refreshError="1"/>
      <sheetData sheetId="14902" refreshError="1"/>
      <sheetData sheetId="14903" refreshError="1"/>
      <sheetData sheetId="14904" refreshError="1"/>
      <sheetData sheetId="14905" refreshError="1"/>
      <sheetData sheetId="14906" refreshError="1"/>
      <sheetData sheetId="14907" refreshError="1"/>
      <sheetData sheetId="14908" refreshError="1"/>
      <sheetData sheetId="14909" refreshError="1"/>
      <sheetData sheetId="14910" refreshError="1"/>
      <sheetData sheetId="14911" refreshError="1"/>
      <sheetData sheetId="14912" refreshError="1"/>
      <sheetData sheetId="14913" refreshError="1"/>
      <sheetData sheetId="14914" refreshError="1"/>
      <sheetData sheetId="14915" refreshError="1"/>
      <sheetData sheetId="14916" refreshError="1"/>
      <sheetData sheetId="14917" refreshError="1"/>
      <sheetData sheetId="14918" refreshError="1"/>
      <sheetData sheetId="14919" refreshError="1"/>
      <sheetData sheetId="14920" refreshError="1"/>
      <sheetData sheetId="14921" refreshError="1"/>
      <sheetData sheetId="14922" refreshError="1"/>
      <sheetData sheetId="14923" refreshError="1"/>
      <sheetData sheetId="14924" refreshError="1"/>
      <sheetData sheetId="14925" refreshError="1"/>
      <sheetData sheetId="14926" refreshError="1"/>
      <sheetData sheetId="14927" refreshError="1"/>
      <sheetData sheetId="14928" refreshError="1"/>
      <sheetData sheetId="14929" refreshError="1"/>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sheetData sheetId="15485"/>
      <sheetData sheetId="15486"/>
      <sheetData sheetId="15487"/>
      <sheetData sheetId="15488"/>
      <sheetData sheetId="15489"/>
      <sheetData sheetId="15490"/>
      <sheetData sheetId="15491"/>
      <sheetData sheetId="15492"/>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sheetData sheetId="15520"/>
      <sheetData sheetId="15521"/>
      <sheetData sheetId="15522"/>
      <sheetData sheetId="15523"/>
      <sheetData sheetId="15524"/>
      <sheetData sheetId="15525"/>
      <sheetData sheetId="15526"/>
      <sheetData sheetId="15527"/>
      <sheetData sheetId="15528"/>
      <sheetData sheetId="15529"/>
      <sheetData sheetId="15530"/>
      <sheetData sheetId="15531"/>
      <sheetData sheetId="15532"/>
      <sheetData sheetId="15533"/>
      <sheetData sheetId="15534"/>
      <sheetData sheetId="15535"/>
      <sheetData sheetId="15536"/>
      <sheetData sheetId="15537"/>
      <sheetData sheetId="15538"/>
      <sheetData sheetId="15539"/>
      <sheetData sheetId="15540"/>
      <sheetData sheetId="15541"/>
      <sheetData sheetId="15542"/>
      <sheetData sheetId="15543"/>
      <sheetData sheetId="15544"/>
      <sheetData sheetId="15545"/>
      <sheetData sheetId="15546"/>
      <sheetData sheetId="15547"/>
      <sheetData sheetId="15548"/>
      <sheetData sheetId="15549"/>
      <sheetData sheetId="15550"/>
      <sheetData sheetId="15551"/>
      <sheetData sheetId="15552"/>
      <sheetData sheetId="15553"/>
      <sheetData sheetId="15554"/>
      <sheetData sheetId="15555"/>
      <sheetData sheetId="15556"/>
      <sheetData sheetId="15557"/>
      <sheetData sheetId="15558"/>
      <sheetData sheetId="15559"/>
      <sheetData sheetId="15560"/>
      <sheetData sheetId="15561"/>
      <sheetData sheetId="15562"/>
      <sheetData sheetId="15563"/>
      <sheetData sheetId="15564"/>
      <sheetData sheetId="15565"/>
      <sheetData sheetId="15566"/>
      <sheetData sheetId="15567"/>
      <sheetData sheetId="15568"/>
      <sheetData sheetId="15569"/>
      <sheetData sheetId="15570"/>
      <sheetData sheetId="15571"/>
      <sheetData sheetId="15572"/>
      <sheetData sheetId="15573"/>
      <sheetData sheetId="15574"/>
      <sheetData sheetId="15575"/>
      <sheetData sheetId="15576"/>
      <sheetData sheetId="15577"/>
      <sheetData sheetId="15578"/>
      <sheetData sheetId="15579"/>
      <sheetData sheetId="15580"/>
      <sheetData sheetId="15581"/>
      <sheetData sheetId="15582"/>
      <sheetData sheetId="15583"/>
      <sheetData sheetId="15584"/>
      <sheetData sheetId="15585"/>
      <sheetData sheetId="15586"/>
      <sheetData sheetId="15587"/>
      <sheetData sheetId="15588"/>
      <sheetData sheetId="15589"/>
      <sheetData sheetId="15590"/>
      <sheetData sheetId="15591"/>
      <sheetData sheetId="15592"/>
      <sheetData sheetId="15593"/>
      <sheetData sheetId="15594"/>
      <sheetData sheetId="15595"/>
      <sheetData sheetId="15596"/>
      <sheetData sheetId="15597"/>
      <sheetData sheetId="15598"/>
      <sheetData sheetId="15599"/>
      <sheetData sheetId="15600"/>
      <sheetData sheetId="15601"/>
      <sheetData sheetId="15602"/>
      <sheetData sheetId="15603"/>
      <sheetData sheetId="15604"/>
      <sheetData sheetId="15605"/>
      <sheetData sheetId="15606"/>
      <sheetData sheetId="15607"/>
      <sheetData sheetId="15608"/>
      <sheetData sheetId="15609"/>
      <sheetData sheetId="15610"/>
      <sheetData sheetId="15611"/>
      <sheetData sheetId="15612"/>
      <sheetData sheetId="15613"/>
      <sheetData sheetId="15614"/>
      <sheetData sheetId="15615"/>
      <sheetData sheetId="15616"/>
      <sheetData sheetId="15617"/>
      <sheetData sheetId="15618"/>
      <sheetData sheetId="15619"/>
      <sheetData sheetId="15620"/>
      <sheetData sheetId="15621"/>
      <sheetData sheetId="15622"/>
      <sheetData sheetId="15623"/>
      <sheetData sheetId="15624"/>
      <sheetData sheetId="15625"/>
      <sheetData sheetId="15626" refreshError="1"/>
      <sheetData sheetId="15627" refreshError="1"/>
      <sheetData sheetId="15628" refreshError="1"/>
      <sheetData sheetId="15629"/>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sheetData sheetId="15697"/>
      <sheetData sheetId="15698"/>
      <sheetData sheetId="15699"/>
      <sheetData sheetId="15700"/>
      <sheetData sheetId="15701"/>
      <sheetData sheetId="15702"/>
      <sheetData sheetId="15703"/>
      <sheetData sheetId="15704"/>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efreshError="1"/>
      <sheetData sheetId="15725" refreshError="1"/>
      <sheetData sheetId="15726" refreshError="1"/>
      <sheetData sheetId="15727" refreshError="1"/>
      <sheetData sheetId="15728" refreshError="1"/>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efreshError="1"/>
      <sheetData sheetId="15750" refreshError="1"/>
      <sheetData sheetId="15751" refreshError="1"/>
      <sheetData sheetId="15752" refreshError="1"/>
      <sheetData sheetId="15753" refreshError="1"/>
      <sheetData sheetId="15754" refreshError="1"/>
      <sheetData sheetId="15755" refreshError="1"/>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efreshError="1"/>
      <sheetData sheetId="15771" refreshError="1"/>
      <sheetData sheetId="15772" refreshError="1"/>
      <sheetData sheetId="15773" refreshError="1"/>
      <sheetData sheetId="15774" refreshError="1"/>
      <sheetData sheetId="15775" refreshError="1"/>
      <sheetData sheetId="15776" refreshError="1"/>
      <sheetData sheetId="15777" refreshError="1"/>
      <sheetData sheetId="15778" refreshError="1"/>
      <sheetData sheetId="15779" refreshError="1"/>
      <sheetData sheetId="15780" refreshError="1"/>
      <sheetData sheetId="15781" refreshError="1"/>
      <sheetData sheetId="15782" refreshError="1"/>
      <sheetData sheetId="15783" refreshError="1"/>
      <sheetData sheetId="15784" refreshError="1"/>
      <sheetData sheetId="15785" refreshError="1"/>
      <sheetData sheetId="15786" refreshError="1"/>
      <sheetData sheetId="15787" refreshError="1"/>
      <sheetData sheetId="15788" refreshError="1"/>
      <sheetData sheetId="15789" refreshError="1"/>
      <sheetData sheetId="15790" refreshError="1"/>
      <sheetData sheetId="15791" refreshError="1"/>
      <sheetData sheetId="15792" refreshError="1"/>
      <sheetData sheetId="15793" refreshError="1"/>
      <sheetData sheetId="15794" refreshError="1"/>
      <sheetData sheetId="15795" refreshError="1"/>
      <sheetData sheetId="15796" refreshError="1"/>
      <sheetData sheetId="15797" refreshError="1"/>
      <sheetData sheetId="15798" refreshError="1"/>
      <sheetData sheetId="15799" refreshError="1"/>
      <sheetData sheetId="15800" refreshError="1"/>
      <sheetData sheetId="15801" refreshError="1"/>
      <sheetData sheetId="15802" refreshError="1"/>
      <sheetData sheetId="15803" refreshError="1"/>
      <sheetData sheetId="15804" refreshError="1"/>
      <sheetData sheetId="15805" refreshError="1"/>
      <sheetData sheetId="15806" refreshError="1"/>
      <sheetData sheetId="15807" refreshError="1"/>
      <sheetData sheetId="15808" refreshError="1"/>
      <sheetData sheetId="15809" refreshError="1"/>
      <sheetData sheetId="15810" refreshError="1"/>
      <sheetData sheetId="15811" refreshError="1"/>
      <sheetData sheetId="15812" refreshError="1"/>
      <sheetData sheetId="15813" refreshError="1"/>
      <sheetData sheetId="15814" refreshError="1"/>
      <sheetData sheetId="15815" refreshError="1"/>
      <sheetData sheetId="15816" refreshError="1"/>
      <sheetData sheetId="15817" refreshError="1"/>
      <sheetData sheetId="15818" refreshError="1"/>
      <sheetData sheetId="15819" refreshError="1"/>
      <sheetData sheetId="15820" refreshError="1"/>
      <sheetData sheetId="15821" refreshError="1"/>
      <sheetData sheetId="15822" refreshError="1"/>
      <sheetData sheetId="15823" refreshError="1"/>
      <sheetData sheetId="15824" refreshError="1"/>
      <sheetData sheetId="15825" refreshError="1"/>
      <sheetData sheetId="15826" refreshError="1"/>
      <sheetData sheetId="15827" refreshError="1"/>
      <sheetData sheetId="15828" refreshError="1"/>
      <sheetData sheetId="15829" refreshError="1"/>
      <sheetData sheetId="15830" refreshError="1"/>
      <sheetData sheetId="15831" refreshError="1"/>
      <sheetData sheetId="15832" refreshError="1"/>
      <sheetData sheetId="15833" refreshError="1"/>
      <sheetData sheetId="15834" refreshError="1"/>
      <sheetData sheetId="15835" refreshError="1"/>
      <sheetData sheetId="15836" refreshError="1"/>
      <sheetData sheetId="15837" refreshError="1"/>
      <sheetData sheetId="15838" refreshError="1"/>
      <sheetData sheetId="15839" refreshError="1"/>
      <sheetData sheetId="15840" refreshError="1"/>
      <sheetData sheetId="15841" refreshError="1"/>
      <sheetData sheetId="15842" refreshError="1"/>
      <sheetData sheetId="15843" refreshError="1"/>
      <sheetData sheetId="15844" refreshError="1"/>
      <sheetData sheetId="15845" refreshError="1"/>
      <sheetData sheetId="15846" refreshError="1"/>
      <sheetData sheetId="15847" refreshError="1"/>
      <sheetData sheetId="15848" refreshError="1"/>
      <sheetData sheetId="15849" refreshError="1"/>
      <sheetData sheetId="15850" refreshError="1"/>
      <sheetData sheetId="15851" refreshError="1"/>
      <sheetData sheetId="15852" refreshError="1"/>
      <sheetData sheetId="15853" refreshError="1"/>
      <sheetData sheetId="15854" refreshError="1"/>
      <sheetData sheetId="15855" refreshError="1"/>
      <sheetData sheetId="15856" refreshError="1"/>
      <sheetData sheetId="15857" refreshError="1"/>
      <sheetData sheetId="15858" refreshError="1"/>
      <sheetData sheetId="15859" refreshError="1"/>
      <sheetData sheetId="15860" refreshError="1"/>
      <sheetData sheetId="15861" refreshError="1"/>
      <sheetData sheetId="15862" refreshError="1"/>
      <sheetData sheetId="15863" refreshError="1"/>
      <sheetData sheetId="15864" refreshError="1"/>
      <sheetData sheetId="15865" refreshError="1"/>
      <sheetData sheetId="15866" refreshError="1"/>
      <sheetData sheetId="15867" refreshError="1"/>
      <sheetData sheetId="15868" refreshError="1"/>
      <sheetData sheetId="15869" refreshError="1"/>
      <sheetData sheetId="15870" refreshError="1"/>
      <sheetData sheetId="15871" refreshError="1"/>
      <sheetData sheetId="15872" refreshError="1"/>
      <sheetData sheetId="15873" refreshError="1"/>
      <sheetData sheetId="15874" refreshError="1"/>
      <sheetData sheetId="15875" refreshError="1"/>
      <sheetData sheetId="15876" refreshError="1"/>
      <sheetData sheetId="15877" refreshError="1"/>
      <sheetData sheetId="15878" refreshError="1"/>
      <sheetData sheetId="15879" refreshError="1"/>
      <sheetData sheetId="15880" refreshError="1"/>
      <sheetData sheetId="15881" refreshError="1"/>
      <sheetData sheetId="15882" refreshError="1"/>
      <sheetData sheetId="15883" refreshError="1"/>
      <sheetData sheetId="15884" refreshError="1"/>
      <sheetData sheetId="15885" refreshError="1"/>
      <sheetData sheetId="15886" refreshError="1"/>
      <sheetData sheetId="15887" refreshError="1"/>
      <sheetData sheetId="15888" refreshError="1"/>
      <sheetData sheetId="15889" refreshError="1"/>
      <sheetData sheetId="15890" refreshError="1"/>
      <sheetData sheetId="15891" refreshError="1"/>
      <sheetData sheetId="15892" refreshError="1"/>
      <sheetData sheetId="15893" refreshError="1"/>
      <sheetData sheetId="15894" refreshError="1"/>
      <sheetData sheetId="15895" refreshError="1"/>
      <sheetData sheetId="15896" refreshError="1"/>
      <sheetData sheetId="15897" refreshError="1"/>
      <sheetData sheetId="15898" refreshError="1"/>
      <sheetData sheetId="15899" refreshError="1"/>
      <sheetData sheetId="15900" refreshError="1"/>
      <sheetData sheetId="15901" refreshError="1"/>
      <sheetData sheetId="15902" refreshError="1"/>
      <sheetData sheetId="15903" refreshError="1"/>
      <sheetData sheetId="15904" refreshError="1"/>
      <sheetData sheetId="15905" refreshError="1"/>
      <sheetData sheetId="15906" refreshError="1"/>
      <sheetData sheetId="15907" refreshError="1"/>
      <sheetData sheetId="15908" refreshError="1"/>
      <sheetData sheetId="15909" refreshError="1"/>
      <sheetData sheetId="15910" refreshError="1"/>
      <sheetData sheetId="15911" refreshError="1"/>
      <sheetData sheetId="15912" refreshError="1"/>
      <sheetData sheetId="15913" refreshError="1"/>
      <sheetData sheetId="15914" refreshError="1"/>
      <sheetData sheetId="15915" refreshError="1"/>
      <sheetData sheetId="15916" refreshError="1"/>
      <sheetData sheetId="15917" refreshError="1"/>
      <sheetData sheetId="15918" refreshError="1"/>
      <sheetData sheetId="15919" refreshError="1"/>
      <sheetData sheetId="15920" refreshError="1"/>
      <sheetData sheetId="15921" refreshError="1"/>
      <sheetData sheetId="15922" refreshError="1"/>
      <sheetData sheetId="15923" refreshError="1"/>
      <sheetData sheetId="15924" refreshError="1"/>
      <sheetData sheetId="15925" refreshError="1"/>
      <sheetData sheetId="15926" refreshError="1"/>
      <sheetData sheetId="15927" refreshError="1"/>
      <sheetData sheetId="15928" refreshError="1"/>
      <sheetData sheetId="15929" refreshError="1"/>
      <sheetData sheetId="15930" refreshError="1"/>
      <sheetData sheetId="15931" refreshError="1"/>
      <sheetData sheetId="15932" refreshError="1"/>
      <sheetData sheetId="15933" refreshError="1"/>
      <sheetData sheetId="15934" refreshError="1"/>
      <sheetData sheetId="15935" refreshError="1"/>
      <sheetData sheetId="15936" refreshError="1"/>
      <sheetData sheetId="15937" refreshError="1"/>
      <sheetData sheetId="15938" refreshError="1"/>
      <sheetData sheetId="15939" refreshError="1"/>
      <sheetData sheetId="15940" refreshError="1"/>
      <sheetData sheetId="15941" refreshError="1"/>
      <sheetData sheetId="15942" refreshError="1"/>
      <sheetData sheetId="15943" refreshError="1"/>
      <sheetData sheetId="15944" refreshError="1"/>
      <sheetData sheetId="15945" refreshError="1"/>
      <sheetData sheetId="15946" refreshError="1"/>
      <sheetData sheetId="15947" refreshError="1"/>
      <sheetData sheetId="15948" refreshError="1"/>
      <sheetData sheetId="15949" refreshError="1"/>
      <sheetData sheetId="15950" refreshError="1"/>
      <sheetData sheetId="15951" refreshError="1"/>
      <sheetData sheetId="15952" refreshError="1"/>
      <sheetData sheetId="15953" refreshError="1"/>
      <sheetData sheetId="15954" refreshError="1"/>
      <sheetData sheetId="15955" refreshError="1"/>
      <sheetData sheetId="15956" refreshError="1"/>
      <sheetData sheetId="15957" refreshError="1"/>
      <sheetData sheetId="15958" refreshError="1"/>
      <sheetData sheetId="15959" refreshError="1"/>
      <sheetData sheetId="15960" refreshError="1"/>
      <sheetData sheetId="15961" refreshError="1"/>
      <sheetData sheetId="15962" refreshError="1"/>
      <sheetData sheetId="15963" refreshError="1"/>
      <sheetData sheetId="15964" refreshError="1"/>
      <sheetData sheetId="15965" refreshError="1"/>
      <sheetData sheetId="15966" refreshError="1"/>
      <sheetData sheetId="15967" refreshError="1"/>
      <sheetData sheetId="15968" refreshError="1"/>
      <sheetData sheetId="15969" refreshError="1"/>
      <sheetData sheetId="15970" refreshError="1"/>
      <sheetData sheetId="15971" refreshError="1"/>
      <sheetData sheetId="15972" refreshError="1"/>
      <sheetData sheetId="15973" refreshError="1"/>
      <sheetData sheetId="15974" refreshError="1"/>
      <sheetData sheetId="15975" refreshError="1"/>
      <sheetData sheetId="15976" refreshError="1"/>
      <sheetData sheetId="15977" refreshError="1"/>
      <sheetData sheetId="15978" refreshError="1"/>
      <sheetData sheetId="15979" refreshError="1"/>
      <sheetData sheetId="15980" refreshError="1"/>
      <sheetData sheetId="15981" refreshError="1"/>
      <sheetData sheetId="15982" refreshError="1"/>
      <sheetData sheetId="15983" refreshError="1"/>
      <sheetData sheetId="15984" refreshError="1"/>
      <sheetData sheetId="15985" refreshError="1"/>
      <sheetData sheetId="15986" refreshError="1"/>
      <sheetData sheetId="15987" refreshError="1"/>
      <sheetData sheetId="15988" refreshError="1"/>
      <sheetData sheetId="15989" refreshError="1"/>
      <sheetData sheetId="15990" refreshError="1"/>
      <sheetData sheetId="15991" refreshError="1"/>
      <sheetData sheetId="15992" refreshError="1"/>
      <sheetData sheetId="15993" refreshError="1"/>
      <sheetData sheetId="15994" refreshError="1"/>
      <sheetData sheetId="15995" refreshError="1"/>
      <sheetData sheetId="15996" refreshError="1"/>
      <sheetData sheetId="15997" refreshError="1"/>
      <sheetData sheetId="15998" refreshError="1"/>
      <sheetData sheetId="15999" refreshError="1"/>
      <sheetData sheetId="16000"/>
      <sheetData sheetId="16001"/>
      <sheetData sheetId="16002"/>
      <sheetData sheetId="16003"/>
      <sheetData sheetId="16004"/>
      <sheetData sheetId="16005" refreshError="1"/>
      <sheetData sheetId="16006"/>
      <sheetData sheetId="16007"/>
      <sheetData sheetId="16008"/>
      <sheetData sheetId="16009" refreshError="1"/>
      <sheetData sheetId="16010" refreshError="1"/>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refreshError="1"/>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refreshError="1"/>
      <sheetData sheetId="16119" refreshError="1"/>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refreshError="1"/>
      <sheetData sheetId="16275" refreshError="1"/>
      <sheetData sheetId="16276" refreshError="1"/>
      <sheetData sheetId="16277" refreshError="1"/>
      <sheetData sheetId="16278" refreshError="1"/>
      <sheetData sheetId="16279" refreshError="1"/>
      <sheetData sheetId="16280" refreshError="1"/>
      <sheetData sheetId="16281" refreshError="1"/>
      <sheetData sheetId="16282" refreshError="1"/>
      <sheetData sheetId="16283" refreshError="1"/>
      <sheetData sheetId="16284" refreshError="1"/>
      <sheetData sheetId="16285" refreshError="1"/>
      <sheetData sheetId="16286" refreshError="1"/>
      <sheetData sheetId="16287" refreshError="1"/>
      <sheetData sheetId="16288" refreshError="1"/>
      <sheetData sheetId="16289" refreshError="1"/>
      <sheetData sheetId="16290"/>
      <sheetData sheetId="16291"/>
      <sheetData sheetId="16292"/>
      <sheetData sheetId="16293"/>
      <sheetData sheetId="16294" refreshError="1"/>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refreshError="1"/>
      <sheetData sheetId="16322" refreshError="1"/>
      <sheetData sheetId="16323"/>
      <sheetData sheetId="16324" refreshError="1"/>
      <sheetData sheetId="16325" refreshError="1"/>
      <sheetData sheetId="16326" refreshError="1"/>
      <sheetData sheetId="16327" refreshError="1"/>
      <sheetData sheetId="16328" refreshError="1"/>
      <sheetData sheetId="16329" refreshError="1"/>
      <sheetData sheetId="16330" refreshError="1"/>
      <sheetData sheetId="16331" refreshError="1"/>
      <sheetData sheetId="16332"/>
      <sheetData sheetId="16333" refreshError="1"/>
      <sheetData sheetId="16334" refreshError="1"/>
      <sheetData sheetId="16335" refreshError="1"/>
      <sheetData sheetId="16336" refreshError="1"/>
      <sheetData sheetId="16337" refreshError="1"/>
      <sheetData sheetId="16338" refreshError="1"/>
      <sheetData sheetId="16339" refreshError="1"/>
      <sheetData sheetId="16340" refreshError="1"/>
      <sheetData sheetId="16341"/>
      <sheetData sheetId="16342" refreshError="1"/>
      <sheetData sheetId="16343" refreshError="1"/>
      <sheetData sheetId="16344"/>
      <sheetData sheetId="16345"/>
      <sheetData sheetId="16346" refreshError="1"/>
      <sheetData sheetId="16347" refreshError="1"/>
      <sheetData sheetId="16348" refreshError="1"/>
      <sheetData sheetId="16349"/>
      <sheetData sheetId="16350" refreshError="1"/>
      <sheetData sheetId="16351"/>
      <sheetData sheetId="16352"/>
      <sheetData sheetId="16353" refreshError="1"/>
      <sheetData sheetId="16354"/>
      <sheetData sheetId="16355"/>
      <sheetData sheetId="16356"/>
      <sheetData sheetId="16357"/>
      <sheetData sheetId="16358"/>
      <sheetData sheetId="16359"/>
      <sheetData sheetId="16360"/>
      <sheetData sheetId="16361"/>
      <sheetData sheetId="16362"/>
      <sheetData sheetId="16363"/>
      <sheetData sheetId="16364" refreshError="1"/>
      <sheetData sheetId="16365" refreshError="1"/>
      <sheetData sheetId="16366" refreshError="1"/>
      <sheetData sheetId="16367" refreshError="1"/>
      <sheetData sheetId="16368" refreshError="1"/>
      <sheetData sheetId="16369" refreshError="1"/>
      <sheetData sheetId="16370"/>
      <sheetData sheetId="16371" refreshError="1"/>
      <sheetData sheetId="16372" refreshError="1"/>
      <sheetData sheetId="16373" refreshError="1"/>
      <sheetData sheetId="16374" refreshError="1"/>
      <sheetData sheetId="16375" refreshError="1"/>
      <sheetData sheetId="16376"/>
      <sheetData sheetId="16377"/>
      <sheetData sheetId="16378"/>
      <sheetData sheetId="16379"/>
      <sheetData sheetId="16380" refreshError="1"/>
      <sheetData sheetId="16381"/>
      <sheetData sheetId="16382"/>
      <sheetData sheetId="16383" refreshError="1"/>
      <sheetData sheetId="16384" refreshError="1"/>
      <sheetData sheetId="16385" refreshError="1"/>
      <sheetData sheetId="16386" refreshError="1"/>
      <sheetData sheetId="16387"/>
      <sheetData sheetId="16388"/>
      <sheetData sheetId="16389"/>
      <sheetData sheetId="16390"/>
      <sheetData sheetId="16391"/>
      <sheetData sheetId="16392"/>
      <sheetData sheetId="16393"/>
      <sheetData sheetId="16394" refreshError="1"/>
      <sheetData sheetId="16395" refreshError="1"/>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refreshError="1"/>
      <sheetData sheetId="16467"/>
      <sheetData sheetId="16468" refreshError="1"/>
      <sheetData sheetId="16469"/>
      <sheetData sheetId="16470"/>
      <sheetData sheetId="16471"/>
      <sheetData sheetId="16472" refreshError="1"/>
      <sheetData sheetId="16473" refreshError="1"/>
      <sheetData sheetId="16474"/>
      <sheetData sheetId="16475"/>
      <sheetData sheetId="16476"/>
      <sheetData sheetId="16477"/>
      <sheetData sheetId="16478"/>
      <sheetData sheetId="16479"/>
      <sheetData sheetId="16480"/>
      <sheetData sheetId="16481"/>
      <sheetData sheetId="16482"/>
      <sheetData sheetId="16483"/>
      <sheetData sheetId="16484" refreshError="1"/>
      <sheetData sheetId="16485"/>
      <sheetData sheetId="16486"/>
      <sheetData sheetId="16487"/>
      <sheetData sheetId="16488"/>
      <sheetData sheetId="16489" refreshError="1"/>
      <sheetData sheetId="16490"/>
      <sheetData sheetId="16491"/>
      <sheetData sheetId="16492" refreshError="1"/>
      <sheetData sheetId="16493" refreshError="1"/>
      <sheetData sheetId="16494" refreshError="1"/>
      <sheetData sheetId="16495" refreshError="1"/>
      <sheetData sheetId="16496"/>
      <sheetData sheetId="16497"/>
      <sheetData sheetId="16498"/>
      <sheetData sheetId="16499"/>
      <sheetData sheetId="16500"/>
      <sheetData sheetId="16501"/>
      <sheetData sheetId="16502"/>
      <sheetData sheetId="16503" refreshError="1"/>
      <sheetData sheetId="16504" refreshError="1"/>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refreshError="1"/>
      <sheetData sheetId="16576" refreshError="1"/>
      <sheetData sheetId="16577" refreshError="1"/>
      <sheetData sheetId="16578" refreshError="1"/>
      <sheetData sheetId="16579" refreshError="1"/>
      <sheetData sheetId="16580" refreshError="1"/>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refreshError="1"/>
      <sheetData sheetId="16739"/>
      <sheetData sheetId="16740"/>
      <sheetData sheetId="16741"/>
      <sheetData sheetId="16742"/>
      <sheetData sheetId="16743"/>
      <sheetData sheetId="16744"/>
      <sheetData sheetId="16745" refreshError="1"/>
      <sheetData sheetId="16746" refreshError="1"/>
      <sheetData sheetId="16747" refreshError="1"/>
      <sheetData sheetId="16748"/>
      <sheetData sheetId="16749" refreshError="1"/>
      <sheetData sheetId="16750" refreshError="1"/>
      <sheetData sheetId="16751" refreshError="1"/>
      <sheetData sheetId="16752" refreshError="1"/>
      <sheetData sheetId="16753" refreshError="1"/>
      <sheetData sheetId="16754" refreshError="1"/>
      <sheetData sheetId="16755" refreshError="1"/>
      <sheetData sheetId="16756" refreshError="1"/>
      <sheetData sheetId="16757" refreshError="1"/>
      <sheetData sheetId="16758" refreshError="1"/>
      <sheetData sheetId="16759" refreshError="1"/>
      <sheetData sheetId="16760" refreshError="1"/>
      <sheetData sheetId="16761" refreshError="1"/>
      <sheetData sheetId="16762" refreshError="1"/>
      <sheetData sheetId="16763" refreshError="1"/>
      <sheetData sheetId="16764" refreshError="1"/>
      <sheetData sheetId="16765" refreshError="1"/>
      <sheetData sheetId="16766" refreshError="1"/>
      <sheetData sheetId="16767" refreshError="1"/>
      <sheetData sheetId="16768" refreshError="1"/>
      <sheetData sheetId="16769" refreshError="1"/>
      <sheetData sheetId="16770" refreshError="1"/>
      <sheetData sheetId="16771" refreshError="1"/>
      <sheetData sheetId="16772" refreshError="1"/>
      <sheetData sheetId="16773" refreshError="1"/>
      <sheetData sheetId="16774" refreshError="1"/>
      <sheetData sheetId="16775" refreshError="1"/>
      <sheetData sheetId="16776" refreshError="1"/>
      <sheetData sheetId="16777" refreshError="1"/>
      <sheetData sheetId="16778" refreshError="1"/>
      <sheetData sheetId="16779" refreshError="1"/>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refreshError="1"/>
      <sheetData sheetId="16803" refreshError="1"/>
      <sheetData sheetId="16804" refreshError="1"/>
      <sheetData sheetId="16805" refreshError="1"/>
      <sheetData sheetId="16806" refreshError="1"/>
      <sheetData sheetId="16807" refreshError="1"/>
      <sheetData sheetId="16808" refreshError="1"/>
      <sheetData sheetId="16809" refreshError="1"/>
      <sheetData sheetId="16810" refreshError="1"/>
      <sheetData sheetId="16811" refreshError="1"/>
      <sheetData sheetId="16812" refreshError="1"/>
      <sheetData sheetId="16813" refreshError="1"/>
      <sheetData sheetId="16814" refreshError="1"/>
      <sheetData sheetId="16815" refreshError="1"/>
      <sheetData sheetId="16816" refreshError="1"/>
      <sheetData sheetId="16817" refreshError="1"/>
      <sheetData sheetId="16818" refreshError="1"/>
      <sheetData sheetId="16819" refreshError="1"/>
      <sheetData sheetId="16820" refreshError="1"/>
      <sheetData sheetId="16821" refreshError="1"/>
      <sheetData sheetId="16822" refreshError="1"/>
      <sheetData sheetId="16823"/>
      <sheetData sheetId="16824"/>
      <sheetData sheetId="16825"/>
      <sheetData sheetId="16826"/>
      <sheetData sheetId="16827"/>
      <sheetData sheetId="16828"/>
      <sheetData sheetId="16829"/>
      <sheetData sheetId="16830" refreshError="1"/>
      <sheetData sheetId="16831" refreshError="1"/>
      <sheetData sheetId="16832" refreshError="1"/>
      <sheetData sheetId="16833" refreshError="1"/>
      <sheetData sheetId="16834"/>
      <sheetData sheetId="16835"/>
      <sheetData sheetId="16836" refreshError="1"/>
      <sheetData sheetId="16837" refreshError="1"/>
      <sheetData sheetId="16838" refreshError="1"/>
      <sheetData sheetId="16839" refreshError="1"/>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refreshError="1"/>
      <sheetData sheetId="16876" refreshError="1"/>
      <sheetData sheetId="16877" refreshError="1"/>
      <sheetData sheetId="16878" refreshError="1"/>
      <sheetData sheetId="16879" refreshError="1"/>
      <sheetData sheetId="16880" refreshError="1"/>
      <sheetData sheetId="16881" refreshError="1"/>
      <sheetData sheetId="16882"/>
      <sheetData sheetId="16883" refreshError="1"/>
      <sheetData sheetId="16884" refreshError="1"/>
      <sheetData sheetId="16885" refreshError="1"/>
      <sheetData sheetId="16886" refreshError="1"/>
      <sheetData sheetId="16887" refreshError="1"/>
      <sheetData sheetId="16888" refreshError="1"/>
      <sheetData sheetId="16889" refreshError="1"/>
      <sheetData sheetId="16890" refreshError="1"/>
      <sheetData sheetId="16891" refreshError="1"/>
      <sheetData sheetId="16892" refreshError="1"/>
      <sheetData sheetId="16893" refreshError="1"/>
      <sheetData sheetId="16894" refreshError="1"/>
      <sheetData sheetId="16895" refreshError="1"/>
      <sheetData sheetId="16896" refreshError="1"/>
      <sheetData sheetId="16897" refreshError="1"/>
      <sheetData sheetId="16898" refreshError="1"/>
      <sheetData sheetId="16899" refreshError="1"/>
      <sheetData sheetId="16900" refreshError="1"/>
      <sheetData sheetId="16901" refreshError="1"/>
      <sheetData sheetId="16902" refreshError="1"/>
      <sheetData sheetId="16903" refreshError="1"/>
      <sheetData sheetId="16904" refreshError="1"/>
      <sheetData sheetId="16905"/>
      <sheetData sheetId="16906"/>
      <sheetData sheetId="16907" refreshError="1"/>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refreshError="1"/>
      <sheetData sheetId="16933" refreshError="1"/>
      <sheetData sheetId="16934" refreshError="1"/>
      <sheetData sheetId="16935" refreshError="1"/>
      <sheetData sheetId="16936" refreshError="1"/>
      <sheetData sheetId="16937" refreshError="1"/>
      <sheetData sheetId="16938"/>
      <sheetData sheetId="16939"/>
      <sheetData sheetId="16940"/>
      <sheetData sheetId="16941" refreshError="1"/>
      <sheetData sheetId="16942" refreshError="1"/>
      <sheetData sheetId="16943" refreshError="1"/>
      <sheetData sheetId="16944" refreshError="1"/>
      <sheetData sheetId="16945" refreshError="1"/>
      <sheetData sheetId="16946" refreshError="1"/>
      <sheetData sheetId="16947" refreshError="1"/>
      <sheetData sheetId="16948"/>
      <sheetData sheetId="16949" refreshError="1"/>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refreshError="1"/>
      <sheetData sheetId="17032" refreshError="1"/>
      <sheetData sheetId="17033" refreshError="1"/>
      <sheetData sheetId="17034" refreshError="1"/>
      <sheetData sheetId="17035" refreshError="1"/>
      <sheetData sheetId="17036" refreshError="1"/>
      <sheetData sheetId="17037"/>
      <sheetData sheetId="17038" refreshError="1"/>
      <sheetData sheetId="17039" refreshError="1"/>
      <sheetData sheetId="17040" refreshError="1"/>
      <sheetData sheetId="17041" refreshError="1"/>
      <sheetData sheetId="17042" refreshError="1"/>
      <sheetData sheetId="17043" refreshError="1"/>
      <sheetData sheetId="17044" refreshError="1"/>
      <sheetData sheetId="17045" refreshError="1"/>
      <sheetData sheetId="17046" refreshError="1"/>
      <sheetData sheetId="17047" refreshError="1"/>
      <sheetData sheetId="17048" refreshError="1"/>
      <sheetData sheetId="17049" refreshError="1"/>
      <sheetData sheetId="17050" refreshError="1"/>
      <sheetData sheetId="17051" refreshError="1"/>
      <sheetData sheetId="17052" refreshError="1"/>
      <sheetData sheetId="17053" refreshError="1"/>
      <sheetData sheetId="17054" refreshError="1"/>
      <sheetData sheetId="17055" refreshError="1"/>
      <sheetData sheetId="17056" refreshError="1"/>
      <sheetData sheetId="17057" refreshError="1"/>
      <sheetData sheetId="17058" refreshError="1"/>
      <sheetData sheetId="17059" refreshError="1"/>
      <sheetData sheetId="17060" refreshError="1"/>
      <sheetData sheetId="17061" refreshError="1"/>
      <sheetData sheetId="17062" refreshError="1"/>
      <sheetData sheetId="17063"/>
      <sheetData sheetId="17064"/>
      <sheetData sheetId="17065"/>
      <sheetData sheetId="17066" refreshError="1"/>
      <sheetData sheetId="17067" refreshError="1"/>
      <sheetData sheetId="17068" refreshError="1"/>
      <sheetData sheetId="17069" refreshError="1"/>
      <sheetData sheetId="17070" refreshError="1"/>
      <sheetData sheetId="17071" refreshError="1"/>
      <sheetData sheetId="17072" refreshError="1"/>
      <sheetData sheetId="17073" refreshError="1"/>
      <sheetData sheetId="17074" refreshError="1"/>
      <sheetData sheetId="17075" refreshError="1"/>
      <sheetData sheetId="17076" refreshError="1"/>
      <sheetData sheetId="17077" refreshError="1"/>
      <sheetData sheetId="17078" refreshError="1"/>
      <sheetData sheetId="17079" refreshError="1"/>
      <sheetData sheetId="17080" refreshError="1"/>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sheetData sheetId="17521"/>
      <sheetData sheetId="17522"/>
      <sheetData sheetId="17523"/>
      <sheetData sheetId="17524"/>
      <sheetData sheetId="17525"/>
      <sheetData sheetId="17526"/>
      <sheetData sheetId="17527"/>
      <sheetData sheetId="17528"/>
      <sheetData sheetId="17529"/>
      <sheetData sheetId="17530"/>
      <sheetData sheetId="17531"/>
      <sheetData sheetId="17532"/>
      <sheetData sheetId="17533"/>
      <sheetData sheetId="17534"/>
      <sheetData sheetId="17535"/>
      <sheetData sheetId="17536"/>
      <sheetData sheetId="17537"/>
      <sheetData sheetId="17538"/>
      <sheetData sheetId="17539"/>
      <sheetData sheetId="17540"/>
      <sheetData sheetId="17541"/>
      <sheetData sheetId="17542"/>
      <sheetData sheetId="17543"/>
      <sheetData sheetId="17544"/>
      <sheetData sheetId="17545"/>
      <sheetData sheetId="17546"/>
      <sheetData sheetId="17547"/>
      <sheetData sheetId="17548"/>
      <sheetData sheetId="17549"/>
      <sheetData sheetId="17550"/>
      <sheetData sheetId="17551"/>
      <sheetData sheetId="17552"/>
      <sheetData sheetId="17553"/>
      <sheetData sheetId="17554"/>
      <sheetData sheetId="17555"/>
      <sheetData sheetId="17556"/>
      <sheetData sheetId="17557"/>
      <sheetData sheetId="17558"/>
      <sheetData sheetId="17559"/>
      <sheetData sheetId="17560"/>
      <sheetData sheetId="17561"/>
      <sheetData sheetId="17562"/>
      <sheetData sheetId="17563"/>
      <sheetData sheetId="17564"/>
      <sheetData sheetId="17565"/>
      <sheetData sheetId="17566"/>
      <sheetData sheetId="17567"/>
      <sheetData sheetId="17568"/>
      <sheetData sheetId="17569"/>
      <sheetData sheetId="17570"/>
      <sheetData sheetId="17571"/>
      <sheetData sheetId="17572"/>
      <sheetData sheetId="17573"/>
      <sheetData sheetId="17574"/>
      <sheetData sheetId="17575"/>
      <sheetData sheetId="17576"/>
      <sheetData sheetId="17577"/>
      <sheetData sheetId="17578"/>
      <sheetData sheetId="17579"/>
      <sheetData sheetId="17580"/>
      <sheetData sheetId="17581"/>
      <sheetData sheetId="17582"/>
      <sheetData sheetId="17583"/>
      <sheetData sheetId="17584"/>
      <sheetData sheetId="17585"/>
      <sheetData sheetId="17586"/>
      <sheetData sheetId="17587"/>
      <sheetData sheetId="17588"/>
      <sheetData sheetId="17589"/>
      <sheetData sheetId="17590"/>
      <sheetData sheetId="17591"/>
      <sheetData sheetId="17592"/>
      <sheetData sheetId="17593"/>
      <sheetData sheetId="17594"/>
      <sheetData sheetId="17595"/>
      <sheetData sheetId="17596"/>
      <sheetData sheetId="17597"/>
      <sheetData sheetId="17598"/>
      <sheetData sheetId="17599"/>
      <sheetData sheetId="17600"/>
      <sheetData sheetId="17601"/>
      <sheetData sheetId="17602"/>
      <sheetData sheetId="17603"/>
      <sheetData sheetId="17604"/>
      <sheetData sheetId="17605"/>
      <sheetData sheetId="17606"/>
      <sheetData sheetId="17607"/>
      <sheetData sheetId="17608"/>
      <sheetData sheetId="17609"/>
      <sheetData sheetId="17610"/>
      <sheetData sheetId="17611"/>
      <sheetData sheetId="17612"/>
      <sheetData sheetId="17613"/>
      <sheetData sheetId="17614"/>
      <sheetData sheetId="17615"/>
      <sheetData sheetId="17616"/>
      <sheetData sheetId="17617"/>
      <sheetData sheetId="17618"/>
      <sheetData sheetId="17619"/>
      <sheetData sheetId="17620"/>
      <sheetData sheetId="17621"/>
      <sheetData sheetId="17622"/>
      <sheetData sheetId="17623"/>
      <sheetData sheetId="17624"/>
      <sheetData sheetId="17625"/>
      <sheetData sheetId="17626"/>
      <sheetData sheetId="17627"/>
      <sheetData sheetId="17628"/>
      <sheetData sheetId="17629"/>
      <sheetData sheetId="17630"/>
      <sheetData sheetId="17631"/>
      <sheetData sheetId="17632"/>
      <sheetData sheetId="17633"/>
      <sheetData sheetId="17634"/>
      <sheetData sheetId="17635"/>
      <sheetData sheetId="17636"/>
      <sheetData sheetId="17637"/>
      <sheetData sheetId="17638"/>
      <sheetData sheetId="17639"/>
      <sheetData sheetId="17640"/>
      <sheetData sheetId="17641"/>
      <sheetData sheetId="17642"/>
      <sheetData sheetId="17643"/>
      <sheetData sheetId="17644"/>
      <sheetData sheetId="17645"/>
      <sheetData sheetId="17646"/>
      <sheetData sheetId="17647"/>
      <sheetData sheetId="17648"/>
      <sheetData sheetId="17649"/>
      <sheetData sheetId="17650"/>
      <sheetData sheetId="17651"/>
      <sheetData sheetId="17652"/>
      <sheetData sheetId="17653"/>
      <sheetData sheetId="17654"/>
      <sheetData sheetId="17655"/>
      <sheetData sheetId="17656"/>
      <sheetData sheetId="17657"/>
      <sheetData sheetId="17658"/>
      <sheetData sheetId="17659"/>
      <sheetData sheetId="17660"/>
      <sheetData sheetId="17661"/>
      <sheetData sheetId="17662"/>
      <sheetData sheetId="17663"/>
      <sheetData sheetId="17664"/>
      <sheetData sheetId="17665"/>
      <sheetData sheetId="17666"/>
      <sheetData sheetId="17667"/>
      <sheetData sheetId="17668"/>
      <sheetData sheetId="17669"/>
      <sheetData sheetId="17670"/>
      <sheetData sheetId="17671"/>
      <sheetData sheetId="17672"/>
      <sheetData sheetId="17673"/>
      <sheetData sheetId="17674"/>
      <sheetData sheetId="17675"/>
      <sheetData sheetId="17676"/>
      <sheetData sheetId="17677"/>
      <sheetData sheetId="17678"/>
      <sheetData sheetId="17679"/>
      <sheetData sheetId="17680"/>
      <sheetData sheetId="17681"/>
      <sheetData sheetId="17682"/>
      <sheetData sheetId="17683"/>
      <sheetData sheetId="17684"/>
      <sheetData sheetId="17685"/>
      <sheetData sheetId="17686"/>
      <sheetData sheetId="17687"/>
      <sheetData sheetId="17688"/>
      <sheetData sheetId="17689"/>
      <sheetData sheetId="17690"/>
      <sheetData sheetId="17691"/>
      <sheetData sheetId="17692"/>
      <sheetData sheetId="17693"/>
      <sheetData sheetId="17694"/>
      <sheetData sheetId="17695"/>
      <sheetData sheetId="17696"/>
      <sheetData sheetId="17697"/>
      <sheetData sheetId="17698"/>
      <sheetData sheetId="17699"/>
      <sheetData sheetId="17700"/>
      <sheetData sheetId="17701"/>
      <sheetData sheetId="17702"/>
      <sheetData sheetId="17703"/>
      <sheetData sheetId="17704"/>
      <sheetData sheetId="17705"/>
      <sheetData sheetId="17706"/>
      <sheetData sheetId="17707"/>
      <sheetData sheetId="17708"/>
      <sheetData sheetId="17709"/>
      <sheetData sheetId="17710"/>
      <sheetData sheetId="17711"/>
      <sheetData sheetId="17712"/>
      <sheetData sheetId="17713"/>
      <sheetData sheetId="17714"/>
      <sheetData sheetId="17715"/>
      <sheetData sheetId="17716"/>
      <sheetData sheetId="17717"/>
      <sheetData sheetId="17718"/>
      <sheetData sheetId="17719"/>
      <sheetData sheetId="17720"/>
      <sheetData sheetId="17721"/>
      <sheetData sheetId="17722"/>
      <sheetData sheetId="17723"/>
      <sheetData sheetId="17724"/>
      <sheetData sheetId="17725"/>
      <sheetData sheetId="17726"/>
      <sheetData sheetId="17727"/>
      <sheetData sheetId="17728"/>
      <sheetData sheetId="17729"/>
      <sheetData sheetId="17730"/>
      <sheetData sheetId="17731"/>
      <sheetData sheetId="17732"/>
      <sheetData sheetId="17733"/>
      <sheetData sheetId="17734"/>
      <sheetData sheetId="17735"/>
      <sheetData sheetId="17736"/>
      <sheetData sheetId="17737"/>
      <sheetData sheetId="17738"/>
      <sheetData sheetId="17739"/>
      <sheetData sheetId="17740"/>
      <sheetData sheetId="17741"/>
      <sheetData sheetId="17742"/>
      <sheetData sheetId="17743"/>
      <sheetData sheetId="17744"/>
      <sheetData sheetId="17745"/>
      <sheetData sheetId="17746"/>
      <sheetData sheetId="17747"/>
      <sheetData sheetId="17748"/>
      <sheetData sheetId="17749"/>
      <sheetData sheetId="17750"/>
      <sheetData sheetId="17751"/>
      <sheetData sheetId="17752"/>
      <sheetData sheetId="17753"/>
      <sheetData sheetId="17754"/>
      <sheetData sheetId="17755"/>
      <sheetData sheetId="17756"/>
      <sheetData sheetId="17757"/>
      <sheetData sheetId="17758"/>
      <sheetData sheetId="17759"/>
      <sheetData sheetId="17760"/>
      <sheetData sheetId="17761"/>
      <sheetData sheetId="17762"/>
      <sheetData sheetId="17763"/>
      <sheetData sheetId="17764"/>
      <sheetData sheetId="17765"/>
      <sheetData sheetId="17766"/>
      <sheetData sheetId="17767"/>
      <sheetData sheetId="17768"/>
      <sheetData sheetId="17769"/>
      <sheetData sheetId="17770"/>
      <sheetData sheetId="17771"/>
      <sheetData sheetId="17772"/>
      <sheetData sheetId="17773"/>
      <sheetData sheetId="17774"/>
      <sheetData sheetId="17775"/>
      <sheetData sheetId="17776"/>
      <sheetData sheetId="17777"/>
      <sheetData sheetId="17778"/>
      <sheetData sheetId="17779"/>
      <sheetData sheetId="17780"/>
      <sheetData sheetId="17781"/>
      <sheetData sheetId="17782"/>
      <sheetData sheetId="17783"/>
      <sheetData sheetId="17784"/>
      <sheetData sheetId="17785"/>
      <sheetData sheetId="17786"/>
      <sheetData sheetId="17787"/>
      <sheetData sheetId="17788"/>
      <sheetData sheetId="17789"/>
      <sheetData sheetId="17790"/>
      <sheetData sheetId="17791"/>
      <sheetData sheetId="17792"/>
      <sheetData sheetId="17793"/>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sheetData sheetId="17806"/>
      <sheetData sheetId="17807"/>
      <sheetData sheetId="17808"/>
      <sheetData sheetId="17809"/>
      <sheetData sheetId="17810"/>
      <sheetData sheetId="17811"/>
      <sheetData sheetId="17812"/>
      <sheetData sheetId="17813"/>
      <sheetData sheetId="17814"/>
      <sheetData sheetId="17815"/>
      <sheetData sheetId="17816"/>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sheetData sheetId="17859"/>
      <sheetData sheetId="17860"/>
      <sheetData sheetId="17861"/>
      <sheetData sheetId="17862"/>
      <sheetData sheetId="17863"/>
      <sheetData sheetId="17864"/>
      <sheetData sheetId="17865"/>
      <sheetData sheetId="17866"/>
      <sheetData sheetId="17867"/>
      <sheetData sheetId="17868"/>
      <sheetData sheetId="17869"/>
      <sheetData sheetId="17870"/>
      <sheetData sheetId="17871"/>
      <sheetData sheetId="17872"/>
      <sheetData sheetId="17873"/>
      <sheetData sheetId="17874"/>
      <sheetData sheetId="17875"/>
      <sheetData sheetId="17876"/>
      <sheetData sheetId="17877"/>
      <sheetData sheetId="17878"/>
      <sheetData sheetId="17879"/>
      <sheetData sheetId="17880"/>
      <sheetData sheetId="17881"/>
      <sheetData sheetId="17882"/>
      <sheetData sheetId="17883" refreshError="1"/>
      <sheetData sheetId="17884"/>
      <sheetData sheetId="17885"/>
      <sheetData sheetId="17886"/>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sheetData sheetId="17907"/>
      <sheetData sheetId="17908"/>
      <sheetData sheetId="17909"/>
      <sheetData sheetId="17910"/>
      <sheetData sheetId="17911"/>
      <sheetData sheetId="17912"/>
      <sheetData sheetId="17913"/>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sheetData sheetId="17922"/>
      <sheetData sheetId="17923"/>
      <sheetData sheetId="17924"/>
      <sheetData sheetId="17925"/>
      <sheetData sheetId="17926"/>
      <sheetData sheetId="17927"/>
      <sheetData sheetId="17928"/>
      <sheetData sheetId="17929"/>
      <sheetData sheetId="17930"/>
      <sheetData sheetId="17931"/>
      <sheetData sheetId="17932"/>
      <sheetData sheetId="17933"/>
      <sheetData sheetId="17934"/>
      <sheetData sheetId="17935"/>
      <sheetData sheetId="17936"/>
      <sheetData sheetId="17937"/>
      <sheetData sheetId="17938"/>
      <sheetData sheetId="17939"/>
      <sheetData sheetId="17940"/>
      <sheetData sheetId="17941"/>
      <sheetData sheetId="17942"/>
      <sheetData sheetId="17943"/>
      <sheetData sheetId="17944"/>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refreshError="1"/>
      <sheetData sheetId="19368" refreshError="1"/>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refreshError="1"/>
      <sheetData sheetId="19669" refreshError="1"/>
      <sheetData sheetId="19670" refreshError="1"/>
      <sheetData sheetId="19671" refreshError="1"/>
      <sheetData sheetId="19672" refreshError="1"/>
      <sheetData sheetId="19673" refreshError="1"/>
      <sheetData sheetId="19674" refreshError="1"/>
      <sheetData sheetId="19675" refreshError="1"/>
      <sheetData sheetId="19676" refreshError="1"/>
      <sheetData sheetId="19677" refreshError="1"/>
      <sheetData sheetId="19678" refreshError="1"/>
      <sheetData sheetId="19679" refreshError="1"/>
      <sheetData sheetId="19680" refreshError="1"/>
      <sheetData sheetId="19681" refreshError="1"/>
      <sheetData sheetId="19682" refreshError="1"/>
      <sheetData sheetId="19683" refreshError="1"/>
      <sheetData sheetId="19684" refreshError="1"/>
      <sheetData sheetId="19685" refreshError="1"/>
      <sheetData sheetId="19686" refreshError="1"/>
      <sheetData sheetId="19687" refreshError="1"/>
      <sheetData sheetId="19688" refreshError="1"/>
      <sheetData sheetId="19689" refreshError="1"/>
      <sheetData sheetId="19690" refreshError="1"/>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refreshError="1"/>
      <sheetData sheetId="19799"/>
      <sheetData sheetId="19800" refreshError="1"/>
      <sheetData sheetId="19801" refreshError="1"/>
      <sheetData sheetId="19802" refreshError="1"/>
      <sheetData sheetId="19803" refreshError="1"/>
      <sheetData sheetId="19804" refreshError="1"/>
      <sheetData sheetId="19805" refreshError="1"/>
      <sheetData sheetId="19806" refreshError="1"/>
      <sheetData sheetId="19807" refreshError="1"/>
      <sheetData sheetId="19808" refreshError="1"/>
      <sheetData sheetId="19809" refreshError="1"/>
      <sheetData sheetId="19810" refreshError="1"/>
      <sheetData sheetId="19811" refreshError="1"/>
      <sheetData sheetId="19812" refreshError="1"/>
      <sheetData sheetId="19813" refreshError="1"/>
      <sheetData sheetId="19814" refreshError="1"/>
      <sheetData sheetId="19815" refreshError="1"/>
      <sheetData sheetId="19816" refreshError="1"/>
      <sheetData sheetId="19817" refreshError="1"/>
      <sheetData sheetId="19818" refreshError="1"/>
      <sheetData sheetId="19819" refreshError="1"/>
      <sheetData sheetId="19820" refreshError="1"/>
      <sheetData sheetId="19821" refreshError="1"/>
      <sheetData sheetId="19822" refreshError="1"/>
      <sheetData sheetId="19823"/>
      <sheetData sheetId="19824"/>
      <sheetData sheetId="19825"/>
      <sheetData sheetId="19826" refreshError="1"/>
      <sheetData sheetId="19827" refreshError="1"/>
      <sheetData sheetId="19828" refreshError="1"/>
      <sheetData sheetId="19829" refreshError="1"/>
      <sheetData sheetId="19830" refreshError="1"/>
      <sheetData sheetId="19831" refreshError="1"/>
      <sheetData sheetId="19832" refreshError="1"/>
      <sheetData sheetId="19833" refreshError="1"/>
      <sheetData sheetId="19834" refreshError="1"/>
      <sheetData sheetId="19835" refreshError="1"/>
      <sheetData sheetId="19836"/>
      <sheetData sheetId="19837" refreshError="1"/>
      <sheetData sheetId="19838" refreshError="1"/>
      <sheetData sheetId="19839" refreshError="1"/>
      <sheetData sheetId="19840" refreshError="1"/>
      <sheetData sheetId="19841" refreshError="1"/>
      <sheetData sheetId="19842" refreshError="1"/>
      <sheetData sheetId="19843" refreshError="1"/>
      <sheetData sheetId="19844" refreshError="1"/>
      <sheetData sheetId="19845" refreshError="1"/>
      <sheetData sheetId="19846" refreshError="1"/>
      <sheetData sheetId="19847" refreshError="1"/>
      <sheetData sheetId="19848" refreshError="1"/>
      <sheetData sheetId="19849" refreshError="1"/>
      <sheetData sheetId="19850" refreshError="1"/>
      <sheetData sheetId="19851" refreshError="1"/>
      <sheetData sheetId="19852" refreshError="1"/>
      <sheetData sheetId="19853" refreshError="1"/>
      <sheetData sheetId="19854" refreshError="1"/>
      <sheetData sheetId="19855"/>
      <sheetData sheetId="19856" refreshError="1"/>
      <sheetData sheetId="19857" refreshError="1"/>
      <sheetData sheetId="19858" refreshError="1"/>
      <sheetData sheetId="19859" refreshError="1"/>
      <sheetData sheetId="19860" refreshError="1"/>
      <sheetData sheetId="19861" refreshError="1"/>
      <sheetData sheetId="19862" refreshError="1"/>
      <sheetData sheetId="19863" refreshError="1"/>
      <sheetData sheetId="19864" refreshError="1"/>
      <sheetData sheetId="19865" refreshError="1"/>
      <sheetData sheetId="19866" refreshError="1"/>
      <sheetData sheetId="19867" refreshError="1"/>
      <sheetData sheetId="19868" refreshError="1"/>
      <sheetData sheetId="19869" refreshError="1"/>
      <sheetData sheetId="19870" refreshError="1"/>
      <sheetData sheetId="19871" refreshError="1"/>
      <sheetData sheetId="19872" refreshError="1"/>
      <sheetData sheetId="19873" refreshError="1"/>
      <sheetData sheetId="19874" refreshError="1"/>
      <sheetData sheetId="19875" refreshError="1"/>
      <sheetData sheetId="19876" refreshError="1"/>
      <sheetData sheetId="19877" refreshError="1"/>
      <sheetData sheetId="19878" refreshError="1"/>
      <sheetData sheetId="19879" refreshError="1"/>
      <sheetData sheetId="19880" refreshError="1"/>
      <sheetData sheetId="19881" refreshError="1"/>
      <sheetData sheetId="19882" refreshError="1"/>
      <sheetData sheetId="19883" refreshError="1"/>
      <sheetData sheetId="19884" refreshError="1"/>
      <sheetData sheetId="19885" refreshError="1"/>
      <sheetData sheetId="19886" refreshError="1"/>
      <sheetData sheetId="19887" refreshError="1"/>
      <sheetData sheetId="19888" refreshError="1"/>
      <sheetData sheetId="19889" refreshError="1"/>
      <sheetData sheetId="19890" refreshError="1"/>
      <sheetData sheetId="19891" refreshError="1"/>
      <sheetData sheetId="19892" refreshError="1"/>
      <sheetData sheetId="19893" refreshError="1"/>
      <sheetData sheetId="19894" refreshError="1"/>
      <sheetData sheetId="19895" refreshError="1"/>
      <sheetData sheetId="19896" refreshError="1"/>
      <sheetData sheetId="19897" refreshError="1"/>
      <sheetData sheetId="19898" refreshError="1"/>
      <sheetData sheetId="19899" refreshError="1"/>
      <sheetData sheetId="19900" refreshError="1"/>
      <sheetData sheetId="19901" refreshError="1"/>
      <sheetData sheetId="19902" refreshError="1"/>
      <sheetData sheetId="19903" refreshError="1"/>
      <sheetData sheetId="19904" refreshError="1"/>
      <sheetData sheetId="19905" refreshError="1"/>
      <sheetData sheetId="19906" refreshError="1"/>
      <sheetData sheetId="19907" refreshError="1"/>
      <sheetData sheetId="19908" refreshError="1"/>
      <sheetData sheetId="19909" refreshError="1"/>
      <sheetData sheetId="19910" refreshError="1"/>
      <sheetData sheetId="19911" refreshError="1"/>
      <sheetData sheetId="19912" refreshError="1"/>
      <sheetData sheetId="19913" refreshError="1"/>
      <sheetData sheetId="19914" refreshError="1"/>
      <sheetData sheetId="19915" refreshError="1"/>
      <sheetData sheetId="19916" refreshError="1"/>
      <sheetData sheetId="19917" refreshError="1"/>
      <sheetData sheetId="19918" refreshError="1"/>
      <sheetData sheetId="19919"/>
      <sheetData sheetId="19920" refreshError="1"/>
      <sheetData sheetId="19921" refreshError="1"/>
      <sheetData sheetId="19922" refreshError="1"/>
      <sheetData sheetId="19923" refreshError="1"/>
      <sheetData sheetId="19924" refreshError="1"/>
      <sheetData sheetId="19925" refreshError="1"/>
      <sheetData sheetId="19926"/>
      <sheetData sheetId="19927"/>
      <sheetData sheetId="19928"/>
      <sheetData sheetId="19929" refreshError="1"/>
      <sheetData sheetId="19930" refreshError="1"/>
      <sheetData sheetId="19931" refreshError="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refreshError="1"/>
      <sheetData sheetId="19958"/>
      <sheetData sheetId="19959"/>
      <sheetData sheetId="19960"/>
      <sheetData sheetId="19961"/>
      <sheetData sheetId="19962"/>
      <sheetData sheetId="19963"/>
      <sheetData sheetId="19964"/>
      <sheetData sheetId="19965"/>
      <sheetData sheetId="19966"/>
      <sheetData sheetId="19967"/>
      <sheetData sheetId="19968" refreshError="1"/>
      <sheetData sheetId="19969"/>
      <sheetData sheetId="19970"/>
      <sheetData sheetId="19971"/>
      <sheetData sheetId="19972"/>
      <sheetData sheetId="19973"/>
      <sheetData sheetId="19974"/>
      <sheetData sheetId="19975"/>
      <sheetData sheetId="19976"/>
      <sheetData sheetId="19977"/>
      <sheetData sheetId="19978"/>
      <sheetData sheetId="19979" refreshError="1"/>
      <sheetData sheetId="19980" refreshError="1"/>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refreshError="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refreshError="1"/>
      <sheetData sheetId="20066"/>
      <sheetData sheetId="20067"/>
      <sheetData sheetId="20068"/>
      <sheetData sheetId="20069" refreshError="1"/>
      <sheetData sheetId="20070" refreshError="1"/>
      <sheetData sheetId="20071" refreshError="1"/>
      <sheetData sheetId="20072" refreshError="1"/>
      <sheetData sheetId="20073" refreshError="1"/>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sheetData sheetId="20146"/>
      <sheetData sheetId="20147"/>
      <sheetData sheetId="20148"/>
      <sheetData sheetId="20149" refreshError="1"/>
      <sheetData sheetId="20150" refreshError="1"/>
      <sheetData sheetId="20151" refreshError="1"/>
      <sheetData sheetId="20152" refreshError="1"/>
      <sheetData sheetId="20153" refreshError="1"/>
      <sheetData sheetId="20154" refreshError="1"/>
      <sheetData sheetId="20155" refreshError="1"/>
      <sheetData sheetId="20156" refreshError="1"/>
      <sheetData sheetId="20157" refreshError="1"/>
      <sheetData sheetId="20158" refreshError="1"/>
      <sheetData sheetId="20159" refreshError="1"/>
      <sheetData sheetId="20160" refreshError="1"/>
      <sheetData sheetId="20161" refreshError="1"/>
      <sheetData sheetId="20162" refreshError="1"/>
      <sheetData sheetId="20163" refreshError="1"/>
      <sheetData sheetId="20164" refreshError="1"/>
      <sheetData sheetId="20165" refreshError="1"/>
      <sheetData sheetId="20166" refreshError="1"/>
      <sheetData sheetId="20167" refreshError="1"/>
      <sheetData sheetId="20168" refreshError="1"/>
      <sheetData sheetId="20169" refreshError="1"/>
      <sheetData sheetId="20170" refreshError="1"/>
      <sheetData sheetId="20171" refreshError="1"/>
      <sheetData sheetId="20172" refreshError="1"/>
      <sheetData sheetId="20173" refreshError="1"/>
      <sheetData sheetId="20174" refreshError="1"/>
      <sheetData sheetId="20175" refreshError="1"/>
      <sheetData sheetId="20176" refreshError="1"/>
      <sheetData sheetId="20177" refreshError="1"/>
      <sheetData sheetId="20178" refreshError="1"/>
      <sheetData sheetId="20179" refreshError="1"/>
      <sheetData sheetId="20180" refreshError="1"/>
      <sheetData sheetId="20181" refreshError="1"/>
      <sheetData sheetId="20182" refreshError="1"/>
      <sheetData sheetId="20183" refreshError="1"/>
      <sheetData sheetId="20184" refreshError="1"/>
      <sheetData sheetId="20185" refreshError="1"/>
      <sheetData sheetId="20186" refreshError="1"/>
      <sheetData sheetId="20187" refreshError="1"/>
      <sheetData sheetId="20188"/>
      <sheetData sheetId="20189"/>
      <sheetData sheetId="20190"/>
      <sheetData sheetId="20191" refreshError="1"/>
      <sheetData sheetId="20192" refreshError="1"/>
      <sheetData sheetId="20193" refreshError="1"/>
      <sheetData sheetId="20194" refreshError="1"/>
      <sheetData sheetId="20195" refreshError="1"/>
      <sheetData sheetId="20196" refreshError="1"/>
      <sheetData sheetId="20197"/>
      <sheetData sheetId="20198"/>
      <sheetData sheetId="20199"/>
      <sheetData sheetId="20200"/>
      <sheetData sheetId="20201" refreshError="1"/>
      <sheetData sheetId="20202"/>
      <sheetData sheetId="20203"/>
      <sheetData sheetId="20204"/>
      <sheetData sheetId="20205"/>
      <sheetData sheetId="20206" refreshError="1"/>
      <sheetData sheetId="20207"/>
      <sheetData sheetId="20208" refreshError="1"/>
      <sheetData sheetId="20209"/>
      <sheetData sheetId="20210" refreshError="1"/>
      <sheetData sheetId="20211"/>
      <sheetData sheetId="20212"/>
      <sheetData sheetId="20213" refreshError="1"/>
      <sheetData sheetId="20214"/>
      <sheetData sheetId="20215"/>
      <sheetData sheetId="20216"/>
      <sheetData sheetId="20217"/>
      <sheetData sheetId="20218"/>
      <sheetData sheetId="20219"/>
      <sheetData sheetId="20220" refreshError="1"/>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refreshError="1"/>
      <sheetData sheetId="20235" refreshError="1"/>
      <sheetData sheetId="20236"/>
      <sheetData sheetId="20237"/>
      <sheetData sheetId="20238"/>
      <sheetData sheetId="20239"/>
      <sheetData sheetId="20240" refreshError="1"/>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refreshError="1"/>
      <sheetData sheetId="20263"/>
      <sheetData sheetId="20264"/>
      <sheetData sheetId="20265"/>
      <sheetData sheetId="20266"/>
      <sheetData sheetId="20267"/>
      <sheetData sheetId="20268"/>
      <sheetData sheetId="20269"/>
      <sheetData sheetId="20270"/>
      <sheetData sheetId="20271" refreshError="1"/>
      <sheetData sheetId="20272"/>
      <sheetData sheetId="20273"/>
      <sheetData sheetId="20274"/>
      <sheetData sheetId="20275"/>
      <sheetData sheetId="20276"/>
      <sheetData sheetId="20277"/>
      <sheetData sheetId="20278"/>
      <sheetData sheetId="20279"/>
      <sheetData sheetId="20280"/>
      <sheetData sheetId="20281" refreshError="1"/>
      <sheetData sheetId="20282"/>
      <sheetData sheetId="20283"/>
      <sheetData sheetId="20284"/>
      <sheetData sheetId="20285"/>
      <sheetData sheetId="20286"/>
      <sheetData sheetId="20287"/>
      <sheetData sheetId="20288"/>
      <sheetData sheetId="20289"/>
      <sheetData sheetId="20290"/>
      <sheetData sheetId="20291"/>
      <sheetData sheetId="20292" refreshError="1"/>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refreshError="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refreshError="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refreshError="1"/>
      <sheetData sheetId="20345" refreshError="1"/>
      <sheetData sheetId="20346" refreshError="1"/>
      <sheetData sheetId="20347" refreshError="1"/>
      <sheetData sheetId="20348"/>
      <sheetData sheetId="20349"/>
      <sheetData sheetId="20350"/>
      <sheetData sheetId="20351"/>
      <sheetData sheetId="20352" refreshError="1"/>
      <sheetData sheetId="20353" refreshError="1"/>
      <sheetData sheetId="20354" refreshError="1"/>
      <sheetData sheetId="20355"/>
      <sheetData sheetId="20356"/>
      <sheetData sheetId="20357"/>
      <sheetData sheetId="20358"/>
      <sheetData sheetId="20359"/>
      <sheetData sheetId="20360"/>
      <sheetData sheetId="20361"/>
      <sheetData sheetId="20362"/>
      <sheetData sheetId="20363"/>
      <sheetData sheetId="20364" refreshError="1"/>
      <sheetData sheetId="20365" refreshError="1"/>
      <sheetData sheetId="20366" refreshError="1"/>
      <sheetData sheetId="20367" refreshError="1"/>
      <sheetData sheetId="20368" refreshError="1"/>
      <sheetData sheetId="20369" refreshError="1"/>
      <sheetData sheetId="20370" refreshError="1"/>
      <sheetData sheetId="20371" refreshError="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refreshError="1"/>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refreshError="1"/>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refreshError="1"/>
      <sheetData sheetId="20452" refreshError="1"/>
      <sheetData sheetId="20453" refreshError="1"/>
      <sheetData sheetId="20454" refreshError="1"/>
      <sheetData sheetId="20455" refreshError="1"/>
      <sheetData sheetId="20456" refreshError="1"/>
      <sheetData sheetId="20457" refreshError="1"/>
      <sheetData sheetId="20458" refreshError="1"/>
      <sheetData sheetId="20459" refreshError="1"/>
      <sheetData sheetId="20460" refreshError="1"/>
      <sheetData sheetId="20461" refreshError="1"/>
      <sheetData sheetId="20462" refreshError="1"/>
      <sheetData sheetId="20463" refreshError="1"/>
      <sheetData sheetId="20464" refreshError="1"/>
      <sheetData sheetId="20465" refreshError="1"/>
      <sheetData sheetId="20466" refreshError="1"/>
      <sheetData sheetId="20467" refreshError="1"/>
      <sheetData sheetId="20468" refreshError="1"/>
      <sheetData sheetId="20469" refreshError="1"/>
      <sheetData sheetId="20470" refreshError="1"/>
      <sheetData sheetId="20471" refreshError="1"/>
      <sheetData sheetId="20472" refreshError="1"/>
      <sheetData sheetId="20473" refreshError="1"/>
      <sheetData sheetId="20474" refreshError="1"/>
      <sheetData sheetId="20475" refreshError="1"/>
      <sheetData sheetId="20476" refreshError="1"/>
      <sheetData sheetId="20477" refreshError="1"/>
      <sheetData sheetId="20478" refreshError="1"/>
      <sheetData sheetId="20479" refreshError="1"/>
      <sheetData sheetId="20480" refreshError="1"/>
      <sheetData sheetId="20481" refreshError="1"/>
      <sheetData sheetId="20482" refreshError="1"/>
      <sheetData sheetId="20483" refreshError="1"/>
      <sheetData sheetId="20484" refreshError="1"/>
      <sheetData sheetId="20485" refreshError="1"/>
      <sheetData sheetId="20486" refreshError="1"/>
      <sheetData sheetId="20487" refreshError="1"/>
      <sheetData sheetId="20488" refreshError="1"/>
      <sheetData sheetId="20489" refreshError="1"/>
      <sheetData sheetId="20490" refreshError="1"/>
      <sheetData sheetId="20491" refreshError="1"/>
      <sheetData sheetId="20492" refreshError="1"/>
      <sheetData sheetId="20493" refreshError="1"/>
      <sheetData sheetId="20494" refreshError="1"/>
      <sheetData sheetId="20495" refreshError="1"/>
      <sheetData sheetId="20496" refreshError="1"/>
      <sheetData sheetId="20497" refreshError="1"/>
      <sheetData sheetId="20498" refreshError="1"/>
      <sheetData sheetId="20499" refreshError="1"/>
      <sheetData sheetId="20500" refreshError="1"/>
      <sheetData sheetId="20501" refreshError="1"/>
      <sheetData sheetId="20502" refreshError="1"/>
      <sheetData sheetId="20503" refreshError="1"/>
      <sheetData sheetId="20504" refreshError="1"/>
      <sheetData sheetId="20505" refreshError="1"/>
      <sheetData sheetId="20506" refreshError="1"/>
      <sheetData sheetId="20507" refreshError="1"/>
      <sheetData sheetId="20508" refreshError="1"/>
      <sheetData sheetId="20509" refreshError="1"/>
      <sheetData sheetId="20510" refreshError="1"/>
      <sheetData sheetId="20511" refreshError="1"/>
      <sheetData sheetId="20512" refreshError="1"/>
      <sheetData sheetId="20513" refreshError="1"/>
      <sheetData sheetId="20514" refreshError="1"/>
      <sheetData sheetId="20515" refreshError="1"/>
      <sheetData sheetId="20516" refreshError="1"/>
      <sheetData sheetId="20517" refreshError="1"/>
      <sheetData sheetId="20518" refreshError="1"/>
      <sheetData sheetId="20519" refreshError="1"/>
      <sheetData sheetId="20520" refreshError="1"/>
      <sheetData sheetId="20521" refreshError="1"/>
      <sheetData sheetId="20522" refreshError="1"/>
      <sheetData sheetId="20523" refreshError="1"/>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refreshError="1"/>
      <sheetData sheetId="20539" refreshError="1"/>
      <sheetData sheetId="20540"/>
      <sheetData sheetId="20541" refreshError="1"/>
      <sheetData sheetId="20542" refreshError="1"/>
      <sheetData sheetId="20543" refreshError="1"/>
      <sheetData sheetId="20544"/>
      <sheetData sheetId="20545"/>
      <sheetData sheetId="20546"/>
      <sheetData sheetId="20547"/>
      <sheetData sheetId="20548"/>
      <sheetData sheetId="20549"/>
      <sheetData sheetId="20550" refreshError="1"/>
      <sheetData sheetId="20551" refreshError="1"/>
      <sheetData sheetId="20552" refreshError="1"/>
      <sheetData sheetId="20553" refreshError="1"/>
      <sheetData sheetId="20554" refreshError="1"/>
      <sheetData sheetId="20555" refreshError="1"/>
      <sheetData sheetId="20556" refreshError="1"/>
      <sheetData sheetId="20557" refreshError="1"/>
      <sheetData sheetId="20558" refreshError="1"/>
      <sheetData sheetId="20559" refreshError="1"/>
      <sheetData sheetId="20560" refreshError="1"/>
      <sheetData sheetId="20561" refreshError="1"/>
      <sheetData sheetId="20562" refreshError="1"/>
      <sheetData sheetId="20563" refreshError="1"/>
      <sheetData sheetId="20564" refreshError="1"/>
      <sheetData sheetId="20565" refreshError="1"/>
      <sheetData sheetId="20566" refreshError="1"/>
      <sheetData sheetId="20567" refreshError="1"/>
      <sheetData sheetId="20568" refreshError="1"/>
      <sheetData sheetId="20569" refreshError="1"/>
      <sheetData sheetId="20570" refreshError="1"/>
      <sheetData sheetId="20571" refreshError="1"/>
      <sheetData sheetId="20572" refreshError="1"/>
      <sheetData sheetId="20573" refreshError="1"/>
      <sheetData sheetId="20574" refreshError="1"/>
      <sheetData sheetId="20575" refreshError="1"/>
      <sheetData sheetId="20576" refreshError="1"/>
      <sheetData sheetId="20577" refreshError="1"/>
      <sheetData sheetId="20578" refreshError="1"/>
      <sheetData sheetId="20579" refreshError="1"/>
      <sheetData sheetId="20580" refreshError="1"/>
      <sheetData sheetId="20581" refreshError="1"/>
      <sheetData sheetId="20582" refreshError="1"/>
      <sheetData sheetId="20583" refreshError="1"/>
      <sheetData sheetId="20584" refreshError="1"/>
      <sheetData sheetId="20585" refreshError="1"/>
      <sheetData sheetId="20586" refreshError="1"/>
      <sheetData sheetId="20587" refreshError="1"/>
      <sheetData sheetId="20588" refreshError="1"/>
      <sheetData sheetId="20589" refreshError="1"/>
      <sheetData sheetId="20590" refreshError="1"/>
      <sheetData sheetId="20591" refreshError="1"/>
      <sheetData sheetId="20592" refreshError="1"/>
      <sheetData sheetId="20593" refreshError="1"/>
      <sheetData sheetId="20594" refreshError="1"/>
      <sheetData sheetId="20595" refreshError="1"/>
      <sheetData sheetId="20596" refreshError="1"/>
      <sheetData sheetId="20597" refreshError="1"/>
      <sheetData sheetId="20598" refreshError="1"/>
      <sheetData sheetId="20599" refreshError="1"/>
      <sheetData sheetId="20600" refreshError="1"/>
      <sheetData sheetId="20601" refreshError="1"/>
      <sheetData sheetId="20602" refreshError="1"/>
      <sheetData sheetId="20603" refreshError="1"/>
      <sheetData sheetId="20604" refreshError="1"/>
      <sheetData sheetId="20605" refreshError="1"/>
      <sheetData sheetId="20606" refreshError="1"/>
      <sheetData sheetId="20607" refreshError="1"/>
      <sheetData sheetId="20608" refreshError="1"/>
      <sheetData sheetId="20609" refreshError="1"/>
      <sheetData sheetId="20610" refreshError="1"/>
      <sheetData sheetId="20611" refreshError="1"/>
      <sheetData sheetId="20612" refreshError="1"/>
      <sheetData sheetId="20613" refreshError="1"/>
      <sheetData sheetId="20614" refreshError="1"/>
      <sheetData sheetId="20615" refreshError="1"/>
      <sheetData sheetId="20616" refreshError="1"/>
      <sheetData sheetId="20617" refreshError="1"/>
      <sheetData sheetId="20618" refreshError="1"/>
      <sheetData sheetId="20619" refreshError="1"/>
      <sheetData sheetId="20620" refreshError="1"/>
      <sheetData sheetId="20621" refreshError="1"/>
      <sheetData sheetId="20622" refreshError="1"/>
      <sheetData sheetId="20623" refreshError="1"/>
      <sheetData sheetId="20624" refreshError="1"/>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refreshError="1"/>
      <sheetData sheetId="20641" refreshError="1"/>
      <sheetData sheetId="20642" refreshError="1"/>
      <sheetData sheetId="20643" refreshError="1"/>
      <sheetData sheetId="20644" refreshError="1"/>
      <sheetData sheetId="20645" refreshError="1"/>
      <sheetData sheetId="20646"/>
      <sheetData sheetId="20647" refreshError="1"/>
      <sheetData sheetId="20648" refreshError="1"/>
      <sheetData sheetId="20649" refreshError="1"/>
      <sheetData sheetId="20650" refreshError="1"/>
      <sheetData sheetId="20651" refreshError="1"/>
      <sheetData sheetId="20652" refreshError="1"/>
      <sheetData sheetId="20653" refreshError="1"/>
      <sheetData sheetId="20654" refreshError="1"/>
      <sheetData sheetId="20655"/>
      <sheetData sheetId="20656"/>
      <sheetData sheetId="20657" refreshError="1"/>
      <sheetData sheetId="20658" refreshError="1"/>
      <sheetData sheetId="20659" refreshError="1"/>
      <sheetData sheetId="20660" refreshError="1"/>
      <sheetData sheetId="20661" refreshError="1"/>
      <sheetData sheetId="20662" refreshError="1"/>
      <sheetData sheetId="20663" refreshError="1"/>
      <sheetData sheetId="20664" refreshError="1"/>
      <sheetData sheetId="20665" refreshError="1"/>
      <sheetData sheetId="20666" refreshError="1"/>
      <sheetData sheetId="20667" refreshError="1"/>
      <sheetData sheetId="20668" refreshError="1"/>
      <sheetData sheetId="20669" refreshError="1"/>
      <sheetData sheetId="20670" refreshError="1"/>
      <sheetData sheetId="20671" refreshError="1"/>
      <sheetData sheetId="20672" refreshError="1"/>
      <sheetData sheetId="20673" refreshError="1"/>
      <sheetData sheetId="20674" refreshError="1"/>
      <sheetData sheetId="20675" refreshError="1"/>
      <sheetData sheetId="20676" refreshError="1"/>
      <sheetData sheetId="20677" refreshError="1"/>
      <sheetData sheetId="20678" refreshError="1"/>
      <sheetData sheetId="20679" refreshError="1"/>
      <sheetData sheetId="20680" refreshError="1"/>
      <sheetData sheetId="20681" refreshError="1"/>
      <sheetData sheetId="20682" refreshError="1"/>
      <sheetData sheetId="20683" refreshError="1"/>
      <sheetData sheetId="20684" refreshError="1"/>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refreshError="1"/>
      <sheetData sheetId="20719" refreshError="1"/>
      <sheetData sheetId="20720" refreshError="1"/>
      <sheetData sheetId="20721"/>
      <sheetData sheetId="20722"/>
      <sheetData sheetId="20723"/>
      <sheetData sheetId="20724" refreshError="1"/>
      <sheetData sheetId="20725"/>
      <sheetData sheetId="20726" refreshError="1"/>
      <sheetData sheetId="20727" refreshError="1"/>
      <sheetData sheetId="20728"/>
      <sheetData sheetId="20729"/>
      <sheetData sheetId="20730"/>
      <sheetData sheetId="20731"/>
      <sheetData sheetId="20732"/>
      <sheetData sheetId="20733"/>
      <sheetData sheetId="20734" refreshError="1"/>
      <sheetData sheetId="20735" refreshError="1"/>
      <sheetData sheetId="20736"/>
      <sheetData sheetId="20737" refreshError="1"/>
      <sheetData sheetId="20738" refreshError="1"/>
      <sheetData sheetId="20739" refreshError="1"/>
      <sheetData sheetId="20740" refreshError="1"/>
      <sheetData sheetId="20741" refreshError="1"/>
      <sheetData sheetId="20742" refreshError="1"/>
      <sheetData sheetId="20743" refreshError="1"/>
      <sheetData sheetId="20744" refreshError="1"/>
      <sheetData sheetId="20745" refreshError="1"/>
      <sheetData sheetId="20746" refreshError="1"/>
      <sheetData sheetId="20747" refreshError="1"/>
      <sheetData sheetId="20748" refreshError="1"/>
      <sheetData sheetId="20749" refreshError="1"/>
      <sheetData sheetId="20750" refreshError="1"/>
      <sheetData sheetId="20751" refreshError="1"/>
      <sheetData sheetId="20752" refreshError="1"/>
      <sheetData sheetId="20753" refreshError="1"/>
      <sheetData sheetId="20754" refreshError="1"/>
      <sheetData sheetId="20755" refreshError="1"/>
      <sheetData sheetId="20756" refreshError="1"/>
      <sheetData sheetId="20757" refreshError="1"/>
      <sheetData sheetId="20758" refreshError="1"/>
      <sheetData sheetId="20759" refreshError="1"/>
      <sheetData sheetId="20760" refreshError="1"/>
      <sheetData sheetId="20761" refreshError="1"/>
      <sheetData sheetId="20762" refreshError="1"/>
      <sheetData sheetId="20763" refreshError="1"/>
      <sheetData sheetId="20764" refreshError="1"/>
      <sheetData sheetId="20765" refreshError="1"/>
      <sheetData sheetId="20766" refreshError="1"/>
      <sheetData sheetId="20767" refreshError="1"/>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refreshError="1"/>
      <sheetData sheetId="20849" refreshError="1"/>
      <sheetData sheetId="20850" refreshError="1"/>
      <sheetData sheetId="20851" refreshError="1"/>
      <sheetData sheetId="20852" refreshError="1"/>
      <sheetData sheetId="20853" refreshError="1"/>
      <sheetData sheetId="20854" refreshError="1"/>
      <sheetData sheetId="20855" refreshError="1"/>
      <sheetData sheetId="20856" refreshError="1"/>
      <sheetData sheetId="20857" refreshError="1"/>
      <sheetData sheetId="20858" refreshError="1"/>
      <sheetData sheetId="20859" refreshError="1"/>
      <sheetData sheetId="20860" refreshError="1"/>
      <sheetData sheetId="20861" refreshError="1"/>
      <sheetData sheetId="20862" refreshError="1"/>
      <sheetData sheetId="20863" refreshError="1"/>
      <sheetData sheetId="20864" refreshError="1"/>
      <sheetData sheetId="20865" refreshError="1"/>
      <sheetData sheetId="20866" refreshError="1"/>
      <sheetData sheetId="20867" refreshError="1"/>
      <sheetData sheetId="20868" refreshError="1"/>
      <sheetData sheetId="20869" refreshError="1"/>
      <sheetData sheetId="20870" refreshError="1"/>
      <sheetData sheetId="20871" refreshError="1"/>
      <sheetData sheetId="20872" refreshError="1"/>
      <sheetData sheetId="20873" refreshError="1"/>
      <sheetData sheetId="20874" refreshError="1"/>
      <sheetData sheetId="20875" refreshError="1"/>
      <sheetData sheetId="20876" refreshError="1"/>
      <sheetData sheetId="20877" refreshError="1"/>
      <sheetData sheetId="20878" refreshError="1"/>
      <sheetData sheetId="20879" refreshError="1"/>
      <sheetData sheetId="20880" refreshError="1"/>
      <sheetData sheetId="20881" refreshError="1"/>
      <sheetData sheetId="20882" refreshError="1"/>
      <sheetData sheetId="20883" refreshError="1"/>
      <sheetData sheetId="20884" refreshError="1"/>
      <sheetData sheetId="20885" refreshError="1"/>
      <sheetData sheetId="20886" refreshError="1"/>
      <sheetData sheetId="20887" refreshError="1"/>
      <sheetData sheetId="20888" refreshError="1"/>
      <sheetData sheetId="20889" refreshError="1"/>
      <sheetData sheetId="20890" refreshError="1"/>
      <sheetData sheetId="20891" refreshError="1"/>
      <sheetData sheetId="20892" refreshError="1"/>
      <sheetData sheetId="20893" refreshError="1"/>
      <sheetData sheetId="20894" refreshError="1"/>
      <sheetData sheetId="20895" refreshError="1"/>
      <sheetData sheetId="20896" refreshError="1"/>
      <sheetData sheetId="20897" refreshError="1"/>
      <sheetData sheetId="20898" refreshError="1"/>
      <sheetData sheetId="20899" refreshError="1"/>
      <sheetData sheetId="20900" refreshError="1"/>
      <sheetData sheetId="20901" refreshError="1"/>
      <sheetData sheetId="20902" refreshError="1"/>
      <sheetData sheetId="20903" refreshError="1"/>
      <sheetData sheetId="20904" refreshError="1"/>
      <sheetData sheetId="20905" refreshError="1"/>
      <sheetData sheetId="20906" refreshError="1"/>
      <sheetData sheetId="20907" refreshError="1"/>
      <sheetData sheetId="20908" refreshError="1"/>
      <sheetData sheetId="20909" refreshError="1"/>
      <sheetData sheetId="20910" refreshError="1"/>
      <sheetData sheetId="20911" refreshError="1"/>
      <sheetData sheetId="20912" refreshError="1"/>
      <sheetData sheetId="20913" refreshError="1"/>
      <sheetData sheetId="20914" refreshError="1"/>
      <sheetData sheetId="20915" refreshError="1"/>
      <sheetData sheetId="20916" refreshError="1"/>
      <sheetData sheetId="20917" refreshError="1"/>
      <sheetData sheetId="20918" refreshError="1"/>
      <sheetData sheetId="20919" refreshError="1"/>
      <sheetData sheetId="20920" refreshError="1"/>
      <sheetData sheetId="20921" refreshError="1"/>
      <sheetData sheetId="20922" refreshError="1"/>
      <sheetData sheetId="20923" refreshError="1"/>
      <sheetData sheetId="20924" refreshError="1"/>
      <sheetData sheetId="20925" refreshError="1"/>
      <sheetData sheetId="20926" refreshError="1"/>
      <sheetData sheetId="20927" refreshError="1"/>
      <sheetData sheetId="20928" refreshError="1"/>
      <sheetData sheetId="20929" refreshError="1"/>
      <sheetData sheetId="20930" refreshError="1"/>
      <sheetData sheetId="20931" refreshError="1"/>
      <sheetData sheetId="20932" refreshError="1"/>
      <sheetData sheetId="20933" refreshError="1"/>
      <sheetData sheetId="20934" refreshError="1"/>
      <sheetData sheetId="20935" refreshError="1"/>
      <sheetData sheetId="20936" refreshError="1"/>
      <sheetData sheetId="20937" refreshError="1"/>
      <sheetData sheetId="20938" refreshError="1"/>
      <sheetData sheetId="20939" refreshError="1"/>
      <sheetData sheetId="20940" refreshError="1"/>
      <sheetData sheetId="20941" refreshError="1"/>
      <sheetData sheetId="20942" refreshError="1"/>
      <sheetData sheetId="20943" refreshError="1"/>
      <sheetData sheetId="20944" refreshError="1"/>
      <sheetData sheetId="20945" refreshError="1"/>
      <sheetData sheetId="20946" refreshError="1"/>
      <sheetData sheetId="20947" refreshError="1"/>
      <sheetData sheetId="20948" refreshError="1"/>
      <sheetData sheetId="20949" refreshError="1"/>
      <sheetData sheetId="20950" refreshError="1"/>
      <sheetData sheetId="20951" refreshError="1"/>
      <sheetData sheetId="20952" refreshError="1"/>
      <sheetData sheetId="20953" refreshError="1"/>
      <sheetData sheetId="20954" refreshError="1"/>
      <sheetData sheetId="20955" refreshError="1"/>
      <sheetData sheetId="20956" refreshError="1"/>
      <sheetData sheetId="20957" refreshError="1"/>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refreshError="1"/>
      <sheetData sheetId="21031" refreshError="1"/>
      <sheetData sheetId="21032" refreshError="1"/>
      <sheetData sheetId="21033" refreshError="1"/>
      <sheetData sheetId="21034"/>
      <sheetData sheetId="21035"/>
      <sheetData sheetId="21036" refreshError="1"/>
      <sheetData sheetId="21037" refreshError="1"/>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refreshError="1"/>
      <sheetData sheetId="21054" refreshError="1"/>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refreshError="1"/>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refreshError="1"/>
      <sheetData sheetId="21147" refreshError="1"/>
      <sheetData sheetId="21148" refreshError="1"/>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refreshError="1"/>
      <sheetData sheetId="21191" refreshError="1"/>
      <sheetData sheetId="21192" refreshError="1"/>
      <sheetData sheetId="21193" refreshError="1"/>
      <sheetData sheetId="21194" refreshError="1"/>
      <sheetData sheetId="21195" refreshError="1"/>
      <sheetData sheetId="21196" refreshError="1"/>
      <sheetData sheetId="21197" refreshError="1"/>
      <sheetData sheetId="21198" refreshError="1"/>
      <sheetData sheetId="21199" refreshError="1"/>
      <sheetData sheetId="21200" refreshError="1"/>
      <sheetData sheetId="21201" refreshError="1"/>
      <sheetData sheetId="21202" refreshError="1"/>
      <sheetData sheetId="21203" refreshError="1"/>
      <sheetData sheetId="21204" refreshError="1"/>
      <sheetData sheetId="21205" refreshError="1"/>
      <sheetData sheetId="21206" refreshError="1"/>
      <sheetData sheetId="21207" refreshError="1"/>
      <sheetData sheetId="21208" refreshError="1"/>
      <sheetData sheetId="21209" refreshError="1"/>
      <sheetData sheetId="21210" refreshError="1"/>
      <sheetData sheetId="21211" refreshError="1"/>
      <sheetData sheetId="21212" refreshError="1"/>
      <sheetData sheetId="21213" refreshError="1"/>
      <sheetData sheetId="21214" refreshError="1"/>
      <sheetData sheetId="21215" refreshError="1"/>
      <sheetData sheetId="21216" refreshError="1"/>
      <sheetData sheetId="21217" refreshError="1"/>
      <sheetData sheetId="21218" refreshError="1"/>
      <sheetData sheetId="21219" refreshError="1"/>
      <sheetData sheetId="21220" refreshError="1"/>
      <sheetData sheetId="21221" refreshError="1"/>
      <sheetData sheetId="21222" refreshError="1"/>
      <sheetData sheetId="21223" refreshError="1"/>
      <sheetData sheetId="21224" refreshError="1"/>
      <sheetData sheetId="21225" refreshError="1"/>
      <sheetData sheetId="21226" refreshError="1"/>
      <sheetData sheetId="21227" refreshError="1"/>
      <sheetData sheetId="21228" refreshError="1"/>
      <sheetData sheetId="21229" refreshError="1"/>
      <sheetData sheetId="21230" refreshError="1"/>
      <sheetData sheetId="21231" refreshError="1"/>
      <sheetData sheetId="21232" refreshError="1"/>
      <sheetData sheetId="21233" refreshError="1"/>
      <sheetData sheetId="21234" refreshError="1"/>
      <sheetData sheetId="21235" refreshError="1"/>
      <sheetData sheetId="21236" refreshError="1"/>
      <sheetData sheetId="21237" refreshError="1"/>
      <sheetData sheetId="21238" refreshError="1"/>
      <sheetData sheetId="21239" refreshError="1"/>
      <sheetData sheetId="21240" refreshError="1"/>
      <sheetData sheetId="21241" refreshError="1"/>
      <sheetData sheetId="21242" refreshError="1"/>
      <sheetData sheetId="21243" refreshError="1"/>
      <sheetData sheetId="21244" refreshError="1"/>
      <sheetData sheetId="21245" refreshError="1"/>
      <sheetData sheetId="21246" refreshError="1"/>
      <sheetData sheetId="21247" refreshError="1"/>
      <sheetData sheetId="21248" refreshError="1"/>
      <sheetData sheetId="21249" refreshError="1"/>
      <sheetData sheetId="21250" refreshError="1"/>
      <sheetData sheetId="21251" refreshError="1"/>
      <sheetData sheetId="21252" refreshError="1"/>
      <sheetData sheetId="21253" refreshError="1"/>
      <sheetData sheetId="21254" refreshError="1"/>
      <sheetData sheetId="21255" refreshError="1"/>
      <sheetData sheetId="21256" refreshError="1"/>
      <sheetData sheetId="21257" refreshError="1"/>
      <sheetData sheetId="21258" refreshError="1"/>
      <sheetData sheetId="21259" refreshError="1"/>
      <sheetData sheetId="21260" refreshError="1"/>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sheetData sheetId="21274"/>
      <sheetData sheetId="21275"/>
      <sheetData sheetId="21276"/>
      <sheetData sheetId="21277"/>
      <sheetData sheetId="21278"/>
      <sheetData sheetId="21279"/>
      <sheetData sheetId="21280"/>
      <sheetData sheetId="21281"/>
      <sheetData sheetId="21282"/>
      <sheetData sheetId="21283"/>
      <sheetData sheetId="21284"/>
      <sheetData sheetId="21285"/>
      <sheetData sheetId="21286"/>
      <sheetData sheetId="21287"/>
      <sheetData sheetId="21288"/>
      <sheetData sheetId="21289"/>
      <sheetData sheetId="21290"/>
      <sheetData sheetId="21291"/>
      <sheetData sheetId="21292"/>
      <sheetData sheetId="21293"/>
      <sheetData sheetId="21294"/>
      <sheetData sheetId="21295"/>
      <sheetData sheetId="21296"/>
      <sheetData sheetId="21297"/>
      <sheetData sheetId="21298"/>
      <sheetData sheetId="21299"/>
      <sheetData sheetId="21300"/>
      <sheetData sheetId="21301"/>
      <sheetData sheetId="21302"/>
      <sheetData sheetId="21303" refreshError="1"/>
      <sheetData sheetId="21304"/>
      <sheetData sheetId="21305"/>
      <sheetData sheetId="21306"/>
      <sheetData sheetId="21307"/>
      <sheetData sheetId="21308"/>
      <sheetData sheetId="21309"/>
      <sheetData sheetId="21310"/>
      <sheetData sheetId="21311"/>
      <sheetData sheetId="21312"/>
      <sheetData sheetId="21313"/>
      <sheetData sheetId="21314"/>
      <sheetData sheetId="21315" refreshError="1"/>
      <sheetData sheetId="21316"/>
      <sheetData sheetId="21317"/>
      <sheetData sheetId="21318"/>
      <sheetData sheetId="21319"/>
      <sheetData sheetId="21320"/>
      <sheetData sheetId="21321" refreshError="1"/>
      <sheetData sheetId="21322" refreshError="1"/>
      <sheetData sheetId="21323" refreshError="1"/>
      <sheetData sheetId="21324" refreshError="1"/>
      <sheetData sheetId="21325" refreshError="1"/>
      <sheetData sheetId="21326"/>
      <sheetData sheetId="21327"/>
      <sheetData sheetId="21328"/>
      <sheetData sheetId="21329"/>
      <sheetData sheetId="21330"/>
      <sheetData sheetId="21331"/>
      <sheetData sheetId="21332"/>
      <sheetData sheetId="21333"/>
      <sheetData sheetId="21334" refreshError="1"/>
      <sheetData sheetId="21335" refreshError="1"/>
      <sheetData sheetId="21336" refreshError="1"/>
      <sheetData sheetId="21337" refreshError="1"/>
      <sheetData sheetId="21338"/>
      <sheetData sheetId="21339"/>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 sheetId="21385" refreshError="1"/>
      <sheetData sheetId="21386" refreshError="1"/>
      <sheetData sheetId="21387" refreshError="1"/>
      <sheetData sheetId="21388" refreshError="1"/>
      <sheetData sheetId="21389" refreshError="1"/>
      <sheetData sheetId="21390" refreshError="1"/>
      <sheetData sheetId="21391" refreshError="1"/>
      <sheetData sheetId="21392" refreshError="1"/>
      <sheetData sheetId="21393" refreshError="1"/>
      <sheetData sheetId="21394" refreshError="1"/>
      <sheetData sheetId="21395" refreshError="1"/>
      <sheetData sheetId="21396" refreshError="1"/>
      <sheetData sheetId="21397" refreshError="1"/>
      <sheetData sheetId="21398" refreshError="1"/>
      <sheetData sheetId="21399" refreshError="1"/>
      <sheetData sheetId="21400" refreshError="1"/>
      <sheetData sheetId="21401" refreshError="1"/>
      <sheetData sheetId="21402" refreshError="1"/>
      <sheetData sheetId="21403" refreshError="1"/>
      <sheetData sheetId="21404" refreshError="1"/>
      <sheetData sheetId="21405" refreshError="1"/>
      <sheetData sheetId="21406" refreshError="1"/>
      <sheetData sheetId="21407" refreshError="1"/>
      <sheetData sheetId="21408" refreshError="1"/>
      <sheetData sheetId="21409" refreshError="1"/>
      <sheetData sheetId="21410" refreshError="1"/>
      <sheetData sheetId="21411" refreshError="1"/>
      <sheetData sheetId="21412" refreshError="1"/>
      <sheetData sheetId="21413"/>
      <sheetData sheetId="21414"/>
      <sheetData sheetId="21415" refreshError="1"/>
      <sheetData sheetId="21416"/>
      <sheetData sheetId="21417" refreshError="1"/>
      <sheetData sheetId="21418"/>
      <sheetData sheetId="21419"/>
      <sheetData sheetId="21420"/>
      <sheetData sheetId="21421"/>
      <sheetData sheetId="21422"/>
      <sheetData sheetId="21423"/>
      <sheetData sheetId="21424"/>
      <sheetData sheetId="21425"/>
      <sheetData sheetId="21426"/>
      <sheetData sheetId="21427"/>
      <sheetData sheetId="21428"/>
      <sheetData sheetId="21429" refreshError="1"/>
      <sheetData sheetId="21430"/>
      <sheetData sheetId="21431"/>
      <sheetData sheetId="21432"/>
      <sheetData sheetId="21433"/>
      <sheetData sheetId="21434" refreshError="1"/>
      <sheetData sheetId="21435"/>
      <sheetData sheetId="21436"/>
      <sheetData sheetId="21437"/>
      <sheetData sheetId="21438"/>
      <sheetData sheetId="21439"/>
      <sheetData sheetId="21440"/>
      <sheetData sheetId="21441"/>
      <sheetData sheetId="21442"/>
      <sheetData sheetId="21443"/>
      <sheetData sheetId="21444" refreshError="1"/>
      <sheetData sheetId="21445" refreshError="1"/>
      <sheetData sheetId="21446" refreshError="1"/>
      <sheetData sheetId="21447" refreshError="1"/>
      <sheetData sheetId="21448" refreshError="1"/>
      <sheetData sheetId="21449" refreshError="1"/>
      <sheetData sheetId="21450" refreshError="1"/>
      <sheetData sheetId="21451"/>
      <sheetData sheetId="21452"/>
      <sheetData sheetId="21453"/>
      <sheetData sheetId="21454" refreshError="1"/>
      <sheetData sheetId="21455" refreshError="1"/>
      <sheetData sheetId="21456" refreshError="1"/>
      <sheetData sheetId="21457" refreshError="1"/>
      <sheetData sheetId="21458" refreshError="1"/>
      <sheetData sheetId="21459" refreshError="1"/>
      <sheetData sheetId="21460" refreshError="1"/>
      <sheetData sheetId="21461" refreshError="1"/>
      <sheetData sheetId="21462" refreshError="1"/>
      <sheetData sheetId="21463" refreshError="1"/>
      <sheetData sheetId="21464" refreshError="1"/>
      <sheetData sheetId="21465" refreshError="1"/>
      <sheetData sheetId="21466" refreshError="1"/>
      <sheetData sheetId="21467" refreshError="1"/>
      <sheetData sheetId="21468" refreshError="1"/>
      <sheetData sheetId="21469" refreshError="1"/>
      <sheetData sheetId="21470" refreshError="1"/>
      <sheetData sheetId="21471" refreshError="1"/>
      <sheetData sheetId="21472" refreshError="1"/>
      <sheetData sheetId="21473" refreshError="1"/>
      <sheetData sheetId="21474" refreshError="1"/>
      <sheetData sheetId="21475" refreshError="1"/>
      <sheetData sheetId="21476" refreshError="1"/>
      <sheetData sheetId="21477" refreshError="1"/>
      <sheetData sheetId="21478" refreshError="1"/>
      <sheetData sheetId="21479" refreshError="1"/>
      <sheetData sheetId="21480" refreshError="1"/>
      <sheetData sheetId="21481" refreshError="1"/>
      <sheetData sheetId="21482" refreshError="1"/>
      <sheetData sheetId="21483" refreshError="1"/>
      <sheetData sheetId="21484" refreshError="1"/>
      <sheetData sheetId="21485" refreshError="1"/>
      <sheetData sheetId="21486" refreshError="1"/>
      <sheetData sheetId="21487" refreshError="1"/>
      <sheetData sheetId="21488" refreshError="1"/>
      <sheetData sheetId="21489" refreshError="1"/>
      <sheetData sheetId="21490" refreshError="1"/>
      <sheetData sheetId="21491" refreshError="1"/>
      <sheetData sheetId="21492" refreshError="1"/>
      <sheetData sheetId="21493" refreshError="1"/>
      <sheetData sheetId="21494" refreshError="1"/>
      <sheetData sheetId="21495" refreshError="1"/>
      <sheetData sheetId="21496" refreshError="1"/>
      <sheetData sheetId="21497" refreshError="1"/>
      <sheetData sheetId="21498" refreshError="1"/>
      <sheetData sheetId="21499" refreshError="1"/>
      <sheetData sheetId="21500" refreshError="1"/>
      <sheetData sheetId="21501" refreshError="1"/>
      <sheetData sheetId="21502" refreshError="1"/>
      <sheetData sheetId="21503" refreshError="1"/>
      <sheetData sheetId="21504" refreshError="1"/>
      <sheetData sheetId="21505" refreshError="1"/>
      <sheetData sheetId="21506" refreshError="1"/>
      <sheetData sheetId="21507" refreshError="1"/>
      <sheetData sheetId="21508" refreshError="1"/>
      <sheetData sheetId="21509" refreshError="1"/>
      <sheetData sheetId="21510" refreshError="1"/>
      <sheetData sheetId="21511" refreshError="1"/>
      <sheetData sheetId="21512" refreshError="1"/>
      <sheetData sheetId="21513" refreshError="1"/>
      <sheetData sheetId="21514" refreshError="1"/>
      <sheetData sheetId="21515" refreshError="1"/>
      <sheetData sheetId="21516" refreshError="1"/>
      <sheetData sheetId="21517" refreshError="1"/>
      <sheetData sheetId="21518" refreshError="1"/>
      <sheetData sheetId="21519" refreshError="1"/>
      <sheetData sheetId="21520" refreshError="1"/>
      <sheetData sheetId="21521" refreshError="1"/>
      <sheetData sheetId="21522" refreshError="1"/>
      <sheetData sheetId="21523" refreshError="1"/>
      <sheetData sheetId="21524" refreshError="1"/>
      <sheetData sheetId="21525" refreshError="1"/>
      <sheetData sheetId="21526" refreshError="1"/>
      <sheetData sheetId="21527"/>
      <sheetData sheetId="21528" refreshError="1"/>
      <sheetData sheetId="21529"/>
      <sheetData sheetId="21530" refreshError="1"/>
      <sheetData sheetId="21531"/>
      <sheetData sheetId="21532"/>
      <sheetData sheetId="21533"/>
      <sheetData sheetId="21534"/>
      <sheetData sheetId="21535"/>
      <sheetData sheetId="21536"/>
      <sheetData sheetId="21537"/>
      <sheetData sheetId="21538"/>
      <sheetData sheetId="21539"/>
      <sheetData sheetId="21540"/>
      <sheetData sheetId="21541"/>
      <sheetData sheetId="21542" refreshError="1"/>
      <sheetData sheetId="21543"/>
      <sheetData sheetId="21544"/>
      <sheetData sheetId="21545"/>
      <sheetData sheetId="21546"/>
      <sheetData sheetId="21547" refreshError="1"/>
      <sheetData sheetId="21548"/>
      <sheetData sheetId="21549"/>
      <sheetData sheetId="21550"/>
      <sheetData sheetId="21551"/>
      <sheetData sheetId="21552"/>
      <sheetData sheetId="21553"/>
      <sheetData sheetId="21554"/>
      <sheetData sheetId="21555"/>
      <sheetData sheetId="21556"/>
      <sheetData sheetId="21557" refreshError="1"/>
      <sheetData sheetId="21558" refreshError="1"/>
      <sheetData sheetId="21559" refreshError="1"/>
      <sheetData sheetId="21560" refreshError="1"/>
      <sheetData sheetId="21561" refreshError="1"/>
      <sheetData sheetId="21562" refreshError="1"/>
      <sheetData sheetId="21563" refreshError="1"/>
      <sheetData sheetId="21564"/>
      <sheetData sheetId="21565"/>
      <sheetData sheetId="21566"/>
      <sheetData sheetId="21567" refreshError="1"/>
      <sheetData sheetId="21568" refreshError="1"/>
      <sheetData sheetId="21569" refreshError="1"/>
      <sheetData sheetId="21570" refreshError="1"/>
      <sheetData sheetId="21571" refreshError="1"/>
      <sheetData sheetId="21572" refreshError="1"/>
      <sheetData sheetId="21573" refreshError="1"/>
      <sheetData sheetId="21574" refreshError="1"/>
      <sheetData sheetId="21575" refreshError="1"/>
      <sheetData sheetId="21576" refreshError="1"/>
      <sheetData sheetId="21577" refreshError="1"/>
      <sheetData sheetId="21578" refreshError="1"/>
      <sheetData sheetId="21579" refreshError="1"/>
      <sheetData sheetId="21580" refreshError="1"/>
      <sheetData sheetId="21581" refreshError="1"/>
      <sheetData sheetId="21582" refreshError="1"/>
      <sheetData sheetId="21583" refreshError="1"/>
      <sheetData sheetId="21584" refreshError="1"/>
      <sheetData sheetId="21585" refreshError="1"/>
      <sheetData sheetId="21586" refreshError="1"/>
      <sheetData sheetId="21587" refreshError="1"/>
      <sheetData sheetId="21588" refreshError="1"/>
      <sheetData sheetId="21589" refreshError="1"/>
      <sheetData sheetId="21590" refreshError="1"/>
      <sheetData sheetId="21591" refreshError="1"/>
      <sheetData sheetId="21592" refreshError="1"/>
      <sheetData sheetId="21593" refreshError="1"/>
      <sheetData sheetId="21594" refreshError="1"/>
      <sheetData sheetId="21595" refreshError="1"/>
      <sheetData sheetId="21596" refreshError="1"/>
      <sheetData sheetId="21597" refreshError="1"/>
      <sheetData sheetId="21598" refreshError="1"/>
      <sheetData sheetId="21599" refreshError="1"/>
      <sheetData sheetId="21600" refreshError="1"/>
      <sheetData sheetId="21601" refreshError="1"/>
      <sheetData sheetId="21602" refreshError="1"/>
      <sheetData sheetId="21603" refreshError="1"/>
      <sheetData sheetId="21604" refreshError="1"/>
      <sheetData sheetId="21605" refreshError="1"/>
      <sheetData sheetId="21606" refreshError="1"/>
      <sheetData sheetId="21607" refreshError="1"/>
      <sheetData sheetId="21608" refreshError="1"/>
      <sheetData sheetId="21609" refreshError="1"/>
      <sheetData sheetId="21610" refreshError="1"/>
      <sheetData sheetId="21611" refreshError="1"/>
      <sheetData sheetId="21612" refreshError="1"/>
      <sheetData sheetId="21613" refreshError="1"/>
      <sheetData sheetId="21614" refreshError="1"/>
      <sheetData sheetId="21615" refreshError="1"/>
      <sheetData sheetId="21616" refreshError="1"/>
      <sheetData sheetId="21617" refreshError="1"/>
      <sheetData sheetId="21618" refreshError="1"/>
      <sheetData sheetId="21619" refreshError="1"/>
      <sheetData sheetId="21620" refreshError="1"/>
      <sheetData sheetId="21621" refreshError="1"/>
      <sheetData sheetId="21622" refreshError="1"/>
      <sheetData sheetId="21623" refreshError="1"/>
      <sheetData sheetId="21624" refreshError="1"/>
      <sheetData sheetId="21625" refreshError="1"/>
      <sheetData sheetId="21626" refreshError="1"/>
      <sheetData sheetId="21627" refreshError="1"/>
      <sheetData sheetId="21628" refreshError="1"/>
      <sheetData sheetId="21629" refreshError="1"/>
      <sheetData sheetId="21630" refreshError="1"/>
      <sheetData sheetId="21631" refreshError="1"/>
      <sheetData sheetId="21632" refreshError="1"/>
      <sheetData sheetId="21633" refreshError="1"/>
      <sheetData sheetId="21634" refreshError="1"/>
      <sheetData sheetId="21635" refreshError="1"/>
      <sheetData sheetId="21636" refreshError="1"/>
      <sheetData sheetId="21637" refreshError="1"/>
      <sheetData sheetId="21638" refreshError="1"/>
      <sheetData sheetId="21639" refreshError="1"/>
      <sheetData sheetId="21640"/>
      <sheetData sheetId="21641" refreshError="1"/>
      <sheetData sheetId="21642"/>
      <sheetData sheetId="21643" refreshError="1"/>
      <sheetData sheetId="21644"/>
      <sheetData sheetId="21645"/>
      <sheetData sheetId="21646"/>
      <sheetData sheetId="21647"/>
      <sheetData sheetId="21648"/>
      <sheetData sheetId="21649"/>
      <sheetData sheetId="21650"/>
      <sheetData sheetId="21651"/>
      <sheetData sheetId="21652"/>
      <sheetData sheetId="21653"/>
      <sheetData sheetId="21654"/>
      <sheetData sheetId="21655" refreshError="1"/>
      <sheetData sheetId="21656"/>
      <sheetData sheetId="21657"/>
      <sheetData sheetId="21658"/>
      <sheetData sheetId="21659"/>
      <sheetData sheetId="21660" refreshError="1"/>
      <sheetData sheetId="21661"/>
      <sheetData sheetId="21662"/>
      <sheetData sheetId="21663"/>
      <sheetData sheetId="21664"/>
      <sheetData sheetId="21665"/>
      <sheetData sheetId="21666"/>
      <sheetData sheetId="21667"/>
      <sheetData sheetId="21668"/>
      <sheetData sheetId="21669"/>
      <sheetData sheetId="21670" refreshError="1"/>
      <sheetData sheetId="21671" refreshError="1"/>
      <sheetData sheetId="21672" refreshError="1"/>
      <sheetData sheetId="21673" refreshError="1"/>
      <sheetData sheetId="21674" refreshError="1"/>
      <sheetData sheetId="21675" refreshError="1"/>
      <sheetData sheetId="21676" refreshError="1"/>
      <sheetData sheetId="21677"/>
      <sheetData sheetId="21678"/>
      <sheetData sheetId="21679"/>
      <sheetData sheetId="21680" refreshError="1"/>
      <sheetData sheetId="21681" refreshError="1"/>
      <sheetData sheetId="21682" refreshError="1"/>
      <sheetData sheetId="21683" refreshError="1"/>
      <sheetData sheetId="21684" refreshError="1"/>
      <sheetData sheetId="21685" refreshError="1"/>
      <sheetData sheetId="21686" refreshError="1"/>
      <sheetData sheetId="21687" refreshError="1"/>
      <sheetData sheetId="21688" refreshError="1"/>
      <sheetData sheetId="21689" refreshError="1"/>
      <sheetData sheetId="21690" refreshError="1"/>
      <sheetData sheetId="21691" refreshError="1"/>
      <sheetData sheetId="21692" refreshError="1"/>
      <sheetData sheetId="21693" refreshError="1"/>
      <sheetData sheetId="21694" refreshError="1"/>
      <sheetData sheetId="21695" refreshError="1"/>
      <sheetData sheetId="21696" refreshError="1"/>
      <sheetData sheetId="21697" refreshError="1"/>
      <sheetData sheetId="21698" refreshError="1"/>
      <sheetData sheetId="21699" refreshError="1"/>
      <sheetData sheetId="21700" refreshError="1"/>
      <sheetData sheetId="21701" refreshError="1"/>
      <sheetData sheetId="21702" refreshError="1"/>
      <sheetData sheetId="21703" refreshError="1"/>
      <sheetData sheetId="21704" refreshError="1"/>
      <sheetData sheetId="21705" refreshError="1"/>
      <sheetData sheetId="21706" refreshError="1"/>
      <sheetData sheetId="21707" refreshError="1"/>
      <sheetData sheetId="21708" refreshError="1"/>
      <sheetData sheetId="21709" refreshError="1"/>
      <sheetData sheetId="21710" refreshError="1"/>
      <sheetData sheetId="21711" refreshError="1"/>
      <sheetData sheetId="21712" refreshError="1"/>
      <sheetData sheetId="21713" refreshError="1"/>
      <sheetData sheetId="21714" refreshError="1"/>
      <sheetData sheetId="21715" refreshError="1"/>
      <sheetData sheetId="21716" refreshError="1"/>
      <sheetData sheetId="21717" refreshError="1"/>
      <sheetData sheetId="21718" refreshError="1"/>
      <sheetData sheetId="21719" refreshError="1"/>
      <sheetData sheetId="21720" refreshError="1"/>
      <sheetData sheetId="21721" refreshError="1"/>
      <sheetData sheetId="21722" refreshError="1"/>
      <sheetData sheetId="21723" refreshError="1"/>
      <sheetData sheetId="21724" refreshError="1"/>
      <sheetData sheetId="21725" refreshError="1"/>
      <sheetData sheetId="21726" refreshError="1"/>
      <sheetData sheetId="21727" refreshError="1"/>
      <sheetData sheetId="21728" refreshError="1"/>
      <sheetData sheetId="21729" refreshError="1"/>
      <sheetData sheetId="21730" refreshError="1"/>
      <sheetData sheetId="21731" refreshError="1"/>
      <sheetData sheetId="21732" refreshError="1"/>
      <sheetData sheetId="21733" refreshError="1"/>
      <sheetData sheetId="21734" refreshError="1"/>
      <sheetData sheetId="21735" refreshError="1"/>
      <sheetData sheetId="21736" refreshError="1"/>
      <sheetData sheetId="21737" refreshError="1"/>
      <sheetData sheetId="21738" refreshError="1"/>
      <sheetData sheetId="21739" refreshError="1"/>
      <sheetData sheetId="21740" refreshError="1"/>
      <sheetData sheetId="21741" refreshError="1"/>
      <sheetData sheetId="21742" refreshError="1"/>
      <sheetData sheetId="21743" refreshError="1"/>
      <sheetData sheetId="21744" refreshError="1"/>
      <sheetData sheetId="21745" refreshError="1"/>
      <sheetData sheetId="21746" refreshError="1"/>
      <sheetData sheetId="21747" refreshError="1"/>
      <sheetData sheetId="21748" refreshError="1"/>
      <sheetData sheetId="21749" refreshError="1"/>
      <sheetData sheetId="21750" refreshError="1"/>
      <sheetData sheetId="21751" refreshError="1"/>
      <sheetData sheetId="21752" refreshError="1"/>
      <sheetData sheetId="21753"/>
      <sheetData sheetId="21754" refreshError="1"/>
      <sheetData sheetId="21755" refreshError="1"/>
      <sheetData sheetId="21756"/>
      <sheetData sheetId="21757"/>
      <sheetData sheetId="21758"/>
      <sheetData sheetId="21759"/>
      <sheetData sheetId="21760"/>
      <sheetData sheetId="21761"/>
      <sheetData sheetId="21762"/>
      <sheetData sheetId="21763"/>
      <sheetData sheetId="21764"/>
      <sheetData sheetId="21765"/>
      <sheetData sheetId="21766"/>
      <sheetData sheetId="21767"/>
      <sheetData sheetId="21768"/>
      <sheetData sheetId="21769"/>
      <sheetData sheetId="21770"/>
      <sheetData sheetId="21771"/>
      <sheetData sheetId="21772"/>
      <sheetData sheetId="21773"/>
      <sheetData sheetId="21774"/>
      <sheetData sheetId="21775"/>
      <sheetData sheetId="21776"/>
      <sheetData sheetId="21777"/>
      <sheetData sheetId="21778"/>
      <sheetData sheetId="21779"/>
      <sheetData sheetId="21780"/>
      <sheetData sheetId="21781"/>
      <sheetData sheetId="21782"/>
      <sheetData sheetId="21783"/>
      <sheetData sheetId="21784"/>
      <sheetData sheetId="21785" refreshError="1"/>
      <sheetData sheetId="21786" refreshError="1"/>
      <sheetData sheetId="21787" refreshError="1"/>
      <sheetData sheetId="21788"/>
      <sheetData sheetId="21789"/>
      <sheetData sheetId="21790"/>
      <sheetData sheetId="21791"/>
      <sheetData sheetId="21792" refreshError="1"/>
      <sheetData sheetId="21793" refreshError="1"/>
      <sheetData sheetId="21794" refreshError="1"/>
      <sheetData sheetId="21795"/>
      <sheetData sheetId="21796" refreshError="1"/>
      <sheetData sheetId="21797" refreshError="1"/>
      <sheetData sheetId="21798" refreshError="1"/>
      <sheetData sheetId="21799" refreshError="1"/>
      <sheetData sheetId="21800" refreshError="1"/>
      <sheetData sheetId="21801" refreshError="1"/>
      <sheetData sheetId="21802"/>
      <sheetData sheetId="21803"/>
      <sheetData sheetId="21804"/>
      <sheetData sheetId="21805"/>
      <sheetData sheetId="21806"/>
      <sheetData sheetId="21807"/>
      <sheetData sheetId="21808"/>
      <sheetData sheetId="21809"/>
      <sheetData sheetId="21810"/>
      <sheetData sheetId="21811"/>
      <sheetData sheetId="21812"/>
      <sheetData sheetId="21813"/>
      <sheetData sheetId="21814" refreshError="1"/>
      <sheetData sheetId="21815" refreshError="1"/>
      <sheetData sheetId="21816" refreshError="1"/>
      <sheetData sheetId="21817" refreshError="1"/>
      <sheetData sheetId="21818" refreshError="1"/>
      <sheetData sheetId="21819" refreshError="1"/>
      <sheetData sheetId="21820" refreshError="1"/>
      <sheetData sheetId="21821"/>
      <sheetData sheetId="21822"/>
      <sheetData sheetId="21823"/>
      <sheetData sheetId="21824" refreshError="1"/>
      <sheetData sheetId="21825" refreshError="1"/>
      <sheetData sheetId="21826" refreshError="1"/>
      <sheetData sheetId="21827" refreshError="1"/>
      <sheetData sheetId="21828" refreshError="1"/>
      <sheetData sheetId="21829" refreshError="1"/>
      <sheetData sheetId="21830" refreshError="1"/>
      <sheetData sheetId="21831" refreshError="1"/>
      <sheetData sheetId="21832" refreshError="1"/>
      <sheetData sheetId="21833" refreshError="1"/>
      <sheetData sheetId="21834" refreshError="1"/>
      <sheetData sheetId="21835" refreshError="1"/>
      <sheetData sheetId="21836" refreshError="1"/>
      <sheetData sheetId="21837" refreshError="1"/>
      <sheetData sheetId="21838" refreshError="1"/>
      <sheetData sheetId="21839" refreshError="1"/>
      <sheetData sheetId="21840" refreshError="1"/>
      <sheetData sheetId="21841" refreshError="1"/>
      <sheetData sheetId="21842" refreshError="1"/>
      <sheetData sheetId="21843" refreshError="1"/>
      <sheetData sheetId="21844" refreshError="1"/>
      <sheetData sheetId="21845" refreshError="1"/>
      <sheetData sheetId="21846" refreshError="1"/>
      <sheetData sheetId="21847" refreshError="1"/>
      <sheetData sheetId="21848" refreshError="1"/>
      <sheetData sheetId="21849" refreshError="1"/>
      <sheetData sheetId="21850" refreshError="1"/>
      <sheetData sheetId="21851" refreshError="1"/>
      <sheetData sheetId="21852" refreshError="1"/>
      <sheetData sheetId="21853" refreshError="1"/>
      <sheetData sheetId="21854" refreshError="1"/>
      <sheetData sheetId="21855" refreshError="1"/>
      <sheetData sheetId="21856" refreshError="1"/>
      <sheetData sheetId="21857" refreshError="1"/>
      <sheetData sheetId="21858" refreshError="1"/>
      <sheetData sheetId="21859" refreshError="1"/>
      <sheetData sheetId="21860" refreshError="1"/>
      <sheetData sheetId="21861" refreshError="1"/>
      <sheetData sheetId="21862" refreshError="1"/>
      <sheetData sheetId="21863" refreshError="1"/>
      <sheetData sheetId="21864" refreshError="1"/>
      <sheetData sheetId="21865" refreshError="1"/>
      <sheetData sheetId="21866" refreshError="1"/>
      <sheetData sheetId="21867" refreshError="1"/>
      <sheetData sheetId="21868" refreshError="1"/>
      <sheetData sheetId="21869" refreshError="1"/>
      <sheetData sheetId="21870" refreshError="1"/>
      <sheetData sheetId="21871" refreshError="1"/>
      <sheetData sheetId="21872" refreshError="1"/>
      <sheetData sheetId="21873" refreshError="1"/>
      <sheetData sheetId="21874" refreshError="1"/>
      <sheetData sheetId="21875" refreshError="1"/>
      <sheetData sheetId="21876" refreshError="1"/>
      <sheetData sheetId="21877" refreshError="1"/>
      <sheetData sheetId="21878" refreshError="1"/>
      <sheetData sheetId="21879" refreshError="1"/>
      <sheetData sheetId="21880" refreshError="1"/>
      <sheetData sheetId="21881" refreshError="1"/>
      <sheetData sheetId="21882" refreshError="1"/>
      <sheetData sheetId="21883" refreshError="1"/>
      <sheetData sheetId="21884" refreshError="1"/>
      <sheetData sheetId="21885" refreshError="1"/>
      <sheetData sheetId="21886" refreshError="1"/>
      <sheetData sheetId="21887" refreshError="1"/>
      <sheetData sheetId="21888" refreshError="1"/>
      <sheetData sheetId="21889" refreshError="1"/>
      <sheetData sheetId="21890" refreshError="1"/>
      <sheetData sheetId="21891" refreshError="1"/>
      <sheetData sheetId="21892" refreshError="1"/>
      <sheetData sheetId="21893" refreshError="1"/>
      <sheetData sheetId="21894" refreshError="1"/>
      <sheetData sheetId="21895" refreshError="1"/>
      <sheetData sheetId="21896" refreshError="1"/>
      <sheetData sheetId="21897"/>
      <sheetData sheetId="21898"/>
      <sheetData sheetId="21899" refreshError="1"/>
      <sheetData sheetId="21900" refreshError="1"/>
      <sheetData sheetId="21901" refreshError="1"/>
      <sheetData sheetId="21902" refreshError="1"/>
      <sheetData sheetId="21903" refreshError="1"/>
      <sheetData sheetId="21904" refreshError="1"/>
      <sheetData sheetId="21905" refreshError="1"/>
      <sheetData sheetId="21906"/>
      <sheetData sheetId="21907"/>
      <sheetData sheetId="21908" refreshError="1"/>
      <sheetData sheetId="21909"/>
      <sheetData sheetId="21910"/>
      <sheetData sheetId="21911"/>
      <sheetData sheetId="21912"/>
      <sheetData sheetId="21913"/>
      <sheetData sheetId="21914"/>
      <sheetData sheetId="21915"/>
      <sheetData sheetId="21916"/>
      <sheetData sheetId="21917"/>
      <sheetData sheetId="21918"/>
      <sheetData sheetId="21919"/>
      <sheetData sheetId="21920"/>
      <sheetData sheetId="21921"/>
      <sheetData sheetId="21922"/>
      <sheetData sheetId="21923"/>
      <sheetData sheetId="21924" refreshError="1"/>
      <sheetData sheetId="21925" refreshError="1"/>
      <sheetData sheetId="21926"/>
      <sheetData sheetId="21927"/>
      <sheetData sheetId="21928"/>
      <sheetData sheetId="21929"/>
      <sheetData sheetId="21930"/>
      <sheetData sheetId="21931"/>
      <sheetData sheetId="21932"/>
      <sheetData sheetId="21933"/>
      <sheetData sheetId="21934"/>
      <sheetData sheetId="21935"/>
      <sheetData sheetId="21936"/>
      <sheetData sheetId="21937"/>
      <sheetData sheetId="21938"/>
      <sheetData sheetId="21939"/>
      <sheetData sheetId="21940"/>
      <sheetData sheetId="21941"/>
      <sheetData sheetId="21942"/>
      <sheetData sheetId="21943"/>
      <sheetData sheetId="21944"/>
      <sheetData sheetId="21945"/>
      <sheetData sheetId="21946"/>
      <sheetData sheetId="21947"/>
      <sheetData sheetId="21948"/>
      <sheetData sheetId="21949"/>
      <sheetData sheetId="21950"/>
      <sheetData sheetId="21951"/>
      <sheetData sheetId="21952"/>
      <sheetData sheetId="21953"/>
      <sheetData sheetId="21954"/>
      <sheetData sheetId="21955"/>
      <sheetData sheetId="21956"/>
      <sheetData sheetId="21957"/>
      <sheetData sheetId="21958"/>
      <sheetData sheetId="21959"/>
      <sheetData sheetId="21960"/>
      <sheetData sheetId="21961"/>
      <sheetData sheetId="21962"/>
      <sheetData sheetId="21963"/>
      <sheetData sheetId="21964"/>
      <sheetData sheetId="21965"/>
      <sheetData sheetId="21966"/>
      <sheetData sheetId="21967"/>
      <sheetData sheetId="21968"/>
      <sheetData sheetId="21969"/>
      <sheetData sheetId="21970"/>
      <sheetData sheetId="21971"/>
      <sheetData sheetId="21972"/>
      <sheetData sheetId="21973"/>
      <sheetData sheetId="21974"/>
      <sheetData sheetId="21975"/>
      <sheetData sheetId="21976"/>
      <sheetData sheetId="21977"/>
      <sheetData sheetId="21978"/>
      <sheetData sheetId="21979"/>
      <sheetData sheetId="21980"/>
      <sheetData sheetId="21981"/>
      <sheetData sheetId="21982"/>
      <sheetData sheetId="21983"/>
      <sheetData sheetId="21984"/>
      <sheetData sheetId="21985"/>
      <sheetData sheetId="21986"/>
      <sheetData sheetId="21987"/>
      <sheetData sheetId="21988"/>
      <sheetData sheetId="21989"/>
      <sheetData sheetId="21990"/>
      <sheetData sheetId="21991"/>
      <sheetData sheetId="21992"/>
      <sheetData sheetId="21993"/>
      <sheetData sheetId="21994"/>
      <sheetData sheetId="21995"/>
      <sheetData sheetId="21996"/>
      <sheetData sheetId="21997"/>
      <sheetData sheetId="21998"/>
      <sheetData sheetId="21999"/>
      <sheetData sheetId="22000"/>
      <sheetData sheetId="22001"/>
      <sheetData sheetId="22002"/>
      <sheetData sheetId="22003"/>
      <sheetData sheetId="22004"/>
      <sheetData sheetId="22005"/>
      <sheetData sheetId="22006"/>
      <sheetData sheetId="22007"/>
      <sheetData sheetId="22008"/>
      <sheetData sheetId="22009"/>
      <sheetData sheetId="22010"/>
      <sheetData sheetId="22011"/>
      <sheetData sheetId="22012"/>
      <sheetData sheetId="22013"/>
      <sheetData sheetId="22014" refreshError="1"/>
      <sheetData sheetId="22015" refreshError="1"/>
      <sheetData sheetId="22016" refreshError="1"/>
      <sheetData sheetId="22017"/>
      <sheetData sheetId="22018"/>
      <sheetData sheetId="22019"/>
      <sheetData sheetId="22020"/>
      <sheetData sheetId="22021"/>
      <sheetData sheetId="22022"/>
      <sheetData sheetId="22023"/>
      <sheetData sheetId="22024"/>
      <sheetData sheetId="22025"/>
      <sheetData sheetId="22026"/>
      <sheetData sheetId="22027"/>
      <sheetData sheetId="22028"/>
      <sheetData sheetId="22029"/>
      <sheetData sheetId="22030"/>
      <sheetData sheetId="22031"/>
      <sheetData sheetId="22032"/>
      <sheetData sheetId="22033"/>
      <sheetData sheetId="22034" refreshError="1"/>
      <sheetData sheetId="22035"/>
      <sheetData sheetId="22036"/>
      <sheetData sheetId="22037"/>
      <sheetData sheetId="22038"/>
      <sheetData sheetId="22039"/>
      <sheetData sheetId="22040"/>
      <sheetData sheetId="22041"/>
      <sheetData sheetId="22042"/>
      <sheetData sheetId="22043"/>
      <sheetData sheetId="22044"/>
      <sheetData sheetId="22045"/>
      <sheetData sheetId="22046"/>
      <sheetData sheetId="22047"/>
      <sheetData sheetId="22048"/>
      <sheetData sheetId="22049"/>
      <sheetData sheetId="22050"/>
      <sheetData sheetId="22051"/>
      <sheetData sheetId="22052"/>
      <sheetData sheetId="22053"/>
      <sheetData sheetId="22054"/>
      <sheetData sheetId="22055"/>
      <sheetData sheetId="22056"/>
      <sheetData sheetId="22057"/>
      <sheetData sheetId="22058"/>
      <sheetData sheetId="22059"/>
      <sheetData sheetId="22060"/>
      <sheetData sheetId="22061"/>
      <sheetData sheetId="22062"/>
      <sheetData sheetId="22063"/>
      <sheetData sheetId="22064"/>
      <sheetData sheetId="22065"/>
      <sheetData sheetId="22066"/>
      <sheetData sheetId="22067"/>
      <sheetData sheetId="22068"/>
      <sheetData sheetId="22069"/>
      <sheetData sheetId="22070"/>
      <sheetData sheetId="22071"/>
      <sheetData sheetId="22072"/>
      <sheetData sheetId="22073"/>
      <sheetData sheetId="22074"/>
      <sheetData sheetId="22075"/>
      <sheetData sheetId="22076"/>
      <sheetData sheetId="22077"/>
      <sheetData sheetId="22078"/>
      <sheetData sheetId="22079"/>
      <sheetData sheetId="22080"/>
      <sheetData sheetId="22081"/>
      <sheetData sheetId="22082"/>
      <sheetData sheetId="22083"/>
      <sheetData sheetId="22084"/>
      <sheetData sheetId="22085"/>
      <sheetData sheetId="22086"/>
      <sheetData sheetId="22087"/>
      <sheetData sheetId="22088"/>
      <sheetData sheetId="22089"/>
      <sheetData sheetId="22090"/>
      <sheetData sheetId="22091"/>
      <sheetData sheetId="22092"/>
      <sheetData sheetId="22093"/>
      <sheetData sheetId="22094"/>
      <sheetData sheetId="22095"/>
      <sheetData sheetId="22096"/>
      <sheetData sheetId="22097"/>
      <sheetData sheetId="22098"/>
      <sheetData sheetId="22099"/>
      <sheetData sheetId="22100"/>
      <sheetData sheetId="22101"/>
      <sheetData sheetId="22102"/>
      <sheetData sheetId="22103"/>
      <sheetData sheetId="22104"/>
      <sheetData sheetId="22105"/>
      <sheetData sheetId="22106"/>
      <sheetData sheetId="22107"/>
      <sheetData sheetId="22108"/>
      <sheetData sheetId="22109"/>
      <sheetData sheetId="22110"/>
      <sheetData sheetId="22111" refreshError="1"/>
      <sheetData sheetId="22112"/>
      <sheetData sheetId="22113"/>
      <sheetData sheetId="22114" refreshError="1"/>
      <sheetData sheetId="22115" refreshError="1"/>
      <sheetData sheetId="22116" refreshError="1"/>
      <sheetData sheetId="22117" refreshError="1"/>
      <sheetData sheetId="22118" refreshError="1"/>
      <sheetData sheetId="22119" refreshError="1"/>
      <sheetData sheetId="22120"/>
      <sheetData sheetId="22121"/>
      <sheetData sheetId="22122"/>
      <sheetData sheetId="22123"/>
      <sheetData sheetId="22124"/>
      <sheetData sheetId="22125"/>
      <sheetData sheetId="22126"/>
      <sheetData sheetId="22127"/>
      <sheetData sheetId="22128"/>
      <sheetData sheetId="22129"/>
      <sheetData sheetId="22130"/>
      <sheetData sheetId="22131"/>
      <sheetData sheetId="22132"/>
      <sheetData sheetId="22133"/>
      <sheetData sheetId="22134"/>
      <sheetData sheetId="22135"/>
      <sheetData sheetId="22136"/>
      <sheetData sheetId="22137" refreshError="1"/>
      <sheetData sheetId="22138"/>
      <sheetData sheetId="22139"/>
      <sheetData sheetId="22140"/>
      <sheetData sheetId="22141"/>
      <sheetData sheetId="22142"/>
      <sheetData sheetId="22143"/>
      <sheetData sheetId="22144"/>
      <sheetData sheetId="22145"/>
      <sheetData sheetId="22146"/>
      <sheetData sheetId="22147"/>
      <sheetData sheetId="22148"/>
      <sheetData sheetId="22149"/>
      <sheetData sheetId="22150"/>
      <sheetData sheetId="22151"/>
      <sheetData sheetId="22152"/>
      <sheetData sheetId="22153"/>
      <sheetData sheetId="22154"/>
      <sheetData sheetId="22155"/>
      <sheetData sheetId="22156"/>
      <sheetData sheetId="22157"/>
      <sheetData sheetId="22158"/>
      <sheetData sheetId="22159"/>
      <sheetData sheetId="22160"/>
      <sheetData sheetId="22161"/>
      <sheetData sheetId="22162"/>
      <sheetData sheetId="22163"/>
      <sheetData sheetId="22164"/>
      <sheetData sheetId="22165"/>
      <sheetData sheetId="22166"/>
      <sheetData sheetId="22167"/>
      <sheetData sheetId="22168"/>
      <sheetData sheetId="22169"/>
      <sheetData sheetId="22170"/>
      <sheetData sheetId="22171"/>
      <sheetData sheetId="22172"/>
      <sheetData sheetId="22173"/>
      <sheetData sheetId="22174"/>
      <sheetData sheetId="22175"/>
      <sheetData sheetId="22176"/>
      <sheetData sheetId="22177"/>
      <sheetData sheetId="22178"/>
      <sheetData sheetId="22179"/>
      <sheetData sheetId="22180"/>
      <sheetData sheetId="22181"/>
      <sheetData sheetId="22182"/>
      <sheetData sheetId="22183"/>
      <sheetData sheetId="22184"/>
      <sheetData sheetId="22185"/>
      <sheetData sheetId="22186"/>
      <sheetData sheetId="22187"/>
      <sheetData sheetId="22188"/>
      <sheetData sheetId="22189"/>
      <sheetData sheetId="22190"/>
      <sheetData sheetId="22191"/>
      <sheetData sheetId="22192"/>
      <sheetData sheetId="22193"/>
      <sheetData sheetId="22194"/>
      <sheetData sheetId="22195"/>
      <sheetData sheetId="22196"/>
      <sheetData sheetId="22197"/>
      <sheetData sheetId="22198"/>
      <sheetData sheetId="22199"/>
      <sheetData sheetId="22200"/>
      <sheetData sheetId="22201"/>
      <sheetData sheetId="22202"/>
      <sheetData sheetId="22203"/>
      <sheetData sheetId="22204"/>
      <sheetData sheetId="22205"/>
      <sheetData sheetId="22206"/>
      <sheetData sheetId="22207"/>
      <sheetData sheetId="22208"/>
      <sheetData sheetId="22209"/>
      <sheetData sheetId="22210"/>
      <sheetData sheetId="22211"/>
      <sheetData sheetId="22212"/>
      <sheetData sheetId="22213"/>
      <sheetData sheetId="22214"/>
      <sheetData sheetId="22215"/>
      <sheetData sheetId="22216"/>
      <sheetData sheetId="22217"/>
      <sheetData sheetId="22218"/>
      <sheetData sheetId="22219"/>
      <sheetData sheetId="22220"/>
      <sheetData sheetId="22221"/>
      <sheetData sheetId="22222"/>
      <sheetData sheetId="22223"/>
      <sheetData sheetId="22224"/>
      <sheetData sheetId="22225"/>
      <sheetData sheetId="22226"/>
      <sheetData sheetId="22227"/>
      <sheetData sheetId="22228"/>
      <sheetData sheetId="22229"/>
      <sheetData sheetId="22230"/>
      <sheetData sheetId="22231"/>
      <sheetData sheetId="22232"/>
      <sheetData sheetId="22233"/>
      <sheetData sheetId="22234"/>
      <sheetData sheetId="22235"/>
      <sheetData sheetId="22236"/>
      <sheetData sheetId="22237"/>
      <sheetData sheetId="22238"/>
      <sheetData sheetId="22239"/>
      <sheetData sheetId="22240"/>
      <sheetData sheetId="22241"/>
      <sheetData sheetId="22242"/>
      <sheetData sheetId="22243"/>
      <sheetData sheetId="22244"/>
      <sheetData sheetId="22245"/>
      <sheetData sheetId="22246"/>
      <sheetData sheetId="22247"/>
      <sheetData sheetId="22248"/>
      <sheetData sheetId="22249"/>
      <sheetData sheetId="22250"/>
      <sheetData sheetId="22251"/>
      <sheetData sheetId="22252"/>
      <sheetData sheetId="22253"/>
      <sheetData sheetId="22254"/>
      <sheetData sheetId="22255"/>
      <sheetData sheetId="22256"/>
      <sheetData sheetId="22257"/>
      <sheetData sheetId="22258"/>
      <sheetData sheetId="22259"/>
      <sheetData sheetId="22260"/>
      <sheetData sheetId="22261"/>
      <sheetData sheetId="22262"/>
      <sheetData sheetId="22263"/>
      <sheetData sheetId="22264"/>
      <sheetData sheetId="22265"/>
      <sheetData sheetId="22266"/>
      <sheetData sheetId="22267"/>
      <sheetData sheetId="22268"/>
      <sheetData sheetId="22269"/>
      <sheetData sheetId="22270"/>
      <sheetData sheetId="22271"/>
      <sheetData sheetId="22272"/>
      <sheetData sheetId="22273"/>
      <sheetData sheetId="22274"/>
      <sheetData sheetId="22275"/>
      <sheetData sheetId="22276"/>
      <sheetData sheetId="22277"/>
      <sheetData sheetId="22278"/>
      <sheetData sheetId="22279"/>
      <sheetData sheetId="22280"/>
      <sheetData sheetId="22281"/>
      <sheetData sheetId="22282"/>
      <sheetData sheetId="22283"/>
      <sheetData sheetId="22284"/>
      <sheetData sheetId="22285"/>
      <sheetData sheetId="22286"/>
      <sheetData sheetId="22287"/>
      <sheetData sheetId="22288"/>
      <sheetData sheetId="22289"/>
      <sheetData sheetId="22290"/>
      <sheetData sheetId="22291"/>
      <sheetData sheetId="22292"/>
      <sheetData sheetId="22293"/>
      <sheetData sheetId="22294"/>
      <sheetData sheetId="22295"/>
      <sheetData sheetId="22296"/>
      <sheetData sheetId="22297"/>
      <sheetData sheetId="22298"/>
      <sheetData sheetId="22299"/>
      <sheetData sheetId="22300"/>
      <sheetData sheetId="22301"/>
      <sheetData sheetId="22302"/>
      <sheetData sheetId="22303"/>
      <sheetData sheetId="22304"/>
      <sheetData sheetId="22305"/>
      <sheetData sheetId="22306"/>
      <sheetData sheetId="22307"/>
      <sheetData sheetId="22308"/>
      <sheetData sheetId="22309"/>
      <sheetData sheetId="22310"/>
      <sheetData sheetId="22311"/>
      <sheetData sheetId="22312"/>
      <sheetData sheetId="22313"/>
      <sheetData sheetId="22314"/>
      <sheetData sheetId="22315"/>
      <sheetData sheetId="22316"/>
      <sheetData sheetId="22317"/>
      <sheetData sheetId="22318"/>
      <sheetData sheetId="22319"/>
      <sheetData sheetId="22320"/>
      <sheetData sheetId="22321"/>
      <sheetData sheetId="22322"/>
      <sheetData sheetId="22323"/>
      <sheetData sheetId="22324"/>
      <sheetData sheetId="22325"/>
      <sheetData sheetId="22326"/>
      <sheetData sheetId="22327"/>
      <sheetData sheetId="22328"/>
      <sheetData sheetId="22329"/>
      <sheetData sheetId="22330"/>
      <sheetData sheetId="22331"/>
      <sheetData sheetId="22332"/>
      <sheetData sheetId="22333"/>
      <sheetData sheetId="22334"/>
      <sheetData sheetId="22335"/>
      <sheetData sheetId="22336"/>
      <sheetData sheetId="22337"/>
      <sheetData sheetId="22338"/>
      <sheetData sheetId="22339"/>
      <sheetData sheetId="22340"/>
      <sheetData sheetId="22341"/>
      <sheetData sheetId="22342"/>
      <sheetData sheetId="22343"/>
      <sheetData sheetId="22344"/>
      <sheetData sheetId="22345"/>
      <sheetData sheetId="22346"/>
      <sheetData sheetId="22347"/>
      <sheetData sheetId="22348"/>
      <sheetData sheetId="22349"/>
      <sheetData sheetId="22350"/>
      <sheetData sheetId="22351"/>
      <sheetData sheetId="22352"/>
      <sheetData sheetId="22353"/>
      <sheetData sheetId="22354"/>
      <sheetData sheetId="22355"/>
      <sheetData sheetId="22356"/>
      <sheetData sheetId="22357"/>
      <sheetData sheetId="22358"/>
      <sheetData sheetId="22359"/>
      <sheetData sheetId="22360"/>
      <sheetData sheetId="22361"/>
      <sheetData sheetId="22362"/>
      <sheetData sheetId="22363"/>
      <sheetData sheetId="22364"/>
      <sheetData sheetId="22365"/>
      <sheetData sheetId="22366"/>
      <sheetData sheetId="22367"/>
      <sheetData sheetId="22368"/>
      <sheetData sheetId="22369"/>
      <sheetData sheetId="22370"/>
      <sheetData sheetId="22371"/>
      <sheetData sheetId="22372"/>
      <sheetData sheetId="22373"/>
      <sheetData sheetId="22374"/>
      <sheetData sheetId="22375"/>
      <sheetData sheetId="22376"/>
      <sheetData sheetId="22377"/>
      <sheetData sheetId="22378"/>
      <sheetData sheetId="22379"/>
      <sheetData sheetId="22380"/>
      <sheetData sheetId="22381"/>
      <sheetData sheetId="22382"/>
      <sheetData sheetId="22383"/>
      <sheetData sheetId="22384"/>
      <sheetData sheetId="22385"/>
      <sheetData sheetId="22386"/>
      <sheetData sheetId="22387"/>
      <sheetData sheetId="22388"/>
      <sheetData sheetId="22389"/>
      <sheetData sheetId="22390"/>
      <sheetData sheetId="22391"/>
      <sheetData sheetId="22392"/>
      <sheetData sheetId="22393"/>
      <sheetData sheetId="22394"/>
      <sheetData sheetId="22395"/>
      <sheetData sheetId="22396"/>
      <sheetData sheetId="22397"/>
      <sheetData sheetId="22398"/>
      <sheetData sheetId="22399"/>
      <sheetData sheetId="22400"/>
      <sheetData sheetId="22401"/>
      <sheetData sheetId="22402"/>
      <sheetData sheetId="22403"/>
      <sheetData sheetId="22404"/>
      <sheetData sheetId="22405"/>
      <sheetData sheetId="22406"/>
      <sheetData sheetId="22407"/>
      <sheetData sheetId="22408"/>
      <sheetData sheetId="22409"/>
      <sheetData sheetId="22410"/>
      <sheetData sheetId="22411"/>
      <sheetData sheetId="22412"/>
      <sheetData sheetId="22413"/>
      <sheetData sheetId="22414"/>
      <sheetData sheetId="22415"/>
      <sheetData sheetId="22416"/>
      <sheetData sheetId="22417"/>
      <sheetData sheetId="22418"/>
      <sheetData sheetId="22419"/>
      <sheetData sheetId="22420"/>
      <sheetData sheetId="22421"/>
      <sheetData sheetId="22422"/>
      <sheetData sheetId="22423"/>
      <sheetData sheetId="22424"/>
      <sheetData sheetId="22425"/>
      <sheetData sheetId="22426"/>
      <sheetData sheetId="22427"/>
      <sheetData sheetId="22428"/>
      <sheetData sheetId="22429"/>
      <sheetData sheetId="22430"/>
      <sheetData sheetId="22431"/>
      <sheetData sheetId="22432"/>
      <sheetData sheetId="22433"/>
      <sheetData sheetId="22434"/>
      <sheetData sheetId="22435"/>
      <sheetData sheetId="22436"/>
      <sheetData sheetId="22437"/>
      <sheetData sheetId="22438"/>
      <sheetData sheetId="22439"/>
      <sheetData sheetId="22440"/>
      <sheetData sheetId="22441"/>
      <sheetData sheetId="22442"/>
      <sheetData sheetId="22443"/>
      <sheetData sheetId="22444"/>
      <sheetData sheetId="22445"/>
      <sheetData sheetId="22446"/>
      <sheetData sheetId="22447"/>
      <sheetData sheetId="22448"/>
      <sheetData sheetId="22449"/>
      <sheetData sheetId="22450"/>
      <sheetData sheetId="22451"/>
      <sheetData sheetId="22452"/>
      <sheetData sheetId="22453"/>
      <sheetData sheetId="22454"/>
      <sheetData sheetId="22455"/>
      <sheetData sheetId="22456"/>
      <sheetData sheetId="22457"/>
      <sheetData sheetId="22458"/>
      <sheetData sheetId="22459"/>
      <sheetData sheetId="22460"/>
      <sheetData sheetId="22461"/>
      <sheetData sheetId="22462"/>
      <sheetData sheetId="22463"/>
      <sheetData sheetId="22464"/>
      <sheetData sheetId="22465"/>
      <sheetData sheetId="22466"/>
      <sheetData sheetId="22467"/>
      <sheetData sheetId="22468"/>
      <sheetData sheetId="22469"/>
      <sheetData sheetId="22470"/>
      <sheetData sheetId="22471"/>
      <sheetData sheetId="22472"/>
      <sheetData sheetId="22473"/>
      <sheetData sheetId="22474"/>
      <sheetData sheetId="22475"/>
      <sheetData sheetId="22476"/>
      <sheetData sheetId="22477"/>
      <sheetData sheetId="22478"/>
      <sheetData sheetId="22479"/>
      <sheetData sheetId="22480"/>
      <sheetData sheetId="22481"/>
      <sheetData sheetId="22482"/>
      <sheetData sheetId="22483"/>
      <sheetData sheetId="22484"/>
      <sheetData sheetId="22485"/>
      <sheetData sheetId="22486"/>
      <sheetData sheetId="22487"/>
      <sheetData sheetId="22488"/>
      <sheetData sheetId="22489"/>
      <sheetData sheetId="22490"/>
      <sheetData sheetId="22491"/>
      <sheetData sheetId="22492"/>
      <sheetData sheetId="22493"/>
      <sheetData sheetId="22494"/>
      <sheetData sheetId="22495"/>
      <sheetData sheetId="22496"/>
      <sheetData sheetId="22497"/>
      <sheetData sheetId="22498"/>
      <sheetData sheetId="22499"/>
      <sheetData sheetId="22500"/>
      <sheetData sheetId="22501"/>
      <sheetData sheetId="22502"/>
      <sheetData sheetId="22503"/>
      <sheetData sheetId="22504"/>
      <sheetData sheetId="22505"/>
      <sheetData sheetId="22506"/>
      <sheetData sheetId="22507"/>
      <sheetData sheetId="22508"/>
      <sheetData sheetId="22509"/>
      <sheetData sheetId="22510"/>
      <sheetData sheetId="22511"/>
      <sheetData sheetId="22512"/>
      <sheetData sheetId="22513"/>
      <sheetData sheetId="22514"/>
      <sheetData sheetId="22515"/>
      <sheetData sheetId="22516"/>
      <sheetData sheetId="22517"/>
      <sheetData sheetId="22518"/>
      <sheetData sheetId="22519"/>
      <sheetData sheetId="22520"/>
      <sheetData sheetId="22521"/>
      <sheetData sheetId="22522"/>
      <sheetData sheetId="22523"/>
      <sheetData sheetId="22524"/>
      <sheetData sheetId="22525"/>
      <sheetData sheetId="22526"/>
      <sheetData sheetId="22527"/>
      <sheetData sheetId="22528"/>
      <sheetData sheetId="22529"/>
      <sheetData sheetId="22530"/>
      <sheetData sheetId="22531"/>
      <sheetData sheetId="22532"/>
      <sheetData sheetId="22533"/>
      <sheetData sheetId="22534"/>
      <sheetData sheetId="22535"/>
      <sheetData sheetId="22536"/>
      <sheetData sheetId="22537"/>
      <sheetData sheetId="22538"/>
      <sheetData sheetId="22539"/>
      <sheetData sheetId="22540"/>
      <sheetData sheetId="22541"/>
      <sheetData sheetId="22542"/>
      <sheetData sheetId="22543"/>
      <sheetData sheetId="22544"/>
      <sheetData sheetId="22545"/>
      <sheetData sheetId="22546"/>
      <sheetData sheetId="22547"/>
      <sheetData sheetId="22548"/>
      <sheetData sheetId="22549"/>
      <sheetData sheetId="22550"/>
      <sheetData sheetId="22551"/>
      <sheetData sheetId="22552"/>
      <sheetData sheetId="22553"/>
      <sheetData sheetId="22554"/>
      <sheetData sheetId="22555"/>
      <sheetData sheetId="22556"/>
      <sheetData sheetId="22557"/>
      <sheetData sheetId="22558"/>
      <sheetData sheetId="22559"/>
      <sheetData sheetId="22560"/>
      <sheetData sheetId="22561"/>
      <sheetData sheetId="22562"/>
      <sheetData sheetId="22563"/>
      <sheetData sheetId="22564"/>
      <sheetData sheetId="22565"/>
      <sheetData sheetId="22566"/>
      <sheetData sheetId="22567"/>
      <sheetData sheetId="22568"/>
      <sheetData sheetId="22569"/>
      <sheetData sheetId="22570"/>
      <sheetData sheetId="22571"/>
      <sheetData sheetId="22572"/>
      <sheetData sheetId="22573"/>
      <sheetData sheetId="22574"/>
      <sheetData sheetId="22575"/>
      <sheetData sheetId="22576"/>
      <sheetData sheetId="22577"/>
      <sheetData sheetId="22578"/>
      <sheetData sheetId="22579"/>
      <sheetData sheetId="22580"/>
      <sheetData sheetId="22581"/>
      <sheetData sheetId="22582"/>
      <sheetData sheetId="22583"/>
      <sheetData sheetId="22584"/>
      <sheetData sheetId="22585"/>
      <sheetData sheetId="22586"/>
      <sheetData sheetId="22587"/>
      <sheetData sheetId="22588"/>
      <sheetData sheetId="22589"/>
      <sheetData sheetId="22590"/>
      <sheetData sheetId="22591"/>
      <sheetData sheetId="22592"/>
      <sheetData sheetId="22593"/>
      <sheetData sheetId="22594"/>
      <sheetData sheetId="22595"/>
      <sheetData sheetId="22596"/>
      <sheetData sheetId="22597"/>
      <sheetData sheetId="22598"/>
      <sheetData sheetId="22599"/>
      <sheetData sheetId="22600"/>
      <sheetData sheetId="22601"/>
      <sheetData sheetId="22602"/>
      <sheetData sheetId="22603"/>
      <sheetData sheetId="22604"/>
      <sheetData sheetId="22605"/>
      <sheetData sheetId="22606"/>
      <sheetData sheetId="22607"/>
      <sheetData sheetId="22608"/>
      <sheetData sheetId="22609"/>
      <sheetData sheetId="22610"/>
      <sheetData sheetId="22611"/>
      <sheetData sheetId="22612"/>
      <sheetData sheetId="22613"/>
      <sheetData sheetId="22614"/>
      <sheetData sheetId="22615"/>
      <sheetData sheetId="22616"/>
      <sheetData sheetId="22617"/>
      <sheetData sheetId="22618"/>
      <sheetData sheetId="22619"/>
      <sheetData sheetId="22620"/>
      <sheetData sheetId="22621"/>
      <sheetData sheetId="22622"/>
      <sheetData sheetId="22623"/>
      <sheetData sheetId="22624"/>
      <sheetData sheetId="22625"/>
      <sheetData sheetId="22626"/>
      <sheetData sheetId="22627"/>
      <sheetData sheetId="22628"/>
      <sheetData sheetId="22629"/>
      <sheetData sheetId="22630"/>
      <sheetData sheetId="22631"/>
      <sheetData sheetId="22632"/>
      <sheetData sheetId="22633"/>
      <sheetData sheetId="22634"/>
      <sheetData sheetId="22635"/>
      <sheetData sheetId="22636"/>
      <sheetData sheetId="22637"/>
      <sheetData sheetId="22638"/>
      <sheetData sheetId="22639"/>
      <sheetData sheetId="22640"/>
      <sheetData sheetId="22641"/>
      <sheetData sheetId="22642"/>
      <sheetData sheetId="22643"/>
      <sheetData sheetId="22644"/>
      <sheetData sheetId="22645"/>
      <sheetData sheetId="22646"/>
      <sheetData sheetId="22647"/>
      <sheetData sheetId="22648"/>
      <sheetData sheetId="22649"/>
      <sheetData sheetId="22650"/>
      <sheetData sheetId="22651"/>
      <sheetData sheetId="22652"/>
      <sheetData sheetId="22653"/>
      <sheetData sheetId="22654"/>
      <sheetData sheetId="22655"/>
      <sheetData sheetId="22656"/>
      <sheetData sheetId="22657"/>
      <sheetData sheetId="22658"/>
      <sheetData sheetId="22659"/>
      <sheetData sheetId="22660"/>
      <sheetData sheetId="22661"/>
      <sheetData sheetId="22662"/>
      <sheetData sheetId="22663"/>
      <sheetData sheetId="22664"/>
      <sheetData sheetId="22665"/>
      <sheetData sheetId="22666"/>
      <sheetData sheetId="22667"/>
      <sheetData sheetId="22668"/>
      <sheetData sheetId="22669"/>
      <sheetData sheetId="22670"/>
      <sheetData sheetId="22671"/>
      <sheetData sheetId="22672"/>
      <sheetData sheetId="22673"/>
      <sheetData sheetId="22674"/>
      <sheetData sheetId="22675"/>
      <sheetData sheetId="22676"/>
      <sheetData sheetId="22677"/>
      <sheetData sheetId="22678"/>
      <sheetData sheetId="22679"/>
      <sheetData sheetId="22680"/>
      <sheetData sheetId="22681"/>
      <sheetData sheetId="22682"/>
      <sheetData sheetId="22683"/>
      <sheetData sheetId="22684"/>
      <sheetData sheetId="22685"/>
      <sheetData sheetId="22686"/>
      <sheetData sheetId="22687"/>
      <sheetData sheetId="22688"/>
      <sheetData sheetId="22689"/>
      <sheetData sheetId="22690"/>
      <sheetData sheetId="22691"/>
      <sheetData sheetId="22692"/>
      <sheetData sheetId="22693"/>
      <sheetData sheetId="22694"/>
      <sheetData sheetId="22695"/>
      <sheetData sheetId="22696"/>
      <sheetData sheetId="22697"/>
      <sheetData sheetId="22698"/>
      <sheetData sheetId="22699"/>
      <sheetData sheetId="22700"/>
      <sheetData sheetId="22701"/>
      <sheetData sheetId="22702"/>
      <sheetData sheetId="22703"/>
      <sheetData sheetId="22704"/>
      <sheetData sheetId="22705"/>
      <sheetData sheetId="22706"/>
      <sheetData sheetId="22707"/>
      <sheetData sheetId="22708"/>
      <sheetData sheetId="22709"/>
      <sheetData sheetId="22710"/>
      <sheetData sheetId="22711"/>
      <sheetData sheetId="22712"/>
      <sheetData sheetId="22713"/>
      <sheetData sheetId="22714"/>
      <sheetData sheetId="22715"/>
      <sheetData sheetId="22716"/>
      <sheetData sheetId="22717"/>
      <sheetData sheetId="22718"/>
      <sheetData sheetId="22719"/>
      <sheetData sheetId="22720"/>
      <sheetData sheetId="22721"/>
      <sheetData sheetId="22722"/>
      <sheetData sheetId="22723"/>
      <sheetData sheetId="22724"/>
      <sheetData sheetId="22725"/>
      <sheetData sheetId="22726"/>
      <sheetData sheetId="22727"/>
      <sheetData sheetId="22728"/>
      <sheetData sheetId="22729"/>
      <sheetData sheetId="22730"/>
      <sheetData sheetId="22731"/>
      <sheetData sheetId="22732"/>
      <sheetData sheetId="22733"/>
      <sheetData sheetId="22734"/>
      <sheetData sheetId="22735"/>
      <sheetData sheetId="22736"/>
      <sheetData sheetId="22737"/>
      <sheetData sheetId="22738"/>
      <sheetData sheetId="22739"/>
      <sheetData sheetId="22740"/>
      <sheetData sheetId="22741"/>
      <sheetData sheetId="22742"/>
      <sheetData sheetId="22743"/>
      <sheetData sheetId="22744"/>
      <sheetData sheetId="22745"/>
      <sheetData sheetId="22746"/>
      <sheetData sheetId="22747"/>
      <sheetData sheetId="22748"/>
      <sheetData sheetId="22749"/>
      <sheetData sheetId="22750"/>
      <sheetData sheetId="22751"/>
      <sheetData sheetId="22752"/>
      <sheetData sheetId="22753"/>
      <sheetData sheetId="22754"/>
      <sheetData sheetId="22755"/>
      <sheetData sheetId="22756"/>
      <sheetData sheetId="22757"/>
      <sheetData sheetId="22758"/>
      <sheetData sheetId="22759"/>
      <sheetData sheetId="22760"/>
      <sheetData sheetId="22761"/>
      <sheetData sheetId="22762"/>
      <sheetData sheetId="22763"/>
      <sheetData sheetId="22764"/>
      <sheetData sheetId="22765"/>
      <sheetData sheetId="22766"/>
      <sheetData sheetId="22767"/>
      <sheetData sheetId="22768"/>
      <sheetData sheetId="22769"/>
      <sheetData sheetId="22770"/>
      <sheetData sheetId="22771"/>
      <sheetData sheetId="22772"/>
      <sheetData sheetId="22773"/>
      <sheetData sheetId="22774"/>
      <sheetData sheetId="22775"/>
      <sheetData sheetId="22776"/>
      <sheetData sheetId="22777"/>
      <sheetData sheetId="22778"/>
      <sheetData sheetId="22779"/>
      <sheetData sheetId="22780"/>
      <sheetData sheetId="22781"/>
      <sheetData sheetId="22782"/>
      <sheetData sheetId="22783"/>
      <sheetData sheetId="22784"/>
      <sheetData sheetId="22785"/>
      <sheetData sheetId="22786"/>
      <sheetData sheetId="22787"/>
      <sheetData sheetId="22788"/>
      <sheetData sheetId="22789"/>
      <sheetData sheetId="22790"/>
      <sheetData sheetId="22791"/>
      <sheetData sheetId="22792"/>
      <sheetData sheetId="22793"/>
      <sheetData sheetId="22794"/>
      <sheetData sheetId="22795"/>
      <sheetData sheetId="22796"/>
      <sheetData sheetId="22797"/>
      <sheetData sheetId="22798"/>
      <sheetData sheetId="22799"/>
      <sheetData sheetId="22800"/>
      <sheetData sheetId="22801"/>
      <sheetData sheetId="22802"/>
      <sheetData sheetId="22803"/>
      <sheetData sheetId="22804"/>
      <sheetData sheetId="22805"/>
      <sheetData sheetId="22806"/>
      <sheetData sheetId="22807"/>
      <sheetData sheetId="22808"/>
      <sheetData sheetId="22809"/>
      <sheetData sheetId="22810"/>
      <sheetData sheetId="22811"/>
      <sheetData sheetId="22812"/>
      <sheetData sheetId="22813"/>
      <sheetData sheetId="22814"/>
      <sheetData sheetId="22815"/>
      <sheetData sheetId="22816"/>
      <sheetData sheetId="22817"/>
      <sheetData sheetId="22818"/>
      <sheetData sheetId="22819"/>
      <sheetData sheetId="22820"/>
      <sheetData sheetId="22821"/>
      <sheetData sheetId="22822"/>
      <sheetData sheetId="22823"/>
      <sheetData sheetId="22824"/>
      <sheetData sheetId="22825"/>
      <sheetData sheetId="22826"/>
      <sheetData sheetId="22827"/>
      <sheetData sheetId="22828"/>
      <sheetData sheetId="22829"/>
      <sheetData sheetId="22830"/>
      <sheetData sheetId="22831"/>
      <sheetData sheetId="22832"/>
      <sheetData sheetId="22833"/>
      <sheetData sheetId="22834"/>
      <sheetData sheetId="22835"/>
      <sheetData sheetId="22836"/>
      <sheetData sheetId="22837"/>
      <sheetData sheetId="22838"/>
      <sheetData sheetId="22839"/>
      <sheetData sheetId="22840"/>
      <sheetData sheetId="22841"/>
      <sheetData sheetId="22842"/>
      <sheetData sheetId="22843"/>
      <sheetData sheetId="22844"/>
      <sheetData sheetId="22845"/>
      <sheetData sheetId="22846"/>
      <sheetData sheetId="22847"/>
      <sheetData sheetId="22848"/>
      <sheetData sheetId="22849"/>
      <sheetData sheetId="22850"/>
      <sheetData sheetId="22851"/>
      <sheetData sheetId="22852"/>
      <sheetData sheetId="22853"/>
      <sheetData sheetId="22854"/>
      <sheetData sheetId="22855"/>
      <sheetData sheetId="22856"/>
      <sheetData sheetId="22857"/>
      <sheetData sheetId="22858"/>
      <sheetData sheetId="22859"/>
      <sheetData sheetId="22860"/>
      <sheetData sheetId="22861"/>
      <sheetData sheetId="22862"/>
      <sheetData sheetId="22863"/>
      <sheetData sheetId="22864"/>
      <sheetData sheetId="22865"/>
      <sheetData sheetId="22866"/>
      <sheetData sheetId="22867"/>
      <sheetData sheetId="22868"/>
      <sheetData sheetId="22869"/>
      <sheetData sheetId="22870"/>
      <sheetData sheetId="22871"/>
      <sheetData sheetId="22872"/>
      <sheetData sheetId="22873"/>
      <sheetData sheetId="22874"/>
      <sheetData sheetId="22875"/>
      <sheetData sheetId="22876"/>
      <sheetData sheetId="22877"/>
      <sheetData sheetId="22878"/>
      <sheetData sheetId="22879"/>
      <sheetData sheetId="22880"/>
      <sheetData sheetId="22881"/>
      <sheetData sheetId="22882"/>
      <sheetData sheetId="22883"/>
      <sheetData sheetId="22884"/>
      <sheetData sheetId="22885"/>
      <sheetData sheetId="22886"/>
      <sheetData sheetId="22887"/>
      <sheetData sheetId="22888"/>
      <sheetData sheetId="22889"/>
      <sheetData sheetId="22890"/>
      <sheetData sheetId="22891"/>
      <sheetData sheetId="22892"/>
      <sheetData sheetId="22893"/>
      <sheetData sheetId="22894"/>
      <sheetData sheetId="22895"/>
      <sheetData sheetId="22896"/>
      <sheetData sheetId="22897"/>
      <sheetData sheetId="22898"/>
      <sheetData sheetId="22899"/>
      <sheetData sheetId="22900"/>
      <sheetData sheetId="22901"/>
      <sheetData sheetId="22902"/>
      <sheetData sheetId="22903"/>
      <sheetData sheetId="22904"/>
      <sheetData sheetId="22905"/>
      <sheetData sheetId="22906"/>
      <sheetData sheetId="22907"/>
      <sheetData sheetId="22908"/>
      <sheetData sheetId="22909"/>
      <sheetData sheetId="22910"/>
      <sheetData sheetId="22911"/>
      <sheetData sheetId="22912"/>
      <sheetData sheetId="22913"/>
      <sheetData sheetId="22914"/>
      <sheetData sheetId="22915"/>
      <sheetData sheetId="22916"/>
      <sheetData sheetId="22917"/>
      <sheetData sheetId="22918"/>
      <sheetData sheetId="22919"/>
      <sheetData sheetId="22920"/>
      <sheetData sheetId="22921"/>
      <sheetData sheetId="22922"/>
      <sheetData sheetId="22923"/>
      <sheetData sheetId="22924"/>
      <sheetData sheetId="22925"/>
      <sheetData sheetId="22926"/>
      <sheetData sheetId="22927"/>
      <sheetData sheetId="22928"/>
      <sheetData sheetId="22929"/>
      <sheetData sheetId="22930" refreshError="1"/>
      <sheetData sheetId="22931" refreshError="1"/>
      <sheetData sheetId="22932" refreshError="1"/>
      <sheetData sheetId="22933" refreshError="1"/>
      <sheetData sheetId="22934" refreshError="1"/>
      <sheetData sheetId="22935" refreshError="1"/>
      <sheetData sheetId="22936" refreshError="1"/>
      <sheetData sheetId="22937" refreshError="1"/>
      <sheetData sheetId="22938" refreshError="1"/>
      <sheetData sheetId="22939" refreshError="1"/>
      <sheetData sheetId="22940" refreshError="1"/>
      <sheetData sheetId="22941" refreshError="1"/>
      <sheetData sheetId="22942" refreshError="1"/>
      <sheetData sheetId="22943" refreshError="1"/>
      <sheetData sheetId="22944" refreshError="1"/>
      <sheetData sheetId="22945" refreshError="1"/>
      <sheetData sheetId="22946" refreshError="1"/>
      <sheetData sheetId="22947" refreshError="1"/>
      <sheetData sheetId="22948" refreshError="1"/>
      <sheetData sheetId="22949"/>
      <sheetData sheetId="22950"/>
      <sheetData sheetId="22951"/>
      <sheetData sheetId="22952"/>
      <sheetData sheetId="22953"/>
      <sheetData sheetId="22954"/>
      <sheetData sheetId="22955"/>
      <sheetData sheetId="22956"/>
      <sheetData sheetId="22957"/>
      <sheetData sheetId="22958"/>
      <sheetData sheetId="22959"/>
      <sheetData sheetId="22960"/>
      <sheetData sheetId="22961"/>
      <sheetData sheetId="22962"/>
      <sheetData sheetId="22963"/>
      <sheetData sheetId="22964"/>
      <sheetData sheetId="22965" refreshError="1"/>
      <sheetData sheetId="22966" refreshError="1"/>
      <sheetData sheetId="22967" refreshError="1"/>
      <sheetData sheetId="22968" refreshError="1"/>
      <sheetData sheetId="22969" refreshError="1"/>
      <sheetData sheetId="22970" refreshError="1"/>
      <sheetData sheetId="22971" refreshError="1"/>
      <sheetData sheetId="22972" refreshError="1"/>
      <sheetData sheetId="22973" refreshError="1"/>
      <sheetData sheetId="22974" refreshError="1"/>
      <sheetData sheetId="22975" refreshError="1"/>
      <sheetData sheetId="22976" refreshError="1"/>
      <sheetData sheetId="22977" refreshError="1"/>
      <sheetData sheetId="22978" refreshError="1"/>
      <sheetData sheetId="22979" refreshError="1"/>
      <sheetData sheetId="22980" refreshError="1"/>
      <sheetData sheetId="22981" refreshError="1"/>
      <sheetData sheetId="22982" refreshError="1"/>
      <sheetData sheetId="22983" refreshError="1"/>
      <sheetData sheetId="22984" refreshError="1"/>
      <sheetData sheetId="22985" refreshError="1"/>
      <sheetData sheetId="22986" refreshError="1"/>
      <sheetData sheetId="22987" refreshError="1"/>
      <sheetData sheetId="22988" refreshError="1"/>
      <sheetData sheetId="22989" refreshError="1"/>
      <sheetData sheetId="22990" refreshError="1"/>
      <sheetData sheetId="22991" refreshError="1"/>
      <sheetData sheetId="22992" refreshError="1"/>
      <sheetData sheetId="22993" refreshError="1"/>
      <sheetData sheetId="22994" refreshError="1"/>
      <sheetData sheetId="22995" refreshError="1"/>
      <sheetData sheetId="22996" refreshError="1"/>
      <sheetData sheetId="22997" refreshError="1"/>
      <sheetData sheetId="22998" refreshError="1"/>
      <sheetData sheetId="22999" refreshError="1"/>
      <sheetData sheetId="23000" refreshError="1"/>
      <sheetData sheetId="23001" refreshError="1"/>
      <sheetData sheetId="23002" refreshError="1"/>
      <sheetData sheetId="23003" refreshError="1"/>
      <sheetData sheetId="23004" refreshError="1"/>
      <sheetData sheetId="23005" refreshError="1"/>
      <sheetData sheetId="23006" refreshError="1"/>
      <sheetData sheetId="23007" refreshError="1"/>
      <sheetData sheetId="23008" refreshError="1"/>
      <sheetData sheetId="23009" refreshError="1"/>
      <sheetData sheetId="23010" refreshError="1"/>
      <sheetData sheetId="23011" refreshError="1"/>
      <sheetData sheetId="23012" refreshError="1"/>
      <sheetData sheetId="23013" refreshError="1"/>
      <sheetData sheetId="23014" refreshError="1"/>
      <sheetData sheetId="23015" refreshError="1"/>
      <sheetData sheetId="23016" refreshError="1"/>
      <sheetData sheetId="23017" refreshError="1"/>
      <sheetData sheetId="23018" refreshError="1"/>
      <sheetData sheetId="23019" refreshError="1"/>
      <sheetData sheetId="23020" refreshError="1"/>
      <sheetData sheetId="23021" refreshError="1"/>
      <sheetData sheetId="23022" refreshError="1"/>
      <sheetData sheetId="23023" refreshError="1"/>
      <sheetData sheetId="23024" refreshError="1"/>
      <sheetData sheetId="23025" refreshError="1"/>
      <sheetData sheetId="23026" refreshError="1"/>
      <sheetData sheetId="23027" refreshError="1"/>
      <sheetData sheetId="23028" refreshError="1"/>
      <sheetData sheetId="23029" refreshError="1"/>
      <sheetData sheetId="23030" refreshError="1"/>
      <sheetData sheetId="23031" refreshError="1"/>
      <sheetData sheetId="23032" refreshError="1"/>
      <sheetData sheetId="23033" refreshError="1"/>
      <sheetData sheetId="230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ONT (2)"/>
      <sheetName val="fRONT"/>
      <sheetName val="B-1"/>
      <sheetName val="B-2"/>
      <sheetName val="B-3.1 EB"/>
      <sheetName val="3.1 Sum"/>
      <sheetName val="B-3.2 EB"/>
      <sheetName val="B-3.2 Sum"/>
      <sheetName val="B-4.1 NB"/>
      <sheetName val="B-4.1 Sum"/>
      <sheetName val="B-4.2 NB"/>
      <sheetName val="B-4.2 Sum"/>
      <sheetName val="5-PS"/>
      <sheetName val="Main summary"/>
      <sheetName val="floor area"/>
      <sheetName val="ratio"/>
      <sheetName val="Sheet1"/>
      <sheetName val="FitOutConfCentre"/>
      <sheetName val="PLT-SU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ANALISYS"/>
      <sheetName val="mat."/>
      <sheetName val="dem"/>
      <sheetName val="exc"/>
      <sheetName val="con"/>
      <sheetName val="bk.wk"/>
      <sheetName val="mason"/>
      <sheetName val="pavi"/>
      <sheetName val="roof"/>
      <sheetName val="carp"/>
      <sheetName val="iron"/>
      <sheetName val="brass"/>
      <sheetName val="plast"/>
      <sheetName val="tink"/>
      <sheetName val="glaz"/>
      <sheetName val="paint"/>
      <sheetName val="plum"/>
      <sheetName val="drain"/>
      <sheetName val="alumi"/>
      <sheetName val="elect"/>
      <sheetName val="mis"/>
      <sheetName val="ANALISYS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FP"/>
      <sheetName val="CW Summary"/>
      <sheetName val="Bill 3 - Site Works"/>
      <sheetName val="Bill 4 - Mntc Shed"/>
      <sheetName val="Bill 5 - Magic planet"/>
      <sheetName val="Bill 6 - Mall Enh"/>
      <sheetName val="Bill 7 - Anchor store"/>
      <sheetName val="V.O Log"/>
      <sheetName val="MoS- Summary"/>
      <sheetName val="Mat'ls Unfixed - Elec"/>
      <sheetName val="Sheet1"/>
      <sheetName val="FitOutConfCentre"/>
      <sheetName val="CW_Summary"/>
      <sheetName val="Bill_3_-_Site_Works"/>
      <sheetName val="Bill_4_-_Mntc_Shed"/>
      <sheetName val="Bill_5_-_Magic_planet"/>
      <sheetName val="Bill_6_-_Mall_Enh"/>
      <sheetName val="Bill_7_-_Anchor_store"/>
      <sheetName val="V_O_Log"/>
      <sheetName val="MoS-_Summary"/>
      <sheetName val="Mat'ls_Unfixed_-_Elec"/>
      <sheetName val="3"/>
      <sheetName val="CW_Summary1"/>
      <sheetName val="Bill_3_-_Site_Works1"/>
      <sheetName val="Bill_4_-_Mntc_Shed1"/>
      <sheetName val="Bill_5_-_Magic_planet1"/>
      <sheetName val="Bill_6_-_Mall_Enh1"/>
      <sheetName val="Bill_7_-_Anchor_store1"/>
      <sheetName val="V_O_Log1"/>
      <sheetName val="MoS-_Summary1"/>
      <sheetName val="Mat'ls_Unfixed_-_Elec1"/>
      <sheetName val="CW_Summary4"/>
      <sheetName val="Bill_3_-_Site_Works4"/>
      <sheetName val="Bill_4_-_Mntc_Shed4"/>
      <sheetName val="Bill_5_-_Magic_planet4"/>
      <sheetName val="Bill_6_-_Mall_Enh4"/>
      <sheetName val="Bill_7_-_Anchor_store4"/>
      <sheetName val="V_O_Log4"/>
      <sheetName val="MoS-_Summary4"/>
      <sheetName val="Mat'ls_Unfixed_-_Elec4"/>
      <sheetName val="CW_Summary2"/>
      <sheetName val="Bill_3_-_Site_Works2"/>
      <sheetName val="Bill_4_-_Mntc_Shed2"/>
      <sheetName val="Bill_5_-_Magic_planet2"/>
      <sheetName val="Bill_6_-_Mall_Enh2"/>
      <sheetName val="Bill_7_-_Anchor_store2"/>
      <sheetName val="V_O_Log2"/>
      <sheetName val="MoS-_Summary2"/>
      <sheetName val="Mat'ls_Unfixed_-_Elec2"/>
      <sheetName val="CW_Summary3"/>
      <sheetName val="Bill_3_-_Site_Works3"/>
      <sheetName val="Bill_4_-_Mntc_Shed3"/>
      <sheetName val="Bill_5_-_Magic_planet3"/>
      <sheetName val="Bill_6_-_Mall_Enh3"/>
      <sheetName val="Bill_7_-_Anchor_store3"/>
      <sheetName val="V_O_Log3"/>
      <sheetName val="MoS-_Summary3"/>
      <sheetName val="Mat'ls_Unfixed_-_Elec3"/>
      <sheetName val="CW_Summary5"/>
      <sheetName val="Bill_3_-_Site_Works5"/>
      <sheetName val="Bill_4_-_Mntc_Shed5"/>
      <sheetName val="Bill_5_-_Magic_planet5"/>
      <sheetName val="Bill_6_-_Mall_Enh5"/>
      <sheetName val="Bill_7_-_Anchor_store5"/>
      <sheetName val="V_O_Log5"/>
      <sheetName val="MoS-_Summary5"/>
      <sheetName val="Mat'ls_Unfixed_-_Elec5"/>
      <sheetName val="B-2"/>
      <sheetName val="Detail"/>
      <sheetName val="Structure working"/>
      <sheetName val="p&amp;m"/>
      <sheetName val="PRECAST lightconc-II"/>
      <sheetName val="Stru lintel"/>
      <sheetName val="LEVEL SHEET"/>
      <sheetName val="RCC,Ret. Wall"/>
      <sheetName val="Super"/>
      <sheetName val="PDA2"/>
      <sheetName val="Rate Analysis"/>
      <sheetName val="Cash2"/>
      <sheetName val="Z"/>
      <sheetName val="Calendar"/>
      <sheetName val="#REF"/>
      <sheetName val="1-G1"/>
      <sheetName val="10.Linkway"/>
      <sheetName val="11.Bus Shelter-Bay"/>
      <sheetName val="Design"/>
    </sheetNames>
    <sheetDataSet>
      <sheetData sheetId="0" refreshError="1"/>
      <sheetData sheetId="1" refreshError="1"/>
      <sheetData sheetId="2"/>
      <sheetData sheetId="3"/>
      <sheetData sheetId="4"/>
      <sheetData sheetId="5"/>
      <sheetData sheetId="6"/>
      <sheetData sheetId="7"/>
      <sheetData sheetId="8"/>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refreshError="1"/>
      <sheetData sheetId="83" refreshError="1"/>
      <sheetData sheetId="84" refreshError="1"/>
      <sheetData sheetId="8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oom Type"/>
      <sheetName val="Basement2 DB"/>
      <sheetName val="Basement1 DB"/>
      <sheetName val="GF DB"/>
      <sheetName val="1F DB"/>
      <sheetName val="2F DB"/>
      <sheetName val="3F DB"/>
      <sheetName val="4F DB"/>
      <sheetName val="5F DB"/>
      <sheetName val="6-15,18-21F DB"/>
      <sheetName val="16F, 17F DB"/>
      <sheetName val="22F DB"/>
      <sheetName val="23F DB"/>
      <sheetName val="24F DB"/>
      <sheetName val="TX"/>
      <sheetName val="Light Fitting"/>
      <sheetName val="CIDSE"/>
      <sheetName val="GS"/>
      <sheetName val="FitOutConfCentre"/>
      <sheetName val="Schedules"/>
      <sheetName val="Room_Type"/>
      <sheetName val="Basement2_DB"/>
      <sheetName val="Basement1_DB"/>
      <sheetName val="GF_DB"/>
      <sheetName val="1F_DB"/>
      <sheetName val="2F_DB"/>
      <sheetName val="3F_DB"/>
      <sheetName val="4F_DB"/>
      <sheetName val="5F_DB"/>
      <sheetName val="6-15,18-21F_DB"/>
      <sheetName val="16F,_17F_DB"/>
      <sheetName val="22F_DB"/>
      <sheetName val="23F_DB"/>
      <sheetName val="24F_DB"/>
      <sheetName val="Light_Fitting"/>
      <sheetName val="INDEX"/>
      <sheetName val="CONSTANT"/>
      <sheetName val="MixBed"/>
      <sheetName val="JOB COSTING SHEET HVAC"/>
      <sheetName val="Material Prices"/>
      <sheetName val="Kaatsu H.A.M.T.T.C.-7 jan 10"/>
      <sheetName val="BREAKDOWN"/>
      <sheetName val="inWords"/>
      <sheetName val="balan1"/>
      <sheetName val="MCB"/>
      <sheetName val="Electrical"/>
      <sheetName val="Sheet1"/>
      <sheetName val="Factors"/>
      <sheetName val="Bill 5 - Carpark"/>
      <sheetName val="Cost Factor Sheet"/>
      <sheetName val="Load Sch, Cable Sel &amp; Qty"/>
      <sheetName val="Factor Sheet"/>
      <sheetName val="Price Sheet"/>
      <sheetName val="Cost Sheet"/>
      <sheetName val="B-2"/>
      <sheetName val="Bill 3 - Site Works"/>
      <sheetName val="Cover"/>
      <sheetName val="RATE"/>
      <sheetName val="Room_Type1"/>
      <sheetName val="Basement2_DB1"/>
      <sheetName val="Basement1_DB1"/>
      <sheetName val="GF_DB1"/>
      <sheetName val="1F_DB1"/>
      <sheetName val="2F_DB1"/>
      <sheetName val="3F_DB1"/>
      <sheetName val="4F_DB1"/>
      <sheetName val="5F_DB1"/>
      <sheetName val="6-15,18-21F_DB1"/>
      <sheetName val="16F,_17F_DB1"/>
      <sheetName val="22F_DB1"/>
      <sheetName val="23F_DB1"/>
      <sheetName val="24F_DB1"/>
      <sheetName val="Light_Fitting1"/>
      <sheetName val="JOB_COSTING_SHEET_HVAC"/>
      <sheetName val="Kaatsu_H_A_M_T_T_C_-7_jan_10"/>
      <sheetName val="Material_Prices"/>
      <sheetName val="Sheet2"/>
      <sheetName val="Markups"/>
      <sheetName val="M - S"/>
      <sheetName val="Summary"/>
      <sheetName val="Ragama"/>
      <sheetName val="CASH"/>
    </sheetNames>
    <sheetDataSet>
      <sheetData sheetId="0"/>
      <sheetData sheetId="1">
        <row r="2">
          <cell r="M2">
            <v>0.85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sheetData sheetId="20"/>
      <sheetData sheetId="21">
        <row r="2">
          <cell r="M2">
            <v>0.85</v>
          </cell>
        </row>
      </sheetData>
      <sheetData sheetId="22">
        <row r="2">
          <cell r="M2">
            <v>0.85</v>
          </cell>
        </row>
      </sheetData>
      <sheetData sheetId="23">
        <row r="2">
          <cell r="M2">
            <v>0.85</v>
          </cell>
        </row>
      </sheetData>
      <sheetData sheetId="24">
        <row r="2">
          <cell r="M2">
            <v>0.85</v>
          </cell>
        </row>
      </sheetData>
      <sheetData sheetId="25">
        <row r="2">
          <cell r="M2">
            <v>0.85</v>
          </cell>
        </row>
      </sheetData>
      <sheetData sheetId="26">
        <row r="2">
          <cell r="M2">
            <v>0.85</v>
          </cell>
        </row>
      </sheetData>
      <sheetData sheetId="27">
        <row r="2">
          <cell r="M2">
            <v>0.85</v>
          </cell>
        </row>
      </sheetData>
      <sheetData sheetId="28">
        <row r="2">
          <cell r="M2">
            <v>0.85</v>
          </cell>
        </row>
      </sheetData>
      <sheetData sheetId="29">
        <row r="2">
          <cell r="M2">
            <v>0.85</v>
          </cell>
        </row>
      </sheetData>
      <sheetData sheetId="30">
        <row r="2">
          <cell r="M2">
            <v>0.85</v>
          </cell>
        </row>
      </sheetData>
      <sheetData sheetId="31">
        <row r="2">
          <cell r="M2">
            <v>0.85</v>
          </cell>
        </row>
      </sheetData>
      <sheetData sheetId="32">
        <row r="2">
          <cell r="M2">
            <v>0.85</v>
          </cell>
        </row>
      </sheetData>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ow r="2">
          <cell r="M2">
            <v>0.85</v>
          </cell>
        </row>
      </sheetData>
      <sheetData sheetId="59">
        <row r="2">
          <cell r="M2">
            <v>0.85</v>
          </cell>
        </row>
      </sheetData>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1"/>
      <sheetName val="B-2"/>
      <sheetName val="S M B-2"/>
      <sheetName val="B-3"/>
      <sheetName val="S M B-3"/>
      <sheetName val="B-4 PS"/>
      <sheetName val="Main summary"/>
      <sheetName val="TDS Summary"/>
      <sheetName val="TDS Finishes"/>
      <sheetName val="Querry"/>
      <sheetName val="B-3.2 EB"/>
      <sheetName val="Tb"/>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ONT (2)"/>
      <sheetName val="fRONT"/>
      <sheetName val="B-1"/>
      <sheetName val="B-2"/>
      <sheetName val="B-3.1 EB"/>
      <sheetName val="3.1 Sum"/>
      <sheetName val="B-3.2 EB"/>
      <sheetName val="B-3.2 Sum"/>
      <sheetName val="B-4.1 NB"/>
      <sheetName val="B-4.1 Sum"/>
      <sheetName val="B-4.2 NB"/>
      <sheetName val="B-4.2 Sum"/>
      <sheetName val="5-PS"/>
      <sheetName val="Main summary"/>
      <sheetName val="floor area"/>
      <sheetName val="ratio"/>
      <sheetName val="Sheet1"/>
      <sheetName val="FitOutConfCentr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age"/>
      <sheetName val="Contents"/>
      <sheetName val="Instructions"/>
      <sheetName val="Rate Analysis"/>
      <sheetName val="Material list no need"/>
      <sheetName val="Measurement sheet"/>
      <sheetName val="BOM"/>
      <sheetName val="BOQ"/>
      <sheetName val="Rate Book"/>
      <sheetName val="Aluminium"/>
      <sheetName val="Material Prices"/>
      <sheetName val="Sheet1"/>
    </sheetNames>
    <sheetDataSet>
      <sheetData sheetId="0"/>
      <sheetData sheetId="1"/>
      <sheetData sheetId="2"/>
      <sheetData sheetId="3"/>
      <sheetData sheetId="4"/>
      <sheetData sheetId="5"/>
      <sheetData sheetId="6"/>
      <sheetData sheetId="7"/>
      <sheetData sheetId="8"/>
      <sheetData sheetId="9"/>
      <sheetData sheetId="10">
        <row r="5">
          <cell r="A5" t="str">
            <v>ITEM</v>
          </cell>
          <cell r="B5" t="str">
            <v>DESCRIPTION</v>
          </cell>
          <cell r="C5" t="str">
            <v>UNIT</v>
          </cell>
          <cell r="D5" t="str">
            <v>MARKETPRICE</v>
          </cell>
          <cell r="E5" t="str">
            <v>TRANSPORTCOST</v>
          </cell>
          <cell r="F5" t="str">
            <v>PROPOSEDRATE</v>
          </cell>
        </row>
        <row r="6">
          <cell r="A6">
            <v>0</v>
          </cell>
          <cell r="B6" t="str">
            <v>LABOUR</v>
          </cell>
          <cell r="C6">
            <v>0</v>
          </cell>
          <cell r="D6">
            <v>0</v>
          </cell>
          <cell r="E6">
            <v>0</v>
          </cell>
          <cell r="F6">
            <v>0</v>
          </cell>
        </row>
        <row r="7">
          <cell r="A7">
            <v>101</v>
          </cell>
          <cell r="B7" t="str">
            <v>Skilled Labour</v>
          </cell>
          <cell r="C7" t="str">
            <v>day</v>
          </cell>
          <cell r="D7">
            <v>1200</v>
          </cell>
          <cell r="E7">
            <v>0</v>
          </cell>
          <cell r="F7">
            <v>1200</v>
          </cell>
        </row>
        <row r="8">
          <cell r="A8">
            <v>102</v>
          </cell>
          <cell r="B8" t="str">
            <v>Semiskilled Labour</v>
          </cell>
          <cell r="C8" t="str">
            <v>day</v>
          </cell>
          <cell r="D8">
            <v>1000</v>
          </cell>
          <cell r="E8">
            <v>0</v>
          </cell>
          <cell r="F8">
            <v>1000</v>
          </cell>
        </row>
        <row r="9">
          <cell r="A9">
            <v>103</v>
          </cell>
          <cell r="B9" t="str">
            <v>Unskilled Labour</v>
          </cell>
          <cell r="C9" t="str">
            <v>day</v>
          </cell>
          <cell r="D9">
            <v>800</v>
          </cell>
          <cell r="E9">
            <v>0</v>
          </cell>
          <cell r="F9">
            <v>800</v>
          </cell>
        </row>
        <row r="10">
          <cell r="A10">
            <v>104</v>
          </cell>
          <cell r="B10" t="str">
            <v>Mason</v>
          </cell>
          <cell r="C10" t="str">
            <v>day</v>
          </cell>
          <cell r="D10">
            <v>1200</v>
          </cell>
          <cell r="E10">
            <v>0</v>
          </cell>
          <cell r="F10">
            <v>1200</v>
          </cell>
        </row>
        <row r="11">
          <cell r="A11">
            <v>105</v>
          </cell>
          <cell r="B11" t="str">
            <v>Carpenter</v>
          </cell>
          <cell r="C11" t="str">
            <v>day</v>
          </cell>
          <cell r="D11">
            <v>1200</v>
          </cell>
          <cell r="E11">
            <v>0</v>
          </cell>
          <cell r="F11">
            <v>1200</v>
          </cell>
        </row>
        <row r="12">
          <cell r="A12">
            <v>106</v>
          </cell>
          <cell r="B12" t="str">
            <v>Plumber</v>
          </cell>
          <cell r="C12" t="str">
            <v>day</v>
          </cell>
          <cell r="D12">
            <v>1200</v>
          </cell>
          <cell r="E12">
            <v>0</v>
          </cell>
          <cell r="F12">
            <v>1200</v>
          </cell>
        </row>
        <row r="13">
          <cell r="A13">
            <v>107</v>
          </cell>
          <cell r="B13" t="str">
            <v>Painter</v>
          </cell>
          <cell r="C13" t="str">
            <v>day</v>
          </cell>
          <cell r="D13">
            <v>1200</v>
          </cell>
          <cell r="E13">
            <v>0</v>
          </cell>
          <cell r="F13">
            <v>1200</v>
          </cell>
        </row>
        <row r="14">
          <cell r="A14">
            <v>108</v>
          </cell>
          <cell r="B14" t="str">
            <v>Welder</v>
          </cell>
          <cell r="C14" t="str">
            <v>day</v>
          </cell>
          <cell r="D14">
            <v>1200</v>
          </cell>
          <cell r="E14">
            <v>0</v>
          </cell>
          <cell r="F14">
            <v>1200</v>
          </cell>
        </row>
        <row r="15">
          <cell r="A15">
            <v>109</v>
          </cell>
          <cell r="B15" t="str">
            <v>Bar Bender</v>
          </cell>
          <cell r="C15" t="str">
            <v>day</v>
          </cell>
          <cell r="D15">
            <v>1200</v>
          </cell>
          <cell r="E15">
            <v>0</v>
          </cell>
          <cell r="F15">
            <v>1200</v>
          </cell>
        </row>
        <row r="16">
          <cell r="A16">
            <v>0</v>
          </cell>
          <cell r="B16" t="str">
            <v>MACHINES</v>
          </cell>
          <cell r="C16">
            <v>0</v>
          </cell>
          <cell r="D16">
            <v>0</v>
          </cell>
          <cell r="E16">
            <v>0</v>
          </cell>
          <cell r="F16">
            <v>0</v>
          </cell>
        </row>
        <row r="17">
          <cell r="A17">
            <v>201</v>
          </cell>
          <cell r="B17" t="str">
            <v>Concrete Mixer</v>
          </cell>
          <cell r="C17" t="str">
            <v>day</v>
          </cell>
          <cell r="D17">
            <v>4500</v>
          </cell>
          <cell r="E17">
            <v>0</v>
          </cell>
          <cell r="F17">
            <v>4500</v>
          </cell>
        </row>
        <row r="18">
          <cell r="A18">
            <v>202</v>
          </cell>
          <cell r="B18" t="str">
            <v>Pocker vibrator</v>
          </cell>
          <cell r="C18" t="str">
            <v>day</v>
          </cell>
          <cell r="D18">
            <v>2000</v>
          </cell>
          <cell r="E18">
            <v>0</v>
          </cell>
          <cell r="F18">
            <v>2000</v>
          </cell>
        </row>
        <row r="19">
          <cell r="A19">
            <v>203</v>
          </cell>
          <cell r="B19" t="str">
            <v xml:space="preserve">   Vibrating roller (one ton)</v>
          </cell>
          <cell r="C19" t="str">
            <v>day</v>
          </cell>
          <cell r="D19">
            <v>4500</v>
          </cell>
          <cell r="E19">
            <v>0</v>
          </cell>
          <cell r="F19">
            <v>4500</v>
          </cell>
        </row>
        <row r="20">
          <cell r="A20">
            <v>204</v>
          </cell>
          <cell r="B20" t="str">
            <v xml:space="preserve">    Tractor</v>
          </cell>
          <cell r="C20" t="str">
            <v>day</v>
          </cell>
          <cell r="D20">
            <v>5000</v>
          </cell>
          <cell r="E20">
            <v>0</v>
          </cell>
          <cell r="F20">
            <v>5000</v>
          </cell>
        </row>
        <row r="21">
          <cell r="A21">
            <v>0</v>
          </cell>
          <cell r="B21">
            <v>0</v>
          </cell>
          <cell r="C21">
            <v>0</v>
          </cell>
          <cell r="D21">
            <v>0</v>
          </cell>
          <cell r="E21">
            <v>0</v>
          </cell>
          <cell r="F21">
            <v>0</v>
          </cell>
        </row>
        <row r="22">
          <cell r="A22">
            <v>0</v>
          </cell>
          <cell r="B22" t="str">
            <v>MATERIALS</v>
          </cell>
          <cell r="C22">
            <v>0</v>
          </cell>
          <cell r="D22">
            <v>0</v>
          </cell>
          <cell r="E22">
            <v>0</v>
          </cell>
          <cell r="F22">
            <v>0</v>
          </cell>
        </row>
        <row r="23">
          <cell r="A23">
            <v>0</v>
          </cell>
          <cell r="B23" t="str">
            <v>Earth Work</v>
          </cell>
          <cell r="C23">
            <v>0</v>
          </cell>
          <cell r="D23">
            <v>0</v>
          </cell>
          <cell r="E23">
            <v>0</v>
          </cell>
          <cell r="F23">
            <v>0</v>
          </cell>
        </row>
        <row r="24">
          <cell r="A24">
            <v>301</v>
          </cell>
          <cell r="B24" t="str">
            <v>Baskets</v>
          </cell>
          <cell r="C24" t="str">
            <v>Nr</v>
          </cell>
          <cell r="D24">
            <v>350</v>
          </cell>
          <cell r="E24">
            <v>0</v>
          </cell>
          <cell r="F24">
            <v>350</v>
          </cell>
        </row>
        <row r="25">
          <cell r="A25">
            <v>302</v>
          </cell>
          <cell r="B25" t="str">
            <v>Gravel</v>
          </cell>
          <cell r="C25" t="str">
            <v>m3</v>
          </cell>
          <cell r="D25">
            <v>265</v>
          </cell>
          <cell r="E25">
            <v>0</v>
          </cell>
          <cell r="F25">
            <v>265</v>
          </cell>
        </row>
        <row r="26">
          <cell r="A26">
            <v>303</v>
          </cell>
          <cell r="B26" t="str">
            <v>Earth</v>
          </cell>
          <cell r="C26" t="str">
            <v>m3</v>
          </cell>
          <cell r="D26">
            <v>124</v>
          </cell>
          <cell r="E26">
            <v>0</v>
          </cell>
          <cell r="F26">
            <v>124</v>
          </cell>
        </row>
        <row r="27">
          <cell r="A27">
            <v>304</v>
          </cell>
          <cell r="B27" t="str">
            <v>Blasting powder</v>
          </cell>
          <cell r="C27" t="str">
            <v>kg</v>
          </cell>
          <cell r="D27">
            <v>650</v>
          </cell>
          <cell r="E27">
            <v>6.5</v>
          </cell>
          <cell r="F27">
            <v>657</v>
          </cell>
        </row>
        <row r="28">
          <cell r="A28">
            <v>305</v>
          </cell>
          <cell r="B28" t="str">
            <v>Safety fuse</v>
          </cell>
          <cell r="C28" t="str">
            <v>m</v>
          </cell>
          <cell r="D28">
            <v>42.5</v>
          </cell>
          <cell r="E28">
            <v>0.43</v>
          </cell>
          <cell r="F28">
            <v>43</v>
          </cell>
        </row>
        <row r="29">
          <cell r="A29">
            <v>306</v>
          </cell>
          <cell r="B29" t="str">
            <v>Detonators</v>
          </cell>
          <cell r="C29" t="str">
            <v>Nr</v>
          </cell>
          <cell r="D29">
            <v>30.8</v>
          </cell>
          <cell r="E29">
            <v>0.31</v>
          </cell>
          <cell r="F29">
            <v>31</v>
          </cell>
        </row>
        <row r="30">
          <cell r="A30">
            <v>0</v>
          </cell>
          <cell r="B30" t="str">
            <v>Concrete Work</v>
          </cell>
          <cell r="C30">
            <v>0</v>
          </cell>
          <cell r="D30">
            <v>0</v>
          </cell>
          <cell r="E30">
            <v>0</v>
          </cell>
          <cell r="F30">
            <v>0</v>
          </cell>
        </row>
        <row r="31">
          <cell r="A31">
            <v>401</v>
          </cell>
          <cell r="B31" t="str">
            <v>Sand</v>
          </cell>
          <cell r="C31" t="str">
            <v>m3</v>
          </cell>
          <cell r="D31">
            <v>2826</v>
          </cell>
          <cell r="E31">
            <v>0</v>
          </cell>
          <cell r="F31">
            <v>2826</v>
          </cell>
        </row>
        <row r="32">
          <cell r="A32">
            <v>402</v>
          </cell>
          <cell r="B32" t="str">
            <v>Cement</v>
          </cell>
          <cell r="C32" t="str">
            <v>bag</v>
          </cell>
          <cell r="D32">
            <v>810</v>
          </cell>
          <cell r="E32">
            <v>0</v>
          </cell>
          <cell r="F32">
            <v>810</v>
          </cell>
        </row>
        <row r="33">
          <cell r="A33">
            <v>403</v>
          </cell>
          <cell r="B33" t="str">
            <v>Metal 50mm</v>
          </cell>
          <cell r="C33" t="str">
            <v>m3</v>
          </cell>
          <cell r="D33">
            <v>1770</v>
          </cell>
          <cell r="E33">
            <v>0</v>
          </cell>
          <cell r="F33">
            <v>1770</v>
          </cell>
        </row>
        <row r="34">
          <cell r="A34">
            <v>404</v>
          </cell>
          <cell r="B34" t="str">
            <v>Metal 38mm</v>
          </cell>
          <cell r="C34" t="str">
            <v>m3</v>
          </cell>
          <cell r="D34">
            <v>1838</v>
          </cell>
          <cell r="E34">
            <v>0</v>
          </cell>
          <cell r="F34">
            <v>1838</v>
          </cell>
        </row>
        <row r="35">
          <cell r="A35">
            <v>405</v>
          </cell>
          <cell r="B35" t="str">
            <v>Metal 25mm</v>
          </cell>
          <cell r="C35" t="str">
            <v>m3</v>
          </cell>
          <cell r="D35">
            <v>1945</v>
          </cell>
          <cell r="E35">
            <v>0</v>
          </cell>
          <cell r="F35">
            <v>1945</v>
          </cell>
        </row>
        <row r="36">
          <cell r="A36">
            <v>406</v>
          </cell>
          <cell r="B36" t="str">
            <v>Metal 20mm</v>
          </cell>
          <cell r="C36" t="str">
            <v>m3</v>
          </cell>
          <cell r="D36">
            <v>2050</v>
          </cell>
          <cell r="E36">
            <v>0</v>
          </cell>
          <cell r="F36">
            <v>2050</v>
          </cell>
        </row>
        <row r="37">
          <cell r="A37">
            <v>407</v>
          </cell>
          <cell r="B37" t="str">
            <v>Metal 12.5mm</v>
          </cell>
          <cell r="C37" t="str">
            <v>m3</v>
          </cell>
          <cell r="D37">
            <v>1485</v>
          </cell>
          <cell r="E37">
            <v>0</v>
          </cell>
          <cell r="F37">
            <v>1485</v>
          </cell>
        </row>
        <row r="38">
          <cell r="A38">
            <v>0</v>
          </cell>
          <cell r="B38" t="str">
            <v>Formwork</v>
          </cell>
          <cell r="C38">
            <v>0</v>
          </cell>
          <cell r="D38">
            <v>0</v>
          </cell>
          <cell r="E38">
            <v>0</v>
          </cell>
          <cell r="F38">
            <v>0</v>
          </cell>
        </row>
        <row r="39">
          <cell r="A39">
            <v>501</v>
          </cell>
          <cell r="B39" t="str">
            <v>Shuttering planks - 25mm thick</v>
          </cell>
          <cell r="C39" t="str">
            <v>m2</v>
          </cell>
          <cell r="D39">
            <v>444</v>
          </cell>
          <cell r="E39">
            <v>4.4400000000000004</v>
          </cell>
          <cell r="F39">
            <v>448.5</v>
          </cell>
        </row>
        <row r="40">
          <cell r="A40">
            <v>502</v>
          </cell>
          <cell r="B40" t="str">
            <v>Plywood sheets - 20mm thick</v>
          </cell>
          <cell r="C40" t="str">
            <v>m2</v>
          </cell>
          <cell r="D40">
            <v>1043</v>
          </cell>
          <cell r="E40">
            <v>10.43</v>
          </cell>
          <cell r="F40">
            <v>1053.5</v>
          </cell>
        </row>
        <row r="41">
          <cell r="A41">
            <v>503</v>
          </cell>
          <cell r="B41" t="str">
            <v>Round timber 3m</v>
          </cell>
          <cell r="C41" t="str">
            <v>Nr</v>
          </cell>
          <cell r="D41">
            <v>60</v>
          </cell>
          <cell r="E41">
            <v>0.6</v>
          </cell>
          <cell r="F41">
            <v>60.5</v>
          </cell>
        </row>
        <row r="42">
          <cell r="A42">
            <v>504</v>
          </cell>
          <cell r="B42" t="str">
            <v>Bamboo 3m</v>
          </cell>
          <cell r="C42" t="str">
            <v>Nr</v>
          </cell>
          <cell r="D42">
            <v>60</v>
          </cell>
          <cell r="E42">
            <v>0.6</v>
          </cell>
          <cell r="F42">
            <v>60.6</v>
          </cell>
        </row>
        <row r="43">
          <cell r="A43">
            <v>505</v>
          </cell>
          <cell r="B43" t="str">
            <v>100mmx50mm class II timber</v>
          </cell>
          <cell r="C43" t="str">
            <v>m</v>
          </cell>
          <cell r="D43">
            <v>193.2</v>
          </cell>
          <cell r="E43">
            <v>1.93</v>
          </cell>
          <cell r="F43">
            <v>195</v>
          </cell>
        </row>
        <row r="44">
          <cell r="A44">
            <v>506</v>
          </cell>
          <cell r="B44" t="str">
            <v>50mmx50mm class II timber</v>
          </cell>
          <cell r="C44" t="str">
            <v>m</v>
          </cell>
          <cell r="D44">
            <v>109</v>
          </cell>
          <cell r="E44">
            <v>1.0900000000000001</v>
          </cell>
          <cell r="F44">
            <v>110</v>
          </cell>
        </row>
        <row r="45">
          <cell r="A45">
            <v>507</v>
          </cell>
          <cell r="B45" t="str">
            <v>Nail</v>
          </cell>
          <cell r="C45" t="str">
            <v>kg</v>
          </cell>
          <cell r="D45">
            <v>125</v>
          </cell>
          <cell r="E45">
            <v>1.25</v>
          </cell>
          <cell r="F45">
            <v>126.5</v>
          </cell>
        </row>
        <row r="46">
          <cell r="A46">
            <v>508</v>
          </cell>
          <cell r="B46" t="str">
            <v>Mould oil</v>
          </cell>
          <cell r="C46" t="str">
            <v>l</v>
          </cell>
          <cell r="D46">
            <v>89</v>
          </cell>
          <cell r="E46">
            <v>0.89</v>
          </cell>
          <cell r="F46">
            <v>90</v>
          </cell>
        </row>
        <row r="47">
          <cell r="A47">
            <v>509</v>
          </cell>
          <cell r="B47" t="str">
            <v>10mm dia. 450mm bolts</v>
          </cell>
          <cell r="C47" t="str">
            <v>Nr</v>
          </cell>
          <cell r="D47">
            <v>68</v>
          </cell>
          <cell r="E47">
            <v>0.68</v>
          </cell>
          <cell r="F47">
            <v>69</v>
          </cell>
        </row>
        <row r="48">
          <cell r="A48">
            <v>0</v>
          </cell>
          <cell r="B48" t="str">
            <v>Reinforcement</v>
          </cell>
          <cell r="C48">
            <v>0</v>
          </cell>
          <cell r="D48">
            <v>0</v>
          </cell>
          <cell r="E48">
            <v>0</v>
          </cell>
          <cell r="F48">
            <v>0</v>
          </cell>
        </row>
        <row r="49">
          <cell r="A49">
            <v>601</v>
          </cell>
          <cell r="B49" t="str">
            <v>Steel  MS - 6mm</v>
          </cell>
          <cell r="C49" t="str">
            <v>kg</v>
          </cell>
          <cell r="D49">
            <v>78.400000000000006</v>
          </cell>
          <cell r="E49">
            <v>1.57</v>
          </cell>
          <cell r="F49">
            <v>80</v>
          </cell>
        </row>
        <row r="50">
          <cell r="A50">
            <v>602</v>
          </cell>
          <cell r="B50" t="str">
            <v>Steel  MS - &gt;6mm</v>
          </cell>
          <cell r="C50" t="str">
            <v>kg</v>
          </cell>
          <cell r="D50">
            <v>113</v>
          </cell>
          <cell r="E50">
            <v>2.2599999999999998</v>
          </cell>
          <cell r="F50">
            <v>115.5</v>
          </cell>
        </row>
        <row r="51">
          <cell r="A51">
            <v>603</v>
          </cell>
          <cell r="B51" t="str">
            <v>Steel  TS</v>
          </cell>
          <cell r="C51" t="str">
            <v>kg</v>
          </cell>
          <cell r="D51">
            <v>112</v>
          </cell>
          <cell r="E51">
            <v>2.2400000000000002</v>
          </cell>
          <cell r="F51">
            <v>114</v>
          </cell>
        </row>
        <row r="52">
          <cell r="A52">
            <v>604</v>
          </cell>
          <cell r="B52" t="str">
            <v>Binding wire</v>
          </cell>
          <cell r="C52" t="str">
            <v>kg</v>
          </cell>
          <cell r="D52">
            <v>130</v>
          </cell>
          <cell r="E52">
            <v>2.6</v>
          </cell>
          <cell r="F52">
            <v>132</v>
          </cell>
        </row>
        <row r="53">
          <cell r="A53">
            <v>0</v>
          </cell>
          <cell r="B53" t="str">
            <v>Brick Work</v>
          </cell>
          <cell r="C53">
            <v>0</v>
          </cell>
          <cell r="D53">
            <v>0</v>
          </cell>
          <cell r="E53">
            <v>0</v>
          </cell>
          <cell r="F53">
            <v>0</v>
          </cell>
        </row>
        <row r="54">
          <cell r="A54">
            <v>701</v>
          </cell>
          <cell r="B54" t="str">
            <v>Bricks 220x105x65mm</v>
          </cell>
          <cell r="C54" t="str">
            <v>Nr</v>
          </cell>
          <cell r="D54">
            <v>4.5</v>
          </cell>
          <cell r="E54">
            <v>0</v>
          </cell>
          <cell r="F54">
            <v>4.5</v>
          </cell>
        </row>
        <row r="55">
          <cell r="A55">
            <v>702</v>
          </cell>
          <cell r="B55" t="str">
            <v>Wire cut bricks</v>
          </cell>
          <cell r="C55" t="str">
            <v>Nr</v>
          </cell>
          <cell r="D55">
            <v>18</v>
          </cell>
          <cell r="E55">
            <v>0</v>
          </cell>
          <cell r="F55">
            <v>18</v>
          </cell>
        </row>
        <row r="56">
          <cell r="A56">
            <v>703</v>
          </cell>
          <cell r="B56" t="str">
            <v>Batik bricks</v>
          </cell>
          <cell r="C56" t="str">
            <v>Nr</v>
          </cell>
          <cell r="D56">
            <v>22</v>
          </cell>
          <cell r="E56">
            <v>0</v>
          </cell>
          <cell r="F56">
            <v>22</v>
          </cell>
        </row>
        <row r="57">
          <cell r="A57">
            <v>704</v>
          </cell>
          <cell r="B57" t="str">
            <v>Bricks 220x105x100mm</v>
          </cell>
          <cell r="C57" t="str">
            <v>Nr</v>
          </cell>
          <cell r="D57">
            <v>10</v>
          </cell>
          <cell r="E57">
            <v>0</v>
          </cell>
          <cell r="F57">
            <v>10</v>
          </cell>
        </row>
        <row r="58">
          <cell r="A58">
            <v>705</v>
          </cell>
          <cell r="B58" t="str">
            <v>Bricks 220x150x100mm</v>
          </cell>
          <cell r="C58" t="str">
            <v>Nr</v>
          </cell>
          <cell r="D58">
            <v>12.5</v>
          </cell>
          <cell r="E58">
            <v>0</v>
          </cell>
          <cell r="F58">
            <v>12.5</v>
          </cell>
        </row>
        <row r="59">
          <cell r="A59">
            <v>0</v>
          </cell>
          <cell r="B59" t="str">
            <v>Masonry</v>
          </cell>
          <cell r="C59">
            <v>0</v>
          </cell>
          <cell r="D59">
            <v>0</v>
          </cell>
          <cell r="E59">
            <v>0</v>
          </cell>
          <cell r="F59">
            <v>0</v>
          </cell>
        </row>
        <row r="60">
          <cell r="A60">
            <v>801</v>
          </cell>
          <cell r="B60" t="str">
            <v>150x225mm rubble</v>
          </cell>
          <cell r="C60" t="str">
            <v>m3</v>
          </cell>
          <cell r="D60">
            <v>700</v>
          </cell>
          <cell r="E60">
            <v>0</v>
          </cell>
          <cell r="F60">
            <v>700</v>
          </cell>
        </row>
        <row r="61">
          <cell r="A61">
            <v>802</v>
          </cell>
          <cell r="B61" t="str">
            <v>DPC Tar</v>
          </cell>
          <cell r="C61" t="str">
            <v>l</v>
          </cell>
          <cell r="D61">
            <v>96</v>
          </cell>
          <cell r="E61">
            <v>0.96</v>
          </cell>
          <cell r="F61">
            <v>97</v>
          </cell>
        </row>
        <row r="62">
          <cell r="A62">
            <v>0</v>
          </cell>
          <cell r="B62" t="str">
            <v>Pavior</v>
          </cell>
          <cell r="C62">
            <v>0</v>
          </cell>
          <cell r="D62">
            <v>0</v>
          </cell>
          <cell r="E62">
            <v>0</v>
          </cell>
          <cell r="F62">
            <v>0</v>
          </cell>
        </row>
        <row r="63">
          <cell r="A63">
            <v>901</v>
          </cell>
          <cell r="B63" t="str">
            <v>Antitermite treatment - Sub contractors rate</v>
          </cell>
          <cell r="C63" t="str">
            <v>m2</v>
          </cell>
          <cell r="D63">
            <v>269</v>
          </cell>
          <cell r="E63">
            <v>0</v>
          </cell>
          <cell r="F63">
            <v>269</v>
          </cell>
        </row>
        <row r="64">
          <cell r="A64">
            <v>902</v>
          </cell>
          <cell r="B64" t="str">
            <v>Water proofing - Sub contractors rate</v>
          </cell>
          <cell r="C64" t="str">
            <v>m2</v>
          </cell>
          <cell r="D64">
            <v>1126</v>
          </cell>
          <cell r="E64">
            <v>0</v>
          </cell>
          <cell r="F64">
            <v>1126</v>
          </cell>
        </row>
        <row r="65">
          <cell r="A65">
            <v>903</v>
          </cell>
          <cell r="B65" t="str">
            <v>Gauge 1000 polythene</v>
          </cell>
          <cell r="C65" t="str">
            <v>m2</v>
          </cell>
          <cell r="D65">
            <v>66</v>
          </cell>
          <cell r="E65">
            <v>0.66</v>
          </cell>
          <cell r="F65">
            <v>66.66</v>
          </cell>
        </row>
        <row r="66">
          <cell r="A66">
            <v>904</v>
          </cell>
          <cell r="B66" t="str">
            <v>Crystaline waterproofing material (XYPEX concentrate)</v>
          </cell>
          <cell r="C66" t="str">
            <v>kg</v>
          </cell>
          <cell r="D66">
            <v>1065</v>
          </cell>
          <cell r="E66">
            <v>0</v>
          </cell>
          <cell r="F66">
            <v>1065</v>
          </cell>
        </row>
        <row r="67">
          <cell r="A67">
            <v>0</v>
          </cell>
          <cell r="B67" t="str">
            <v>Tiller</v>
          </cell>
          <cell r="C67">
            <v>0</v>
          </cell>
          <cell r="D67">
            <v>0</v>
          </cell>
          <cell r="E67">
            <v>0</v>
          </cell>
          <cell r="F67">
            <v>0</v>
          </cell>
        </row>
        <row r="68">
          <cell r="A68">
            <v>1001</v>
          </cell>
          <cell r="B68" t="str">
            <v>100x100 glazed wall tiles</v>
          </cell>
          <cell r="C68" t="str">
            <v>Nr</v>
          </cell>
          <cell r="D68">
            <v>14</v>
          </cell>
          <cell r="E68">
            <v>0.14000000000000001</v>
          </cell>
          <cell r="F68">
            <v>14.5</v>
          </cell>
        </row>
        <row r="69">
          <cell r="A69">
            <v>1002</v>
          </cell>
          <cell r="B69" t="str">
            <v>150x150 glazed wall tiles</v>
          </cell>
          <cell r="C69" t="str">
            <v>Nr</v>
          </cell>
          <cell r="D69">
            <v>26</v>
          </cell>
          <cell r="E69">
            <v>0.26</v>
          </cell>
          <cell r="F69">
            <v>26.5</v>
          </cell>
        </row>
        <row r="70">
          <cell r="A70">
            <v>1003</v>
          </cell>
          <cell r="B70" t="str">
            <v>200x300 glazed wall tiles</v>
          </cell>
          <cell r="C70" t="str">
            <v>Nr</v>
          </cell>
          <cell r="D70">
            <v>80</v>
          </cell>
          <cell r="E70">
            <v>0.8</v>
          </cell>
          <cell r="F70">
            <v>81</v>
          </cell>
        </row>
        <row r="71">
          <cell r="A71">
            <v>1004</v>
          </cell>
          <cell r="B71" t="str">
            <v>300x400 glazed wall tiles</v>
          </cell>
          <cell r="C71" t="str">
            <v>Nr</v>
          </cell>
          <cell r="D71">
            <v>196</v>
          </cell>
          <cell r="E71">
            <v>1.96</v>
          </cell>
          <cell r="F71">
            <v>198</v>
          </cell>
        </row>
        <row r="72">
          <cell r="A72">
            <v>1005</v>
          </cell>
          <cell r="B72" t="str">
            <v>200x200 non skid floor tiles</v>
          </cell>
          <cell r="C72" t="str">
            <v>Nr</v>
          </cell>
          <cell r="D72">
            <v>63</v>
          </cell>
          <cell r="E72">
            <v>0.63</v>
          </cell>
          <cell r="F72">
            <v>63.63</v>
          </cell>
        </row>
        <row r="73">
          <cell r="A73">
            <v>1006</v>
          </cell>
          <cell r="B73" t="str">
            <v>300x300 non skid floor tiles</v>
          </cell>
          <cell r="C73" t="str">
            <v>Nr</v>
          </cell>
          <cell r="D73">
            <v>165</v>
          </cell>
          <cell r="E73">
            <v>1.65</v>
          </cell>
          <cell r="F73">
            <v>134</v>
          </cell>
        </row>
        <row r="74">
          <cell r="A74">
            <v>1007</v>
          </cell>
          <cell r="B74" t="str">
            <v>450x450 non skid floor tiles</v>
          </cell>
          <cell r="C74" t="str">
            <v>Nr</v>
          </cell>
          <cell r="D74">
            <v>294</v>
          </cell>
          <cell r="E74">
            <v>2.94</v>
          </cell>
          <cell r="F74">
            <v>297</v>
          </cell>
        </row>
        <row r="75">
          <cell r="A75">
            <v>1008</v>
          </cell>
          <cell r="B75" t="str">
            <v>200x200 non skid floor tiles - Homogeneous</v>
          </cell>
          <cell r="C75" t="str">
            <v>Nr</v>
          </cell>
          <cell r="D75">
            <v>74</v>
          </cell>
          <cell r="E75">
            <v>0.74</v>
          </cell>
          <cell r="F75">
            <v>75</v>
          </cell>
        </row>
        <row r="76">
          <cell r="A76">
            <v>1009</v>
          </cell>
          <cell r="B76" t="str">
            <v>300x300 non skid floor tiles - Homogeneous</v>
          </cell>
          <cell r="C76" t="str">
            <v>Nr</v>
          </cell>
          <cell r="D76">
            <v>297</v>
          </cell>
          <cell r="E76">
            <v>2.97</v>
          </cell>
          <cell r="F76">
            <v>146.5</v>
          </cell>
        </row>
        <row r="77">
          <cell r="A77">
            <v>1010</v>
          </cell>
          <cell r="B77" t="str">
            <v>400x400 non skid floor tiles - Homogeneous</v>
          </cell>
          <cell r="C77" t="str">
            <v>Nr</v>
          </cell>
          <cell r="D77">
            <v>475</v>
          </cell>
          <cell r="E77">
            <v>4.75</v>
          </cell>
          <cell r="F77">
            <v>283</v>
          </cell>
        </row>
        <row r="78">
          <cell r="A78">
            <v>1011</v>
          </cell>
          <cell r="B78" t="str">
            <v>PVC tile beading</v>
          </cell>
          <cell r="C78" t="str">
            <v>m</v>
          </cell>
          <cell r="D78">
            <v>35</v>
          </cell>
          <cell r="E78">
            <v>0.35</v>
          </cell>
          <cell r="F78">
            <v>35.5</v>
          </cell>
        </row>
        <row r="79">
          <cell r="A79">
            <v>1012</v>
          </cell>
          <cell r="B79" t="str">
            <v>Stainless steel tile beading</v>
          </cell>
          <cell r="C79" t="str">
            <v>m</v>
          </cell>
          <cell r="D79">
            <v>0</v>
          </cell>
          <cell r="E79">
            <v>0</v>
          </cell>
          <cell r="F79">
            <v>0</v>
          </cell>
        </row>
        <row r="80">
          <cell r="A80">
            <v>1013</v>
          </cell>
          <cell r="B80" t="str">
            <v>non skid homogenous floor tiles quality 3</v>
          </cell>
          <cell r="C80" t="str">
            <v>m2</v>
          </cell>
          <cell r="D80">
            <v>1500</v>
          </cell>
          <cell r="E80">
            <v>15</v>
          </cell>
          <cell r="F80">
            <v>1515</v>
          </cell>
        </row>
        <row r="81">
          <cell r="A81">
            <v>1014</v>
          </cell>
          <cell r="B81" t="str">
            <v>non skid homogenous floor tiles quality 2</v>
          </cell>
          <cell r="C81" t="str">
            <v>m2</v>
          </cell>
          <cell r="D81">
            <v>1850</v>
          </cell>
          <cell r="E81">
            <v>18.5</v>
          </cell>
          <cell r="F81">
            <v>1868.5</v>
          </cell>
        </row>
        <row r="82">
          <cell r="A82">
            <v>1015</v>
          </cell>
          <cell r="B82" t="str">
            <v xml:space="preserve">non skid homogenous floor tiles quality 1 </v>
          </cell>
          <cell r="C82" t="str">
            <v>m2</v>
          </cell>
          <cell r="D82">
            <v>2425</v>
          </cell>
          <cell r="E82">
            <v>24.25</v>
          </cell>
          <cell r="F82">
            <v>2449.25</v>
          </cell>
        </row>
        <row r="83">
          <cell r="A83">
            <v>1016</v>
          </cell>
          <cell r="B83" t="str">
            <v>glazed wall tiles quality 1</v>
          </cell>
          <cell r="C83" t="str">
            <v>m2</v>
          </cell>
          <cell r="D83">
            <v>1500</v>
          </cell>
          <cell r="E83">
            <v>15</v>
          </cell>
          <cell r="F83">
            <v>1515</v>
          </cell>
        </row>
        <row r="84">
          <cell r="A84">
            <v>1017</v>
          </cell>
          <cell r="B84" t="str">
            <v xml:space="preserve">100mm high Timber Skirting </v>
          </cell>
          <cell r="C84" t="str">
            <v>m</v>
          </cell>
          <cell r="D84">
            <v>214</v>
          </cell>
          <cell r="E84">
            <v>2.14</v>
          </cell>
          <cell r="F84">
            <v>216.14</v>
          </cell>
        </row>
        <row r="85">
          <cell r="A85">
            <v>1018</v>
          </cell>
          <cell r="B85" t="str">
            <v>600x600 non skid floor tiles - Homogeneous</v>
          </cell>
          <cell r="C85" t="str">
            <v>m2</v>
          </cell>
          <cell r="D85">
            <v>790</v>
          </cell>
          <cell r="E85">
            <v>7.9</v>
          </cell>
          <cell r="F85">
            <v>797.9</v>
          </cell>
        </row>
        <row r="86">
          <cell r="A86">
            <v>1019</v>
          </cell>
          <cell r="B86" t="str">
            <v>600x300 non skid floor tiles - Homogeneous</v>
          </cell>
          <cell r="C86" t="str">
            <v>m2</v>
          </cell>
          <cell r="D86">
            <v>790</v>
          </cell>
          <cell r="E86">
            <v>7.9</v>
          </cell>
          <cell r="F86">
            <v>797.9</v>
          </cell>
        </row>
        <row r="87">
          <cell r="A87">
            <v>0</v>
          </cell>
          <cell r="B87">
            <v>0</v>
          </cell>
          <cell r="C87">
            <v>0</v>
          </cell>
          <cell r="D87">
            <v>0</v>
          </cell>
          <cell r="E87">
            <v>0</v>
          </cell>
          <cell r="F87">
            <v>0</v>
          </cell>
        </row>
        <row r="88">
          <cell r="A88">
            <v>0</v>
          </cell>
          <cell r="B88" t="str">
            <v>Roofer</v>
          </cell>
          <cell r="C88">
            <v>0</v>
          </cell>
          <cell r="D88">
            <v>0</v>
          </cell>
          <cell r="E88">
            <v>0</v>
          </cell>
          <cell r="F88">
            <v>0</v>
          </cell>
        </row>
        <row r="89">
          <cell r="A89">
            <v>1101</v>
          </cell>
          <cell r="B89" t="str">
            <v>Special class timber</v>
          </cell>
          <cell r="C89" t="str">
            <v>m3</v>
          </cell>
          <cell r="D89">
            <v>75987</v>
          </cell>
          <cell r="E89">
            <v>759.87</v>
          </cell>
          <cell r="F89">
            <v>76747</v>
          </cell>
        </row>
        <row r="90">
          <cell r="A90">
            <v>1102</v>
          </cell>
          <cell r="B90" t="str">
            <v>50mmx25mm special class timber</v>
          </cell>
          <cell r="C90" t="str">
            <v>m</v>
          </cell>
          <cell r="D90">
            <v>65.599999999999994</v>
          </cell>
          <cell r="E90">
            <v>0.66</v>
          </cell>
          <cell r="F90">
            <v>66.5</v>
          </cell>
        </row>
        <row r="91">
          <cell r="A91">
            <v>1103</v>
          </cell>
          <cell r="B91" t="str">
            <v>50mmx50mm special class timber</v>
          </cell>
          <cell r="C91" t="str">
            <v>m</v>
          </cell>
          <cell r="D91">
            <v>136.19999999999999</v>
          </cell>
          <cell r="E91">
            <v>1.36</v>
          </cell>
          <cell r="F91">
            <v>137.5</v>
          </cell>
        </row>
        <row r="92">
          <cell r="A92">
            <v>1104</v>
          </cell>
          <cell r="B92" t="str">
            <v>100mmx50mm special class timber</v>
          </cell>
          <cell r="C92" t="str">
            <v>m</v>
          </cell>
          <cell r="D92">
            <v>385.5</v>
          </cell>
          <cell r="E92">
            <v>3.86</v>
          </cell>
          <cell r="F92">
            <v>389.5</v>
          </cell>
        </row>
        <row r="93">
          <cell r="A93">
            <v>1105</v>
          </cell>
          <cell r="B93" t="str">
            <v>100mmx75mm special class timber</v>
          </cell>
          <cell r="C93" t="str">
            <v>m</v>
          </cell>
          <cell r="D93">
            <v>587</v>
          </cell>
          <cell r="E93">
            <v>5.87</v>
          </cell>
          <cell r="F93">
            <v>593</v>
          </cell>
        </row>
        <row r="94">
          <cell r="A94">
            <v>1106</v>
          </cell>
          <cell r="B94" t="str">
            <v>125mmx50mm special class timber</v>
          </cell>
          <cell r="C94" t="str">
            <v>m</v>
          </cell>
          <cell r="D94">
            <v>487.8</v>
          </cell>
          <cell r="E94">
            <v>4.88</v>
          </cell>
          <cell r="F94">
            <v>492.5</v>
          </cell>
        </row>
        <row r="95">
          <cell r="A95">
            <v>1107</v>
          </cell>
          <cell r="B95" t="str">
            <v>125mmx75mm special class timber</v>
          </cell>
          <cell r="C95" t="str">
            <v>m</v>
          </cell>
          <cell r="D95">
            <v>742.9</v>
          </cell>
          <cell r="E95">
            <v>7.43</v>
          </cell>
          <cell r="F95">
            <v>750.5</v>
          </cell>
        </row>
        <row r="96">
          <cell r="A96">
            <v>1108</v>
          </cell>
          <cell r="B96" t="str">
            <v>150mmx50mm special class timber</v>
          </cell>
          <cell r="C96" t="str">
            <v>m</v>
          </cell>
          <cell r="D96">
            <v>589.70000000000005</v>
          </cell>
          <cell r="E96">
            <v>5.9</v>
          </cell>
          <cell r="F96">
            <v>595.5</v>
          </cell>
        </row>
        <row r="97">
          <cell r="A97">
            <v>1109</v>
          </cell>
          <cell r="B97" t="str">
            <v>150mmx75mm special class timber</v>
          </cell>
          <cell r="C97" t="str">
            <v>m</v>
          </cell>
          <cell r="D97">
            <v>901.5</v>
          </cell>
          <cell r="E97">
            <v>9.02</v>
          </cell>
          <cell r="F97">
            <v>910.5</v>
          </cell>
        </row>
        <row r="98">
          <cell r="A98">
            <v>1110</v>
          </cell>
          <cell r="B98" t="str">
            <v>Asbestos sheet</v>
          </cell>
          <cell r="C98" t="str">
            <v>m2</v>
          </cell>
          <cell r="D98">
            <v>440</v>
          </cell>
          <cell r="E98">
            <v>4.4000000000000004</v>
          </cell>
          <cell r="F98">
            <v>444.5</v>
          </cell>
        </row>
        <row r="99">
          <cell r="A99">
            <v>1111</v>
          </cell>
          <cell r="B99" t="str">
            <v>Roofing screws 112mm&amp; washer</v>
          </cell>
          <cell r="C99" t="str">
            <v>Nr</v>
          </cell>
          <cell r="D99">
            <v>20</v>
          </cell>
          <cell r="E99">
            <v>0.2</v>
          </cell>
          <cell r="F99">
            <v>20.5</v>
          </cell>
        </row>
        <row r="100">
          <cell r="A100">
            <v>1112</v>
          </cell>
          <cell r="B100" t="str">
            <v>Wood preservative</v>
          </cell>
          <cell r="C100" t="str">
            <v>l</v>
          </cell>
          <cell r="D100">
            <v>325</v>
          </cell>
          <cell r="E100">
            <v>3.25</v>
          </cell>
          <cell r="F100">
            <v>328.5</v>
          </cell>
        </row>
        <row r="101">
          <cell r="A101">
            <v>1113</v>
          </cell>
          <cell r="B101" t="str">
            <v>J bolt and nut</v>
          </cell>
          <cell r="C101" t="str">
            <v>Nr</v>
          </cell>
          <cell r="D101">
            <v>13</v>
          </cell>
          <cell r="E101">
            <v>0.13</v>
          </cell>
          <cell r="F101">
            <v>13.5</v>
          </cell>
        </row>
        <row r="102">
          <cell r="A102">
            <v>1114</v>
          </cell>
          <cell r="B102" t="str">
            <v xml:space="preserve">12mm bolt and nut </v>
          </cell>
          <cell r="C102" t="str">
            <v>Nr</v>
          </cell>
          <cell r="D102">
            <v>16</v>
          </cell>
          <cell r="E102">
            <v>0.16</v>
          </cell>
          <cell r="F102">
            <v>16.5</v>
          </cell>
        </row>
        <row r="103">
          <cell r="A103">
            <v>1115</v>
          </cell>
          <cell r="B103" t="str">
            <v>50x50x5.8mm angle irons</v>
          </cell>
          <cell r="C103" t="str">
            <v>m</v>
          </cell>
          <cell r="D103">
            <v>467</v>
          </cell>
          <cell r="E103">
            <v>4.67</v>
          </cell>
          <cell r="F103">
            <v>471.5</v>
          </cell>
        </row>
        <row r="104">
          <cell r="A104">
            <v>1116</v>
          </cell>
          <cell r="B104" t="str">
            <v>62.5x62.5x5.8mm angle irons</v>
          </cell>
          <cell r="C104" t="str">
            <v>m</v>
          </cell>
          <cell r="D104">
            <v>608</v>
          </cell>
          <cell r="E104">
            <v>6.08</v>
          </cell>
          <cell r="F104">
            <v>614</v>
          </cell>
        </row>
        <row r="105">
          <cell r="A105">
            <v>1117</v>
          </cell>
          <cell r="B105" t="str">
            <v>75x75x5.8mm angle irons</v>
          </cell>
          <cell r="C105" t="str">
            <v>m</v>
          </cell>
          <cell r="D105">
            <v>825</v>
          </cell>
          <cell r="E105">
            <v>8.25</v>
          </cell>
          <cell r="F105">
            <v>833.5</v>
          </cell>
        </row>
        <row r="106">
          <cell r="A106">
            <v>1118</v>
          </cell>
          <cell r="B106" t="str">
            <v>6'-0" asbestos sheets</v>
          </cell>
          <cell r="C106" t="str">
            <v>Nr</v>
          </cell>
          <cell r="D106">
            <v>820</v>
          </cell>
          <cell r="E106">
            <v>8.1999999999999993</v>
          </cell>
          <cell r="F106">
            <v>828</v>
          </cell>
        </row>
        <row r="107">
          <cell r="A107">
            <v>1119</v>
          </cell>
          <cell r="B107" t="str">
            <v>8'-0" asbestos sheets</v>
          </cell>
          <cell r="C107" t="str">
            <v>Nr</v>
          </cell>
          <cell r="D107">
            <v>1150</v>
          </cell>
          <cell r="E107">
            <v>11.5</v>
          </cell>
          <cell r="F107">
            <v>1161.5</v>
          </cell>
        </row>
        <row r="108">
          <cell r="A108">
            <v>1120</v>
          </cell>
          <cell r="B108" t="str">
            <v>10'-0" asbestos sheets</v>
          </cell>
          <cell r="C108" t="str">
            <v>Nr</v>
          </cell>
          <cell r="D108">
            <v>1360</v>
          </cell>
          <cell r="E108">
            <v>13.6</v>
          </cell>
          <cell r="F108">
            <v>1373.5</v>
          </cell>
        </row>
        <row r="109">
          <cell r="A109">
            <v>1121</v>
          </cell>
          <cell r="B109" t="str">
            <v>12'-0" asbestos sheets</v>
          </cell>
          <cell r="C109" t="str">
            <v>Nr</v>
          </cell>
          <cell r="D109">
            <v>1730</v>
          </cell>
          <cell r="E109">
            <v>17.3</v>
          </cell>
          <cell r="F109">
            <v>1747.5</v>
          </cell>
        </row>
        <row r="110">
          <cell r="A110">
            <v>1122</v>
          </cell>
          <cell r="B110" t="str">
            <v>100x50x2mm "C" channels</v>
          </cell>
          <cell r="C110" t="str">
            <v>m</v>
          </cell>
          <cell r="D110">
            <v>355</v>
          </cell>
          <cell r="E110">
            <v>3.55</v>
          </cell>
          <cell r="F110">
            <v>358.5</v>
          </cell>
        </row>
        <row r="111">
          <cell r="A111">
            <v>1123</v>
          </cell>
          <cell r="B111" t="str">
            <v>0.47mm tk. Zn-alum sheets</v>
          </cell>
          <cell r="C111" t="str">
            <v>m2</v>
          </cell>
          <cell r="D111">
            <v>1078</v>
          </cell>
          <cell r="E111">
            <v>10.78</v>
          </cell>
          <cell r="F111">
            <v>1089</v>
          </cell>
        </row>
        <row r="112">
          <cell r="A112">
            <v>1124</v>
          </cell>
          <cell r="B112" t="str">
            <v>Fasteners</v>
          </cell>
          <cell r="C112" t="str">
            <v>Nr</v>
          </cell>
          <cell r="D112">
            <v>9</v>
          </cell>
          <cell r="E112">
            <v>0.09</v>
          </cell>
          <cell r="F112">
            <v>9</v>
          </cell>
        </row>
        <row r="113">
          <cell r="A113">
            <v>1125</v>
          </cell>
          <cell r="B113" t="str">
            <v>Roof tiles</v>
          </cell>
          <cell r="C113" t="str">
            <v>Nr</v>
          </cell>
          <cell r="D113">
            <v>35</v>
          </cell>
          <cell r="E113">
            <v>0.35</v>
          </cell>
          <cell r="F113">
            <v>35.5</v>
          </cell>
        </row>
        <row r="114">
          <cell r="A114">
            <v>1126</v>
          </cell>
          <cell r="B114" t="str">
            <v>Ridge tiles</v>
          </cell>
          <cell r="C114" t="str">
            <v>Nr</v>
          </cell>
          <cell r="D114">
            <v>45</v>
          </cell>
          <cell r="E114">
            <v>0.45</v>
          </cell>
          <cell r="F114">
            <v>45.5</v>
          </cell>
        </row>
        <row r="115">
          <cell r="A115">
            <v>1127</v>
          </cell>
          <cell r="B115" t="str">
            <v>5mm gusset plate</v>
          </cell>
          <cell r="C115" t="str">
            <v>m2</v>
          </cell>
          <cell r="D115">
            <v>4485</v>
          </cell>
          <cell r="E115">
            <v>44.85</v>
          </cell>
          <cell r="F115">
            <v>4530</v>
          </cell>
        </row>
        <row r="116">
          <cell r="A116">
            <v>1128</v>
          </cell>
          <cell r="B116" t="str">
            <v>Zink Alluminium ridge capping  of girth 470mm</v>
          </cell>
          <cell r="C116" t="str">
            <v>m</v>
          </cell>
          <cell r="D116">
            <v>591</v>
          </cell>
          <cell r="E116">
            <v>5.91</v>
          </cell>
          <cell r="F116">
            <v>597</v>
          </cell>
        </row>
        <row r="117">
          <cell r="A117">
            <v>1129</v>
          </cell>
          <cell r="B117" t="str">
            <v>Asbestos ridges</v>
          </cell>
          <cell r="C117" t="str">
            <v>Set</v>
          </cell>
          <cell r="D117">
            <v>600</v>
          </cell>
          <cell r="E117">
            <v>6</v>
          </cell>
          <cell r="F117">
            <v>606</v>
          </cell>
        </row>
        <row r="118">
          <cell r="A118">
            <v>1130</v>
          </cell>
          <cell r="B118" t="str">
            <v>Lime</v>
          </cell>
          <cell r="C118" t="str">
            <v>kg</v>
          </cell>
          <cell r="D118">
            <v>20</v>
          </cell>
          <cell r="E118">
            <v>0.2</v>
          </cell>
          <cell r="F118">
            <v>20.5</v>
          </cell>
        </row>
        <row r="119">
          <cell r="A119">
            <v>1131</v>
          </cell>
          <cell r="B119" t="str">
            <v>Aluminium foil as heat insulation</v>
          </cell>
          <cell r="C119" t="str">
            <v>m2</v>
          </cell>
          <cell r="D119">
            <v>133</v>
          </cell>
          <cell r="E119">
            <v>1.33</v>
          </cell>
          <cell r="F119">
            <v>134.5</v>
          </cell>
        </row>
        <row r="120">
          <cell r="A120">
            <v>1132</v>
          </cell>
          <cell r="B120" t="str">
            <v>Mesh for foil ( 2"x2")</v>
          </cell>
          <cell r="C120" t="str">
            <v>m2</v>
          </cell>
          <cell r="D120">
            <v>454.9</v>
          </cell>
          <cell r="E120">
            <v>4.55</v>
          </cell>
          <cell r="F120">
            <v>459.5</v>
          </cell>
        </row>
        <row r="121">
          <cell r="A121">
            <v>1133</v>
          </cell>
          <cell r="B121" t="str">
            <v>10mm gusset plate</v>
          </cell>
          <cell r="C121" t="str">
            <v>m2</v>
          </cell>
          <cell r="D121">
            <v>8970</v>
          </cell>
          <cell r="E121">
            <v>89.7</v>
          </cell>
          <cell r="F121">
            <v>9059.5</v>
          </cell>
        </row>
        <row r="122">
          <cell r="A122">
            <v>1134</v>
          </cell>
          <cell r="B122" t="str">
            <v>Truss plate, base plate</v>
          </cell>
          <cell r="C122" t="str">
            <v>m2</v>
          </cell>
          <cell r="D122">
            <v>4300</v>
          </cell>
          <cell r="E122">
            <v>43</v>
          </cell>
          <cell r="F122">
            <v>4343</v>
          </cell>
        </row>
        <row r="123">
          <cell r="A123">
            <v>0</v>
          </cell>
          <cell r="B123" t="str">
            <v>Carpenter and Joiner</v>
          </cell>
          <cell r="C123">
            <v>0</v>
          </cell>
          <cell r="D123">
            <v>0</v>
          </cell>
          <cell r="E123">
            <v>0</v>
          </cell>
          <cell r="F123">
            <v>0</v>
          </cell>
        </row>
        <row r="124">
          <cell r="A124">
            <v>1201</v>
          </cell>
          <cell r="B124" t="str">
            <v>31mm planks special class</v>
          </cell>
          <cell r="C124" t="str">
            <v>m2</v>
          </cell>
          <cell r="D124">
            <v>1841</v>
          </cell>
          <cell r="E124">
            <v>18.41</v>
          </cell>
          <cell r="F124">
            <v>1859.5</v>
          </cell>
        </row>
        <row r="125">
          <cell r="A125">
            <v>1202</v>
          </cell>
          <cell r="B125" t="str">
            <v>25mm planks special class</v>
          </cell>
          <cell r="C125" t="str">
            <v>m2</v>
          </cell>
          <cell r="D125">
            <v>1476.66</v>
          </cell>
          <cell r="E125">
            <v>14.77</v>
          </cell>
          <cell r="F125">
            <v>1491.5</v>
          </cell>
        </row>
        <row r="126">
          <cell r="A126">
            <v>1203</v>
          </cell>
          <cell r="B126" t="str">
            <v>20mm planks special class</v>
          </cell>
          <cell r="C126" t="str">
            <v>m2</v>
          </cell>
          <cell r="D126">
            <v>1181.32</v>
          </cell>
          <cell r="E126">
            <v>11.81</v>
          </cell>
          <cell r="F126">
            <v>1193</v>
          </cell>
        </row>
        <row r="127">
          <cell r="A127">
            <v>1204</v>
          </cell>
          <cell r="B127" t="str">
            <v>20mm thick lunumidella timber</v>
          </cell>
          <cell r="C127" t="str">
            <v>m2</v>
          </cell>
          <cell r="D127">
            <v>700</v>
          </cell>
          <cell r="E127">
            <v>7</v>
          </cell>
          <cell r="F127">
            <v>707</v>
          </cell>
        </row>
        <row r="128">
          <cell r="A128">
            <v>1205</v>
          </cell>
          <cell r="B128" t="str">
            <v>50mm iron screws</v>
          </cell>
          <cell r="C128" t="str">
            <v>Nr</v>
          </cell>
          <cell r="D128">
            <v>2</v>
          </cell>
          <cell r="E128">
            <v>0.02</v>
          </cell>
          <cell r="F128">
            <v>2</v>
          </cell>
        </row>
        <row r="129">
          <cell r="A129">
            <v>1206</v>
          </cell>
          <cell r="B129" t="str">
            <v>G.I. clout nails 20mm</v>
          </cell>
          <cell r="C129" t="str">
            <v>kg</v>
          </cell>
          <cell r="D129">
            <v>300</v>
          </cell>
          <cell r="E129">
            <v>3</v>
          </cell>
          <cell r="F129">
            <v>303</v>
          </cell>
        </row>
        <row r="130">
          <cell r="A130">
            <v>1207</v>
          </cell>
          <cell r="B130" t="str">
            <v>Ceiling sheets</v>
          </cell>
          <cell r="C130" t="str">
            <v>m2</v>
          </cell>
          <cell r="D130">
            <v>263</v>
          </cell>
          <cell r="E130">
            <v>2.63</v>
          </cell>
          <cell r="F130">
            <v>265.5</v>
          </cell>
        </row>
        <row r="131">
          <cell r="A131">
            <v>1208</v>
          </cell>
          <cell r="B131"/>
          <cell r="C131" t="str">
            <v>m</v>
          </cell>
          <cell r="D131">
            <v>49</v>
          </cell>
          <cell r="E131">
            <v>0.49</v>
          </cell>
          <cell r="F131">
            <v>49.5</v>
          </cell>
        </row>
        <row r="132">
          <cell r="A132">
            <v>1209</v>
          </cell>
          <cell r="B132" t="str">
            <v>Moldings</v>
          </cell>
          <cell r="C132" t="str">
            <v>m</v>
          </cell>
          <cell r="D132">
            <v>117</v>
          </cell>
          <cell r="E132">
            <v>1.17</v>
          </cell>
          <cell r="F132">
            <v>118.17</v>
          </cell>
        </row>
        <row r="133">
          <cell r="A133">
            <v>1210</v>
          </cell>
          <cell r="B133" t="str">
            <v>Screws 38mm</v>
          </cell>
          <cell r="C133" t="str">
            <v>Nr</v>
          </cell>
          <cell r="D133">
            <v>1.5</v>
          </cell>
          <cell r="E133">
            <v>0.02</v>
          </cell>
          <cell r="F133">
            <v>1.5</v>
          </cell>
        </row>
        <row r="134">
          <cell r="A134">
            <v>1211</v>
          </cell>
          <cell r="B134" t="str">
            <v>Wooden plugs</v>
          </cell>
          <cell r="C134" t="str">
            <v>Nr</v>
          </cell>
          <cell r="D134">
            <v>5</v>
          </cell>
          <cell r="E134">
            <v>0.05</v>
          </cell>
          <cell r="F134">
            <v>5</v>
          </cell>
        </row>
        <row r="135">
          <cell r="A135">
            <v>1212</v>
          </cell>
          <cell r="B135" t="str">
            <v>Primer</v>
          </cell>
          <cell r="C135" t="str">
            <v>l</v>
          </cell>
          <cell r="D135">
            <v>320</v>
          </cell>
          <cell r="E135">
            <v>3.2</v>
          </cell>
          <cell r="F135">
            <v>323</v>
          </cell>
        </row>
        <row r="136">
          <cell r="A136">
            <v>1213</v>
          </cell>
          <cell r="B136" t="str">
            <v>Emulsion paint</v>
          </cell>
          <cell r="C136" t="str">
            <v>l</v>
          </cell>
          <cell r="D136">
            <v>648</v>
          </cell>
          <cell r="E136">
            <v>6.48</v>
          </cell>
          <cell r="F136">
            <v>654.5</v>
          </cell>
        </row>
        <row r="137">
          <cell r="A137">
            <v>1214</v>
          </cell>
          <cell r="B137" t="str">
            <v>100x75 door/ window frame</v>
          </cell>
          <cell r="C137" t="str">
            <v>m3</v>
          </cell>
          <cell r="D137">
            <v>75987</v>
          </cell>
          <cell r="E137">
            <v>759.87</v>
          </cell>
          <cell r="F137">
            <v>76747</v>
          </cell>
        </row>
        <row r="138">
          <cell r="A138">
            <v>1215</v>
          </cell>
          <cell r="B138" t="str">
            <v>38mm brass screws</v>
          </cell>
          <cell r="C138" t="str">
            <v>Nr</v>
          </cell>
          <cell r="D138">
            <v>5.5</v>
          </cell>
          <cell r="E138">
            <v>0.06</v>
          </cell>
          <cell r="F138">
            <v>5.5</v>
          </cell>
        </row>
        <row r="139">
          <cell r="A139">
            <v>1216</v>
          </cell>
          <cell r="B139" t="str">
            <v>25mm brass screws</v>
          </cell>
          <cell r="C139" t="str">
            <v>Nr</v>
          </cell>
          <cell r="D139">
            <v>3.5</v>
          </cell>
          <cell r="E139">
            <v>0.04</v>
          </cell>
          <cell r="F139">
            <v>3.5</v>
          </cell>
        </row>
        <row r="140">
          <cell r="A140">
            <v>1217</v>
          </cell>
          <cell r="B140" t="str">
            <v>Rawl plugs and screws</v>
          </cell>
          <cell r="C140" t="str">
            <v>Nr</v>
          </cell>
          <cell r="D140">
            <v>2</v>
          </cell>
          <cell r="E140">
            <v>0.02</v>
          </cell>
          <cell r="F140">
            <v>2</v>
          </cell>
        </row>
        <row r="141">
          <cell r="A141">
            <v>1218</v>
          </cell>
          <cell r="B141" t="str">
            <v>100mm brass hinges</v>
          </cell>
          <cell r="C141" t="str">
            <v>pair</v>
          </cell>
          <cell r="D141">
            <v>375</v>
          </cell>
          <cell r="E141">
            <v>3.75</v>
          </cell>
          <cell r="F141">
            <v>379</v>
          </cell>
        </row>
        <row r="142">
          <cell r="A142">
            <v>1219</v>
          </cell>
          <cell r="B142" t="str">
            <v>12x12mm fillets</v>
          </cell>
          <cell r="C142" t="str">
            <v>m</v>
          </cell>
          <cell r="D142">
            <v>5.5</v>
          </cell>
          <cell r="E142">
            <v>0.06</v>
          </cell>
          <cell r="F142">
            <v>5.5</v>
          </cell>
        </row>
        <row r="143">
          <cell r="A143">
            <v>1220</v>
          </cell>
          <cell r="B143" t="str">
            <v>300mm skeleton bolts</v>
          </cell>
          <cell r="C143" t="str">
            <v>Nr</v>
          </cell>
          <cell r="D143">
            <v>78</v>
          </cell>
          <cell r="E143">
            <v>0.78</v>
          </cell>
          <cell r="F143">
            <v>79</v>
          </cell>
        </row>
        <row r="144">
          <cell r="A144">
            <v>1221</v>
          </cell>
          <cell r="B144" t="str">
            <v>38x38mm sash bars</v>
          </cell>
          <cell r="C144" t="str">
            <v>m</v>
          </cell>
          <cell r="D144">
            <v>16</v>
          </cell>
          <cell r="E144">
            <v>0.16</v>
          </cell>
          <cell r="F144">
            <v>16.5</v>
          </cell>
        </row>
        <row r="145">
          <cell r="A145">
            <v>1222</v>
          </cell>
          <cell r="B145" t="str">
            <v>150mm barrel bolts</v>
          </cell>
          <cell r="C145" t="str">
            <v>Nr</v>
          </cell>
          <cell r="D145">
            <v>156</v>
          </cell>
          <cell r="E145">
            <v>1.56</v>
          </cell>
          <cell r="F145">
            <v>157.5</v>
          </cell>
        </row>
        <row r="146">
          <cell r="A146">
            <v>1223</v>
          </cell>
          <cell r="B146" t="str">
            <v>Plywood door sash</v>
          </cell>
          <cell r="C146" t="str">
            <v>Nr</v>
          </cell>
          <cell r="D146">
            <v>2200</v>
          </cell>
          <cell r="E146">
            <v>22</v>
          </cell>
          <cell r="F146">
            <v>2222</v>
          </cell>
        </row>
        <row r="147">
          <cell r="A147">
            <v>1224</v>
          </cell>
          <cell r="B147" t="str">
            <v>Holdfasts</v>
          </cell>
          <cell r="C147" t="str">
            <v>Nr</v>
          </cell>
          <cell r="D147">
            <v>75</v>
          </cell>
          <cell r="E147">
            <v>0.75</v>
          </cell>
          <cell r="F147">
            <v>76</v>
          </cell>
        </row>
        <row r="148">
          <cell r="A148">
            <v>1225</v>
          </cell>
          <cell r="B148" t="str">
            <v>PVC door with frame</v>
          </cell>
          <cell r="C148" t="str">
            <v>Nr</v>
          </cell>
          <cell r="D148">
            <v>4650</v>
          </cell>
          <cell r="E148">
            <v>46.5</v>
          </cell>
          <cell r="F148">
            <v>4696.5</v>
          </cell>
        </row>
        <row r="149">
          <cell r="A149">
            <v>1226</v>
          </cell>
          <cell r="B149" t="str">
            <v>3mm glass plain</v>
          </cell>
          <cell r="C149" t="str">
            <v>m2</v>
          </cell>
          <cell r="D149">
            <v>645</v>
          </cell>
          <cell r="E149">
            <v>6.45</v>
          </cell>
          <cell r="F149">
            <v>651.5</v>
          </cell>
        </row>
        <row r="150">
          <cell r="A150">
            <v>1227</v>
          </cell>
          <cell r="B150" t="str">
            <v>Casement stays</v>
          </cell>
          <cell r="C150" t="str">
            <v>Nr</v>
          </cell>
          <cell r="D150">
            <v>200</v>
          </cell>
          <cell r="E150">
            <v>2</v>
          </cell>
          <cell r="F150">
            <v>202</v>
          </cell>
        </row>
        <row r="151">
          <cell r="A151">
            <v>1228</v>
          </cell>
          <cell r="B151" t="str">
            <v>Casement fasteners</v>
          </cell>
          <cell r="C151" t="str">
            <v>Nr</v>
          </cell>
          <cell r="D151">
            <v>200</v>
          </cell>
          <cell r="E151">
            <v>2</v>
          </cell>
          <cell r="F151">
            <v>202</v>
          </cell>
        </row>
        <row r="152">
          <cell r="A152">
            <v>1229</v>
          </cell>
          <cell r="B152" t="str">
            <v>Class 11 Ginisapu planks 25mm thick</v>
          </cell>
          <cell r="C152" t="str">
            <v>m2</v>
          </cell>
          <cell r="D152">
            <v>1385</v>
          </cell>
          <cell r="E152">
            <v>13.85</v>
          </cell>
          <cell r="F152">
            <v>1399</v>
          </cell>
        </row>
        <row r="153">
          <cell r="A153">
            <v>1230</v>
          </cell>
          <cell r="B153" t="str">
            <v>Brass screw</v>
          </cell>
          <cell r="C153" t="str">
            <v>Nr</v>
          </cell>
          <cell r="D153">
            <v>5.5</v>
          </cell>
          <cell r="E153">
            <v>0.06</v>
          </cell>
          <cell r="F153">
            <v>5.5</v>
          </cell>
        </row>
        <row r="154">
          <cell r="A154">
            <v>1231</v>
          </cell>
          <cell r="B154" t="str">
            <v>Lunumidella timber</v>
          </cell>
          <cell r="C154" t="str">
            <v>m2</v>
          </cell>
          <cell r="D154">
            <v>700</v>
          </cell>
          <cell r="E154">
            <v>7</v>
          </cell>
          <cell r="F154">
            <v>707</v>
          </cell>
        </row>
        <row r="155">
          <cell r="A155">
            <v>1232</v>
          </cell>
          <cell r="B155" t="str">
            <v>12 mm thick flywood sheet</v>
          </cell>
          <cell r="C155" t="str">
            <v>m2</v>
          </cell>
          <cell r="D155">
            <v>875</v>
          </cell>
          <cell r="E155">
            <v>8.75</v>
          </cell>
          <cell r="F155">
            <v>884</v>
          </cell>
        </row>
        <row r="156">
          <cell r="A156">
            <v>1233</v>
          </cell>
          <cell r="B156" t="str">
            <v>G.I. clout nails 38mm</v>
          </cell>
          <cell r="C156" t="str">
            <v>Kg</v>
          </cell>
          <cell r="D156">
            <v>336</v>
          </cell>
          <cell r="E156">
            <v>3.36</v>
          </cell>
          <cell r="F156">
            <v>339.5</v>
          </cell>
        </row>
        <row r="157">
          <cell r="A157">
            <v>1234</v>
          </cell>
          <cell r="B157" t="str">
            <v>31mm planks class 1</v>
          </cell>
          <cell r="C157" t="str">
            <v>m2</v>
          </cell>
          <cell r="D157">
            <v>1440</v>
          </cell>
          <cell r="E157">
            <v>14.4</v>
          </cell>
          <cell r="F157">
            <v>1454.5</v>
          </cell>
        </row>
        <row r="158">
          <cell r="A158">
            <v>0</v>
          </cell>
          <cell r="B158" t="str">
            <v>Brass Founder</v>
          </cell>
          <cell r="C158">
            <v>0</v>
          </cell>
          <cell r="D158">
            <v>0</v>
          </cell>
          <cell r="E158">
            <v>0</v>
          </cell>
          <cell r="F158">
            <v>0</v>
          </cell>
        </row>
        <row r="159">
          <cell r="A159">
            <v>1301</v>
          </cell>
          <cell r="B159" t="str">
            <v>Night latch lock</v>
          </cell>
          <cell r="C159" t="str">
            <v>Nr</v>
          </cell>
          <cell r="D159">
            <v>600</v>
          </cell>
          <cell r="E159">
            <v>6</v>
          </cell>
          <cell r="F159">
            <v>606</v>
          </cell>
        </row>
        <row r="160">
          <cell r="A160">
            <v>1302</v>
          </cell>
          <cell r="B160" t="str">
            <v>Mortise Union (English) single lock</v>
          </cell>
          <cell r="C160" t="str">
            <v>Nr</v>
          </cell>
          <cell r="D160">
            <v>0</v>
          </cell>
          <cell r="E160">
            <v>0</v>
          </cell>
          <cell r="F160">
            <v>0</v>
          </cell>
        </row>
        <row r="161">
          <cell r="A161">
            <v>1303</v>
          </cell>
          <cell r="B161" t="str">
            <v>Mortise Union (English) double lock</v>
          </cell>
          <cell r="C161" t="str">
            <v>Nr</v>
          </cell>
          <cell r="D161">
            <v>0</v>
          </cell>
          <cell r="E161">
            <v>0</v>
          </cell>
          <cell r="F161">
            <v>0</v>
          </cell>
        </row>
        <row r="162">
          <cell r="A162">
            <v>1304</v>
          </cell>
          <cell r="B162" t="str">
            <v>Robin ITALY made brass lock</v>
          </cell>
          <cell r="C162" t="str">
            <v>Nr</v>
          </cell>
          <cell r="D162">
            <v>0</v>
          </cell>
          <cell r="E162">
            <v>0</v>
          </cell>
          <cell r="F162">
            <v>0</v>
          </cell>
        </row>
        <row r="163">
          <cell r="A163">
            <v>1305</v>
          </cell>
          <cell r="B163" t="str">
            <v>Fuda lock</v>
          </cell>
          <cell r="C163" t="str">
            <v>Nr</v>
          </cell>
          <cell r="D163">
            <v>0</v>
          </cell>
          <cell r="E163">
            <v>0</v>
          </cell>
          <cell r="F163">
            <v>0</v>
          </cell>
        </row>
        <row r="164">
          <cell r="A164">
            <v>1306</v>
          </cell>
          <cell r="B164" t="str">
            <v>50mm barrel bolt (Brass)</v>
          </cell>
          <cell r="C164" t="str">
            <v>Nr</v>
          </cell>
          <cell r="D164">
            <v>65</v>
          </cell>
          <cell r="E164">
            <v>0.65</v>
          </cell>
          <cell r="F164">
            <v>65.650000000000006</v>
          </cell>
        </row>
        <row r="165">
          <cell r="A165">
            <v>1307</v>
          </cell>
          <cell r="B165" t="str">
            <v>100x100mm butt hinges</v>
          </cell>
          <cell r="C165" t="str">
            <v>Nr</v>
          </cell>
          <cell r="D165">
            <v>300</v>
          </cell>
          <cell r="E165">
            <v>3</v>
          </cell>
          <cell r="F165">
            <v>303</v>
          </cell>
        </row>
        <row r="166">
          <cell r="A166">
            <v>1308</v>
          </cell>
          <cell r="B166" t="str">
            <v>150x100mm butt hinges</v>
          </cell>
          <cell r="C166" t="str">
            <v>Nr</v>
          </cell>
          <cell r="D166">
            <v>475</v>
          </cell>
          <cell r="E166">
            <v>4.75</v>
          </cell>
          <cell r="F166">
            <v>479.75</v>
          </cell>
        </row>
        <row r="167">
          <cell r="A167">
            <v>1309</v>
          </cell>
          <cell r="B167" t="str">
            <v>100mm barrel bolt (Brass)</v>
          </cell>
          <cell r="C167" t="str">
            <v>Nr</v>
          </cell>
          <cell r="D167">
            <v>150</v>
          </cell>
          <cell r="E167">
            <v>1.5</v>
          </cell>
          <cell r="F167">
            <v>151.5</v>
          </cell>
        </row>
        <row r="168">
          <cell r="A168">
            <v>1310</v>
          </cell>
          <cell r="B168" t="str">
            <v>150mm barrel bolt (Brass)</v>
          </cell>
          <cell r="C168" t="str">
            <v>Nr</v>
          </cell>
          <cell r="D168">
            <v>350</v>
          </cell>
          <cell r="E168">
            <v>3.5</v>
          </cell>
          <cell r="F168">
            <v>353.5</v>
          </cell>
        </row>
        <row r="169">
          <cell r="A169">
            <v>0</v>
          </cell>
          <cell r="B169" t="str">
            <v>Iron Monger</v>
          </cell>
          <cell r="C169">
            <v>0</v>
          </cell>
          <cell r="D169">
            <v>0</v>
          </cell>
          <cell r="E169">
            <v>0</v>
          </cell>
          <cell r="F169">
            <v>0</v>
          </cell>
        </row>
        <row r="170">
          <cell r="A170">
            <v>1401</v>
          </cell>
          <cell r="B170" t="str">
            <v>50x50 G.I. welded mesh</v>
          </cell>
          <cell r="C170" t="str">
            <v>m2</v>
          </cell>
          <cell r="D170">
            <v>454</v>
          </cell>
          <cell r="E170">
            <v>4.54</v>
          </cell>
          <cell r="F170">
            <v>458.5</v>
          </cell>
        </row>
        <row r="171">
          <cell r="A171">
            <v>1402</v>
          </cell>
          <cell r="B171" t="str">
            <v>50x12mm beadings</v>
          </cell>
          <cell r="C171" t="str">
            <v>m</v>
          </cell>
          <cell r="D171">
            <v>50</v>
          </cell>
          <cell r="E171">
            <v>0.5</v>
          </cell>
          <cell r="F171">
            <v>50.5</v>
          </cell>
        </row>
        <row r="172">
          <cell r="A172">
            <v>1403</v>
          </cell>
          <cell r="B172" t="str">
            <v>5.5mm MS rods</v>
          </cell>
          <cell r="C172" t="str">
            <v>kg</v>
          </cell>
          <cell r="D172">
            <v>100</v>
          </cell>
          <cell r="E172">
            <v>1</v>
          </cell>
          <cell r="F172">
            <v>101</v>
          </cell>
        </row>
        <row r="173">
          <cell r="A173">
            <v>1404</v>
          </cell>
          <cell r="B173" t="str">
            <v>12x5mm flat iron</v>
          </cell>
          <cell r="C173" t="str">
            <v>m</v>
          </cell>
          <cell r="D173">
            <v>27</v>
          </cell>
          <cell r="E173">
            <v>0.27</v>
          </cell>
          <cell r="F173">
            <v>27.5</v>
          </cell>
        </row>
        <row r="174">
          <cell r="A174">
            <v>1405</v>
          </cell>
          <cell r="B174" t="str">
            <v>25x25x4mm angle iron</v>
          </cell>
          <cell r="C174" t="str">
            <v>m</v>
          </cell>
          <cell r="D174">
            <v>146</v>
          </cell>
          <cell r="E174">
            <v>1.46</v>
          </cell>
          <cell r="F174">
            <v>147.5</v>
          </cell>
        </row>
        <row r="175">
          <cell r="A175">
            <v>1406</v>
          </cell>
          <cell r="B175" t="str">
            <v>100mm safety type Hasp and Staple</v>
          </cell>
          <cell r="C175" t="str">
            <v>Nr</v>
          </cell>
          <cell r="D175">
            <v>150</v>
          </cell>
          <cell r="E175">
            <v>1.5</v>
          </cell>
          <cell r="F175">
            <v>151.5</v>
          </cell>
        </row>
        <row r="176">
          <cell r="A176">
            <v>1407</v>
          </cell>
          <cell r="B176" t="str">
            <v>150mm safety type Hasp and Staple</v>
          </cell>
          <cell r="C176" t="str">
            <v>Nr</v>
          </cell>
          <cell r="D176">
            <v>175</v>
          </cell>
          <cell r="E176">
            <v>1.75</v>
          </cell>
          <cell r="F176">
            <v>177</v>
          </cell>
        </row>
        <row r="177">
          <cell r="A177">
            <v>1408</v>
          </cell>
          <cell r="B177" t="str">
            <v>100x100mm butt hinges</v>
          </cell>
          <cell r="C177" t="str">
            <v>Nr</v>
          </cell>
          <cell r="D177">
            <v>300</v>
          </cell>
          <cell r="E177">
            <v>3</v>
          </cell>
          <cell r="F177">
            <v>303</v>
          </cell>
        </row>
        <row r="178">
          <cell r="A178">
            <v>1409</v>
          </cell>
          <cell r="B178" t="str">
            <v>150x100mm butt hinges</v>
          </cell>
          <cell r="C178" t="str">
            <v>Nr</v>
          </cell>
          <cell r="D178">
            <v>475</v>
          </cell>
          <cell r="E178">
            <v>4.75</v>
          </cell>
          <cell r="F178">
            <v>480</v>
          </cell>
        </row>
        <row r="179">
          <cell r="A179">
            <v>1410</v>
          </cell>
          <cell r="B179" t="str">
            <v>37x37x5.8 mm angle iron</v>
          </cell>
          <cell r="C179" t="str">
            <v>m</v>
          </cell>
          <cell r="D179">
            <v>368</v>
          </cell>
          <cell r="E179">
            <v>3.68</v>
          </cell>
          <cell r="F179">
            <v>371.5</v>
          </cell>
        </row>
        <row r="180">
          <cell r="A180">
            <v>1411</v>
          </cell>
          <cell r="B180" t="str">
            <v>25x25x5 mm angle iron</v>
          </cell>
          <cell r="C180" t="str">
            <v>m</v>
          </cell>
          <cell r="D180">
            <v>187</v>
          </cell>
          <cell r="E180">
            <v>1.87</v>
          </cell>
          <cell r="F180">
            <v>189</v>
          </cell>
        </row>
        <row r="181">
          <cell r="A181">
            <v>1412</v>
          </cell>
          <cell r="B181" t="str">
            <v>25x5mm flat iron</v>
          </cell>
          <cell r="C181" t="str">
            <v>m</v>
          </cell>
          <cell r="D181">
            <v>103</v>
          </cell>
          <cell r="E181">
            <v>1.03</v>
          </cell>
          <cell r="F181">
            <v>104</v>
          </cell>
        </row>
        <row r="182">
          <cell r="A182">
            <v>1413</v>
          </cell>
          <cell r="B182" t="str">
            <v>6mm mild steel hook</v>
          </cell>
          <cell r="C182" t="str">
            <v>Nr</v>
          </cell>
          <cell r="D182">
            <v>50</v>
          </cell>
          <cell r="E182">
            <v>0.5</v>
          </cell>
          <cell r="F182">
            <v>50.5</v>
          </cell>
        </row>
        <row r="183">
          <cell r="A183">
            <v>0</v>
          </cell>
          <cell r="B183" t="str">
            <v>Aluminium Extrusions (Natural Anodized)</v>
          </cell>
          <cell r="C183">
            <v>0</v>
          </cell>
          <cell r="D183">
            <v>0</v>
          </cell>
          <cell r="E183">
            <v>0</v>
          </cell>
          <cell r="F183">
            <v>0</v>
          </cell>
        </row>
        <row r="184">
          <cell r="A184">
            <v>1501</v>
          </cell>
          <cell r="B184" t="str">
            <v>70S-1101-1 (NA)</v>
          </cell>
          <cell r="C184" t="str">
            <v>m</v>
          </cell>
          <cell r="D184">
            <v>450.61</v>
          </cell>
          <cell r="E184">
            <v>4.51</v>
          </cell>
          <cell r="F184">
            <v>455</v>
          </cell>
        </row>
        <row r="185">
          <cell r="A185">
            <v>1502</v>
          </cell>
          <cell r="B185" t="str">
            <v>70S-1001-1 (NA)</v>
          </cell>
          <cell r="C185" t="str">
            <v>m</v>
          </cell>
          <cell r="D185">
            <v>461.07</v>
          </cell>
          <cell r="E185">
            <v>4.6100000000000003</v>
          </cell>
          <cell r="F185">
            <v>465.5</v>
          </cell>
        </row>
        <row r="186">
          <cell r="A186">
            <v>1503</v>
          </cell>
          <cell r="B186" t="str">
            <v>70S-1201-1 (NA)</v>
          </cell>
          <cell r="C186" t="str">
            <v>m</v>
          </cell>
          <cell r="D186">
            <v>375.07</v>
          </cell>
          <cell r="E186">
            <v>3.75</v>
          </cell>
          <cell r="F186">
            <v>378</v>
          </cell>
        </row>
        <row r="187">
          <cell r="A187">
            <v>1504</v>
          </cell>
          <cell r="B187" t="str">
            <v>70S-1604 (NA)</v>
          </cell>
          <cell r="C187" t="str">
            <v>m</v>
          </cell>
          <cell r="D187">
            <v>367.07</v>
          </cell>
          <cell r="E187">
            <v>3.67</v>
          </cell>
          <cell r="F187">
            <v>371</v>
          </cell>
        </row>
        <row r="188">
          <cell r="A188">
            <v>1505</v>
          </cell>
          <cell r="B188" t="str">
            <v>70S-1704 (NA)</v>
          </cell>
          <cell r="C188" t="str">
            <v>m</v>
          </cell>
          <cell r="D188">
            <v>346.61</v>
          </cell>
          <cell r="E188">
            <v>3.47</v>
          </cell>
          <cell r="F188">
            <v>350</v>
          </cell>
        </row>
        <row r="189">
          <cell r="A189">
            <v>1506</v>
          </cell>
          <cell r="B189" t="str">
            <v>70S-1503A (NA)</v>
          </cell>
          <cell r="C189" t="str">
            <v>m</v>
          </cell>
          <cell r="D189">
            <v>433.38</v>
          </cell>
          <cell r="E189">
            <v>4.33</v>
          </cell>
          <cell r="F189">
            <v>438</v>
          </cell>
        </row>
        <row r="190">
          <cell r="A190">
            <v>1507</v>
          </cell>
          <cell r="B190" t="str">
            <v>70S-1401-1 (NA)</v>
          </cell>
          <cell r="C190" t="str">
            <v>m</v>
          </cell>
          <cell r="D190">
            <v>306.76</v>
          </cell>
          <cell r="E190">
            <v>3.07</v>
          </cell>
          <cell r="F190">
            <v>310</v>
          </cell>
        </row>
        <row r="191">
          <cell r="A191">
            <v>1508</v>
          </cell>
          <cell r="B191" t="str">
            <v>70SF-1006 (NA)</v>
          </cell>
          <cell r="C191" t="str">
            <v>m</v>
          </cell>
          <cell r="D191">
            <v>727.23</v>
          </cell>
          <cell r="E191">
            <v>7.27</v>
          </cell>
          <cell r="F191">
            <v>734.5</v>
          </cell>
        </row>
        <row r="192">
          <cell r="A192">
            <v>1509</v>
          </cell>
          <cell r="B192" t="str">
            <v>70SF-1201A (NA)</v>
          </cell>
          <cell r="C192" t="str">
            <v>m</v>
          </cell>
          <cell r="D192">
            <v>254</v>
          </cell>
          <cell r="E192">
            <v>2.54</v>
          </cell>
          <cell r="F192">
            <v>256.5</v>
          </cell>
        </row>
        <row r="193">
          <cell r="A193">
            <v>1510</v>
          </cell>
          <cell r="B193" t="str">
            <v>70SF-1201B (NA)</v>
          </cell>
          <cell r="C193" t="str">
            <v>m</v>
          </cell>
          <cell r="D193">
            <v>254</v>
          </cell>
          <cell r="E193">
            <v>2.54</v>
          </cell>
          <cell r="F193">
            <v>256.5</v>
          </cell>
        </row>
        <row r="194">
          <cell r="A194">
            <v>1511</v>
          </cell>
          <cell r="B194" t="str">
            <v>DG-02 (NA)</v>
          </cell>
          <cell r="C194" t="str">
            <v>m</v>
          </cell>
          <cell r="D194">
            <v>229.18</v>
          </cell>
          <cell r="E194">
            <v>2.29</v>
          </cell>
          <cell r="F194">
            <v>231.5</v>
          </cell>
        </row>
        <row r="195">
          <cell r="A195">
            <v>1512</v>
          </cell>
          <cell r="B195" t="str">
            <v>DG-102 (NA)</v>
          </cell>
          <cell r="C195" t="str">
            <v>m</v>
          </cell>
          <cell r="D195">
            <v>204.91</v>
          </cell>
          <cell r="E195">
            <v>2.0499999999999998</v>
          </cell>
          <cell r="F195">
            <v>207</v>
          </cell>
        </row>
        <row r="196">
          <cell r="A196">
            <v>1513</v>
          </cell>
          <cell r="B196" t="str">
            <v>CA-1001(NA)</v>
          </cell>
          <cell r="C196" t="str">
            <v>m</v>
          </cell>
          <cell r="D196">
            <v>569.01</v>
          </cell>
          <cell r="E196">
            <v>5.69</v>
          </cell>
          <cell r="F196">
            <v>574.5</v>
          </cell>
        </row>
        <row r="197">
          <cell r="A197">
            <v>1514</v>
          </cell>
          <cell r="B197" t="str">
            <v>CA-1002 (NA)</v>
          </cell>
          <cell r="C197" t="str">
            <v>m</v>
          </cell>
          <cell r="D197">
            <v>889.34</v>
          </cell>
          <cell r="E197">
            <v>8.89</v>
          </cell>
          <cell r="F197">
            <v>898</v>
          </cell>
        </row>
        <row r="198">
          <cell r="A198">
            <v>1515</v>
          </cell>
          <cell r="B198" t="str">
            <v>100D-1914 (NA)</v>
          </cell>
          <cell r="C198" t="str">
            <v>m</v>
          </cell>
          <cell r="D198">
            <v>124.61</v>
          </cell>
          <cell r="E198">
            <v>1.25</v>
          </cell>
          <cell r="F198">
            <v>126</v>
          </cell>
        </row>
        <row r="199">
          <cell r="A199">
            <v>1516</v>
          </cell>
          <cell r="B199" t="str">
            <v>CA-1007 (NA)</v>
          </cell>
          <cell r="C199" t="str">
            <v>m</v>
          </cell>
          <cell r="D199">
            <v>255.24</v>
          </cell>
          <cell r="E199">
            <v>2.5499999999999998</v>
          </cell>
          <cell r="F199">
            <v>258</v>
          </cell>
        </row>
        <row r="200">
          <cell r="A200">
            <v>1517</v>
          </cell>
          <cell r="B200" t="str">
            <v>CA-1008 (NA)</v>
          </cell>
          <cell r="C200" t="str">
            <v>m</v>
          </cell>
          <cell r="D200">
            <v>433.28</v>
          </cell>
          <cell r="E200">
            <v>4.33</v>
          </cell>
          <cell r="F200">
            <v>437.5</v>
          </cell>
        </row>
        <row r="201">
          <cell r="A201">
            <v>1518</v>
          </cell>
          <cell r="B201" t="str">
            <v>CA-2005 (NA)</v>
          </cell>
          <cell r="C201" t="str">
            <v>m</v>
          </cell>
          <cell r="D201">
            <v>485.08</v>
          </cell>
          <cell r="E201">
            <v>4.8499999999999996</v>
          </cell>
          <cell r="F201">
            <v>490</v>
          </cell>
        </row>
        <row r="202">
          <cell r="A202">
            <v>1519</v>
          </cell>
          <cell r="B202" t="str">
            <v>A-111 (MF)</v>
          </cell>
          <cell r="C202" t="str">
            <v>m</v>
          </cell>
          <cell r="D202">
            <v>392.87</v>
          </cell>
          <cell r="E202">
            <v>3.93</v>
          </cell>
          <cell r="F202">
            <v>397</v>
          </cell>
        </row>
        <row r="203">
          <cell r="A203">
            <v>1520</v>
          </cell>
          <cell r="B203" t="str">
            <v>DG-01 (NA)</v>
          </cell>
          <cell r="C203" t="str">
            <v>m</v>
          </cell>
          <cell r="D203">
            <v>219.18</v>
          </cell>
          <cell r="E203">
            <v>2.19</v>
          </cell>
          <cell r="F203">
            <v>221.5</v>
          </cell>
        </row>
        <row r="204">
          <cell r="A204">
            <v>1521</v>
          </cell>
          <cell r="B204" t="str">
            <v>DG-101(NA)</v>
          </cell>
          <cell r="C204" t="str">
            <v>m</v>
          </cell>
          <cell r="D204">
            <v>189.01</v>
          </cell>
          <cell r="E204">
            <v>1.89</v>
          </cell>
          <cell r="F204">
            <v>191</v>
          </cell>
        </row>
        <row r="205">
          <cell r="A205">
            <v>1522</v>
          </cell>
          <cell r="B205" t="str">
            <v>CA-2004 (NA)</v>
          </cell>
          <cell r="C205" t="str">
            <v>m</v>
          </cell>
          <cell r="D205">
            <v>332.78</v>
          </cell>
          <cell r="E205">
            <v>3.33</v>
          </cell>
          <cell r="F205">
            <v>336</v>
          </cell>
        </row>
        <row r="206">
          <cell r="A206">
            <v>1523</v>
          </cell>
          <cell r="B206" t="str">
            <v>GL-107 (NA)</v>
          </cell>
          <cell r="C206" t="str">
            <v>m</v>
          </cell>
          <cell r="D206">
            <v>130.82</v>
          </cell>
          <cell r="E206">
            <v>1.31</v>
          </cell>
          <cell r="F206">
            <v>132</v>
          </cell>
        </row>
        <row r="207">
          <cell r="A207">
            <v>1524</v>
          </cell>
          <cell r="B207" t="str">
            <v>CA-1003 (NA)</v>
          </cell>
          <cell r="C207" t="str">
            <v>m</v>
          </cell>
          <cell r="D207">
            <v>352.13</v>
          </cell>
          <cell r="E207">
            <v>3.52</v>
          </cell>
          <cell r="F207">
            <v>355.5</v>
          </cell>
        </row>
        <row r="208">
          <cell r="A208">
            <v>1525</v>
          </cell>
          <cell r="B208" t="str">
            <v>CA-1004 (NA)</v>
          </cell>
          <cell r="C208" t="str">
            <v>m</v>
          </cell>
          <cell r="D208">
            <v>526.39</v>
          </cell>
          <cell r="E208">
            <v>5.26</v>
          </cell>
          <cell r="F208">
            <v>531.5</v>
          </cell>
        </row>
        <row r="209">
          <cell r="A209">
            <v>1526</v>
          </cell>
          <cell r="B209" t="str">
            <v>CA-2006 (NA)</v>
          </cell>
          <cell r="C209" t="str">
            <v>m</v>
          </cell>
          <cell r="D209">
            <v>491.13</v>
          </cell>
          <cell r="E209">
            <v>4.91</v>
          </cell>
          <cell r="F209">
            <v>496</v>
          </cell>
        </row>
        <row r="210">
          <cell r="A210">
            <v>1527</v>
          </cell>
          <cell r="B210" t="str">
            <v>DG-02 (NA)</v>
          </cell>
          <cell r="C210" t="str">
            <v>m</v>
          </cell>
          <cell r="D210">
            <v>229.18</v>
          </cell>
          <cell r="E210">
            <v>2.29</v>
          </cell>
          <cell r="F210">
            <v>231.5</v>
          </cell>
        </row>
        <row r="211">
          <cell r="A211">
            <v>1528</v>
          </cell>
          <cell r="B211" t="str">
            <v>DG-102(NA)</v>
          </cell>
          <cell r="C211" t="str">
            <v>m</v>
          </cell>
          <cell r="D211">
            <v>204.91</v>
          </cell>
          <cell r="E211">
            <v>2.0499999999999998</v>
          </cell>
          <cell r="F211">
            <v>207</v>
          </cell>
        </row>
        <row r="212">
          <cell r="A212">
            <v>1529</v>
          </cell>
          <cell r="B212" t="str">
            <v>CA-1001 (NA)</v>
          </cell>
          <cell r="C212" t="str">
            <v>m</v>
          </cell>
          <cell r="D212">
            <v>569.01</v>
          </cell>
          <cell r="E212">
            <v>5.69</v>
          </cell>
          <cell r="F212">
            <v>574.5</v>
          </cell>
        </row>
        <row r="213">
          <cell r="A213">
            <v>1530</v>
          </cell>
          <cell r="B213" t="str">
            <v>CA-1002 (NA)</v>
          </cell>
          <cell r="C213" t="str">
            <v>m</v>
          </cell>
          <cell r="D213">
            <v>889.34</v>
          </cell>
          <cell r="E213">
            <v>8.89</v>
          </cell>
          <cell r="F213">
            <v>898</v>
          </cell>
        </row>
        <row r="214">
          <cell r="A214">
            <v>1531</v>
          </cell>
          <cell r="B214" t="str">
            <v>100D-3104 (NA)</v>
          </cell>
          <cell r="C214" t="str">
            <v>m</v>
          </cell>
          <cell r="D214">
            <v>602.61</v>
          </cell>
          <cell r="E214">
            <v>6.03</v>
          </cell>
          <cell r="F214">
            <v>608.5</v>
          </cell>
        </row>
        <row r="215">
          <cell r="A215">
            <v>1532</v>
          </cell>
          <cell r="B215" t="str">
            <v>100D-101 (NA)</v>
          </cell>
          <cell r="C215" t="str">
            <v>m</v>
          </cell>
          <cell r="D215">
            <v>823.23</v>
          </cell>
          <cell r="E215">
            <v>8.23</v>
          </cell>
          <cell r="F215">
            <v>831.5</v>
          </cell>
        </row>
        <row r="216">
          <cell r="A216">
            <v>1533</v>
          </cell>
          <cell r="B216" t="str">
            <v>100D-102 (NA)</v>
          </cell>
          <cell r="C216" t="str">
            <v>m</v>
          </cell>
          <cell r="D216">
            <v>862.3</v>
          </cell>
          <cell r="E216">
            <v>8.6199999999999992</v>
          </cell>
          <cell r="F216">
            <v>871</v>
          </cell>
        </row>
        <row r="217">
          <cell r="A217">
            <v>1534</v>
          </cell>
          <cell r="B217" t="str">
            <v>100D-201 (NA)</v>
          </cell>
          <cell r="C217" t="str">
            <v>m</v>
          </cell>
          <cell r="D217">
            <v>796.92</v>
          </cell>
          <cell r="E217">
            <v>7.97</v>
          </cell>
          <cell r="F217">
            <v>805</v>
          </cell>
        </row>
        <row r="218">
          <cell r="A218">
            <v>1535</v>
          </cell>
          <cell r="B218" t="str">
            <v>100D-301 (NA)</v>
          </cell>
          <cell r="C218" t="str">
            <v>m</v>
          </cell>
          <cell r="D218">
            <v>946.61</v>
          </cell>
          <cell r="E218">
            <v>9.4700000000000006</v>
          </cell>
          <cell r="F218">
            <v>956</v>
          </cell>
        </row>
        <row r="219">
          <cell r="A219">
            <v>1536</v>
          </cell>
          <cell r="B219" t="str">
            <v>100D-401 (NA)</v>
          </cell>
          <cell r="C219" t="str">
            <v>m</v>
          </cell>
          <cell r="D219">
            <v>1048.3</v>
          </cell>
          <cell r="E219">
            <v>10.48</v>
          </cell>
          <cell r="F219">
            <v>1059</v>
          </cell>
        </row>
        <row r="220">
          <cell r="A220">
            <v>1537</v>
          </cell>
          <cell r="B220" t="str">
            <v>100D-501 (NA)</v>
          </cell>
          <cell r="C220" t="str">
            <v>m</v>
          </cell>
          <cell r="D220">
            <v>112.15</v>
          </cell>
          <cell r="E220">
            <v>1.1200000000000001</v>
          </cell>
          <cell r="F220">
            <v>113.5</v>
          </cell>
        </row>
        <row r="221">
          <cell r="A221">
            <v>1538</v>
          </cell>
          <cell r="B221" t="str">
            <v>70D-1910 (NA)</v>
          </cell>
          <cell r="C221" t="str">
            <v>m</v>
          </cell>
          <cell r="D221">
            <v>128.30000000000001</v>
          </cell>
          <cell r="E221">
            <v>1.28</v>
          </cell>
          <cell r="F221">
            <v>129.5</v>
          </cell>
        </row>
        <row r="222">
          <cell r="A222">
            <v>1539</v>
          </cell>
          <cell r="B222" t="str">
            <v>100D-3503A (NA)</v>
          </cell>
          <cell r="C222" t="str">
            <v>m</v>
          </cell>
          <cell r="D222">
            <v>596.91999999999996</v>
          </cell>
          <cell r="E222">
            <v>5.97</v>
          </cell>
          <cell r="F222">
            <v>603</v>
          </cell>
        </row>
        <row r="223">
          <cell r="A223">
            <v>1540</v>
          </cell>
          <cell r="B223" t="str">
            <v>100D-3004A (NA)</v>
          </cell>
          <cell r="C223" t="str">
            <v>m</v>
          </cell>
          <cell r="D223">
            <v>704.3</v>
          </cell>
          <cell r="E223">
            <v>7.04</v>
          </cell>
          <cell r="F223">
            <v>711</v>
          </cell>
        </row>
        <row r="224">
          <cell r="A224">
            <v>1541</v>
          </cell>
          <cell r="B224" t="str">
            <v>100D-3207 (NA)</v>
          </cell>
          <cell r="C224" t="str">
            <v>m</v>
          </cell>
          <cell r="D224">
            <v>918.15</v>
          </cell>
          <cell r="E224">
            <v>9.18</v>
          </cell>
          <cell r="F224">
            <v>937.5</v>
          </cell>
        </row>
        <row r="225">
          <cell r="A225">
            <v>1542</v>
          </cell>
          <cell r="B225" t="str">
            <v>100D-3503 (NA)</v>
          </cell>
          <cell r="C225" t="str">
            <v>m</v>
          </cell>
          <cell r="D225">
            <v>651.69000000000005</v>
          </cell>
          <cell r="E225">
            <v>6.52</v>
          </cell>
          <cell r="F225">
            <v>658</v>
          </cell>
        </row>
        <row r="226">
          <cell r="A226">
            <v>1543</v>
          </cell>
          <cell r="B226" t="str">
            <v>100D-1914 (NA)</v>
          </cell>
          <cell r="C226" t="str">
            <v>m</v>
          </cell>
          <cell r="D226">
            <v>124.61</v>
          </cell>
          <cell r="E226">
            <v>1.25</v>
          </cell>
          <cell r="F226">
            <v>126</v>
          </cell>
        </row>
        <row r="227">
          <cell r="A227">
            <v>1544</v>
          </cell>
          <cell r="B227" t="str">
            <v>100D-3203 (NA)</v>
          </cell>
          <cell r="C227" t="str">
            <v>m</v>
          </cell>
          <cell r="D227">
            <v>693.07</v>
          </cell>
          <cell r="E227">
            <v>6.93</v>
          </cell>
          <cell r="F227">
            <v>700</v>
          </cell>
        </row>
        <row r="228">
          <cell r="A228">
            <v>1545</v>
          </cell>
          <cell r="B228" t="str">
            <v>70S-1002-1(NA)</v>
          </cell>
          <cell r="C228" t="str">
            <v>m</v>
          </cell>
          <cell r="D228">
            <v>323.83999999999997</v>
          </cell>
          <cell r="E228">
            <v>3.24</v>
          </cell>
          <cell r="F228">
            <v>327</v>
          </cell>
        </row>
        <row r="229">
          <cell r="A229">
            <v>1546</v>
          </cell>
          <cell r="B229" t="str">
            <v>70S-1102-1 (NA)</v>
          </cell>
          <cell r="C229" t="str">
            <v>m</v>
          </cell>
          <cell r="D229">
            <v>236.92</v>
          </cell>
          <cell r="E229">
            <v>2.37</v>
          </cell>
          <cell r="F229">
            <v>239.5</v>
          </cell>
        </row>
        <row r="230">
          <cell r="A230">
            <v>1547</v>
          </cell>
          <cell r="B230" t="str">
            <v>70S-1202-1(NA)</v>
          </cell>
          <cell r="C230" t="str">
            <v>m</v>
          </cell>
          <cell r="D230">
            <v>236.92</v>
          </cell>
          <cell r="E230">
            <v>2.37</v>
          </cell>
          <cell r="F230">
            <v>239.5</v>
          </cell>
        </row>
        <row r="231">
          <cell r="A231">
            <v>1548</v>
          </cell>
          <cell r="B231" t="str">
            <v>70S-1704A (NA)</v>
          </cell>
          <cell r="C231" t="str">
            <v>m</v>
          </cell>
          <cell r="D231">
            <v>441.38</v>
          </cell>
          <cell r="E231">
            <v>4.41</v>
          </cell>
          <cell r="F231">
            <v>446</v>
          </cell>
        </row>
        <row r="232">
          <cell r="A232">
            <v>1549</v>
          </cell>
          <cell r="B232" t="str">
            <v>70S-1402-1 (NA)</v>
          </cell>
          <cell r="C232" t="str">
            <v>m</v>
          </cell>
          <cell r="D232">
            <v>299.52999999999997</v>
          </cell>
          <cell r="E232">
            <v>3</v>
          </cell>
          <cell r="F232">
            <v>302.5</v>
          </cell>
        </row>
        <row r="233">
          <cell r="A233">
            <v>1550</v>
          </cell>
          <cell r="B233" t="str">
            <v>70S-1801 (NA)</v>
          </cell>
          <cell r="C233" t="str">
            <v>m</v>
          </cell>
          <cell r="D233">
            <v>281.38</v>
          </cell>
          <cell r="E233">
            <v>2.81</v>
          </cell>
          <cell r="F233">
            <v>284</v>
          </cell>
        </row>
        <row r="234">
          <cell r="A234">
            <v>1551</v>
          </cell>
          <cell r="B234" t="str">
            <v>70S-1101-2 (NA)</v>
          </cell>
          <cell r="C234" t="str">
            <v>m</v>
          </cell>
          <cell r="D234">
            <v>466.46</v>
          </cell>
          <cell r="E234">
            <v>4.66</v>
          </cell>
          <cell r="F234">
            <v>471</v>
          </cell>
        </row>
        <row r="235">
          <cell r="A235">
            <v>1552</v>
          </cell>
          <cell r="B235" t="str">
            <v>70S-1001-1 (NA)</v>
          </cell>
          <cell r="C235" t="str">
            <v>m</v>
          </cell>
          <cell r="D235">
            <v>461.07</v>
          </cell>
          <cell r="E235">
            <v>4.6100000000000003</v>
          </cell>
          <cell r="F235">
            <v>465.5</v>
          </cell>
        </row>
        <row r="236">
          <cell r="A236">
            <v>1553</v>
          </cell>
          <cell r="B236" t="str">
            <v>70S-1704A (NA)</v>
          </cell>
          <cell r="C236" t="str">
            <v>m</v>
          </cell>
          <cell r="D236">
            <v>441.38</v>
          </cell>
          <cell r="E236">
            <v>4.41</v>
          </cell>
          <cell r="F236">
            <v>446</v>
          </cell>
        </row>
        <row r="237">
          <cell r="A237">
            <v>1554</v>
          </cell>
          <cell r="B237" t="str">
            <v>70S-1401-1 (NA)</v>
          </cell>
          <cell r="C237" t="str">
            <v>m</v>
          </cell>
          <cell r="D237">
            <v>306.76</v>
          </cell>
          <cell r="E237">
            <v>3.07</v>
          </cell>
          <cell r="F237">
            <v>310</v>
          </cell>
        </row>
        <row r="238">
          <cell r="A238">
            <v>1555</v>
          </cell>
          <cell r="B238" t="str">
            <v>70S-1201-1 (NA)</v>
          </cell>
          <cell r="C238" t="str">
            <v>m</v>
          </cell>
          <cell r="D238">
            <v>375.07</v>
          </cell>
          <cell r="E238">
            <v>3.75</v>
          </cell>
          <cell r="F238">
            <v>379</v>
          </cell>
        </row>
        <row r="239">
          <cell r="A239">
            <v>1556</v>
          </cell>
          <cell r="B239" t="str">
            <v>70S-1604 (NA)</v>
          </cell>
          <cell r="C239" t="str">
            <v>m</v>
          </cell>
          <cell r="D239">
            <v>367.07</v>
          </cell>
          <cell r="E239">
            <v>3.67</v>
          </cell>
          <cell r="F239">
            <v>371</v>
          </cell>
        </row>
        <row r="240">
          <cell r="A240">
            <v>1557</v>
          </cell>
          <cell r="B240" t="str">
            <v>70S-1801 (NA)</v>
          </cell>
          <cell r="C240" t="str">
            <v>m</v>
          </cell>
          <cell r="D240">
            <v>281.38</v>
          </cell>
          <cell r="E240">
            <v>2.81</v>
          </cell>
          <cell r="F240">
            <v>284</v>
          </cell>
        </row>
        <row r="241">
          <cell r="A241">
            <v>1558</v>
          </cell>
          <cell r="B241" t="str">
            <v>PT-5157 (NA)</v>
          </cell>
          <cell r="C241" t="str">
            <v>m</v>
          </cell>
          <cell r="D241">
            <v>306.39</v>
          </cell>
          <cell r="E241">
            <v>3.06</v>
          </cell>
          <cell r="F241">
            <v>309.5</v>
          </cell>
        </row>
        <row r="242">
          <cell r="A242">
            <v>1559</v>
          </cell>
          <cell r="B242" t="str">
            <v>PT-5158 (NA)</v>
          </cell>
          <cell r="C242" t="str">
            <v>m</v>
          </cell>
          <cell r="D242">
            <v>226.72</v>
          </cell>
          <cell r="E242">
            <v>2.27</v>
          </cell>
          <cell r="F242">
            <v>229</v>
          </cell>
        </row>
        <row r="243">
          <cell r="A243">
            <v>1560</v>
          </cell>
          <cell r="B243" t="str">
            <v>PT-5153 (NA)</v>
          </cell>
          <cell r="C243" t="str">
            <v>m</v>
          </cell>
          <cell r="D243">
            <v>82.78</v>
          </cell>
          <cell r="E243">
            <v>0.83</v>
          </cell>
          <cell r="F243">
            <v>83.5</v>
          </cell>
        </row>
        <row r="244">
          <cell r="A244">
            <v>1561</v>
          </cell>
          <cell r="B244" t="str">
            <v>PT-5154 (NA)</v>
          </cell>
          <cell r="C244" t="str">
            <v>m</v>
          </cell>
          <cell r="D244">
            <v>169.34</v>
          </cell>
          <cell r="E244">
            <v>1.69</v>
          </cell>
          <cell r="F244">
            <v>171</v>
          </cell>
        </row>
        <row r="245">
          <cell r="A245">
            <v>1562</v>
          </cell>
          <cell r="B245" t="str">
            <v>A-110A (MF)</v>
          </cell>
          <cell r="C245" t="str">
            <v>m</v>
          </cell>
          <cell r="D245">
            <v>287.37</v>
          </cell>
          <cell r="E245">
            <v>2.87</v>
          </cell>
          <cell r="F245">
            <v>290</v>
          </cell>
        </row>
        <row r="246">
          <cell r="A246">
            <v>0</v>
          </cell>
          <cell r="B246" t="str">
            <v>Aluminium Extrusions (Bronze Anodized)</v>
          </cell>
          <cell r="C246">
            <v>0</v>
          </cell>
          <cell r="D246">
            <v>0</v>
          </cell>
          <cell r="E246">
            <v>0</v>
          </cell>
          <cell r="F246">
            <v>0</v>
          </cell>
        </row>
        <row r="247">
          <cell r="A247">
            <v>1601</v>
          </cell>
          <cell r="B247" t="str">
            <v>70S-1101-1 (BA)</v>
          </cell>
          <cell r="C247" t="str">
            <v>m</v>
          </cell>
          <cell r="D247">
            <v>458.61</v>
          </cell>
          <cell r="E247">
            <v>4.59</v>
          </cell>
          <cell r="F247">
            <v>463</v>
          </cell>
        </row>
        <row r="248">
          <cell r="A248">
            <v>1602</v>
          </cell>
          <cell r="B248" t="str">
            <v>70S-1001-1 (BA)</v>
          </cell>
          <cell r="C248" t="str">
            <v>m</v>
          </cell>
          <cell r="D248">
            <v>469.38</v>
          </cell>
          <cell r="E248">
            <v>4.6900000000000004</v>
          </cell>
          <cell r="F248">
            <v>474</v>
          </cell>
        </row>
        <row r="249">
          <cell r="A249">
            <v>1603</v>
          </cell>
          <cell r="B249" t="str">
            <v>70S-1201-1 (BA)</v>
          </cell>
          <cell r="C249" t="str">
            <v>m</v>
          </cell>
          <cell r="D249">
            <v>382</v>
          </cell>
          <cell r="E249">
            <v>3.82</v>
          </cell>
          <cell r="F249">
            <v>386</v>
          </cell>
        </row>
        <row r="250">
          <cell r="A250">
            <v>1604</v>
          </cell>
          <cell r="B250" t="str">
            <v>70S-1604 (BA)</v>
          </cell>
          <cell r="C250" t="str">
            <v>m</v>
          </cell>
          <cell r="D250">
            <v>373.85</v>
          </cell>
          <cell r="E250">
            <v>3.74</v>
          </cell>
          <cell r="F250">
            <v>377.5</v>
          </cell>
        </row>
        <row r="251">
          <cell r="A251">
            <v>1605</v>
          </cell>
          <cell r="B251" t="str">
            <v>70S-1704 (BA)</v>
          </cell>
          <cell r="C251" t="str">
            <v>m</v>
          </cell>
          <cell r="D251">
            <v>352.77</v>
          </cell>
          <cell r="E251">
            <v>3.53</v>
          </cell>
          <cell r="F251">
            <v>356.5</v>
          </cell>
        </row>
        <row r="252">
          <cell r="A252">
            <v>1606</v>
          </cell>
          <cell r="B252" t="str">
            <v>70S-1503A (BA)</v>
          </cell>
          <cell r="C252" t="str">
            <v>m</v>
          </cell>
          <cell r="D252">
            <v>441.38</v>
          </cell>
          <cell r="E252">
            <v>4.41</v>
          </cell>
          <cell r="F252">
            <v>446</v>
          </cell>
        </row>
        <row r="253">
          <cell r="A253">
            <v>1607</v>
          </cell>
          <cell r="B253" t="str">
            <v>70S-1401-1 (BA)</v>
          </cell>
          <cell r="C253" t="str">
            <v>m</v>
          </cell>
          <cell r="D253">
            <v>312</v>
          </cell>
          <cell r="E253">
            <v>3.12</v>
          </cell>
          <cell r="F253">
            <v>315</v>
          </cell>
        </row>
        <row r="254">
          <cell r="A254">
            <v>1608</v>
          </cell>
          <cell r="B254" t="str">
            <v>70SF-1006 (BA)</v>
          </cell>
          <cell r="C254" t="str">
            <v>m</v>
          </cell>
          <cell r="D254">
            <v>740.46</v>
          </cell>
          <cell r="E254">
            <v>7.4</v>
          </cell>
          <cell r="F254">
            <v>748</v>
          </cell>
        </row>
        <row r="255">
          <cell r="A255">
            <v>1609</v>
          </cell>
          <cell r="B255" t="str">
            <v>70SF-1201A (BA)</v>
          </cell>
          <cell r="C255" t="str">
            <v>m</v>
          </cell>
          <cell r="D255">
            <v>258.14999999999998</v>
          </cell>
          <cell r="E255">
            <v>2.58</v>
          </cell>
          <cell r="F255">
            <v>261</v>
          </cell>
        </row>
        <row r="256">
          <cell r="A256">
            <v>1610</v>
          </cell>
          <cell r="B256" t="str">
            <v>70SF-1201B (BA)</v>
          </cell>
          <cell r="C256" t="str">
            <v>m</v>
          </cell>
          <cell r="D256">
            <v>258.14999999999998</v>
          </cell>
          <cell r="E256">
            <v>2.58</v>
          </cell>
          <cell r="F256">
            <v>260.5</v>
          </cell>
        </row>
        <row r="257">
          <cell r="A257">
            <v>1611</v>
          </cell>
          <cell r="B257" t="str">
            <v>DG-02 (BA)</v>
          </cell>
          <cell r="C257" t="str">
            <v>m</v>
          </cell>
          <cell r="D257">
            <v>233.6</v>
          </cell>
          <cell r="E257">
            <v>2.34</v>
          </cell>
          <cell r="F257">
            <v>236</v>
          </cell>
        </row>
        <row r="258">
          <cell r="A258">
            <v>1612</v>
          </cell>
          <cell r="B258" t="str">
            <v>DG-102 (BA)</v>
          </cell>
          <cell r="C258" t="str">
            <v>m</v>
          </cell>
          <cell r="D258">
            <v>208.52</v>
          </cell>
          <cell r="E258">
            <v>2.09</v>
          </cell>
          <cell r="F258">
            <v>210.5</v>
          </cell>
        </row>
        <row r="259">
          <cell r="A259">
            <v>1613</v>
          </cell>
          <cell r="B259" t="str">
            <v>CA-1001(BA)</v>
          </cell>
          <cell r="C259" t="str">
            <v>m</v>
          </cell>
          <cell r="D259">
            <v>579.51</v>
          </cell>
          <cell r="E259">
            <v>5.8</v>
          </cell>
          <cell r="F259">
            <v>585.5</v>
          </cell>
        </row>
        <row r="260">
          <cell r="A260">
            <v>1614</v>
          </cell>
          <cell r="B260" t="str">
            <v>CA-1002 (BA)</v>
          </cell>
          <cell r="C260" t="str">
            <v>m</v>
          </cell>
          <cell r="D260">
            <v>905.57</v>
          </cell>
          <cell r="E260">
            <v>9.06</v>
          </cell>
          <cell r="F260">
            <v>914.5</v>
          </cell>
        </row>
        <row r="261">
          <cell r="A261">
            <v>1615</v>
          </cell>
          <cell r="B261" t="str">
            <v>100D-1914 (BA)</v>
          </cell>
          <cell r="C261" t="str">
            <v>m</v>
          </cell>
          <cell r="D261">
            <v>127.07</v>
          </cell>
          <cell r="E261">
            <v>1.27</v>
          </cell>
          <cell r="F261">
            <v>128.5</v>
          </cell>
        </row>
        <row r="262">
          <cell r="A262">
            <v>1616</v>
          </cell>
          <cell r="B262" t="str">
            <v>CA-1007 (BA)</v>
          </cell>
          <cell r="C262" t="str">
            <v>m</v>
          </cell>
          <cell r="D262">
            <v>260.32</v>
          </cell>
          <cell r="E262">
            <v>2.6</v>
          </cell>
          <cell r="F262">
            <v>263</v>
          </cell>
        </row>
        <row r="263">
          <cell r="A263">
            <v>1617</v>
          </cell>
          <cell r="B263" t="str">
            <v>CA-1008 (BA)</v>
          </cell>
          <cell r="C263" t="str">
            <v>m</v>
          </cell>
          <cell r="D263">
            <v>441.8</v>
          </cell>
          <cell r="E263">
            <v>4.42</v>
          </cell>
          <cell r="F263">
            <v>446</v>
          </cell>
        </row>
        <row r="264">
          <cell r="A264">
            <v>1618</v>
          </cell>
          <cell r="B264" t="str">
            <v>CA-2005 (BA)</v>
          </cell>
          <cell r="C264" t="str">
            <v>m</v>
          </cell>
          <cell r="D264">
            <v>493.6</v>
          </cell>
          <cell r="E264">
            <v>4.9400000000000004</v>
          </cell>
          <cell r="F264">
            <v>498.5</v>
          </cell>
        </row>
        <row r="265">
          <cell r="A265">
            <v>1619</v>
          </cell>
          <cell r="B265" t="str">
            <v>A-111 (MF)</v>
          </cell>
          <cell r="C265" t="str">
            <v>m</v>
          </cell>
          <cell r="D265">
            <v>392.88</v>
          </cell>
          <cell r="E265">
            <v>3.93</v>
          </cell>
          <cell r="F265">
            <v>397</v>
          </cell>
        </row>
        <row r="266">
          <cell r="A266">
            <v>1620</v>
          </cell>
          <cell r="B266" t="str">
            <v>DG-01 (BA)</v>
          </cell>
          <cell r="C266" t="str">
            <v>m</v>
          </cell>
          <cell r="D266">
            <v>223.44</v>
          </cell>
          <cell r="E266">
            <v>2.23</v>
          </cell>
          <cell r="F266">
            <v>225.5</v>
          </cell>
        </row>
        <row r="267">
          <cell r="A267">
            <v>1621</v>
          </cell>
          <cell r="B267" t="str">
            <v>DG-101(BA)</v>
          </cell>
          <cell r="C267" t="str">
            <v>m</v>
          </cell>
          <cell r="D267">
            <v>192.46</v>
          </cell>
          <cell r="E267">
            <v>1.92</v>
          </cell>
          <cell r="F267">
            <v>194.5</v>
          </cell>
        </row>
        <row r="268">
          <cell r="A268">
            <v>1622</v>
          </cell>
          <cell r="B268" t="str">
            <v>CA-2004 (BA)</v>
          </cell>
          <cell r="C268" t="str">
            <v>m</v>
          </cell>
          <cell r="D268">
            <v>339.01</v>
          </cell>
          <cell r="E268">
            <v>3.39</v>
          </cell>
          <cell r="F268">
            <v>342.5</v>
          </cell>
        </row>
        <row r="269">
          <cell r="A269">
            <v>1623</v>
          </cell>
          <cell r="B269" t="str">
            <v>GL-107 (BA)</v>
          </cell>
          <cell r="C269" t="str">
            <v>m</v>
          </cell>
          <cell r="D269">
            <v>132.94999999999999</v>
          </cell>
          <cell r="E269">
            <v>1.33</v>
          </cell>
          <cell r="F269">
            <v>134.5</v>
          </cell>
        </row>
        <row r="270">
          <cell r="A270">
            <v>1624</v>
          </cell>
          <cell r="B270" t="str">
            <v>CA-1003 (BA)</v>
          </cell>
          <cell r="C270" t="str">
            <v>m</v>
          </cell>
          <cell r="D270">
            <v>358.69</v>
          </cell>
          <cell r="E270">
            <v>3.59</v>
          </cell>
          <cell r="F270">
            <v>362.5</v>
          </cell>
        </row>
        <row r="271">
          <cell r="A271">
            <v>1625</v>
          </cell>
          <cell r="B271" t="str">
            <v>CA-1004 (BA)</v>
          </cell>
          <cell r="C271" t="str">
            <v>m</v>
          </cell>
          <cell r="D271">
            <v>535.9</v>
          </cell>
          <cell r="E271">
            <v>5.36</v>
          </cell>
          <cell r="F271">
            <v>541.5</v>
          </cell>
        </row>
        <row r="272">
          <cell r="A272">
            <v>1626</v>
          </cell>
          <cell r="B272" t="str">
            <v>CA-2006 (BA)</v>
          </cell>
          <cell r="C272" t="str">
            <v>m</v>
          </cell>
          <cell r="D272">
            <v>501.31</v>
          </cell>
          <cell r="E272">
            <v>5.01</v>
          </cell>
          <cell r="F272">
            <v>506.5</v>
          </cell>
        </row>
        <row r="273">
          <cell r="A273">
            <v>1627</v>
          </cell>
          <cell r="B273" t="str">
            <v>DG-02 (BA)</v>
          </cell>
          <cell r="C273" t="str">
            <v>m</v>
          </cell>
          <cell r="D273">
            <v>233.6</v>
          </cell>
          <cell r="E273">
            <v>2.34</v>
          </cell>
          <cell r="F273">
            <v>236</v>
          </cell>
        </row>
        <row r="274">
          <cell r="A274">
            <v>1628</v>
          </cell>
          <cell r="B274" t="str">
            <v>DG-102(BA)</v>
          </cell>
          <cell r="C274" t="str">
            <v>m</v>
          </cell>
          <cell r="D274">
            <v>208.52</v>
          </cell>
          <cell r="E274">
            <v>2.09</v>
          </cell>
          <cell r="F274">
            <v>210.5</v>
          </cell>
        </row>
        <row r="275">
          <cell r="A275">
            <v>1629</v>
          </cell>
          <cell r="B275" t="str">
            <v>CA-1001 (BA)</v>
          </cell>
          <cell r="C275" t="str">
            <v>m</v>
          </cell>
          <cell r="D275">
            <v>579.51</v>
          </cell>
          <cell r="E275">
            <v>5.8</v>
          </cell>
          <cell r="F275">
            <v>585.5</v>
          </cell>
        </row>
        <row r="276">
          <cell r="A276">
            <v>1630</v>
          </cell>
          <cell r="B276" t="str">
            <v>CA-1002 (BA)</v>
          </cell>
          <cell r="C276" t="str">
            <v>m</v>
          </cell>
          <cell r="D276">
            <v>905.57</v>
          </cell>
          <cell r="E276">
            <v>9.06</v>
          </cell>
          <cell r="F276">
            <v>914.5</v>
          </cell>
        </row>
        <row r="277">
          <cell r="A277">
            <v>1631</v>
          </cell>
          <cell r="B277" t="str">
            <v>100D-3104 (BA)</v>
          </cell>
          <cell r="C277" t="str">
            <v>m</v>
          </cell>
          <cell r="D277">
            <v>613.69000000000005</v>
          </cell>
          <cell r="E277">
            <v>6.14</v>
          </cell>
          <cell r="F277">
            <v>620</v>
          </cell>
        </row>
        <row r="278">
          <cell r="A278">
            <v>1632</v>
          </cell>
          <cell r="B278" t="str">
            <v>100D-101 (BA)</v>
          </cell>
          <cell r="C278" t="str">
            <v>m</v>
          </cell>
          <cell r="D278">
            <v>838.31</v>
          </cell>
          <cell r="E278">
            <v>8.3800000000000008</v>
          </cell>
          <cell r="F278">
            <v>846.5</v>
          </cell>
        </row>
        <row r="279">
          <cell r="A279">
            <v>1633</v>
          </cell>
          <cell r="B279" t="str">
            <v>100D-102 (BA)</v>
          </cell>
          <cell r="C279" t="str">
            <v>m</v>
          </cell>
          <cell r="D279">
            <v>877.85</v>
          </cell>
          <cell r="E279">
            <v>8.7799999999999994</v>
          </cell>
          <cell r="F279">
            <v>886.5</v>
          </cell>
        </row>
        <row r="280">
          <cell r="A280">
            <v>1634</v>
          </cell>
          <cell r="B280" t="str">
            <v>100D-201 (BA)</v>
          </cell>
          <cell r="C280" t="str">
            <v>m</v>
          </cell>
          <cell r="D280">
            <v>811.69</v>
          </cell>
          <cell r="E280">
            <v>8.1199999999999992</v>
          </cell>
          <cell r="F280">
            <v>820</v>
          </cell>
        </row>
        <row r="281">
          <cell r="A281">
            <v>1635</v>
          </cell>
          <cell r="B281" t="str">
            <v>100D-301 (BA)</v>
          </cell>
          <cell r="C281" t="str">
            <v>m</v>
          </cell>
          <cell r="D281">
            <v>964</v>
          </cell>
          <cell r="E281">
            <v>9.64</v>
          </cell>
          <cell r="F281">
            <v>973.5</v>
          </cell>
        </row>
        <row r="282">
          <cell r="A282">
            <v>1636</v>
          </cell>
          <cell r="B282" t="str">
            <v>100D-401 (BA)</v>
          </cell>
          <cell r="C282" t="str">
            <v>m</v>
          </cell>
          <cell r="D282">
            <v>1067.69</v>
          </cell>
          <cell r="E282">
            <v>10.68</v>
          </cell>
          <cell r="F282">
            <v>1078.5</v>
          </cell>
        </row>
        <row r="283">
          <cell r="A283">
            <v>1637</v>
          </cell>
          <cell r="B283" t="str">
            <v>100D-501 (BA)</v>
          </cell>
          <cell r="C283" t="str">
            <v>m</v>
          </cell>
          <cell r="D283">
            <v>114.15</v>
          </cell>
          <cell r="E283">
            <v>1.1399999999999999</v>
          </cell>
          <cell r="F283">
            <v>115.5</v>
          </cell>
        </row>
        <row r="284">
          <cell r="A284">
            <v>1638</v>
          </cell>
          <cell r="B284" t="str">
            <v>70D-1910 (BA)</v>
          </cell>
          <cell r="C284" t="str">
            <v>m</v>
          </cell>
          <cell r="D284">
            <v>130.30000000000001</v>
          </cell>
          <cell r="E284">
            <v>1.3</v>
          </cell>
          <cell r="F284">
            <v>131.5</v>
          </cell>
        </row>
        <row r="285">
          <cell r="A285">
            <v>1639</v>
          </cell>
          <cell r="B285" t="str">
            <v>100D-3503A (BA)</v>
          </cell>
          <cell r="C285" t="str">
            <v>m</v>
          </cell>
          <cell r="D285">
            <v>607.69000000000005</v>
          </cell>
          <cell r="E285">
            <v>6.08</v>
          </cell>
          <cell r="F285">
            <v>613.5</v>
          </cell>
        </row>
        <row r="286">
          <cell r="A286">
            <v>1640</v>
          </cell>
          <cell r="B286" t="str">
            <v>100D-3004A (BA)</v>
          </cell>
          <cell r="C286" t="str">
            <v>m</v>
          </cell>
          <cell r="D286">
            <v>717.38</v>
          </cell>
          <cell r="E286">
            <v>7.17</v>
          </cell>
          <cell r="F286">
            <v>724.5</v>
          </cell>
        </row>
        <row r="287">
          <cell r="A287">
            <v>1641</v>
          </cell>
          <cell r="B287" t="str">
            <v>100D-3207 (BA)</v>
          </cell>
          <cell r="C287" t="str">
            <v>m</v>
          </cell>
          <cell r="D287">
            <v>934.92</v>
          </cell>
          <cell r="E287">
            <v>9.35</v>
          </cell>
          <cell r="F287">
            <v>944.5</v>
          </cell>
        </row>
        <row r="288">
          <cell r="A288">
            <v>1642</v>
          </cell>
          <cell r="B288" t="str">
            <v>100D-3503 (BA)</v>
          </cell>
          <cell r="C288" t="str">
            <v>m</v>
          </cell>
          <cell r="D288">
            <v>663.85</v>
          </cell>
          <cell r="E288">
            <v>6.64</v>
          </cell>
          <cell r="F288">
            <v>670.5</v>
          </cell>
        </row>
        <row r="289">
          <cell r="A289">
            <v>1643</v>
          </cell>
          <cell r="B289" t="str">
            <v>100D-1914 (BA)</v>
          </cell>
          <cell r="C289" t="str">
            <v>m</v>
          </cell>
          <cell r="D289">
            <v>127.07</v>
          </cell>
          <cell r="E289">
            <v>1.27</v>
          </cell>
          <cell r="F289">
            <v>128.5</v>
          </cell>
        </row>
        <row r="290">
          <cell r="A290">
            <v>1644</v>
          </cell>
          <cell r="B290" t="str">
            <v>100D-3203 (BA)</v>
          </cell>
          <cell r="C290" t="str">
            <v>m</v>
          </cell>
          <cell r="D290">
            <v>705.53</v>
          </cell>
          <cell r="E290">
            <v>7.06</v>
          </cell>
          <cell r="F290">
            <v>712.5</v>
          </cell>
        </row>
        <row r="291">
          <cell r="A291">
            <v>1645</v>
          </cell>
          <cell r="B291" t="str">
            <v>70S-1002-1(BA)</v>
          </cell>
          <cell r="C291" t="str">
            <v>m</v>
          </cell>
          <cell r="D291">
            <v>329.69</v>
          </cell>
          <cell r="E291">
            <v>3.3</v>
          </cell>
          <cell r="F291">
            <v>333</v>
          </cell>
        </row>
        <row r="292">
          <cell r="A292">
            <v>1646</v>
          </cell>
          <cell r="B292" t="str">
            <v>70S-1102-1 (BA)</v>
          </cell>
          <cell r="C292" t="str">
            <v>m</v>
          </cell>
          <cell r="D292">
            <v>241.23</v>
          </cell>
          <cell r="E292">
            <v>2.41</v>
          </cell>
          <cell r="F292">
            <v>243.5</v>
          </cell>
        </row>
        <row r="293">
          <cell r="A293">
            <v>1647</v>
          </cell>
          <cell r="B293" t="str">
            <v>70S-1202-1(BA)</v>
          </cell>
          <cell r="C293" t="str">
            <v>m</v>
          </cell>
          <cell r="D293">
            <v>241.23</v>
          </cell>
          <cell r="E293">
            <v>2.41</v>
          </cell>
          <cell r="F293">
            <v>243.5</v>
          </cell>
        </row>
        <row r="294">
          <cell r="A294">
            <v>1648</v>
          </cell>
          <cell r="B294" t="str">
            <v>70S-1704A (BA)</v>
          </cell>
          <cell r="C294" t="str">
            <v>m</v>
          </cell>
          <cell r="D294">
            <v>449.54</v>
          </cell>
          <cell r="E294">
            <v>4.5</v>
          </cell>
          <cell r="F294">
            <v>454</v>
          </cell>
        </row>
        <row r="295">
          <cell r="A295">
            <v>1649</v>
          </cell>
          <cell r="B295" t="str">
            <v>70S-1402-1 (BA)</v>
          </cell>
          <cell r="C295" t="str">
            <v>m</v>
          </cell>
          <cell r="D295">
            <v>304.92</v>
          </cell>
          <cell r="E295">
            <v>3.05</v>
          </cell>
          <cell r="F295">
            <v>308</v>
          </cell>
        </row>
        <row r="296">
          <cell r="A296">
            <v>1650</v>
          </cell>
          <cell r="B296" t="str">
            <v>70S-1801 (BA)</v>
          </cell>
          <cell r="C296" t="str">
            <v>m</v>
          </cell>
          <cell r="D296">
            <v>286.45999999999998</v>
          </cell>
          <cell r="E296">
            <v>2.86</v>
          </cell>
          <cell r="F296">
            <v>289.5</v>
          </cell>
        </row>
        <row r="297">
          <cell r="A297">
            <v>1651</v>
          </cell>
          <cell r="B297" t="str">
            <v>70S-1101-2 (BA)</v>
          </cell>
          <cell r="C297" t="str">
            <v>m</v>
          </cell>
          <cell r="D297">
            <v>475.07</v>
          </cell>
          <cell r="E297">
            <v>4.75</v>
          </cell>
          <cell r="F297">
            <v>480</v>
          </cell>
        </row>
        <row r="298">
          <cell r="A298">
            <v>1652</v>
          </cell>
          <cell r="B298" t="str">
            <v>70S-1001-1 (BA)</v>
          </cell>
          <cell r="C298" t="str">
            <v>m</v>
          </cell>
          <cell r="D298">
            <v>469.38</v>
          </cell>
          <cell r="E298">
            <v>4.6900000000000004</v>
          </cell>
          <cell r="F298">
            <v>474</v>
          </cell>
        </row>
        <row r="299">
          <cell r="A299">
            <v>1653</v>
          </cell>
          <cell r="B299" t="str">
            <v>70S-1704A (BA)</v>
          </cell>
          <cell r="C299" t="str">
            <v>m</v>
          </cell>
          <cell r="D299">
            <v>449.54</v>
          </cell>
          <cell r="E299">
            <v>4.5</v>
          </cell>
          <cell r="F299">
            <v>454</v>
          </cell>
        </row>
        <row r="300">
          <cell r="A300">
            <v>1654</v>
          </cell>
          <cell r="B300" t="str">
            <v>70S-1401-1 (BA)</v>
          </cell>
          <cell r="C300" t="str">
            <v>m</v>
          </cell>
          <cell r="D300">
            <v>312</v>
          </cell>
          <cell r="E300">
            <v>3.12</v>
          </cell>
          <cell r="F300">
            <v>315</v>
          </cell>
        </row>
        <row r="301">
          <cell r="A301">
            <v>1655</v>
          </cell>
          <cell r="B301" t="str">
            <v>70S-1201-1 (BA)</v>
          </cell>
          <cell r="C301" t="str">
            <v>m</v>
          </cell>
          <cell r="D301">
            <v>382</v>
          </cell>
          <cell r="E301">
            <v>3.82</v>
          </cell>
          <cell r="F301">
            <v>386</v>
          </cell>
        </row>
        <row r="302">
          <cell r="A302">
            <v>1656</v>
          </cell>
          <cell r="B302" t="str">
            <v>70S-1604 (BA)</v>
          </cell>
          <cell r="C302" t="str">
            <v>m</v>
          </cell>
          <cell r="D302">
            <v>373.85</v>
          </cell>
          <cell r="E302">
            <v>3.74</v>
          </cell>
          <cell r="F302">
            <v>377.5</v>
          </cell>
        </row>
        <row r="303">
          <cell r="A303">
            <v>1657</v>
          </cell>
          <cell r="B303" t="str">
            <v>70S-1801 (BA)</v>
          </cell>
          <cell r="C303" t="str">
            <v>m</v>
          </cell>
          <cell r="D303">
            <v>286.45999999999998</v>
          </cell>
          <cell r="E303">
            <v>2.86</v>
          </cell>
          <cell r="F303">
            <v>289.5</v>
          </cell>
        </row>
        <row r="304">
          <cell r="A304">
            <v>1658</v>
          </cell>
          <cell r="B304" t="str">
            <v>PT-5157 (BA)</v>
          </cell>
          <cell r="C304" t="str">
            <v>m</v>
          </cell>
          <cell r="D304">
            <v>312.45999999999998</v>
          </cell>
          <cell r="E304">
            <v>3.12</v>
          </cell>
          <cell r="F304">
            <v>315.5</v>
          </cell>
        </row>
        <row r="305">
          <cell r="A305">
            <v>1659</v>
          </cell>
          <cell r="B305" t="str">
            <v>PT-5158 (BA)</v>
          </cell>
          <cell r="C305" t="str">
            <v>m</v>
          </cell>
          <cell r="D305">
            <v>230.32</v>
          </cell>
          <cell r="E305">
            <v>2.2999999999999998</v>
          </cell>
          <cell r="F305">
            <v>232.5</v>
          </cell>
        </row>
        <row r="306">
          <cell r="A306">
            <v>1660</v>
          </cell>
          <cell r="B306" t="str">
            <v>PT-5153 (BA)</v>
          </cell>
          <cell r="C306" t="str">
            <v>m</v>
          </cell>
          <cell r="D306">
            <v>84.42</v>
          </cell>
          <cell r="E306">
            <v>0.84</v>
          </cell>
          <cell r="F306">
            <v>85.5</v>
          </cell>
        </row>
        <row r="307">
          <cell r="A307">
            <v>1661</v>
          </cell>
          <cell r="B307" t="str">
            <v>PT-5154 (BA)</v>
          </cell>
          <cell r="C307" t="str">
            <v>m</v>
          </cell>
          <cell r="D307">
            <v>171.97</v>
          </cell>
          <cell r="E307">
            <v>1.72</v>
          </cell>
          <cell r="F307">
            <v>173.5</v>
          </cell>
        </row>
        <row r="308">
          <cell r="A308">
            <v>1662</v>
          </cell>
          <cell r="B308" t="str">
            <v>A-110A (MF)</v>
          </cell>
          <cell r="C308" t="str">
            <v>m</v>
          </cell>
          <cell r="D308">
            <v>257.05</v>
          </cell>
          <cell r="E308">
            <v>2.57</v>
          </cell>
          <cell r="F308">
            <v>259.5</v>
          </cell>
        </row>
        <row r="309">
          <cell r="A309">
            <v>0</v>
          </cell>
          <cell r="B309" t="str">
            <v>Aluminium Extrusions (Powder Coated)</v>
          </cell>
          <cell r="C309">
            <v>0</v>
          </cell>
          <cell r="D309">
            <v>0</v>
          </cell>
          <cell r="E309">
            <v>0</v>
          </cell>
          <cell r="F309">
            <v>0</v>
          </cell>
        </row>
        <row r="310">
          <cell r="A310">
            <v>1701</v>
          </cell>
          <cell r="B310" t="str">
            <v>70S-1101-1 (PC)</v>
          </cell>
          <cell r="C310" t="str">
            <v>m</v>
          </cell>
          <cell r="D310">
            <v>519.38</v>
          </cell>
          <cell r="E310">
            <v>5.19</v>
          </cell>
          <cell r="F310">
            <v>524.5</v>
          </cell>
        </row>
        <row r="311">
          <cell r="A311">
            <v>1702</v>
          </cell>
          <cell r="B311" t="str">
            <v>70S-1001-1 (PC)</v>
          </cell>
          <cell r="C311" t="str">
            <v>m</v>
          </cell>
          <cell r="D311">
            <v>531.23</v>
          </cell>
          <cell r="E311">
            <v>5.31</v>
          </cell>
          <cell r="F311">
            <v>536.5</v>
          </cell>
        </row>
        <row r="312">
          <cell r="A312">
            <v>1703</v>
          </cell>
          <cell r="B312" t="str">
            <v>70S-1201-1 (PC)</v>
          </cell>
          <cell r="C312" t="str">
            <v>m</v>
          </cell>
          <cell r="D312">
            <v>432.15</v>
          </cell>
          <cell r="E312">
            <v>4.32</v>
          </cell>
          <cell r="F312">
            <v>436.5</v>
          </cell>
        </row>
        <row r="313">
          <cell r="A313">
            <v>1704</v>
          </cell>
          <cell r="B313" t="str">
            <v>70S-1604 (PC)</v>
          </cell>
          <cell r="C313" t="str">
            <v>m</v>
          </cell>
          <cell r="D313">
            <v>422.92</v>
          </cell>
          <cell r="E313">
            <v>4.2300000000000004</v>
          </cell>
          <cell r="F313">
            <v>427</v>
          </cell>
        </row>
        <row r="314">
          <cell r="A314">
            <v>1705</v>
          </cell>
          <cell r="B314" t="str">
            <v>70S-1704 (PC)</v>
          </cell>
          <cell r="C314" t="str">
            <v>m</v>
          </cell>
          <cell r="D314">
            <v>399.23</v>
          </cell>
          <cell r="E314">
            <v>3.99</v>
          </cell>
          <cell r="F314">
            <v>403</v>
          </cell>
        </row>
        <row r="315">
          <cell r="A315">
            <v>1706</v>
          </cell>
          <cell r="B315" t="str">
            <v>70S-1503A (PC)</v>
          </cell>
          <cell r="C315" t="str">
            <v>m</v>
          </cell>
          <cell r="D315">
            <v>499.54</v>
          </cell>
          <cell r="E315">
            <v>5</v>
          </cell>
          <cell r="F315">
            <v>504.5</v>
          </cell>
        </row>
        <row r="316">
          <cell r="A316">
            <v>1707</v>
          </cell>
          <cell r="B316" t="str">
            <v>70S-1401-1 (PC)</v>
          </cell>
          <cell r="C316" t="str">
            <v>m</v>
          </cell>
          <cell r="D316">
            <v>353.23</v>
          </cell>
          <cell r="E316">
            <v>3.53</v>
          </cell>
          <cell r="F316">
            <v>357</v>
          </cell>
        </row>
        <row r="317">
          <cell r="A317">
            <v>1708</v>
          </cell>
          <cell r="B317" t="str">
            <v>70SF-1006 (PC)</v>
          </cell>
          <cell r="C317" t="str">
            <v>m</v>
          </cell>
          <cell r="D317">
            <v>838.15</v>
          </cell>
          <cell r="E317">
            <v>8.3800000000000008</v>
          </cell>
          <cell r="F317">
            <v>846.5</v>
          </cell>
        </row>
        <row r="318">
          <cell r="A318">
            <v>1709</v>
          </cell>
          <cell r="B318" t="str">
            <v>70SF-1201A (PC)</v>
          </cell>
          <cell r="C318" t="str">
            <v>m</v>
          </cell>
          <cell r="D318">
            <v>292.61</v>
          </cell>
          <cell r="E318">
            <v>2.93</v>
          </cell>
          <cell r="F318">
            <v>295.5</v>
          </cell>
        </row>
        <row r="319">
          <cell r="A319">
            <v>1710</v>
          </cell>
          <cell r="B319" t="str">
            <v>70SF-1201B (PC)</v>
          </cell>
          <cell r="C319" t="str">
            <v>m</v>
          </cell>
          <cell r="D319">
            <v>292.61</v>
          </cell>
          <cell r="E319">
            <v>2.93</v>
          </cell>
          <cell r="F319">
            <v>295.5</v>
          </cell>
        </row>
        <row r="320">
          <cell r="A320">
            <v>1711</v>
          </cell>
          <cell r="B320" t="str">
            <v>DG-02 (PC)</v>
          </cell>
          <cell r="C320" t="str">
            <v>m</v>
          </cell>
          <cell r="D320">
            <v>264.43</v>
          </cell>
          <cell r="E320">
            <v>2.64</v>
          </cell>
          <cell r="F320">
            <v>267</v>
          </cell>
        </row>
        <row r="321">
          <cell r="A321">
            <v>1712</v>
          </cell>
          <cell r="B321" t="str">
            <v>DG-102 (PC)</v>
          </cell>
          <cell r="C321" t="str">
            <v>m</v>
          </cell>
          <cell r="D321">
            <v>236.06</v>
          </cell>
          <cell r="E321">
            <v>2.36</v>
          </cell>
          <cell r="F321">
            <v>238.5</v>
          </cell>
        </row>
        <row r="322">
          <cell r="A322">
            <v>1713</v>
          </cell>
          <cell r="B322" t="str">
            <v>CA-1001(PC)</v>
          </cell>
          <cell r="C322" t="str">
            <v>m</v>
          </cell>
          <cell r="D322">
            <v>655.57</v>
          </cell>
          <cell r="E322">
            <v>6.56</v>
          </cell>
          <cell r="F322">
            <v>662</v>
          </cell>
        </row>
        <row r="323">
          <cell r="A323">
            <v>1714</v>
          </cell>
          <cell r="B323" t="str">
            <v>CA-1002 (PC)</v>
          </cell>
          <cell r="C323" t="str">
            <v>m</v>
          </cell>
          <cell r="D323">
            <v>1024.92</v>
          </cell>
          <cell r="E323">
            <v>10.25</v>
          </cell>
          <cell r="F323">
            <v>1035</v>
          </cell>
        </row>
        <row r="324">
          <cell r="A324">
            <v>1715</v>
          </cell>
          <cell r="B324" t="str">
            <v>100D-1914 (PC)</v>
          </cell>
          <cell r="C324" t="str">
            <v>m</v>
          </cell>
          <cell r="D324">
            <v>143.84</v>
          </cell>
          <cell r="E324">
            <v>1.44</v>
          </cell>
          <cell r="F324">
            <v>145.5</v>
          </cell>
        </row>
        <row r="325">
          <cell r="A325">
            <v>1716</v>
          </cell>
          <cell r="B325" t="str">
            <v>CA-1007 (PC)</v>
          </cell>
          <cell r="C325" t="str">
            <v>m</v>
          </cell>
          <cell r="D325">
            <v>294.75</v>
          </cell>
          <cell r="E325">
            <v>2.95</v>
          </cell>
          <cell r="F325">
            <v>297.5</v>
          </cell>
        </row>
        <row r="326">
          <cell r="A326">
            <v>1717</v>
          </cell>
          <cell r="B326" t="str">
            <v>CA-1008 (PC)</v>
          </cell>
          <cell r="C326" t="str">
            <v>m</v>
          </cell>
          <cell r="D326">
            <v>500.16</v>
          </cell>
          <cell r="E326">
            <v>5</v>
          </cell>
          <cell r="F326">
            <v>505</v>
          </cell>
        </row>
        <row r="327">
          <cell r="A327">
            <v>1718</v>
          </cell>
          <cell r="B327" t="str">
            <v>CA-2005 (PC)</v>
          </cell>
          <cell r="C327" t="str">
            <v>m</v>
          </cell>
          <cell r="D327">
            <v>558.85</v>
          </cell>
          <cell r="E327">
            <v>5.59</v>
          </cell>
          <cell r="F327">
            <v>564.5</v>
          </cell>
        </row>
        <row r="328">
          <cell r="A328">
            <v>1719</v>
          </cell>
          <cell r="B328" t="str">
            <v>A-111 (MF)</v>
          </cell>
          <cell r="C328" t="str">
            <v>m</v>
          </cell>
          <cell r="D328">
            <v>392.87</v>
          </cell>
          <cell r="E328">
            <v>3.93</v>
          </cell>
          <cell r="F328">
            <v>397</v>
          </cell>
        </row>
        <row r="329">
          <cell r="A329">
            <v>1720</v>
          </cell>
          <cell r="B329" t="str">
            <v>DG-01 (PC)</v>
          </cell>
          <cell r="C329" t="str">
            <v>m</v>
          </cell>
          <cell r="D329">
            <v>252.95</v>
          </cell>
          <cell r="E329">
            <v>2.5299999999999998</v>
          </cell>
          <cell r="F329">
            <v>255.5</v>
          </cell>
        </row>
        <row r="330">
          <cell r="A330">
            <v>1721</v>
          </cell>
          <cell r="B330" t="str">
            <v>DG-101(PC)</v>
          </cell>
          <cell r="C330" t="str">
            <v>m</v>
          </cell>
          <cell r="D330">
            <v>217.54</v>
          </cell>
          <cell r="E330">
            <v>2.1800000000000002</v>
          </cell>
          <cell r="F330">
            <v>219.5</v>
          </cell>
        </row>
        <row r="331">
          <cell r="A331">
            <v>1722</v>
          </cell>
          <cell r="B331" t="str">
            <v>CA-2004 (PC)</v>
          </cell>
          <cell r="C331" t="str">
            <v>m</v>
          </cell>
          <cell r="D331">
            <v>384.26</v>
          </cell>
          <cell r="E331">
            <v>3.84</v>
          </cell>
          <cell r="F331">
            <v>388</v>
          </cell>
        </row>
        <row r="332">
          <cell r="A332">
            <v>1723</v>
          </cell>
          <cell r="B332" t="str">
            <v>GL-107 (PC)</v>
          </cell>
          <cell r="C332" t="str">
            <v>m</v>
          </cell>
          <cell r="D332">
            <v>151.15</v>
          </cell>
          <cell r="E332">
            <v>1.51</v>
          </cell>
          <cell r="F332">
            <v>152.5</v>
          </cell>
        </row>
        <row r="333">
          <cell r="A333">
            <v>1724</v>
          </cell>
          <cell r="B333" t="str">
            <v>CA-1003 (PC)</v>
          </cell>
          <cell r="C333" t="str">
            <v>m</v>
          </cell>
          <cell r="D333">
            <v>405.74</v>
          </cell>
          <cell r="E333">
            <v>4.0599999999999996</v>
          </cell>
          <cell r="F333">
            <v>410</v>
          </cell>
        </row>
        <row r="334">
          <cell r="A334">
            <v>1725</v>
          </cell>
          <cell r="B334" t="str">
            <v>CA-1004 (PC)</v>
          </cell>
          <cell r="C334" t="str">
            <v>m</v>
          </cell>
          <cell r="D334">
            <v>606.72</v>
          </cell>
          <cell r="E334">
            <v>6.07</v>
          </cell>
          <cell r="F334">
            <v>613</v>
          </cell>
        </row>
        <row r="335">
          <cell r="A335">
            <v>1726</v>
          </cell>
          <cell r="B335" t="str">
            <v>CA-2006 (PC)</v>
          </cell>
          <cell r="C335" t="str">
            <v>m</v>
          </cell>
          <cell r="D335">
            <v>567.37</v>
          </cell>
          <cell r="E335">
            <v>5.67</v>
          </cell>
          <cell r="F335">
            <v>573</v>
          </cell>
        </row>
        <row r="336">
          <cell r="A336">
            <v>1727</v>
          </cell>
          <cell r="B336" t="str">
            <v>DG-02 (PC)</v>
          </cell>
          <cell r="C336" t="str">
            <v>m</v>
          </cell>
          <cell r="D336">
            <v>264.43</v>
          </cell>
          <cell r="E336">
            <v>2.64</v>
          </cell>
          <cell r="F336">
            <v>267</v>
          </cell>
        </row>
        <row r="337">
          <cell r="A337">
            <v>1728</v>
          </cell>
          <cell r="B337" t="str">
            <v>DG-102(PC)</v>
          </cell>
          <cell r="C337" t="str">
            <v>m</v>
          </cell>
          <cell r="D337">
            <v>236.06</v>
          </cell>
          <cell r="E337">
            <v>2.36</v>
          </cell>
          <cell r="F337">
            <v>238.5</v>
          </cell>
        </row>
        <row r="338">
          <cell r="A338">
            <v>1729</v>
          </cell>
          <cell r="B338" t="str">
            <v>CA-1001 (PC)</v>
          </cell>
          <cell r="C338" t="str">
            <v>m</v>
          </cell>
          <cell r="D338">
            <v>655.57</v>
          </cell>
          <cell r="E338">
            <v>6.56</v>
          </cell>
          <cell r="F338">
            <v>662</v>
          </cell>
        </row>
        <row r="339">
          <cell r="A339">
            <v>1730</v>
          </cell>
          <cell r="B339" t="str">
            <v>CA-1002 (PC)</v>
          </cell>
          <cell r="C339" t="str">
            <v>m</v>
          </cell>
          <cell r="D339">
            <v>1024.92</v>
          </cell>
          <cell r="E339">
            <v>10.25</v>
          </cell>
          <cell r="F339">
            <v>1035</v>
          </cell>
        </row>
        <row r="340">
          <cell r="A340">
            <v>1731</v>
          </cell>
          <cell r="B340" t="str">
            <v>100D-3104 (PC)</v>
          </cell>
          <cell r="C340" t="str">
            <v>m</v>
          </cell>
          <cell r="D340">
            <v>694.46</v>
          </cell>
          <cell r="E340">
            <v>6.94</v>
          </cell>
          <cell r="F340">
            <v>701.5</v>
          </cell>
        </row>
        <row r="341">
          <cell r="A341">
            <v>1732</v>
          </cell>
          <cell r="B341" t="str">
            <v>100D-101 (PC)</v>
          </cell>
          <cell r="C341" t="str">
            <v>m</v>
          </cell>
          <cell r="D341">
            <v>948.77</v>
          </cell>
          <cell r="E341">
            <v>9.49</v>
          </cell>
          <cell r="F341">
            <v>958.5</v>
          </cell>
        </row>
        <row r="342">
          <cell r="A342">
            <v>1733</v>
          </cell>
          <cell r="B342" t="str">
            <v>100D-102 (PC)</v>
          </cell>
          <cell r="C342" t="str">
            <v>m</v>
          </cell>
          <cell r="D342">
            <v>993.38</v>
          </cell>
          <cell r="E342">
            <v>9.93</v>
          </cell>
          <cell r="F342">
            <v>1003.5</v>
          </cell>
        </row>
        <row r="343">
          <cell r="A343">
            <v>1734</v>
          </cell>
          <cell r="B343" t="str">
            <v>100D-201 (PC)</v>
          </cell>
          <cell r="C343" t="str">
            <v>m</v>
          </cell>
          <cell r="D343">
            <v>918.31</v>
          </cell>
          <cell r="E343">
            <v>9.18</v>
          </cell>
          <cell r="F343">
            <v>927.5</v>
          </cell>
        </row>
        <row r="344">
          <cell r="A344">
            <v>1735</v>
          </cell>
          <cell r="B344" t="str">
            <v>100D-301 (PC)</v>
          </cell>
          <cell r="C344" t="str">
            <v>m</v>
          </cell>
          <cell r="D344">
            <v>1091.08</v>
          </cell>
          <cell r="E344">
            <v>10.91</v>
          </cell>
          <cell r="F344">
            <v>1102</v>
          </cell>
        </row>
        <row r="345">
          <cell r="A345">
            <v>1736</v>
          </cell>
          <cell r="B345" t="str">
            <v>100D-401 (PC)</v>
          </cell>
          <cell r="C345" t="str">
            <v>m</v>
          </cell>
          <cell r="D345">
            <v>1208</v>
          </cell>
          <cell r="E345">
            <v>12.08</v>
          </cell>
          <cell r="F345">
            <v>1220</v>
          </cell>
        </row>
        <row r="346">
          <cell r="A346">
            <v>1737</v>
          </cell>
          <cell r="B346" t="str">
            <v>100D-501 (PC)</v>
          </cell>
          <cell r="C346" t="str">
            <v>m</v>
          </cell>
          <cell r="D346">
            <v>129.08000000000001</v>
          </cell>
          <cell r="E346">
            <v>1.29</v>
          </cell>
          <cell r="F346">
            <v>137.5</v>
          </cell>
        </row>
        <row r="347">
          <cell r="A347">
            <v>1738</v>
          </cell>
          <cell r="B347" t="str">
            <v>70D-1910 (PC)</v>
          </cell>
          <cell r="C347" t="str">
            <v>m</v>
          </cell>
          <cell r="D347">
            <v>147.69</v>
          </cell>
          <cell r="E347">
            <v>1.48</v>
          </cell>
          <cell r="F347">
            <v>149</v>
          </cell>
        </row>
        <row r="348">
          <cell r="A348">
            <v>1739</v>
          </cell>
          <cell r="B348" t="str">
            <v>100D-3503A (PC)</v>
          </cell>
          <cell r="C348" t="str">
            <v>m</v>
          </cell>
          <cell r="D348">
            <v>688</v>
          </cell>
          <cell r="E348">
            <v>6.88</v>
          </cell>
          <cell r="F348">
            <v>695</v>
          </cell>
        </row>
        <row r="349">
          <cell r="A349">
            <v>1740</v>
          </cell>
          <cell r="B349" t="str">
            <v>100D-3004A (PC)</v>
          </cell>
          <cell r="C349" t="str">
            <v>m</v>
          </cell>
          <cell r="D349">
            <v>811.69</v>
          </cell>
          <cell r="E349">
            <v>8.1199999999999992</v>
          </cell>
          <cell r="F349">
            <v>820</v>
          </cell>
        </row>
        <row r="350">
          <cell r="A350">
            <v>1741</v>
          </cell>
          <cell r="B350" t="str">
            <v>100D-3207 (PC)</v>
          </cell>
          <cell r="C350" t="str">
            <v>m</v>
          </cell>
          <cell r="D350">
            <v>1057.8499999999999</v>
          </cell>
          <cell r="E350">
            <v>10.58</v>
          </cell>
          <cell r="F350">
            <v>1068.5</v>
          </cell>
        </row>
        <row r="351">
          <cell r="A351">
            <v>1742</v>
          </cell>
          <cell r="B351" t="str">
            <v>100D-3503 (PC)</v>
          </cell>
          <cell r="C351" t="str">
            <v>m</v>
          </cell>
          <cell r="D351">
            <v>750.92</v>
          </cell>
          <cell r="E351">
            <v>7.51</v>
          </cell>
          <cell r="F351">
            <v>758.5</v>
          </cell>
        </row>
        <row r="352">
          <cell r="A352">
            <v>1743</v>
          </cell>
          <cell r="B352" t="str">
            <v>100D-1914 (PC)</v>
          </cell>
          <cell r="C352" t="str">
            <v>m</v>
          </cell>
          <cell r="D352">
            <v>143.85</v>
          </cell>
          <cell r="E352">
            <v>1.44</v>
          </cell>
          <cell r="F352">
            <v>145.5</v>
          </cell>
        </row>
        <row r="353">
          <cell r="A353">
            <v>1744</v>
          </cell>
          <cell r="B353" t="str">
            <v>100D-3203 (PC)</v>
          </cell>
          <cell r="C353" t="str">
            <v>m</v>
          </cell>
          <cell r="D353">
            <v>798.46</v>
          </cell>
          <cell r="E353">
            <v>7.98</v>
          </cell>
          <cell r="F353">
            <v>806.5</v>
          </cell>
        </row>
        <row r="354">
          <cell r="A354">
            <v>1745</v>
          </cell>
          <cell r="B354" t="str">
            <v>70S-1002-1(PC)</v>
          </cell>
          <cell r="C354" t="str">
            <v>m</v>
          </cell>
          <cell r="D354">
            <v>372.77</v>
          </cell>
          <cell r="E354">
            <v>3.73</v>
          </cell>
          <cell r="F354">
            <v>376.5</v>
          </cell>
        </row>
        <row r="355">
          <cell r="A355">
            <v>1746</v>
          </cell>
          <cell r="B355" t="str">
            <v>70S-1102-1 (PC)</v>
          </cell>
          <cell r="C355" t="str">
            <v>m</v>
          </cell>
          <cell r="D355">
            <v>272.77</v>
          </cell>
          <cell r="E355">
            <v>2.73</v>
          </cell>
          <cell r="F355">
            <v>275.5</v>
          </cell>
        </row>
        <row r="356">
          <cell r="A356">
            <v>1747</v>
          </cell>
          <cell r="B356" t="str">
            <v>70S-1202-1(PC)</v>
          </cell>
          <cell r="C356" t="str">
            <v>m</v>
          </cell>
          <cell r="D356">
            <v>272.77</v>
          </cell>
          <cell r="E356">
            <v>2.73</v>
          </cell>
          <cell r="F356">
            <v>275.5</v>
          </cell>
        </row>
        <row r="357">
          <cell r="A357">
            <v>1748</v>
          </cell>
          <cell r="B357" t="str">
            <v>70S-1704A (PC)</v>
          </cell>
          <cell r="C357" t="str">
            <v>m</v>
          </cell>
          <cell r="D357">
            <v>508.46</v>
          </cell>
          <cell r="E357">
            <v>5.08</v>
          </cell>
          <cell r="F357">
            <v>513.5</v>
          </cell>
        </row>
        <row r="358">
          <cell r="A358">
            <v>1749</v>
          </cell>
          <cell r="B358" t="str">
            <v>70S-1402-1 (PC)</v>
          </cell>
          <cell r="C358" t="str">
            <v>m</v>
          </cell>
          <cell r="D358">
            <v>345.38</v>
          </cell>
          <cell r="E358">
            <v>3.45</v>
          </cell>
          <cell r="F358">
            <v>349</v>
          </cell>
        </row>
        <row r="359">
          <cell r="A359">
            <v>1750</v>
          </cell>
          <cell r="B359" t="str">
            <v>70S-1801 (PC)</v>
          </cell>
          <cell r="C359" t="str">
            <v>m</v>
          </cell>
          <cell r="D359">
            <v>324.14999999999998</v>
          </cell>
          <cell r="E359">
            <v>3.24</v>
          </cell>
          <cell r="F359">
            <v>327.5</v>
          </cell>
        </row>
        <row r="360">
          <cell r="A360">
            <v>1751</v>
          </cell>
          <cell r="B360" t="str">
            <v>70S-1101-2 (PC)</v>
          </cell>
          <cell r="C360" t="str">
            <v>m</v>
          </cell>
          <cell r="D360">
            <v>537.54</v>
          </cell>
          <cell r="E360">
            <v>5.38</v>
          </cell>
          <cell r="F360">
            <v>543</v>
          </cell>
        </row>
        <row r="361">
          <cell r="A361">
            <v>1752</v>
          </cell>
          <cell r="B361" t="str">
            <v>70S-1001-1 (PC)</v>
          </cell>
          <cell r="C361" t="str">
            <v>m</v>
          </cell>
          <cell r="D361">
            <v>531.23</v>
          </cell>
          <cell r="E361">
            <v>5.31</v>
          </cell>
          <cell r="F361">
            <v>536.5</v>
          </cell>
        </row>
        <row r="362">
          <cell r="A362">
            <v>1753</v>
          </cell>
          <cell r="B362" t="str">
            <v>70S-1704A (PC)</v>
          </cell>
          <cell r="C362" t="str">
            <v>m</v>
          </cell>
          <cell r="D362">
            <v>508.46</v>
          </cell>
          <cell r="E362">
            <v>5.08</v>
          </cell>
          <cell r="F362">
            <v>513.5</v>
          </cell>
        </row>
        <row r="363">
          <cell r="A363">
            <v>1754</v>
          </cell>
          <cell r="B363" t="str">
            <v>70S-1401-1 (PC)</v>
          </cell>
          <cell r="C363" t="str">
            <v>m</v>
          </cell>
          <cell r="D363">
            <v>353.23</v>
          </cell>
          <cell r="E363">
            <v>3.53</v>
          </cell>
          <cell r="F363">
            <v>357</v>
          </cell>
        </row>
        <row r="364">
          <cell r="A364">
            <v>1755</v>
          </cell>
          <cell r="B364" t="str">
            <v>70S-1201-1 (PC)</v>
          </cell>
          <cell r="C364" t="str">
            <v>m</v>
          </cell>
          <cell r="D364">
            <v>432.15</v>
          </cell>
          <cell r="E364">
            <v>4.32</v>
          </cell>
          <cell r="F364">
            <v>436.5</v>
          </cell>
        </row>
        <row r="365">
          <cell r="A365">
            <v>1756</v>
          </cell>
          <cell r="B365" t="str">
            <v>70S-1604 (PC)</v>
          </cell>
          <cell r="C365" t="str">
            <v>m</v>
          </cell>
          <cell r="D365">
            <v>422.92</v>
          </cell>
          <cell r="E365">
            <v>4.2300000000000004</v>
          </cell>
          <cell r="F365">
            <v>427</v>
          </cell>
        </row>
        <row r="366">
          <cell r="A366">
            <v>1757</v>
          </cell>
          <cell r="B366" t="str">
            <v>70S-1801 (PC)</v>
          </cell>
          <cell r="C366" t="str">
            <v>m</v>
          </cell>
          <cell r="D366">
            <v>324.14999999999998</v>
          </cell>
          <cell r="E366">
            <v>3.24</v>
          </cell>
          <cell r="F366">
            <v>327.5</v>
          </cell>
        </row>
        <row r="367">
          <cell r="A367">
            <v>1758</v>
          </cell>
          <cell r="B367" t="str">
            <v>PT-5157 (PC)</v>
          </cell>
          <cell r="C367" t="str">
            <v>m</v>
          </cell>
          <cell r="D367">
            <v>354.75</v>
          </cell>
          <cell r="E367">
            <v>3.55</v>
          </cell>
          <cell r="F367">
            <v>358.5</v>
          </cell>
        </row>
        <row r="368">
          <cell r="A368">
            <v>1759</v>
          </cell>
          <cell r="B368" t="str">
            <v>PT-5158 (PC)</v>
          </cell>
          <cell r="C368" t="str">
            <v>m</v>
          </cell>
          <cell r="D368">
            <v>264.10000000000002</v>
          </cell>
          <cell r="E368">
            <v>2.64</v>
          </cell>
          <cell r="F368">
            <v>267</v>
          </cell>
        </row>
        <row r="369">
          <cell r="A369">
            <v>1760</v>
          </cell>
          <cell r="B369" t="str">
            <v>PT-5153 (PC)</v>
          </cell>
          <cell r="C369" t="str">
            <v>m</v>
          </cell>
          <cell r="D369">
            <v>106.23</v>
          </cell>
          <cell r="E369">
            <v>1.06</v>
          </cell>
          <cell r="F369">
            <v>107.5</v>
          </cell>
        </row>
        <row r="370">
          <cell r="A370">
            <v>1761</v>
          </cell>
          <cell r="B370" t="str">
            <v>PT-5154 (PC)</v>
          </cell>
          <cell r="C370" t="str">
            <v>m</v>
          </cell>
          <cell r="D370">
            <v>194.75</v>
          </cell>
          <cell r="E370">
            <v>1.95</v>
          </cell>
          <cell r="F370">
            <v>196.5</v>
          </cell>
        </row>
        <row r="371">
          <cell r="A371">
            <v>1762</v>
          </cell>
          <cell r="B371" t="str">
            <v>A-110A (MF)</v>
          </cell>
          <cell r="C371" t="str">
            <v>m</v>
          </cell>
          <cell r="D371">
            <v>257.05</v>
          </cell>
          <cell r="E371">
            <v>2.57</v>
          </cell>
          <cell r="F371">
            <v>259.5</v>
          </cell>
        </row>
        <row r="372">
          <cell r="A372">
            <v>0</v>
          </cell>
          <cell r="B372" t="str">
            <v>Accessories</v>
          </cell>
          <cell r="C372">
            <v>0</v>
          </cell>
          <cell r="D372">
            <v>0</v>
          </cell>
          <cell r="E372">
            <v>0</v>
          </cell>
          <cell r="F372">
            <v>0</v>
          </cell>
        </row>
        <row r="373">
          <cell r="A373">
            <v>1801</v>
          </cell>
          <cell r="B373" t="str">
            <v>Sliding lock</v>
          </cell>
          <cell r="C373" t="str">
            <v>Nr</v>
          </cell>
          <cell r="D373">
            <v>95</v>
          </cell>
          <cell r="E373">
            <v>0.95</v>
          </cell>
          <cell r="F373">
            <v>96</v>
          </cell>
        </row>
        <row r="374">
          <cell r="A374">
            <v>1802</v>
          </cell>
          <cell r="B374" t="str">
            <v>Roller-70mm</v>
          </cell>
          <cell r="C374" t="str">
            <v>Nr</v>
          </cell>
          <cell r="D374">
            <v>95</v>
          </cell>
          <cell r="E374">
            <v>0.95</v>
          </cell>
          <cell r="F374">
            <v>96</v>
          </cell>
        </row>
        <row r="375">
          <cell r="A375">
            <v>1803</v>
          </cell>
          <cell r="B375" t="str">
            <v>S.T. Screw - 1" No.8</v>
          </cell>
          <cell r="C375" t="str">
            <v>Nr</v>
          </cell>
          <cell r="D375">
            <v>2</v>
          </cell>
          <cell r="E375">
            <v>0.02</v>
          </cell>
          <cell r="F375">
            <v>2</v>
          </cell>
        </row>
        <row r="376">
          <cell r="A376">
            <v>1804</v>
          </cell>
          <cell r="B376" t="str">
            <v>Gasket</v>
          </cell>
          <cell r="C376" t="str">
            <v>m</v>
          </cell>
          <cell r="D376">
            <v>18</v>
          </cell>
          <cell r="E376">
            <v>0.18</v>
          </cell>
          <cell r="F376">
            <v>18.5</v>
          </cell>
        </row>
        <row r="377">
          <cell r="A377">
            <v>1805</v>
          </cell>
          <cell r="B377" t="str">
            <v>Wool felt</v>
          </cell>
          <cell r="C377" t="str">
            <v>m</v>
          </cell>
          <cell r="D377">
            <v>50.5</v>
          </cell>
          <cell r="E377">
            <v>0.51</v>
          </cell>
          <cell r="F377">
            <v>51</v>
          </cell>
        </row>
        <row r="378">
          <cell r="A378">
            <v>1806</v>
          </cell>
          <cell r="B378" t="str">
            <v>Pop rivet 5/32"x1/2"</v>
          </cell>
          <cell r="C378" t="str">
            <v>Nr</v>
          </cell>
          <cell r="D378">
            <v>1.3</v>
          </cell>
          <cell r="E378">
            <v>0.01</v>
          </cell>
          <cell r="F378">
            <v>1.3</v>
          </cell>
        </row>
        <row r="379">
          <cell r="A379">
            <v>1807</v>
          </cell>
          <cell r="B379" t="str">
            <v>Plastic guide</v>
          </cell>
          <cell r="C379" t="str">
            <v>Nr</v>
          </cell>
          <cell r="D379">
            <v>1.7</v>
          </cell>
          <cell r="E379">
            <v>0.02</v>
          </cell>
          <cell r="F379">
            <v>1.75</v>
          </cell>
        </row>
        <row r="380">
          <cell r="A380">
            <v>1808</v>
          </cell>
          <cell r="B380" t="str">
            <v>Cap 3/8" dia.</v>
          </cell>
          <cell r="C380" t="str">
            <v>Nr</v>
          </cell>
          <cell r="D380">
            <v>2.75</v>
          </cell>
          <cell r="E380">
            <v>0.03</v>
          </cell>
          <cell r="F380">
            <v>2.75</v>
          </cell>
        </row>
        <row r="381">
          <cell r="A381">
            <v>1809</v>
          </cell>
          <cell r="B381" t="str">
            <v>S.T. Screw - 2" No.8</v>
          </cell>
          <cell r="C381" t="str">
            <v>Nr</v>
          </cell>
          <cell r="D381">
            <v>35</v>
          </cell>
          <cell r="E381">
            <v>0.35</v>
          </cell>
          <cell r="F381">
            <v>35.5</v>
          </cell>
        </row>
        <row r="382">
          <cell r="A382">
            <v>1810</v>
          </cell>
          <cell r="B382" t="str">
            <v>Casement lock</v>
          </cell>
          <cell r="C382" t="str">
            <v>Nr</v>
          </cell>
          <cell r="D382">
            <v>165</v>
          </cell>
          <cell r="E382">
            <v>1.65</v>
          </cell>
          <cell r="F382">
            <v>166.5</v>
          </cell>
        </row>
        <row r="383">
          <cell r="A383">
            <v>1811</v>
          </cell>
          <cell r="B383" t="str">
            <v>Bar hinges</v>
          </cell>
          <cell r="C383" t="str">
            <v>Pair</v>
          </cell>
          <cell r="D383">
            <v>440</v>
          </cell>
          <cell r="E383">
            <v>4.4000000000000004</v>
          </cell>
          <cell r="F383">
            <v>444.5</v>
          </cell>
        </row>
        <row r="384">
          <cell r="A384">
            <v>1812</v>
          </cell>
          <cell r="B384" t="str">
            <v>Weather strip</v>
          </cell>
          <cell r="C384" t="str">
            <v>m</v>
          </cell>
          <cell r="D384">
            <v>42</v>
          </cell>
          <cell r="E384">
            <v>0.42</v>
          </cell>
          <cell r="F384">
            <v>42.5</v>
          </cell>
        </row>
        <row r="385">
          <cell r="A385">
            <v>1813</v>
          </cell>
          <cell r="B385" t="str">
            <v>Pop rivet 3/16"x1/2"</v>
          </cell>
          <cell r="C385" t="str">
            <v>Nr</v>
          </cell>
          <cell r="D385">
            <v>2.25</v>
          </cell>
          <cell r="E385">
            <v>0.02</v>
          </cell>
          <cell r="F385">
            <v>2.5</v>
          </cell>
        </row>
        <row r="386">
          <cell r="A386">
            <v>1814</v>
          </cell>
          <cell r="B386" t="str">
            <v>S.T. Screw - No.8 x 1/2'</v>
          </cell>
          <cell r="C386" t="str">
            <v>Nr</v>
          </cell>
          <cell r="D386">
            <v>1.5</v>
          </cell>
          <cell r="E386">
            <v>0.02</v>
          </cell>
          <cell r="F386">
            <v>1.5</v>
          </cell>
        </row>
        <row r="387">
          <cell r="A387">
            <v>1815</v>
          </cell>
          <cell r="B387" t="str">
            <v>Door lock</v>
          </cell>
          <cell r="C387" t="str">
            <v>Nr</v>
          </cell>
          <cell r="D387">
            <v>895</v>
          </cell>
          <cell r="E387">
            <v>8.9499999999999993</v>
          </cell>
          <cell r="F387">
            <v>904</v>
          </cell>
        </row>
        <row r="388">
          <cell r="A388">
            <v>1816</v>
          </cell>
          <cell r="B388" t="str">
            <v>Butt hinge</v>
          </cell>
          <cell r="C388" t="str">
            <v>Nr</v>
          </cell>
          <cell r="D388">
            <v>100</v>
          </cell>
          <cell r="E388">
            <v>1</v>
          </cell>
          <cell r="F388">
            <v>101</v>
          </cell>
        </row>
        <row r="389">
          <cell r="A389">
            <v>1817</v>
          </cell>
          <cell r="B389" t="str">
            <v>Door handle with cap nut</v>
          </cell>
          <cell r="C389" t="str">
            <v>Pair</v>
          </cell>
          <cell r="D389">
            <v>1074</v>
          </cell>
          <cell r="E389">
            <v>10.74</v>
          </cell>
          <cell r="F389">
            <v>1085</v>
          </cell>
        </row>
        <row r="390">
          <cell r="A390">
            <v>1818</v>
          </cell>
          <cell r="B390" t="str">
            <v>Rivert (C Sk) 5/32"x1/2"</v>
          </cell>
          <cell r="C390" t="str">
            <v>Nr</v>
          </cell>
          <cell r="D390">
            <v>1.25</v>
          </cell>
          <cell r="E390">
            <v>0.01</v>
          </cell>
          <cell r="F390">
            <v>1.25</v>
          </cell>
        </row>
        <row r="391">
          <cell r="A391">
            <v>1819</v>
          </cell>
          <cell r="B391" t="str">
            <v>Threaded bar with nut</v>
          </cell>
          <cell r="C391" t="str">
            <v>m</v>
          </cell>
          <cell r="D391">
            <v>224</v>
          </cell>
          <cell r="E391">
            <v>2.2400000000000002</v>
          </cell>
          <cell r="F391">
            <v>226.5</v>
          </cell>
        </row>
        <row r="392">
          <cell r="A392">
            <v>1820</v>
          </cell>
          <cell r="B392" t="str">
            <v>Door closer</v>
          </cell>
          <cell r="C392" t="str">
            <v>Nr</v>
          </cell>
          <cell r="D392">
            <v>2250</v>
          </cell>
          <cell r="E392">
            <v>22.5</v>
          </cell>
          <cell r="F392">
            <v>2272.5</v>
          </cell>
        </row>
        <row r="393">
          <cell r="A393">
            <v>1821</v>
          </cell>
          <cell r="B393" t="str">
            <v>Pop rivet 1/8"x1/2"</v>
          </cell>
          <cell r="C393" t="str">
            <v>Nr</v>
          </cell>
          <cell r="D393">
            <v>1.25</v>
          </cell>
          <cell r="E393">
            <v>0.01</v>
          </cell>
          <cell r="F393">
            <v>1.25</v>
          </cell>
        </row>
        <row r="394">
          <cell r="A394">
            <v>1822</v>
          </cell>
          <cell r="B394" t="str">
            <v>G. I. Channel</v>
          </cell>
          <cell r="C394" t="str">
            <v>m</v>
          </cell>
          <cell r="D394">
            <v>168</v>
          </cell>
          <cell r="E394">
            <v>1.68</v>
          </cell>
          <cell r="F394">
            <v>169.5</v>
          </cell>
        </row>
        <row r="395">
          <cell r="A395">
            <v>1823</v>
          </cell>
          <cell r="B395" t="str">
            <v>White board, chip board or melamine board</v>
          </cell>
          <cell r="C395" t="str">
            <v>m2</v>
          </cell>
          <cell r="D395">
            <v>253</v>
          </cell>
          <cell r="E395">
            <v>2.5299999999999998</v>
          </cell>
          <cell r="F395">
            <v>255.5</v>
          </cell>
        </row>
        <row r="396">
          <cell r="A396">
            <v>0</v>
          </cell>
          <cell r="B396" t="str">
            <v>Glazier</v>
          </cell>
          <cell r="C396">
            <v>0</v>
          </cell>
          <cell r="D396">
            <v>0</v>
          </cell>
          <cell r="E396">
            <v>0</v>
          </cell>
          <cell r="F396">
            <v>0</v>
          </cell>
        </row>
        <row r="397">
          <cell r="A397">
            <v>1901</v>
          </cell>
          <cell r="B397" t="str">
            <v>5mm thick figured glass panes</v>
          </cell>
          <cell r="C397" t="str">
            <v>m2</v>
          </cell>
          <cell r="D397">
            <v>1184</v>
          </cell>
          <cell r="E397">
            <v>11.84</v>
          </cell>
          <cell r="F397">
            <v>1196</v>
          </cell>
        </row>
        <row r="398">
          <cell r="A398">
            <v>1902</v>
          </cell>
          <cell r="B398" t="str">
            <v>3mm thick figured glass panes</v>
          </cell>
          <cell r="C398" t="str">
            <v>m2</v>
          </cell>
          <cell r="D398">
            <v>592</v>
          </cell>
          <cell r="E398">
            <v>5.92</v>
          </cell>
          <cell r="F398">
            <v>598</v>
          </cell>
        </row>
        <row r="399">
          <cell r="A399">
            <v>1903</v>
          </cell>
          <cell r="B399" t="str">
            <v>5mm thick clear glass panes</v>
          </cell>
          <cell r="C399" t="str">
            <v>m2</v>
          </cell>
          <cell r="D399">
            <v>861</v>
          </cell>
          <cell r="E399">
            <v>8.61</v>
          </cell>
          <cell r="F399">
            <v>869.5</v>
          </cell>
        </row>
        <row r="400">
          <cell r="A400">
            <v>1904</v>
          </cell>
          <cell r="B400" t="str">
            <v>3mm thick clear glass panes</v>
          </cell>
          <cell r="C400" t="str">
            <v>m2</v>
          </cell>
          <cell r="D400">
            <v>646</v>
          </cell>
          <cell r="E400">
            <v>6.46</v>
          </cell>
          <cell r="F400">
            <v>652.5</v>
          </cell>
        </row>
        <row r="401">
          <cell r="A401">
            <v>1905</v>
          </cell>
          <cell r="B401" t="str">
            <v>5mm thick tinted glass panes</v>
          </cell>
          <cell r="C401" t="str">
            <v>m2</v>
          </cell>
          <cell r="D401">
            <v>1140</v>
          </cell>
          <cell r="E401">
            <v>11.4</v>
          </cell>
          <cell r="F401">
            <v>1151.5</v>
          </cell>
        </row>
        <row r="402">
          <cell r="A402">
            <v>1906</v>
          </cell>
          <cell r="B402" t="str">
            <v>3mm thick tinted glass panes</v>
          </cell>
          <cell r="C402" t="str">
            <v>m2</v>
          </cell>
          <cell r="D402">
            <v>750</v>
          </cell>
          <cell r="E402">
            <v>7.5</v>
          </cell>
          <cell r="F402">
            <v>757.5</v>
          </cell>
        </row>
        <row r="403">
          <cell r="A403">
            <v>1907</v>
          </cell>
          <cell r="B403" t="str">
            <v>12mmx12mm teak beading</v>
          </cell>
          <cell r="C403" t="str">
            <v>m</v>
          </cell>
          <cell r="D403">
            <v>5</v>
          </cell>
          <cell r="E403">
            <v>0.05</v>
          </cell>
          <cell r="F403">
            <v>5</v>
          </cell>
        </row>
        <row r="404">
          <cell r="A404">
            <v>0</v>
          </cell>
          <cell r="B404" t="str">
            <v>Plasterer</v>
          </cell>
          <cell r="C404">
            <v>0</v>
          </cell>
          <cell r="D404">
            <v>0</v>
          </cell>
          <cell r="E404">
            <v>0</v>
          </cell>
          <cell r="F404">
            <v>0</v>
          </cell>
        </row>
        <row r="405">
          <cell r="A405">
            <v>2001</v>
          </cell>
          <cell r="B405" t="str">
            <v>Lime</v>
          </cell>
          <cell r="C405" t="str">
            <v>kg</v>
          </cell>
          <cell r="D405">
            <v>20</v>
          </cell>
          <cell r="E405">
            <v>0.2</v>
          </cell>
          <cell r="F405">
            <v>20.5</v>
          </cell>
        </row>
        <row r="406">
          <cell r="A406">
            <v>0</v>
          </cell>
          <cell r="B406" t="str">
            <v>Plumber</v>
          </cell>
          <cell r="C406">
            <v>0</v>
          </cell>
          <cell r="D406">
            <v>0</v>
          </cell>
          <cell r="E406">
            <v>0</v>
          </cell>
          <cell r="F406">
            <v>0</v>
          </cell>
        </row>
        <row r="407">
          <cell r="A407">
            <v>2101</v>
          </cell>
          <cell r="B407" t="str">
            <v>12mm (1/2") ball valve - Brass</v>
          </cell>
          <cell r="C407" t="str">
            <v>Nr</v>
          </cell>
          <cell r="D407">
            <v>525</v>
          </cell>
          <cell r="E407">
            <v>5.25</v>
          </cell>
          <cell r="F407">
            <v>530.5</v>
          </cell>
        </row>
        <row r="408">
          <cell r="A408">
            <v>2102</v>
          </cell>
          <cell r="B408" t="str">
            <v>12mm (1/2") ball valve - PVC</v>
          </cell>
          <cell r="C408" t="str">
            <v>Nr</v>
          </cell>
          <cell r="D408">
            <v>95</v>
          </cell>
          <cell r="E408">
            <v>0.95</v>
          </cell>
          <cell r="F408">
            <v>96</v>
          </cell>
        </row>
        <row r="409">
          <cell r="A409">
            <v>2103</v>
          </cell>
          <cell r="B409" t="str">
            <v>20mm (3/4") ball valve - Brass</v>
          </cell>
          <cell r="C409" t="str">
            <v>Nr</v>
          </cell>
          <cell r="D409">
            <v>750</v>
          </cell>
          <cell r="E409">
            <v>7.5</v>
          </cell>
          <cell r="F409">
            <v>757.5</v>
          </cell>
        </row>
        <row r="410">
          <cell r="A410">
            <v>2104</v>
          </cell>
          <cell r="B410" t="str">
            <v>20mm (3/4") ball valve - PVC</v>
          </cell>
          <cell r="C410" t="str">
            <v>Nr</v>
          </cell>
          <cell r="D410">
            <v>140</v>
          </cell>
          <cell r="E410">
            <v>1.4</v>
          </cell>
          <cell r="F410">
            <v>141.5</v>
          </cell>
        </row>
        <row r="411">
          <cell r="A411">
            <v>2105</v>
          </cell>
          <cell r="B411" t="str">
            <v>25mm (1") ball valve - Brass</v>
          </cell>
          <cell r="C411" t="str">
            <v>Nr</v>
          </cell>
          <cell r="D411">
            <v>1100</v>
          </cell>
          <cell r="E411">
            <v>11</v>
          </cell>
          <cell r="F411">
            <v>1111</v>
          </cell>
        </row>
        <row r="412">
          <cell r="A412">
            <v>2106</v>
          </cell>
          <cell r="B412" t="str">
            <v>25mm (1") ball valve - PVC</v>
          </cell>
          <cell r="C412" t="str">
            <v>Nr</v>
          </cell>
          <cell r="D412">
            <v>190</v>
          </cell>
          <cell r="E412">
            <v>1.9</v>
          </cell>
          <cell r="F412">
            <v>192</v>
          </cell>
        </row>
        <row r="413">
          <cell r="A413">
            <v>2107</v>
          </cell>
          <cell r="B413" t="str">
            <v>38mm (1 1/2") ball valve - Brass</v>
          </cell>
          <cell r="C413" t="str">
            <v>Nr</v>
          </cell>
          <cell r="D413">
            <v>1450</v>
          </cell>
          <cell r="E413">
            <v>14.5</v>
          </cell>
          <cell r="F413">
            <v>1464.5</v>
          </cell>
        </row>
        <row r="414">
          <cell r="A414">
            <v>2108</v>
          </cell>
          <cell r="B414" t="str">
            <v>38mm (1 1/2") ball valve - PVC</v>
          </cell>
          <cell r="C414" t="str">
            <v>Nr</v>
          </cell>
          <cell r="D414">
            <v>495</v>
          </cell>
          <cell r="E414">
            <v>4.95</v>
          </cell>
          <cell r="F414">
            <v>500</v>
          </cell>
        </row>
        <row r="415">
          <cell r="A415">
            <v>2109</v>
          </cell>
          <cell r="B415" t="str">
            <v>12mm (1/2") bib tap - Brass</v>
          </cell>
          <cell r="C415" t="str">
            <v>Nr</v>
          </cell>
          <cell r="D415">
            <v>500</v>
          </cell>
          <cell r="E415">
            <v>5</v>
          </cell>
          <cell r="F415">
            <v>505</v>
          </cell>
        </row>
        <row r="416">
          <cell r="A416">
            <v>2110</v>
          </cell>
          <cell r="B416" t="str">
            <v>12mm (1/2") bib tap - Chromium Plated</v>
          </cell>
          <cell r="C416" t="str">
            <v>Nr</v>
          </cell>
          <cell r="D416">
            <v>1750</v>
          </cell>
          <cell r="E416">
            <v>17.5</v>
          </cell>
          <cell r="F416">
            <v>1767.5</v>
          </cell>
        </row>
        <row r="417">
          <cell r="A417">
            <v>2111</v>
          </cell>
          <cell r="B417" t="str">
            <v>12mm (1/2") bib tap - PVC</v>
          </cell>
          <cell r="C417" t="str">
            <v>Nr</v>
          </cell>
          <cell r="D417">
            <v>90</v>
          </cell>
          <cell r="E417">
            <v>0.9</v>
          </cell>
          <cell r="F417">
            <v>91</v>
          </cell>
        </row>
        <row r="418">
          <cell r="A418">
            <v>2112</v>
          </cell>
          <cell r="B418" t="str">
            <v>12mm (1/2") gate valve - Brass</v>
          </cell>
          <cell r="C418" t="str">
            <v>Nr</v>
          </cell>
          <cell r="D418">
            <v>500</v>
          </cell>
          <cell r="E418">
            <v>5</v>
          </cell>
          <cell r="F418">
            <v>505</v>
          </cell>
        </row>
        <row r="419">
          <cell r="A419">
            <v>2113</v>
          </cell>
          <cell r="B419" t="str">
            <v>12mm (1/2") gate valve - PVC</v>
          </cell>
          <cell r="C419" t="str">
            <v>Nr</v>
          </cell>
          <cell r="D419">
            <v>90</v>
          </cell>
          <cell r="E419">
            <v>0.9</v>
          </cell>
          <cell r="F419">
            <v>91</v>
          </cell>
        </row>
        <row r="420">
          <cell r="A420">
            <v>2114</v>
          </cell>
          <cell r="B420" t="str">
            <v>20mm (3/4") gate valve - Brass</v>
          </cell>
          <cell r="C420" t="str">
            <v>Nr</v>
          </cell>
          <cell r="D420">
            <v>625</v>
          </cell>
          <cell r="E420">
            <v>6.25</v>
          </cell>
          <cell r="F420">
            <v>631.5</v>
          </cell>
        </row>
        <row r="421">
          <cell r="A421">
            <v>2115</v>
          </cell>
          <cell r="B421" t="str">
            <v>20mm (3/4") gate valve - PVC</v>
          </cell>
          <cell r="C421" t="str">
            <v>Nr</v>
          </cell>
          <cell r="D421">
            <v>165</v>
          </cell>
          <cell r="E421">
            <v>1.65</v>
          </cell>
          <cell r="F421">
            <v>166.5</v>
          </cell>
        </row>
        <row r="422">
          <cell r="A422">
            <v>2116</v>
          </cell>
          <cell r="B422" t="str">
            <v>25mm (1") gate valve - Brass</v>
          </cell>
          <cell r="C422" t="str">
            <v>Nr</v>
          </cell>
          <cell r="D422">
            <v>1000</v>
          </cell>
          <cell r="E422">
            <v>10</v>
          </cell>
          <cell r="F422">
            <v>1010</v>
          </cell>
        </row>
        <row r="423">
          <cell r="A423">
            <v>2117</v>
          </cell>
          <cell r="B423" t="str">
            <v>25mm (1") gate valve - PVC</v>
          </cell>
          <cell r="C423" t="str">
            <v>Nr</v>
          </cell>
          <cell r="D423">
            <v>185</v>
          </cell>
          <cell r="E423">
            <v>1.85</v>
          </cell>
          <cell r="F423">
            <v>187</v>
          </cell>
        </row>
        <row r="424">
          <cell r="A424">
            <v>2118</v>
          </cell>
          <cell r="B424" t="str">
            <v>38mm (1 1/2") gate valve - Brass</v>
          </cell>
          <cell r="C424" t="str">
            <v>Nr</v>
          </cell>
          <cell r="D424">
            <v>1500</v>
          </cell>
          <cell r="E424">
            <v>15</v>
          </cell>
          <cell r="F424">
            <v>1515</v>
          </cell>
        </row>
        <row r="425">
          <cell r="A425">
            <v>2119</v>
          </cell>
          <cell r="B425" t="str">
            <v>38mm (1 1/2") gate valve - PVC</v>
          </cell>
          <cell r="C425" t="str">
            <v>Nr</v>
          </cell>
          <cell r="D425">
            <v>410</v>
          </cell>
          <cell r="E425">
            <v>4.0999999999999996</v>
          </cell>
          <cell r="F425">
            <v>414</v>
          </cell>
        </row>
        <row r="426">
          <cell r="A426">
            <v>2120</v>
          </cell>
          <cell r="B426" t="str">
            <v>20mm (1/2") Type 1000 PVC pipes</v>
          </cell>
          <cell r="C426" t="str">
            <v>m</v>
          </cell>
          <cell r="D426">
            <v>45.75</v>
          </cell>
          <cell r="E426">
            <v>0.46</v>
          </cell>
          <cell r="F426">
            <v>46</v>
          </cell>
        </row>
        <row r="427">
          <cell r="A427">
            <v>2121</v>
          </cell>
          <cell r="B427" t="str">
            <v>20mm (1/2") Type 600 PVC pipes</v>
          </cell>
          <cell r="C427" t="str">
            <v>m</v>
          </cell>
          <cell r="D427" t="str">
            <v>…</v>
          </cell>
          <cell r="E427">
            <v>0</v>
          </cell>
          <cell r="F427">
            <v>0</v>
          </cell>
        </row>
        <row r="428">
          <cell r="A428">
            <v>2122</v>
          </cell>
          <cell r="B428" t="str">
            <v>20mm (1/2") Type 400 PVC pipes</v>
          </cell>
          <cell r="C428" t="str">
            <v>m</v>
          </cell>
          <cell r="D428" t="str">
            <v>….</v>
          </cell>
          <cell r="E428">
            <v>0</v>
          </cell>
          <cell r="F428">
            <v>0</v>
          </cell>
        </row>
        <row r="429">
          <cell r="A429">
            <v>2123</v>
          </cell>
          <cell r="B429" t="str">
            <v>25mm (3/4") Type 1000 PVC pipes</v>
          </cell>
          <cell r="C429" t="str">
            <v>m</v>
          </cell>
          <cell r="D429">
            <v>115.25</v>
          </cell>
          <cell r="E429">
            <v>1.1499999999999999</v>
          </cell>
          <cell r="F429">
            <v>101.5</v>
          </cell>
        </row>
        <row r="430">
          <cell r="A430">
            <v>2124</v>
          </cell>
          <cell r="B430" t="str">
            <v>25mm (3/4") Type 600 PVC pipes</v>
          </cell>
          <cell r="C430" t="str">
            <v>m</v>
          </cell>
          <cell r="D430" t="str">
            <v>….</v>
          </cell>
          <cell r="E430">
            <v>0</v>
          </cell>
          <cell r="F430">
            <v>0</v>
          </cell>
        </row>
        <row r="431">
          <cell r="A431">
            <v>2125</v>
          </cell>
          <cell r="B431" t="str">
            <v>25mm (3/4") Type 400 PVC pipes</v>
          </cell>
          <cell r="C431" t="str">
            <v>m</v>
          </cell>
          <cell r="D431" t="str">
            <v>…..</v>
          </cell>
          <cell r="E431">
            <v>0</v>
          </cell>
          <cell r="F431">
            <v>0</v>
          </cell>
        </row>
        <row r="432">
          <cell r="A432">
            <v>2126</v>
          </cell>
          <cell r="B432" t="str">
            <v>32mm (1") Type 1000 PVC pipes</v>
          </cell>
          <cell r="C432" t="str">
            <v>m</v>
          </cell>
          <cell r="D432">
            <v>181.25</v>
          </cell>
          <cell r="E432">
            <v>1.81</v>
          </cell>
          <cell r="F432">
            <v>165.5</v>
          </cell>
        </row>
        <row r="433">
          <cell r="A433">
            <v>2127</v>
          </cell>
          <cell r="B433" t="str">
            <v>32mm (1") Type 600 PVC pipes</v>
          </cell>
          <cell r="C433" t="str">
            <v>m</v>
          </cell>
          <cell r="D433">
            <v>82</v>
          </cell>
          <cell r="E433">
            <v>0.82</v>
          </cell>
          <cell r="F433">
            <v>80.5</v>
          </cell>
        </row>
        <row r="434">
          <cell r="A434">
            <v>2128</v>
          </cell>
          <cell r="B434" t="str">
            <v>32mm (1") Type 400 PVC pipes</v>
          </cell>
          <cell r="C434" t="str">
            <v>m</v>
          </cell>
          <cell r="D434" t="str">
            <v>….</v>
          </cell>
          <cell r="E434">
            <v>0</v>
          </cell>
          <cell r="F434">
            <v>0</v>
          </cell>
        </row>
        <row r="435">
          <cell r="A435">
            <v>2129</v>
          </cell>
          <cell r="B435" t="str">
            <v>40mm (1 1/4") Type 1000 PVC pipes</v>
          </cell>
          <cell r="C435" t="str">
            <v>m</v>
          </cell>
          <cell r="D435">
            <v>245</v>
          </cell>
          <cell r="E435">
            <v>2.4500000000000002</v>
          </cell>
          <cell r="F435">
            <v>223.5</v>
          </cell>
        </row>
        <row r="436">
          <cell r="A436">
            <v>2130</v>
          </cell>
          <cell r="B436" t="str">
            <v>40mm (1 1/4") Type 600 PVC pipes</v>
          </cell>
          <cell r="C436" t="str">
            <v>m</v>
          </cell>
          <cell r="D436">
            <v>189.5</v>
          </cell>
          <cell r="E436">
            <v>1.9</v>
          </cell>
          <cell r="F436">
            <v>156.5</v>
          </cell>
        </row>
        <row r="437">
          <cell r="A437">
            <v>2131</v>
          </cell>
          <cell r="B437" t="str">
            <v>40mm (1 1/4") Type 400 PVC pipes</v>
          </cell>
          <cell r="C437" t="str">
            <v>m</v>
          </cell>
          <cell r="D437" t="str">
            <v>…..</v>
          </cell>
          <cell r="E437">
            <v>0</v>
          </cell>
          <cell r="F437">
            <v>0</v>
          </cell>
        </row>
        <row r="438">
          <cell r="A438">
            <v>2132</v>
          </cell>
          <cell r="B438" t="str">
            <v>50mm (1 1/2") Type 1000 PVC pipes</v>
          </cell>
          <cell r="C438" t="str">
            <v>m</v>
          </cell>
          <cell r="D438">
            <v>337.75</v>
          </cell>
          <cell r="E438">
            <v>3.38</v>
          </cell>
          <cell r="F438">
            <v>320.5</v>
          </cell>
        </row>
        <row r="439">
          <cell r="A439">
            <v>2133</v>
          </cell>
          <cell r="B439" t="str">
            <v>50mm (1 1/2") Type 600 PVC pipes</v>
          </cell>
          <cell r="C439" t="str">
            <v>m</v>
          </cell>
          <cell r="D439">
            <v>238</v>
          </cell>
          <cell r="E439">
            <v>2.38</v>
          </cell>
          <cell r="F439">
            <v>211</v>
          </cell>
        </row>
        <row r="440">
          <cell r="A440">
            <v>2134</v>
          </cell>
          <cell r="B440" t="str">
            <v>50mm (1 1/2") Type 400 PVC pipes</v>
          </cell>
          <cell r="C440" t="str">
            <v>m</v>
          </cell>
          <cell r="D440">
            <v>182.25</v>
          </cell>
          <cell r="E440">
            <v>1.82</v>
          </cell>
          <cell r="F440">
            <v>148</v>
          </cell>
        </row>
        <row r="441">
          <cell r="A441">
            <v>2135</v>
          </cell>
          <cell r="B441" t="str">
            <v>63mm (2") Type 1000 PVC pipes</v>
          </cell>
          <cell r="C441" t="str">
            <v>m</v>
          </cell>
          <cell r="D441">
            <v>572.75</v>
          </cell>
          <cell r="E441">
            <v>5.73</v>
          </cell>
          <cell r="F441">
            <v>543</v>
          </cell>
        </row>
        <row r="442">
          <cell r="A442">
            <v>2136</v>
          </cell>
          <cell r="B442" t="str">
            <v>63mm (2") Type 600 PVC pipes</v>
          </cell>
          <cell r="C442" t="str">
            <v>m</v>
          </cell>
          <cell r="D442">
            <v>388</v>
          </cell>
          <cell r="E442">
            <v>3.88</v>
          </cell>
          <cell r="F442">
            <v>346</v>
          </cell>
        </row>
        <row r="443">
          <cell r="A443">
            <v>2137</v>
          </cell>
          <cell r="B443" t="str">
            <v>63mm (2") Type 400 PVC pipes</v>
          </cell>
          <cell r="C443" t="str">
            <v>m</v>
          </cell>
          <cell r="D443">
            <v>344</v>
          </cell>
          <cell r="E443">
            <v>3.44</v>
          </cell>
          <cell r="F443">
            <v>270</v>
          </cell>
        </row>
        <row r="444">
          <cell r="A444">
            <v>2138</v>
          </cell>
          <cell r="B444" t="str">
            <v>75mm (2 1/2") Type 600 PVC pipes</v>
          </cell>
          <cell r="C444" t="str">
            <v>m</v>
          </cell>
          <cell r="D444">
            <v>720.5</v>
          </cell>
          <cell r="E444">
            <v>7.21</v>
          </cell>
          <cell r="F444">
            <v>693</v>
          </cell>
        </row>
        <row r="445">
          <cell r="A445">
            <v>2139</v>
          </cell>
          <cell r="B445" t="str">
            <v>75mm (2 1/2") Type 400 PVC pipes</v>
          </cell>
          <cell r="C445" t="str">
            <v>m</v>
          </cell>
          <cell r="D445">
            <v>500</v>
          </cell>
          <cell r="E445">
            <v>5</v>
          </cell>
          <cell r="F445">
            <v>439.5</v>
          </cell>
        </row>
        <row r="446">
          <cell r="A446">
            <v>2140</v>
          </cell>
          <cell r="B446" t="str">
            <v>90mm (3") Type 600 PVC pipes</v>
          </cell>
          <cell r="C446" t="str">
            <v>m</v>
          </cell>
          <cell r="D446">
            <v>732.5</v>
          </cell>
          <cell r="E446">
            <v>7.33</v>
          </cell>
          <cell r="F446">
            <v>915</v>
          </cell>
        </row>
        <row r="447">
          <cell r="A447">
            <v>2141</v>
          </cell>
          <cell r="B447" t="str">
            <v>90mm (3") Type 400 PVC pipes</v>
          </cell>
          <cell r="C447" t="str">
            <v>m</v>
          </cell>
          <cell r="D447">
            <v>555</v>
          </cell>
          <cell r="E447">
            <v>5.55</v>
          </cell>
          <cell r="F447">
            <v>603.5</v>
          </cell>
        </row>
        <row r="448">
          <cell r="A448">
            <v>2142</v>
          </cell>
          <cell r="B448" t="str">
            <v>110mm (4") Type 600 PVC pipes</v>
          </cell>
          <cell r="C448" t="str">
            <v>m</v>
          </cell>
          <cell r="D448">
            <v>1189.5</v>
          </cell>
          <cell r="E448">
            <v>11.9</v>
          </cell>
          <cell r="F448">
            <v>1338.5</v>
          </cell>
        </row>
        <row r="449">
          <cell r="A449">
            <v>2143</v>
          </cell>
          <cell r="B449" t="str">
            <v>110mm (4") Type 400 PVC pipes</v>
          </cell>
          <cell r="C449" t="str">
            <v>m</v>
          </cell>
          <cell r="D449">
            <v>652.5</v>
          </cell>
          <cell r="E449">
            <v>6.53</v>
          </cell>
          <cell r="F449">
            <v>635.5</v>
          </cell>
        </row>
        <row r="450">
          <cell r="A450">
            <v>2144</v>
          </cell>
          <cell r="B450" t="str">
            <v>12mm (1/2")  angle valve - Chromium Plated</v>
          </cell>
          <cell r="C450" t="str">
            <v>Nr</v>
          </cell>
          <cell r="D450">
            <v>1120</v>
          </cell>
          <cell r="E450">
            <v>11.2</v>
          </cell>
          <cell r="F450">
            <v>1131.2</v>
          </cell>
        </row>
        <row r="451">
          <cell r="A451">
            <v>2145</v>
          </cell>
          <cell r="B451" t="str">
            <v xml:space="preserve">12mm (1/2") flexible horse (450mm) </v>
          </cell>
          <cell r="C451" t="str">
            <v>Nr</v>
          </cell>
          <cell r="D451">
            <v>250</v>
          </cell>
          <cell r="E451">
            <v>2.5</v>
          </cell>
          <cell r="F451">
            <v>252.5</v>
          </cell>
        </row>
        <row r="452">
          <cell r="A452">
            <v>0</v>
          </cell>
          <cell r="B452" t="str">
            <v>Sanitary Fittings</v>
          </cell>
          <cell r="C452">
            <v>0</v>
          </cell>
          <cell r="D452">
            <v>0</v>
          </cell>
          <cell r="E452">
            <v>0</v>
          </cell>
          <cell r="F452">
            <v>0</v>
          </cell>
        </row>
        <row r="453">
          <cell r="A453">
            <v>2201</v>
          </cell>
          <cell r="B453" t="str">
            <v>Kitchen sink with single bowl and single drain board</v>
          </cell>
          <cell r="C453" t="str">
            <v>Nr</v>
          </cell>
          <cell r="D453">
            <v>2750</v>
          </cell>
          <cell r="E453">
            <v>27.5</v>
          </cell>
          <cell r="F453">
            <v>2777.5</v>
          </cell>
        </row>
        <row r="454">
          <cell r="A454">
            <v>2202</v>
          </cell>
          <cell r="B454" t="str">
            <v>Kitchen sink with single bowl and double drain board</v>
          </cell>
          <cell r="C454" t="str">
            <v>Nr</v>
          </cell>
          <cell r="D454">
            <v>3150</v>
          </cell>
          <cell r="E454">
            <v>31.5</v>
          </cell>
          <cell r="F454">
            <v>3181.5</v>
          </cell>
        </row>
        <row r="455">
          <cell r="A455">
            <v>2203</v>
          </cell>
          <cell r="B455" t="str">
            <v>Kitchen sink with double bowl and double drain board</v>
          </cell>
          <cell r="C455" t="str">
            <v>Nr</v>
          </cell>
          <cell r="D455">
            <v>5500</v>
          </cell>
          <cell r="E455">
            <v>55</v>
          </cell>
          <cell r="F455">
            <v>5555</v>
          </cell>
        </row>
        <row r="456">
          <cell r="A456">
            <v>2204</v>
          </cell>
          <cell r="B456" t="str">
            <v>Heavy quality chromium plated swan tap</v>
          </cell>
          <cell r="C456" t="str">
            <v>Nr</v>
          </cell>
          <cell r="D456">
            <v>775</v>
          </cell>
          <cell r="E456">
            <v>7.75</v>
          </cell>
          <cell r="F456">
            <v>783</v>
          </cell>
        </row>
        <row r="457">
          <cell r="A457">
            <v>2205</v>
          </cell>
          <cell r="B457" t="str">
            <v>Tee Iron brackets</v>
          </cell>
          <cell r="C457" t="str">
            <v>Nr</v>
          </cell>
          <cell r="D457">
            <v>100</v>
          </cell>
          <cell r="E457">
            <v>1</v>
          </cell>
          <cell r="F457">
            <v>101</v>
          </cell>
        </row>
        <row r="458">
          <cell r="A458">
            <v>2206</v>
          </cell>
          <cell r="B458" t="str">
            <v>Ceramic wash basin (LCL)</v>
          </cell>
          <cell r="C458" t="str">
            <v>Nr</v>
          </cell>
          <cell r="D458">
            <v>2800</v>
          </cell>
          <cell r="E458">
            <v>28</v>
          </cell>
          <cell r="F458">
            <v>2828</v>
          </cell>
        </row>
        <row r="459">
          <cell r="A459">
            <v>2207</v>
          </cell>
          <cell r="B459" t="str">
            <v>Ceramic wash basin - Pedestal (LCL)</v>
          </cell>
          <cell r="C459" t="str">
            <v>Nr</v>
          </cell>
          <cell r="D459">
            <v>3900</v>
          </cell>
          <cell r="E459">
            <v>39</v>
          </cell>
          <cell r="F459">
            <v>3939</v>
          </cell>
        </row>
        <row r="460">
          <cell r="A460">
            <v>2208</v>
          </cell>
          <cell r="B460" t="str">
            <v>Ceramic wash basin - Pedestal (Ideal, American,British)</v>
          </cell>
          <cell r="C460" t="str">
            <v>Nr</v>
          </cell>
          <cell r="D460">
            <v>14000</v>
          </cell>
          <cell r="E460">
            <v>140</v>
          </cell>
          <cell r="F460">
            <v>14140</v>
          </cell>
        </row>
        <row r="461">
          <cell r="A461">
            <v>2209</v>
          </cell>
          <cell r="B461" t="str">
            <v>Heavy quality chromium plated pillar tap</v>
          </cell>
          <cell r="C461" t="str">
            <v>Nr</v>
          </cell>
          <cell r="D461">
            <v>1600</v>
          </cell>
          <cell r="E461">
            <v>16</v>
          </cell>
          <cell r="F461">
            <v>1616</v>
          </cell>
        </row>
        <row r="462">
          <cell r="A462">
            <v>2210</v>
          </cell>
          <cell r="B462" t="str">
            <v>Ceramic squatting pan with trap and ceramic foot rests</v>
          </cell>
          <cell r="C462" t="str">
            <v>Nr</v>
          </cell>
          <cell r="D462">
            <v>549</v>
          </cell>
          <cell r="E462">
            <v>5.49</v>
          </cell>
          <cell r="F462">
            <v>554.5</v>
          </cell>
        </row>
        <row r="463">
          <cell r="A463">
            <v>2211</v>
          </cell>
          <cell r="B463" t="str">
            <v>Square type ceramic squatting pan with foot rests and trap</v>
          </cell>
          <cell r="C463" t="str">
            <v>Nr</v>
          </cell>
          <cell r="D463">
            <v>925</v>
          </cell>
          <cell r="E463">
            <v>9.25</v>
          </cell>
          <cell r="F463">
            <v>934.5</v>
          </cell>
        </row>
        <row r="464">
          <cell r="A464">
            <v>2212</v>
          </cell>
          <cell r="B464" t="str">
            <v>9 liters capacity high level ceramic cistern</v>
          </cell>
          <cell r="C464" t="str">
            <v>Nr</v>
          </cell>
          <cell r="D464">
            <v>2500</v>
          </cell>
          <cell r="E464">
            <v>25</v>
          </cell>
          <cell r="F464">
            <v>2525</v>
          </cell>
        </row>
        <row r="465">
          <cell r="A465">
            <v>2213</v>
          </cell>
          <cell r="B465" t="str">
            <v>9 liters capacity high level PVC cistern</v>
          </cell>
          <cell r="C465" t="str">
            <v>Nr</v>
          </cell>
          <cell r="D465">
            <v>1900</v>
          </cell>
          <cell r="E465">
            <v>19</v>
          </cell>
          <cell r="F465">
            <v>1919</v>
          </cell>
        </row>
        <row r="466">
          <cell r="A466">
            <v>2214</v>
          </cell>
          <cell r="B466" t="str">
            <v>9 liters capacity low level ceramic cistern</v>
          </cell>
          <cell r="C466" t="str">
            <v>Nr</v>
          </cell>
          <cell r="D466">
            <v>2350</v>
          </cell>
          <cell r="E466">
            <v>23.5</v>
          </cell>
          <cell r="F466">
            <v>2373.5</v>
          </cell>
        </row>
        <row r="467">
          <cell r="A467">
            <v>2215</v>
          </cell>
          <cell r="B467" t="str">
            <v>9 liters capacity low level PVC cistern</v>
          </cell>
          <cell r="C467" t="str">
            <v>Nr</v>
          </cell>
          <cell r="D467">
            <v>1900</v>
          </cell>
          <cell r="E467">
            <v>19</v>
          </cell>
          <cell r="F467">
            <v>1919</v>
          </cell>
        </row>
        <row r="468">
          <cell r="A468">
            <v>2216</v>
          </cell>
          <cell r="B468" t="str">
            <v xml:space="preserve">Low level ceramic water closet (LCL) </v>
          </cell>
          <cell r="C468" t="str">
            <v>Nr</v>
          </cell>
          <cell r="D468">
            <v>4500</v>
          </cell>
          <cell r="E468">
            <v>45</v>
          </cell>
          <cell r="F468">
            <v>4545</v>
          </cell>
        </row>
        <row r="469">
          <cell r="A469">
            <v>2217</v>
          </cell>
          <cell r="B469" t="str">
            <v xml:space="preserve">Closed couple ceramic water closet (British) </v>
          </cell>
          <cell r="C469" t="str">
            <v>Nr</v>
          </cell>
          <cell r="D469">
            <v>17500</v>
          </cell>
          <cell r="E469">
            <v>175</v>
          </cell>
          <cell r="F469">
            <v>17675</v>
          </cell>
        </row>
        <row r="470">
          <cell r="A470">
            <v>2218</v>
          </cell>
          <cell r="B470" t="str">
            <v>Bowl type urinal</v>
          </cell>
          <cell r="C470" t="str">
            <v>Nr</v>
          </cell>
          <cell r="D470">
            <v>1380</v>
          </cell>
          <cell r="E470">
            <v>13.8</v>
          </cell>
          <cell r="F470">
            <v>1394</v>
          </cell>
        </row>
        <row r="471">
          <cell r="A471">
            <v>2219</v>
          </cell>
          <cell r="B471" t="str">
            <v>40mm Bottle Trap</v>
          </cell>
          <cell r="C471" t="str">
            <v>Nr</v>
          </cell>
          <cell r="D471">
            <v>213</v>
          </cell>
          <cell r="E471">
            <v>2.13</v>
          </cell>
          <cell r="F471">
            <v>215.13</v>
          </cell>
        </row>
        <row r="472">
          <cell r="A472">
            <v>2220</v>
          </cell>
          <cell r="B472" t="str">
            <v>Bidet shower</v>
          </cell>
          <cell r="C472" t="str">
            <v>Nr</v>
          </cell>
          <cell r="D472">
            <v>1850</v>
          </cell>
          <cell r="E472">
            <v>18.5</v>
          </cell>
          <cell r="F472">
            <v>1868.5</v>
          </cell>
        </row>
        <row r="473">
          <cell r="A473">
            <v>2221</v>
          </cell>
          <cell r="B473" t="str">
            <v>PVC seat cover</v>
          </cell>
          <cell r="C473" t="str">
            <v>Nr</v>
          </cell>
          <cell r="D473">
            <v>500</v>
          </cell>
          <cell r="E473">
            <v>5</v>
          </cell>
          <cell r="F473">
            <v>505</v>
          </cell>
        </row>
        <row r="474">
          <cell r="A474">
            <v>2222</v>
          </cell>
          <cell r="B474" t="str">
            <v>Bathroom mirror</v>
          </cell>
          <cell r="C474" t="str">
            <v>Nr</v>
          </cell>
          <cell r="D474">
            <v>750</v>
          </cell>
          <cell r="E474">
            <v>7.5</v>
          </cell>
          <cell r="F474">
            <v>757.5</v>
          </cell>
        </row>
        <row r="475">
          <cell r="A475">
            <v>2223</v>
          </cell>
          <cell r="B475" t="str">
            <v>Chromium Plated Soap Tray</v>
          </cell>
          <cell r="C475" t="str">
            <v>Nr</v>
          </cell>
          <cell r="D475">
            <v>2850</v>
          </cell>
          <cell r="E475">
            <v>28.5</v>
          </cell>
          <cell r="F475">
            <v>2878.5</v>
          </cell>
        </row>
        <row r="476">
          <cell r="A476">
            <v>2224</v>
          </cell>
          <cell r="B476" t="str">
            <v>Ceramic Soap Tray</v>
          </cell>
          <cell r="C476" t="str">
            <v>Nr</v>
          </cell>
          <cell r="D476">
            <v>300</v>
          </cell>
          <cell r="E476">
            <v>3</v>
          </cell>
          <cell r="F476">
            <v>303</v>
          </cell>
        </row>
        <row r="477">
          <cell r="A477">
            <v>2225</v>
          </cell>
          <cell r="B477" t="str">
            <v>Chromium Plated Tooth brush holder</v>
          </cell>
          <cell r="C477" t="str">
            <v>Nr</v>
          </cell>
          <cell r="D477">
            <v>2350</v>
          </cell>
          <cell r="E477">
            <v>23.5</v>
          </cell>
          <cell r="F477">
            <v>2373.5</v>
          </cell>
        </row>
        <row r="478">
          <cell r="A478">
            <v>2226</v>
          </cell>
          <cell r="B478" t="str">
            <v>Ceramic Tooth brush holder</v>
          </cell>
          <cell r="C478" t="str">
            <v>Nr</v>
          </cell>
          <cell r="D478">
            <v>400</v>
          </cell>
          <cell r="E478">
            <v>4</v>
          </cell>
          <cell r="F478">
            <v>404</v>
          </cell>
        </row>
        <row r="479">
          <cell r="A479">
            <v>2227</v>
          </cell>
          <cell r="B479" t="str">
            <v>Chromium Plated 150mm dia. Shower Rose</v>
          </cell>
          <cell r="C479" t="str">
            <v>Nr</v>
          </cell>
          <cell r="D479">
            <v>12600</v>
          </cell>
          <cell r="E479">
            <v>126</v>
          </cell>
          <cell r="F479">
            <v>12726</v>
          </cell>
        </row>
        <row r="480">
          <cell r="A480">
            <v>2228</v>
          </cell>
          <cell r="B480" t="str">
            <v>PVC 150mm dia. Shower Rose</v>
          </cell>
          <cell r="C480" t="str">
            <v>Nr</v>
          </cell>
          <cell r="D480">
            <v>140</v>
          </cell>
          <cell r="E480">
            <v>1.4</v>
          </cell>
          <cell r="F480">
            <v>141.4</v>
          </cell>
        </row>
        <row r="481">
          <cell r="A481">
            <v>2229</v>
          </cell>
          <cell r="B481" t="str">
            <v>Chromium Plated toilet paper holder</v>
          </cell>
          <cell r="C481" t="str">
            <v>Nr</v>
          </cell>
          <cell r="D481">
            <v>2740</v>
          </cell>
          <cell r="E481">
            <v>27.4</v>
          </cell>
          <cell r="F481">
            <v>2767.4</v>
          </cell>
        </row>
        <row r="482">
          <cell r="A482">
            <v>2230</v>
          </cell>
          <cell r="B482" t="str">
            <v>Ceremic toilet paper holder</v>
          </cell>
          <cell r="C482" t="str">
            <v>Nr</v>
          </cell>
          <cell r="D482">
            <v>400</v>
          </cell>
          <cell r="E482">
            <v>4</v>
          </cell>
          <cell r="F482">
            <v>404</v>
          </cell>
        </row>
        <row r="483">
          <cell r="A483">
            <v>2231</v>
          </cell>
          <cell r="B483" t="str">
            <v>Chromium Plated towel rail</v>
          </cell>
          <cell r="C483" t="str">
            <v>Nr</v>
          </cell>
          <cell r="D483">
            <v>3250</v>
          </cell>
          <cell r="E483">
            <v>32.5</v>
          </cell>
          <cell r="F483">
            <v>3282.5</v>
          </cell>
        </row>
        <row r="484">
          <cell r="A484">
            <v>2232</v>
          </cell>
          <cell r="B484" t="str">
            <v>Ceremic towel rail</v>
          </cell>
          <cell r="C484" t="str">
            <v>Nr</v>
          </cell>
          <cell r="D484">
            <v>600</v>
          </cell>
          <cell r="E484">
            <v>6</v>
          </cell>
          <cell r="F484">
            <v>606</v>
          </cell>
        </row>
        <row r="485">
          <cell r="A485">
            <v>2233</v>
          </cell>
          <cell r="B485" t="str">
            <v>Chromium Plated conceal valve for shower</v>
          </cell>
          <cell r="C485" t="str">
            <v>Nr</v>
          </cell>
          <cell r="D485">
            <v>1300</v>
          </cell>
          <cell r="E485">
            <v>13</v>
          </cell>
          <cell r="F485">
            <v>1313</v>
          </cell>
        </row>
        <row r="486">
          <cell r="A486">
            <v>0</v>
          </cell>
          <cell r="B486" t="str">
            <v>Roof Plumber</v>
          </cell>
          <cell r="C486">
            <v>0</v>
          </cell>
          <cell r="D486">
            <v>0</v>
          </cell>
          <cell r="E486">
            <v>0</v>
          </cell>
          <cell r="F486">
            <v>0</v>
          </cell>
        </row>
        <row r="487">
          <cell r="A487">
            <v>2301</v>
          </cell>
          <cell r="B487" t="str">
            <v>PVC eave gutters</v>
          </cell>
          <cell r="C487" t="str">
            <v>m</v>
          </cell>
          <cell r="D487">
            <v>540</v>
          </cell>
          <cell r="E487">
            <v>5.4</v>
          </cell>
          <cell r="F487">
            <v>545.5</v>
          </cell>
        </row>
        <row r="488">
          <cell r="A488">
            <v>2302</v>
          </cell>
          <cell r="B488" t="str">
            <v>End cap</v>
          </cell>
          <cell r="C488" t="str">
            <v>Nr</v>
          </cell>
          <cell r="D488">
            <v>85</v>
          </cell>
          <cell r="E488">
            <v>0.85</v>
          </cell>
          <cell r="F488">
            <v>72.5</v>
          </cell>
        </row>
        <row r="489">
          <cell r="A489">
            <v>2303</v>
          </cell>
          <cell r="B489" t="str">
            <v>Joint</v>
          </cell>
          <cell r="C489" t="str">
            <v>m</v>
          </cell>
          <cell r="D489">
            <v>85</v>
          </cell>
          <cell r="E489">
            <v>0.85</v>
          </cell>
          <cell r="F489">
            <v>86</v>
          </cell>
        </row>
        <row r="490">
          <cell r="A490">
            <v>2304</v>
          </cell>
          <cell r="B490" t="str">
            <v>Gutter joiner</v>
          </cell>
          <cell r="C490" t="str">
            <v>Nr</v>
          </cell>
          <cell r="D490">
            <v>95</v>
          </cell>
          <cell r="E490">
            <v>0.95</v>
          </cell>
          <cell r="F490">
            <v>96</v>
          </cell>
        </row>
        <row r="491">
          <cell r="A491">
            <v>2305</v>
          </cell>
          <cell r="B491" t="str">
            <v>Gutter brackets</v>
          </cell>
          <cell r="C491" t="str">
            <v>Nr</v>
          </cell>
          <cell r="D491">
            <v>24</v>
          </cell>
          <cell r="E491">
            <v>0.24</v>
          </cell>
          <cell r="F491">
            <v>36.5</v>
          </cell>
        </row>
        <row r="492">
          <cell r="A492">
            <v>2306</v>
          </cell>
          <cell r="B492" t="str">
            <v>Running head</v>
          </cell>
          <cell r="C492" t="str">
            <v>Nr</v>
          </cell>
          <cell r="D492">
            <v>225</v>
          </cell>
          <cell r="E492">
            <v>2.25</v>
          </cell>
          <cell r="F492">
            <v>227.25</v>
          </cell>
        </row>
        <row r="493">
          <cell r="A493">
            <v>2307</v>
          </cell>
          <cell r="B493" t="str">
            <v>87.5 mm dia. PVC down pipes</v>
          </cell>
          <cell r="C493" t="str">
            <v>m</v>
          </cell>
          <cell r="D493">
            <v>196</v>
          </cell>
          <cell r="E493">
            <v>1.96</v>
          </cell>
          <cell r="F493">
            <v>138.5</v>
          </cell>
        </row>
        <row r="494">
          <cell r="A494">
            <v>2308</v>
          </cell>
          <cell r="B494" t="str">
            <v>87.5 mm dia. PVC socket</v>
          </cell>
          <cell r="C494" t="str">
            <v>Nr</v>
          </cell>
          <cell r="D494">
            <v>65</v>
          </cell>
          <cell r="E494">
            <v>0.65</v>
          </cell>
          <cell r="F494">
            <v>62.5</v>
          </cell>
        </row>
        <row r="495">
          <cell r="A495">
            <v>2309</v>
          </cell>
          <cell r="B495" t="str">
            <v>87.5 mm dia. PVC elbows</v>
          </cell>
          <cell r="C495" t="str">
            <v>Nr</v>
          </cell>
          <cell r="D495">
            <v>150</v>
          </cell>
          <cell r="E495">
            <v>1.5</v>
          </cell>
          <cell r="F495">
            <v>91</v>
          </cell>
        </row>
        <row r="496">
          <cell r="A496">
            <v>2310</v>
          </cell>
          <cell r="B496" t="str">
            <v>Clips</v>
          </cell>
          <cell r="C496" t="str">
            <v>Nr</v>
          </cell>
          <cell r="D496">
            <v>20</v>
          </cell>
          <cell r="E496">
            <v>0.2</v>
          </cell>
          <cell r="F496">
            <v>18</v>
          </cell>
        </row>
        <row r="497">
          <cell r="A497">
            <v>2311</v>
          </cell>
          <cell r="B497" t="str">
            <v>200mmx200x87.5mm PVC gutter box</v>
          </cell>
          <cell r="C497" t="str">
            <v>Nr</v>
          </cell>
          <cell r="D497">
            <v>490</v>
          </cell>
          <cell r="E497">
            <v>4.9000000000000004</v>
          </cell>
          <cell r="F497">
            <v>494.9</v>
          </cell>
        </row>
        <row r="498">
          <cell r="A498">
            <v>2312</v>
          </cell>
          <cell r="B498" t="str">
            <v>Zink Aluminium rainwater eave gutters</v>
          </cell>
          <cell r="C498" t="str">
            <v>m</v>
          </cell>
          <cell r="D498">
            <v>525</v>
          </cell>
          <cell r="E498">
            <v>5.25</v>
          </cell>
          <cell r="F498">
            <v>530.5</v>
          </cell>
        </row>
        <row r="499">
          <cell r="A499">
            <v>2313</v>
          </cell>
          <cell r="B499" t="str">
            <v>Stop end and plate</v>
          </cell>
          <cell r="C499" t="str">
            <v>Nr</v>
          </cell>
          <cell r="D499">
            <v>140</v>
          </cell>
          <cell r="E499">
            <v>1.4</v>
          </cell>
          <cell r="F499">
            <v>141.5</v>
          </cell>
        </row>
        <row r="500">
          <cell r="A500">
            <v>2314</v>
          </cell>
          <cell r="B500" t="str">
            <v>Steel brackets</v>
          </cell>
          <cell r="C500" t="str">
            <v>Nr</v>
          </cell>
          <cell r="D500">
            <v>50</v>
          </cell>
          <cell r="E500">
            <v>0.5</v>
          </cell>
          <cell r="F500">
            <v>50.5</v>
          </cell>
        </row>
        <row r="501">
          <cell r="A501">
            <v>2315</v>
          </cell>
          <cell r="B501" t="str">
            <v>100x100mm Zn-alum down pipes</v>
          </cell>
          <cell r="C501" t="str">
            <v>m</v>
          </cell>
          <cell r="D501">
            <v>524</v>
          </cell>
          <cell r="E501">
            <v>5.24</v>
          </cell>
          <cell r="F501">
            <v>529</v>
          </cell>
        </row>
        <row r="502">
          <cell r="A502">
            <v>2316</v>
          </cell>
          <cell r="B502" t="str">
            <v>150x150mm Zn-alum down pipes</v>
          </cell>
          <cell r="C502" t="str">
            <v>m</v>
          </cell>
          <cell r="D502">
            <v>838</v>
          </cell>
          <cell r="E502">
            <v>8.3800000000000008</v>
          </cell>
          <cell r="F502">
            <v>846.5</v>
          </cell>
        </row>
        <row r="503">
          <cell r="A503">
            <v>2317</v>
          </cell>
          <cell r="B503" t="str">
            <v>Nozzles</v>
          </cell>
          <cell r="C503" t="str">
            <v>Nr</v>
          </cell>
          <cell r="D503">
            <v>754</v>
          </cell>
          <cell r="E503">
            <v>7.54</v>
          </cell>
          <cell r="F503">
            <v>761.5</v>
          </cell>
        </row>
        <row r="504">
          <cell r="A504">
            <v>2318</v>
          </cell>
          <cell r="B504" t="str">
            <v>Offsets</v>
          </cell>
          <cell r="C504" t="str">
            <v>Nr</v>
          </cell>
          <cell r="D504">
            <v>1635</v>
          </cell>
          <cell r="E504">
            <v>16.350000000000001</v>
          </cell>
          <cell r="F504">
            <v>1651.5</v>
          </cell>
        </row>
        <row r="505">
          <cell r="A505">
            <v>2319</v>
          </cell>
          <cell r="B505" t="str">
            <v>Shoes</v>
          </cell>
          <cell r="C505" t="str">
            <v>Nr</v>
          </cell>
          <cell r="D505">
            <v>624</v>
          </cell>
          <cell r="E505">
            <v>6.24</v>
          </cell>
          <cell r="F505">
            <v>630</v>
          </cell>
        </row>
        <row r="506">
          <cell r="A506">
            <v>2320</v>
          </cell>
          <cell r="B506" t="str">
            <v>Clips</v>
          </cell>
          <cell r="C506" t="str">
            <v>Nr</v>
          </cell>
          <cell r="D506">
            <v>9</v>
          </cell>
          <cell r="E506">
            <v>0.09</v>
          </cell>
          <cell r="F506">
            <v>9</v>
          </cell>
        </row>
        <row r="507">
          <cell r="A507">
            <v>2321</v>
          </cell>
          <cell r="B507" t="str">
            <v>300x300mm gutter boxes in Zink Alum color coated metal sheets</v>
          </cell>
          <cell r="C507" t="str">
            <v>Nr</v>
          </cell>
          <cell r="D507">
            <v>1142</v>
          </cell>
          <cell r="E507">
            <v>11.42</v>
          </cell>
          <cell r="F507">
            <v>1153.5</v>
          </cell>
        </row>
        <row r="508">
          <cell r="A508">
            <v>2322</v>
          </cell>
          <cell r="B508" t="str">
            <v>25x25mm N/A Alluminium</v>
          </cell>
          <cell r="C508" t="str">
            <v>m</v>
          </cell>
          <cell r="D508">
            <v>0</v>
          </cell>
          <cell r="E508">
            <v>0</v>
          </cell>
          <cell r="F508">
            <v>0</v>
          </cell>
        </row>
        <row r="509">
          <cell r="A509">
            <v>0</v>
          </cell>
          <cell r="B509" t="str">
            <v>Tinker</v>
          </cell>
          <cell r="C509">
            <v>0</v>
          </cell>
          <cell r="D509">
            <v>0</v>
          </cell>
          <cell r="E509">
            <v>0</v>
          </cell>
          <cell r="F509">
            <v>0</v>
          </cell>
        </row>
        <row r="510">
          <cell r="A510">
            <v>2401</v>
          </cell>
          <cell r="B510" t="str">
            <v>18 B.W.G. sheets</v>
          </cell>
          <cell r="C510" t="str">
            <v>m2</v>
          </cell>
          <cell r="D510">
            <v>1177</v>
          </cell>
          <cell r="E510">
            <v>11.77</v>
          </cell>
          <cell r="F510">
            <v>1189</v>
          </cell>
        </row>
        <row r="511">
          <cell r="A511">
            <v>0</v>
          </cell>
          <cell r="B511" t="str">
            <v>Drain Layer</v>
          </cell>
          <cell r="C511">
            <v>0</v>
          </cell>
          <cell r="D511">
            <v>0</v>
          </cell>
          <cell r="E511">
            <v>0</v>
          </cell>
          <cell r="F511">
            <v>0</v>
          </cell>
        </row>
        <row r="512">
          <cell r="A512">
            <v>2501</v>
          </cell>
          <cell r="B512" t="str">
            <v>Copper wire dome</v>
          </cell>
          <cell r="C512" t="str">
            <v>Nr</v>
          </cell>
          <cell r="D512">
            <v>250</v>
          </cell>
          <cell r="E512">
            <v>2.5</v>
          </cell>
          <cell r="F512">
            <v>252.5</v>
          </cell>
        </row>
        <row r="513">
          <cell r="A513">
            <v>2502</v>
          </cell>
          <cell r="B513" t="str">
            <v>Drainage gully and grate  PVC</v>
          </cell>
          <cell r="C513" t="str">
            <v>Nr</v>
          </cell>
          <cell r="D513">
            <v>130</v>
          </cell>
          <cell r="E513">
            <v>1.3</v>
          </cell>
          <cell r="F513">
            <v>131.5</v>
          </cell>
        </row>
        <row r="514">
          <cell r="A514">
            <v>2503</v>
          </cell>
          <cell r="B514" t="str">
            <v>40mm 4-way PVC floor trap</v>
          </cell>
          <cell r="C514" t="str">
            <v>Nr</v>
          </cell>
          <cell r="D514">
            <v>300</v>
          </cell>
          <cell r="E514">
            <v>3</v>
          </cell>
          <cell r="F514">
            <v>303</v>
          </cell>
        </row>
        <row r="515">
          <cell r="A515">
            <v>0</v>
          </cell>
          <cell r="B515" t="str">
            <v>Painter</v>
          </cell>
          <cell r="C515">
            <v>0</v>
          </cell>
          <cell r="D515">
            <v>0</v>
          </cell>
          <cell r="E515">
            <v>0</v>
          </cell>
          <cell r="F515">
            <v>0</v>
          </cell>
        </row>
        <row r="516">
          <cell r="A516">
            <v>2601</v>
          </cell>
          <cell r="B516" t="str">
            <v>Lime</v>
          </cell>
          <cell r="C516" t="str">
            <v>kg</v>
          </cell>
          <cell r="D516">
            <v>20</v>
          </cell>
          <cell r="E516">
            <v>0.2</v>
          </cell>
          <cell r="F516">
            <v>20.5</v>
          </cell>
        </row>
        <row r="517">
          <cell r="A517">
            <v>2602</v>
          </cell>
          <cell r="B517" t="str">
            <v>Glue</v>
          </cell>
          <cell r="C517" t="str">
            <v>kg</v>
          </cell>
          <cell r="D517">
            <v>80</v>
          </cell>
          <cell r="E517">
            <v>0.8</v>
          </cell>
          <cell r="F517">
            <v>81</v>
          </cell>
        </row>
        <row r="518">
          <cell r="A518">
            <v>2603</v>
          </cell>
          <cell r="B518" t="str">
            <v>Yellow ochre</v>
          </cell>
          <cell r="C518" t="str">
            <v>kg</v>
          </cell>
          <cell r="D518">
            <v>60</v>
          </cell>
          <cell r="E518">
            <v>0.6</v>
          </cell>
          <cell r="F518">
            <v>60.5</v>
          </cell>
        </row>
        <row r="519">
          <cell r="A519">
            <v>2604</v>
          </cell>
          <cell r="B519" t="str">
            <v>Snowcem</v>
          </cell>
          <cell r="C519" t="str">
            <v>kg</v>
          </cell>
          <cell r="D519">
            <v>80</v>
          </cell>
          <cell r="E519">
            <v>0.8</v>
          </cell>
          <cell r="F519">
            <v>81</v>
          </cell>
        </row>
        <row r="520">
          <cell r="A520">
            <v>2605</v>
          </cell>
          <cell r="B520" t="str">
            <v>Wall primer</v>
          </cell>
          <cell r="C520" t="str">
            <v>l</v>
          </cell>
          <cell r="D520">
            <v>320</v>
          </cell>
          <cell r="E520">
            <v>3.2</v>
          </cell>
          <cell r="F520">
            <v>323</v>
          </cell>
        </row>
        <row r="521">
          <cell r="A521">
            <v>2606</v>
          </cell>
          <cell r="B521" t="str">
            <v>Emulsion paint</v>
          </cell>
          <cell r="C521" t="str">
            <v>l</v>
          </cell>
          <cell r="D521">
            <v>645</v>
          </cell>
          <cell r="E521">
            <v>6.45</v>
          </cell>
          <cell r="F521">
            <v>651.5</v>
          </cell>
        </row>
        <row r="522">
          <cell r="A522">
            <v>2607</v>
          </cell>
          <cell r="B522" t="str">
            <v>Weather shield paint</v>
          </cell>
          <cell r="C522" t="str">
            <v>l</v>
          </cell>
          <cell r="D522">
            <v>838</v>
          </cell>
          <cell r="E522">
            <v>8.3800000000000008</v>
          </cell>
          <cell r="F522">
            <v>846.5</v>
          </cell>
        </row>
        <row r="523">
          <cell r="A523">
            <v>2608</v>
          </cell>
          <cell r="B523" t="str">
            <v>Enamel paint</v>
          </cell>
          <cell r="C523" t="str">
            <v>l</v>
          </cell>
          <cell r="D523">
            <v>740</v>
          </cell>
          <cell r="E523">
            <v>7.4</v>
          </cell>
          <cell r="F523">
            <v>747.5</v>
          </cell>
        </row>
        <row r="524">
          <cell r="A524">
            <v>2609</v>
          </cell>
          <cell r="B524" t="str">
            <v>Anticorrosive paint</v>
          </cell>
          <cell r="C524" t="str">
            <v>l</v>
          </cell>
          <cell r="D524">
            <v>510</v>
          </cell>
          <cell r="E524">
            <v>5.0999999999999996</v>
          </cell>
          <cell r="F524">
            <v>515</v>
          </cell>
        </row>
        <row r="525">
          <cell r="A525">
            <v>2610</v>
          </cell>
          <cell r="B525" t="str">
            <v>Floor paint</v>
          </cell>
          <cell r="C525" t="str">
            <v>l</v>
          </cell>
          <cell r="D525">
            <v>780</v>
          </cell>
          <cell r="E525">
            <v>7.8</v>
          </cell>
          <cell r="F525">
            <v>788</v>
          </cell>
        </row>
        <row r="526">
          <cell r="A526">
            <v>2611</v>
          </cell>
          <cell r="B526" t="str">
            <v>Floor polish</v>
          </cell>
          <cell r="C526" t="str">
            <v>kg</v>
          </cell>
          <cell r="D526">
            <v>650</v>
          </cell>
          <cell r="E526">
            <v>6.5</v>
          </cell>
          <cell r="F526">
            <v>656.5</v>
          </cell>
        </row>
        <row r="527">
          <cell r="A527">
            <v>2612</v>
          </cell>
          <cell r="B527" t="str">
            <v>Wood primer</v>
          </cell>
          <cell r="C527" t="str">
            <v>l</v>
          </cell>
          <cell r="D527">
            <v>720</v>
          </cell>
          <cell r="E527">
            <v>7.2</v>
          </cell>
          <cell r="F527">
            <v>727</v>
          </cell>
        </row>
        <row r="528">
          <cell r="A528">
            <v>2613</v>
          </cell>
          <cell r="B528" t="str">
            <v>Polyurethane varnish</v>
          </cell>
          <cell r="C528" t="str">
            <v>l</v>
          </cell>
          <cell r="D528">
            <v>750</v>
          </cell>
          <cell r="E528">
            <v>7.5</v>
          </cell>
          <cell r="F528">
            <v>757.5</v>
          </cell>
        </row>
        <row r="529">
          <cell r="A529">
            <v>0</v>
          </cell>
          <cell r="B529" t="str">
            <v>Electrical Installation</v>
          </cell>
          <cell r="C529">
            <v>0</v>
          </cell>
          <cell r="D529">
            <v>0</v>
          </cell>
          <cell r="E529">
            <v>0</v>
          </cell>
          <cell r="F529">
            <v>0</v>
          </cell>
        </row>
        <row r="530">
          <cell r="A530">
            <v>2701</v>
          </cell>
          <cell r="B530" t="str">
            <v>1/1.13 mm Cu\PVC\PVC ( 1 sq.mm)</v>
          </cell>
          <cell r="C530" t="str">
            <v>m</v>
          </cell>
          <cell r="D530">
            <v>18.5</v>
          </cell>
          <cell r="E530">
            <v>0.19</v>
          </cell>
          <cell r="F530">
            <v>18.5</v>
          </cell>
        </row>
        <row r="531">
          <cell r="A531">
            <v>2702</v>
          </cell>
          <cell r="B531" t="str">
            <v>7/0.67 mm Cu\PVC ( 2.5 sq.mm)</v>
          </cell>
          <cell r="C531" t="str">
            <v>m</v>
          </cell>
          <cell r="D531">
            <v>61.5</v>
          </cell>
          <cell r="E531">
            <v>0.62</v>
          </cell>
          <cell r="F531">
            <v>62</v>
          </cell>
        </row>
        <row r="532">
          <cell r="A532">
            <v>2703</v>
          </cell>
          <cell r="B532" t="str">
            <v>7/0.53mm Cu\PVC\PVC(T)-1.5sq.mm</v>
          </cell>
          <cell r="C532" t="str">
            <v>m</v>
          </cell>
          <cell r="D532">
            <v>79.2</v>
          </cell>
          <cell r="E532">
            <v>0.79</v>
          </cell>
          <cell r="F532">
            <v>80</v>
          </cell>
        </row>
        <row r="533">
          <cell r="A533">
            <v>2704</v>
          </cell>
          <cell r="B533" t="str">
            <v>7/0.67mm Cu\PVC\PVC(T)-2.5sq.mm</v>
          </cell>
          <cell r="C533" t="str">
            <v>m</v>
          </cell>
          <cell r="D533">
            <v>115.4</v>
          </cell>
          <cell r="E533">
            <v>1.1499999999999999</v>
          </cell>
          <cell r="F533">
            <v>116.5</v>
          </cell>
        </row>
        <row r="534">
          <cell r="A534">
            <v>2705</v>
          </cell>
          <cell r="B534" t="str">
            <v>7/1.04mm Cu\PVC\PVC(T)-6sq.mm</v>
          </cell>
          <cell r="C534" t="str">
            <v>m</v>
          </cell>
          <cell r="D534">
            <v>249.3</v>
          </cell>
          <cell r="E534">
            <v>2.4900000000000002</v>
          </cell>
          <cell r="F534">
            <v>252</v>
          </cell>
        </row>
        <row r="535">
          <cell r="A535">
            <v>2706</v>
          </cell>
          <cell r="B535" t="str">
            <v>Holder</v>
          </cell>
          <cell r="C535" t="str">
            <v>Nr</v>
          </cell>
          <cell r="D535">
            <v>55</v>
          </cell>
          <cell r="E535">
            <v>0.55000000000000004</v>
          </cell>
          <cell r="F535">
            <v>55.5</v>
          </cell>
        </row>
        <row r="536">
          <cell r="A536">
            <v>2707</v>
          </cell>
          <cell r="B536" t="str">
            <v>Sun box</v>
          </cell>
          <cell r="C536" t="str">
            <v>Nr</v>
          </cell>
          <cell r="D536">
            <v>35</v>
          </cell>
          <cell r="E536">
            <v>0.35</v>
          </cell>
          <cell r="F536">
            <v>35.5</v>
          </cell>
        </row>
        <row r="537">
          <cell r="A537">
            <v>2708</v>
          </cell>
          <cell r="B537" t="str">
            <v>Switch</v>
          </cell>
          <cell r="C537" t="str">
            <v>Nr</v>
          </cell>
          <cell r="D537">
            <v>35</v>
          </cell>
          <cell r="E537">
            <v>0.35</v>
          </cell>
          <cell r="F537">
            <v>35.5</v>
          </cell>
        </row>
        <row r="538">
          <cell r="A538">
            <v>2709</v>
          </cell>
          <cell r="B538" t="str">
            <v>PVC conduit 1"</v>
          </cell>
          <cell r="C538" t="str">
            <v>m</v>
          </cell>
          <cell r="D538">
            <v>34.25</v>
          </cell>
          <cell r="E538">
            <v>0.34</v>
          </cell>
          <cell r="F538">
            <v>34</v>
          </cell>
        </row>
        <row r="539">
          <cell r="A539">
            <v>2710</v>
          </cell>
          <cell r="B539" t="str">
            <v>5A socket outlet</v>
          </cell>
          <cell r="C539" t="str">
            <v>Nr</v>
          </cell>
          <cell r="D539">
            <v>340</v>
          </cell>
          <cell r="E539">
            <v>3.4</v>
          </cell>
          <cell r="F539">
            <v>315</v>
          </cell>
        </row>
        <row r="540">
          <cell r="A540">
            <v>2711</v>
          </cell>
          <cell r="B540" t="str">
            <v>13A socket outlet</v>
          </cell>
          <cell r="C540" t="str">
            <v>Nr</v>
          </cell>
          <cell r="D540">
            <v>360</v>
          </cell>
          <cell r="E540">
            <v>3.6</v>
          </cell>
          <cell r="F540">
            <v>333.5</v>
          </cell>
        </row>
        <row r="541">
          <cell r="A541">
            <v>2712</v>
          </cell>
          <cell r="B541" t="str">
            <v>15A socket outlet</v>
          </cell>
          <cell r="C541" t="str">
            <v>Nr</v>
          </cell>
          <cell r="D541">
            <v>420</v>
          </cell>
          <cell r="E541">
            <v>4.2</v>
          </cell>
          <cell r="F541">
            <v>387</v>
          </cell>
        </row>
        <row r="542">
          <cell r="A542">
            <v>2713</v>
          </cell>
          <cell r="B542" t="str">
            <v>Ceiling rose</v>
          </cell>
          <cell r="C542" t="str">
            <v>Nr</v>
          </cell>
          <cell r="D542">
            <v>85</v>
          </cell>
          <cell r="E542">
            <v>0.85</v>
          </cell>
          <cell r="F542">
            <v>86</v>
          </cell>
        </row>
        <row r="543">
          <cell r="A543">
            <v>2714</v>
          </cell>
          <cell r="B543" t="str">
            <v>Round block</v>
          </cell>
          <cell r="C543" t="str">
            <v>Nr</v>
          </cell>
          <cell r="D543">
            <v>15</v>
          </cell>
          <cell r="E543">
            <v>0.15</v>
          </cell>
          <cell r="F543">
            <v>15</v>
          </cell>
        </row>
        <row r="544">
          <cell r="A544">
            <v>2715</v>
          </cell>
          <cell r="B544" t="str">
            <v>Fan hook</v>
          </cell>
          <cell r="C544" t="str">
            <v>Nr</v>
          </cell>
          <cell r="D544">
            <v>175</v>
          </cell>
          <cell r="E544">
            <v>1.75</v>
          </cell>
          <cell r="F544">
            <v>177</v>
          </cell>
        </row>
        <row r="545">
          <cell r="A545">
            <v>2716</v>
          </cell>
          <cell r="B545" t="str">
            <v>Pendent lamp</v>
          </cell>
          <cell r="C545" t="str">
            <v>Nr</v>
          </cell>
          <cell r="D545">
            <v>60</v>
          </cell>
          <cell r="E545">
            <v>0.6</v>
          </cell>
          <cell r="F545">
            <v>60.5</v>
          </cell>
        </row>
        <row r="546">
          <cell r="A546">
            <v>2717</v>
          </cell>
          <cell r="B546" t="str">
            <v>Weather proofed angle batten lamp</v>
          </cell>
          <cell r="C546" t="str">
            <v>Nr</v>
          </cell>
          <cell r="D546">
            <v>1350</v>
          </cell>
          <cell r="E546">
            <v>13.5</v>
          </cell>
          <cell r="F546">
            <v>1363.5</v>
          </cell>
        </row>
        <row r="547">
          <cell r="A547">
            <v>2718</v>
          </cell>
          <cell r="B547" t="str">
            <v>Wall bracket lamp</v>
          </cell>
          <cell r="C547" t="str">
            <v>Nr</v>
          </cell>
          <cell r="D547">
            <v>850</v>
          </cell>
          <cell r="E547">
            <v>8.5</v>
          </cell>
          <cell r="F547">
            <v>858.5</v>
          </cell>
        </row>
        <row r="548">
          <cell r="A548">
            <v>2719</v>
          </cell>
          <cell r="B548" t="str">
            <v>1200 mm, 40W single fluorescent lamp</v>
          </cell>
          <cell r="C548" t="str">
            <v>Nr</v>
          </cell>
          <cell r="D548">
            <v>975</v>
          </cell>
          <cell r="E548">
            <v>9.75</v>
          </cell>
          <cell r="F548">
            <v>985</v>
          </cell>
        </row>
        <row r="549">
          <cell r="A549">
            <v>2720</v>
          </cell>
          <cell r="B549" t="str">
            <v>1200 mm, 40W double fluorescent lamp</v>
          </cell>
          <cell r="C549" t="str">
            <v>Nr</v>
          </cell>
          <cell r="D549">
            <v>1900</v>
          </cell>
          <cell r="E549">
            <v>19</v>
          </cell>
          <cell r="F549">
            <v>1919</v>
          </cell>
        </row>
        <row r="550">
          <cell r="A550">
            <v>2721</v>
          </cell>
          <cell r="B550" t="str">
            <v>600x300 mm fully parabolic reflective type fluorescent lamp (2 tube)</v>
          </cell>
          <cell r="C550" t="str">
            <v>Nr</v>
          </cell>
          <cell r="D550">
            <v>3450</v>
          </cell>
          <cell r="E550">
            <v>34.5</v>
          </cell>
          <cell r="F550">
            <v>3484.5</v>
          </cell>
        </row>
        <row r="551">
          <cell r="A551">
            <v>2722</v>
          </cell>
          <cell r="B551" t="str">
            <v>1200x300 mm fully parabolic reflective type fluorescent lamp (2 tube)</v>
          </cell>
          <cell r="C551" t="str">
            <v>Nr</v>
          </cell>
          <cell r="D551">
            <v>3850</v>
          </cell>
          <cell r="E551">
            <v>38.5</v>
          </cell>
          <cell r="F551">
            <v>3888.5</v>
          </cell>
        </row>
        <row r="552">
          <cell r="A552">
            <v>2723</v>
          </cell>
          <cell r="B552" t="str">
            <v>600x600 mm fully parabolic reflective type fluorescent lamp (3 tube)</v>
          </cell>
          <cell r="C552" t="str">
            <v>Nr</v>
          </cell>
          <cell r="D552">
            <v>3950</v>
          </cell>
          <cell r="E552">
            <v>39.5</v>
          </cell>
          <cell r="F552">
            <v>3989.5</v>
          </cell>
        </row>
        <row r="553">
          <cell r="A553">
            <v>2724</v>
          </cell>
          <cell r="B553" t="str">
            <v>1200x600 mm fully parabolic reflective type fluorescent lamp (3 tube)</v>
          </cell>
          <cell r="C553" t="str">
            <v>Nr</v>
          </cell>
          <cell r="D553">
            <v>4750</v>
          </cell>
          <cell r="E553">
            <v>47.5</v>
          </cell>
          <cell r="F553">
            <v>4797.5</v>
          </cell>
        </row>
        <row r="554">
          <cell r="A554">
            <v>2725</v>
          </cell>
          <cell r="B554" t="str">
            <v>1200mm sweep ceiling fan</v>
          </cell>
          <cell r="C554" t="str">
            <v>Nr</v>
          </cell>
          <cell r="D554">
            <v>5950</v>
          </cell>
          <cell r="E554">
            <v>59.5</v>
          </cell>
          <cell r="F554">
            <v>6009.5</v>
          </cell>
        </row>
        <row r="555">
          <cell r="A555">
            <v>2726</v>
          </cell>
          <cell r="B555" t="str">
            <v>300x300mm exhaust fan</v>
          </cell>
          <cell r="C555" t="str">
            <v>Nr</v>
          </cell>
          <cell r="D555">
            <v>4250</v>
          </cell>
          <cell r="E555">
            <v>42.5</v>
          </cell>
          <cell r="F555">
            <v>4292.5</v>
          </cell>
        </row>
        <row r="556">
          <cell r="A556">
            <v>2727</v>
          </cell>
          <cell r="B556" t="str">
            <v>Wall mounted fan</v>
          </cell>
          <cell r="C556" t="str">
            <v>Nr</v>
          </cell>
          <cell r="D556">
            <v>6250</v>
          </cell>
          <cell r="E556">
            <v>62.5</v>
          </cell>
          <cell r="F556">
            <v>6312.5</v>
          </cell>
        </row>
        <row r="557">
          <cell r="A557">
            <v>2728</v>
          </cell>
          <cell r="B557" t="str">
            <v>40 Amp single phase main switch</v>
          </cell>
          <cell r="C557" t="str">
            <v>Nr</v>
          </cell>
          <cell r="D557">
            <v>736</v>
          </cell>
          <cell r="E557">
            <v>7.36</v>
          </cell>
          <cell r="F557">
            <v>743.5</v>
          </cell>
        </row>
        <row r="558">
          <cell r="A558">
            <v>2729</v>
          </cell>
          <cell r="B558" t="str">
            <v>60 Amp single phase main switch</v>
          </cell>
          <cell r="C558" t="str">
            <v>Nr</v>
          </cell>
          <cell r="D558">
            <v>871</v>
          </cell>
          <cell r="E558">
            <v>8.7100000000000009</v>
          </cell>
          <cell r="F558">
            <v>879.5</v>
          </cell>
        </row>
        <row r="559">
          <cell r="A559">
            <v>2730</v>
          </cell>
          <cell r="B559" t="str">
            <v>40 Amp Circuit breaker</v>
          </cell>
          <cell r="C559" t="str">
            <v>Nr</v>
          </cell>
          <cell r="D559">
            <v>395</v>
          </cell>
          <cell r="E559">
            <v>3.95</v>
          </cell>
          <cell r="F559">
            <v>399</v>
          </cell>
        </row>
        <row r="560">
          <cell r="A560">
            <v>2731</v>
          </cell>
          <cell r="B560" t="str">
            <v>Distribution board with cover</v>
          </cell>
          <cell r="C560" t="str">
            <v>Nr</v>
          </cell>
          <cell r="D560">
            <v>1450</v>
          </cell>
          <cell r="E560">
            <v>14.5</v>
          </cell>
          <cell r="F560">
            <v>1464.5</v>
          </cell>
        </row>
        <row r="561">
          <cell r="A561">
            <v>2732</v>
          </cell>
          <cell r="B561" t="str">
            <v>40 Amp three phase main switch</v>
          </cell>
          <cell r="C561" t="str">
            <v>Nr</v>
          </cell>
          <cell r="D561">
            <v>1224</v>
          </cell>
          <cell r="E561">
            <v>12.24</v>
          </cell>
          <cell r="F561">
            <v>1236</v>
          </cell>
        </row>
        <row r="562">
          <cell r="A562">
            <v>2733</v>
          </cell>
          <cell r="B562" t="str">
            <v>60 Amp three phase main switch</v>
          </cell>
          <cell r="C562" t="str">
            <v>Nr</v>
          </cell>
          <cell r="D562">
            <v>1324</v>
          </cell>
          <cell r="E562">
            <v>13.24</v>
          </cell>
          <cell r="F562">
            <v>1337</v>
          </cell>
        </row>
        <row r="563">
          <cell r="A563">
            <v>2734</v>
          </cell>
          <cell r="B563" t="str">
            <v>40 Amp single phase RCCB (Trip switch)</v>
          </cell>
          <cell r="C563" t="str">
            <v>Nr</v>
          </cell>
          <cell r="D563">
            <v>2677</v>
          </cell>
          <cell r="E563">
            <v>26.77</v>
          </cell>
          <cell r="F563">
            <v>2704</v>
          </cell>
        </row>
        <row r="564">
          <cell r="A564">
            <v>2735</v>
          </cell>
          <cell r="B564" t="str">
            <v>60 Amp single phase RCCB (Trip switch)</v>
          </cell>
          <cell r="C564" t="str">
            <v>Nr</v>
          </cell>
          <cell r="D564">
            <v>2712</v>
          </cell>
          <cell r="E564">
            <v>27.12</v>
          </cell>
          <cell r="F564">
            <v>2739</v>
          </cell>
        </row>
        <row r="565">
          <cell r="A565">
            <v>2736</v>
          </cell>
          <cell r="B565" t="str">
            <v>40 Amp three phase RCCB (Trip switch)</v>
          </cell>
          <cell r="C565" t="str">
            <v>Nr</v>
          </cell>
          <cell r="D565">
            <v>3706</v>
          </cell>
          <cell r="E565">
            <v>37.06</v>
          </cell>
          <cell r="F565">
            <v>3743</v>
          </cell>
        </row>
        <row r="566">
          <cell r="A566">
            <v>2737</v>
          </cell>
          <cell r="B566" t="str">
            <v>60 Amp three phase RCCB (Trip switch)</v>
          </cell>
          <cell r="C566" t="str">
            <v>Nr</v>
          </cell>
          <cell r="D566">
            <v>3912</v>
          </cell>
          <cell r="E566">
            <v>39.119999999999997</v>
          </cell>
          <cell r="F566">
            <v>3951</v>
          </cell>
        </row>
        <row r="567">
          <cell r="A567">
            <v>2738</v>
          </cell>
          <cell r="B567" t="str">
            <v>Electrical Bell</v>
          </cell>
          <cell r="C567" t="str">
            <v>Nr</v>
          </cell>
          <cell r="D567">
            <v>500</v>
          </cell>
          <cell r="E567">
            <v>5</v>
          </cell>
          <cell r="F567">
            <v>505</v>
          </cell>
        </row>
        <row r="568">
          <cell r="A568">
            <v>2739</v>
          </cell>
          <cell r="B568" t="str">
            <v>GI earth electrode</v>
          </cell>
          <cell r="C568" t="str">
            <v>Nr</v>
          </cell>
          <cell r="D568">
            <v>990</v>
          </cell>
          <cell r="E568">
            <v>9.9</v>
          </cell>
          <cell r="F568">
            <v>1000</v>
          </cell>
        </row>
        <row r="569">
          <cell r="A569">
            <v>2740</v>
          </cell>
          <cell r="B569" t="str">
            <v>50x50x5.8 mm angle Iron</v>
          </cell>
          <cell r="C569" t="str">
            <v>m</v>
          </cell>
          <cell r="D569">
            <v>467</v>
          </cell>
          <cell r="E569">
            <v>4.67</v>
          </cell>
          <cell r="F569">
            <v>471.5</v>
          </cell>
        </row>
        <row r="570">
          <cell r="A570">
            <v>2741</v>
          </cell>
          <cell r="B570" t="str">
            <v>60 Amp Circuit breaker</v>
          </cell>
          <cell r="C570" t="str">
            <v>Nr</v>
          </cell>
          <cell r="D570">
            <v>395</v>
          </cell>
          <cell r="E570">
            <v>3.95</v>
          </cell>
          <cell r="F570">
            <v>399</v>
          </cell>
        </row>
        <row r="571">
          <cell r="A571">
            <v>0</v>
          </cell>
          <cell r="B571" t="str">
            <v>Miscellaneous Work</v>
          </cell>
          <cell r="C571">
            <v>0</v>
          </cell>
          <cell r="D571">
            <v>0</v>
          </cell>
          <cell r="E571">
            <v>0</v>
          </cell>
          <cell r="F571">
            <v>0</v>
          </cell>
        </row>
        <row r="572">
          <cell r="A572">
            <v>2801</v>
          </cell>
          <cell r="B572" t="str">
            <v>PVC coated gauge 10 chain link mesh</v>
          </cell>
          <cell r="C572" t="str">
            <v>m2</v>
          </cell>
          <cell r="D572">
            <v>595</v>
          </cell>
          <cell r="E572">
            <v>5.95</v>
          </cell>
          <cell r="F572">
            <v>543.5</v>
          </cell>
        </row>
        <row r="573">
          <cell r="A573">
            <v>2802</v>
          </cell>
          <cell r="B573" t="str">
            <v>2" GI pipes (2mm)</v>
          </cell>
          <cell r="C573" t="str">
            <v>m</v>
          </cell>
          <cell r="D573">
            <v>1165</v>
          </cell>
          <cell r="E573">
            <v>11.65</v>
          </cell>
          <cell r="F573">
            <v>547.5</v>
          </cell>
        </row>
        <row r="574">
          <cell r="A574">
            <v>2803</v>
          </cell>
          <cell r="B574" t="str">
            <v>1 1/2" GI pipes (2mm)</v>
          </cell>
          <cell r="C574" t="str">
            <v>m</v>
          </cell>
          <cell r="D574">
            <v>459</v>
          </cell>
          <cell r="E574">
            <v>4.59</v>
          </cell>
          <cell r="F574">
            <v>463.5</v>
          </cell>
        </row>
        <row r="575">
          <cell r="A575">
            <v>2804</v>
          </cell>
          <cell r="B575" t="str">
            <v>1"  GI pipes (2mm)</v>
          </cell>
          <cell r="C575" t="str">
            <v>m</v>
          </cell>
          <cell r="D575">
            <v>367</v>
          </cell>
          <cell r="E575">
            <v>3.67</v>
          </cell>
          <cell r="F575">
            <v>370.5</v>
          </cell>
        </row>
        <row r="576">
          <cell r="A576">
            <v>2805</v>
          </cell>
          <cell r="B576" t="str">
            <v>Barbed wire</v>
          </cell>
          <cell r="C576" t="str">
            <v>m</v>
          </cell>
          <cell r="D576">
            <v>25.35</v>
          </cell>
          <cell r="E576">
            <v>0.25</v>
          </cell>
          <cell r="F576">
            <v>25.6</v>
          </cell>
        </row>
        <row r="577">
          <cell r="A577">
            <v>2806</v>
          </cell>
          <cell r="B577" t="str">
            <v>Hooks and washers</v>
          </cell>
          <cell r="C577" t="str">
            <v>Nr</v>
          </cell>
          <cell r="D577">
            <v>10.5</v>
          </cell>
          <cell r="E577">
            <v>0.11</v>
          </cell>
          <cell r="F577">
            <v>10.5</v>
          </cell>
        </row>
        <row r="578">
          <cell r="A578">
            <v>2807</v>
          </cell>
          <cell r="B578" t="str">
            <v>Concrete fence posts 6'-0"</v>
          </cell>
          <cell r="C578" t="str">
            <v>Nr</v>
          </cell>
          <cell r="D578">
            <v>930</v>
          </cell>
          <cell r="E578">
            <v>9.3000000000000007</v>
          </cell>
          <cell r="F578">
            <v>939.5</v>
          </cell>
        </row>
        <row r="579">
          <cell r="A579">
            <v>2808</v>
          </cell>
          <cell r="B579" t="str">
            <v>Concrete fence posts 6'-6"</v>
          </cell>
          <cell r="C579" t="str">
            <v>Nr</v>
          </cell>
          <cell r="D579">
            <v>1010</v>
          </cell>
          <cell r="E579">
            <v>10.1</v>
          </cell>
          <cell r="F579">
            <v>1020</v>
          </cell>
        </row>
        <row r="580">
          <cell r="A580">
            <v>2809</v>
          </cell>
          <cell r="B580" t="str">
            <v>Concrete fence posts 7'-0"</v>
          </cell>
          <cell r="C580" t="str">
            <v>Nr</v>
          </cell>
          <cell r="D580">
            <v>1100</v>
          </cell>
          <cell r="E580">
            <v>11</v>
          </cell>
          <cell r="F580">
            <v>1111</v>
          </cell>
        </row>
        <row r="581">
          <cell r="A581">
            <v>2810</v>
          </cell>
          <cell r="B581" t="str">
            <v>Concrete fence posts 8'-0"</v>
          </cell>
          <cell r="C581" t="str">
            <v>Nr</v>
          </cell>
          <cell r="D581">
            <v>1240</v>
          </cell>
          <cell r="E581">
            <v>12.4</v>
          </cell>
          <cell r="F581">
            <v>1252.5</v>
          </cell>
        </row>
        <row r="582">
          <cell r="A582">
            <v>2811</v>
          </cell>
          <cell r="B582" t="str">
            <v>Concrete fence posts 10'-6"</v>
          </cell>
          <cell r="C582" t="str">
            <v>Nr</v>
          </cell>
          <cell r="D582">
            <v>2850</v>
          </cell>
          <cell r="E582">
            <v>28.5</v>
          </cell>
          <cell r="F582">
            <v>2878.5</v>
          </cell>
        </row>
        <row r="583">
          <cell r="A583">
            <v>2812</v>
          </cell>
          <cell r="B583" t="str">
            <v>Concrete fence supporting posts for corner posts</v>
          </cell>
          <cell r="C583" t="str">
            <v>Nr</v>
          </cell>
          <cell r="D583">
            <v>1250</v>
          </cell>
          <cell r="E583">
            <v>12.5</v>
          </cell>
          <cell r="F583">
            <v>1262.5</v>
          </cell>
        </row>
        <row r="584">
          <cell r="A584">
            <v>2813</v>
          </cell>
          <cell r="B584" t="str">
            <v>2" GI pipes (1.8mm)</v>
          </cell>
          <cell r="C584" t="str">
            <v>m</v>
          </cell>
          <cell r="D584">
            <v>492</v>
          </cell>
          <cell r="E584">
            <v>4.92</v>
          </cell>
          <cell r="F584">
            <v>497</v>
          </cell>
        </row>
        <row r="585">
          <cell r="A585">
            <v>2814</v>
          </cell>
          <cell r="B585" t="str">
            <v>2" GI pipes (1.5mm)</v>
          </cell>
          <cell r="C585" t="str">
            <v>m</v>
          </cell>
          <cell r="D585">
            <v>459</v>
          </cell>
          <cell r="E585">
            <v>4.59</v>
          </cell>
          <cell r="F585">
            <v>463.5</v>
          </cell>
        </row>
        <row r="586">
          <cell r="A586">
            <v>2815</v>
          </cell>
          <cell r="B586" t="str">
            <v>1 1/2" GI pipes (1.8mm)</v>
          </cell>
          <cell r="C586" t="str">
            <v>m</v>
          </cell>
          <cell r="D586">
            <v>434</v>
          </cell>
          <cell r="E586">
            <v>4.34</v>
          </cell>
          <cell r="F586">
            <v>438.5</v>
          </cell>
        </row>
        <row r="587">
          <cell r="A587">
            <v>2816</v>
          </cell>
          <cell r="B587" t="str">
            <v>1 1/2" GI pipes (1.5mm)</v>
          </cell>
          <cell r="C587" t="str">
            <v>m</v>
          </cell>
          <cell r="D587">
            <v>359</v>
          </cell>
          <cell r="E587">
            <v>3.59</v>
          </cell>
          <cell r="F587">
            <v>362.5</v>
          </cell>
        </row>
        <row r="588">
          <cell r="A588">
            <v>2817</v>
          </cell>
          <cell r="B588" t="str">
            <v>1 1/4" GI pipes (2mm)</v>
          </cell>
          <cell r="C588" t="str">
            <v>m</v>
          </cell>
          <cell r="D588">
            <v>409</v>
          </cell>
          <cell r="E588">
            <v>4.09</v>
          </cell>
          <cell r="F588">
            <v>413</v>
          </cell>
        </row>
        <row r="589">
          <cell r="A589">
            <v>2818</v>
          </cell>
          <cell r="B589" t="str">
            <v>1 1/4" GI pipes (1.8mm)</v>
          </cell>
          <cell r="C589" t="str">
            <v>m</v>
          </cell>
          <cell r="D589">
            <v>359</v>
          </cell>
          <cell r="E589">
            <v>3.59</v>
          </cell>
          <cell r="F589">
            <v>362.5</v>
          </cell>
        </row>
        <row r="590">
          <cell r="A590">
            <v>2819</v>
          </cell>
          <cell r="B590" t="str">
            <v>1 1/4" GI pipes (1.5mm)</v>
          </cell>
          <cell r="C590" t="str">
            <v>m</v>
          </cell>
          <cell r="D590">
            <v>267</v>
          </cell>
          <cell r="E590">
            <v>2.67</v>
          </cell>
          <cell r="F590">
            <v>269.5</v>
          </cell>
        </row>
        <row r="591">
          <cell r="A591">
            <v>2820</v>
          </cell>
          <cell r="B591" t="str">
            <v>1 " GI pipes (1.8mm)</v>
          </cell>
          <cell r="C591" t="str">
            <v>m</v>
          </cell>
          <cell r="D591">
            <v>292</v>
          </cell>
          <cell r="E591">
            <v>2.92</v>
          </cell>
          <cell r="F591">
            <v>295</v>
          </cell>
        </row>
        <row r="592">
          <cell r="A592">
            <v>2821</v>
          </cell>
          <cell r="B592" t="str">
            <v>1 " GI pipes (1.5mm)</v>
          </cell>
          <cell r="C592" t="str">
            <v>m</v>
          </cell>
          <cell r="D592">
            <v>234</v>
          </cell>
          <cell r="E592">
            <v>2.34</v>
          </cell>
          <cell r="F592">
            <v>236.5</v>
          </cell>
        </row>
        <row r="593">
          <cell r="A593">
            <v>2822</v>
          </cell>
          <cell r="B593" t="str">
            <v>12mm thick MDF board</v>
          </cell>
          <cell r="C593" t="str">
            <v>m2</v>
          </cell>
          <cell r="D593">
            <v>718</v>
          </cell>
          <cell r="E593">
            <v>7.18</v>
          </cell>
          <cell r="F593">
            <v>725</v>
          </cell>
        </row>
        <row r="594">
          <cell r="A594">
            <v>2823</v>
          </cell>
          <cell r="B594" t="str">
            <v>12 mm thick regiform board</v>
          </cell>
          <cell r="C594" t="str">
            <v>m2</v>
          </cell>
          <cell r="D594">
            <v>131</v>
          </cell>
          <cell r="E594">
            <v>1.31</v>
          </cell>
          <cell r="F594">
            <v>132.5</v>
          </cell>
        </row>
        <row r="595">
          <cell r="A595">
            <v>2824</v>
          </cell>
          <cell r="B595" t="str">
            <v>Velvet cloth</v>
          </cell>
          <cell r="C595" t="str">
            <v>m2</v>
          </cell>
          <cell r="D595">
            <v>150</v>
          </cell>
          <cell r="E595">
            <v>1.5</v>
          </cell>
          <cell r="F595">
            <v>151.5</v>
          </cell>
        </row>
        <row r="596">
          <cell r="A596">
            <v>0</v>
          </cell>
          <cell r="B596">
            <v>0</v>
          </cell>
          <cell r="C596">
            <v>0</v>
          </cell>
          <cell r="D596">
            <v>0</v>
          </cell>
          <cell r="E596">
            <v>0</v>
          </cell>
          <cell r="F596">
            <v>0</v>
          </cell>
        </row>
        <row r="597">
          <cell r="A597">
            <v>0</v>
          </cell>
          <cell r="B597">
            <v>0</v>
          </cell>
          <cell r="C597">
            <v>0</v>
          </cell>
          <cell r="D597">
            <v>0</v>
          </cell>
          <cell r="E597">
            <v>0</v>
          </cell>
          <cell r="F597">
            <v>0</v>
          </cell>
        </row>
        <row r="599">
          <cell r="A599" t="str">
            <v xml:space="preserve">Prepared and Checked by B.S.R. Preparation Committee </v>
          </cell>
          <cell r="B599">
            <v>0</v>
          </cell>
          <cell r="C599">
            <v>0</v>
          </cell>
          <cell r="D599">
            <v>0</v>
          </cell>
          <cell r="E599">
            <v>0</v>
          </cell>
          <cell r="F599">
            <v>0</v>
          </cell>
        </row>
        <row r="600">
          <cell r="A600">
            <v>0</v>
          </cell>
          <cell r="B600">
            <v>0</v>
          </cell>
          <cell r="C600">
            <v>0</v>
          </cell>
          <cell r="D600">
            <v>0</v>
          </cell>
          <cell r="E600">
            <v>0</v>
          </cell>
          <cell r="F600">
            <v>0</v>
          </cell>
        </row>
        <row r="601">
          <cell r="A601" t="str">
            <v>1.</v>
          </cell>
          <cell r="B601" t="str">
            <v>Chairman : Eng. P. S. S. Vithanage, Chief Engineer (Buildings)</v>
          </cell>
          <cell r="C601">
            <v>0</v>
          </cell>
          <cell r="D601">
            <v>0</v>
          </cell>
          <cell r="E601">
            <v>0</v>
          </cell>
          <cell r="F601">
            <v>0</v>
          </cell>
        </row>
        <row r="602">
          <cell r="A602">
            <v>0</v>
          </cell>
          <cell r="B602">
            <v>0</v>
          </cell>
          <cell r="C602">
            <v>0</v>
          </cell>
          <cell r="D602">
            <v>0</v>
          </cell>
          <cell r="E602">
            <v>0</v>
          </cell>
          <cell r="F602">
            <v>0</v>
          </cell>
        </row>
        <row r="603">
          <cell r="A603" t="str">
            <v>2</v>
          </cell>
          <cell r="B603" t="str">
            <v>Member 1 : Eng H.M Jayarathna, Chief Engineer (Buildings)</v>
          </cell>
          <cell r="C603">
            <v>0</v>
          </cell>
          <cell r="D603">
            <v>0</v>
          </cell>
          <cell r="E603">
            <v>0</v>
          </cell>
          <cell r="F603">
            <v>0</v>
          </cell>
        </row>
        <row r="604">
          <cell r="A604">
            <v>0</v>
          </cell>
          <cell r="B604">
            <v>0</v>
          </cell>
          <cell r="C604">
            <v>0</v>
          </cell>
          <cell r="D604">
            <v>0</v>
          </cell>
          <cell r="E604">
            <v>0</v>
          </cell>
          <cell r="F604">
            <v>0</v>
          </cell>
        </row>
        <row r="605">
          <cell r="A605" t="str">
            <v>3</v>
          </cell>
          <cell r="B605" t="str">
            <v>Member 2 : Eng H.M Dharmarathna, Engineer</v>
          </cell>
          <cell r="C605">
            <v>0</v>
          </cell>
          <cell r="D605">
            <v>0</v>
          </cell>
          <cell r="E605">
            <v>0</v>
          </cell>
          <cell r="F605">
            <v>0</v>
          </cell>
        </row>
        <row r="606">
          <cell r="A606">
            <v>0</v>
          </cell>
          <cell r="B606">
            <v>0</v>
          </cell>
          <cell r="C606">
            <v>0</v>
          </cell>
          <cell r="D606">
            <v>0</v>
          </cell>
          <cell r="E606">
            <v>0</v>
          </cell>
          <cell r="F606">
            <v>0</v>
          </cell>
        </row>
        <row r="607">
          <cell r="A607" t="str">
            <v>4</v>
          </cell>
          <cell r="B607" t="str">
            <v>Member 3 : Eng. D.M.R. Dhanapala, Engineer</v>
          </cell>
          <cell r="C607">
            <v>0</v>
          </cell>
          <cell r="D607">
            <v>0</v>
          </cell>
          <cell r="E607">
            <v>0</v>
          </cell>
          <cell r="F607">
            <v>0</v>
          </cell>
        </row>
        <row r="608">
          <cell r="A608">
            <v>0</v>
          </cell>
          <cell r="B608">
            <v>0</v>
          </cell>
          <cell r="C608">
            <v>0</v>
          </cell>
          <cell r="D608">
            <v>0</v>
          </cell>
          <cell r="E608">
            <v>0</v>
          </cell>
          <cell r="F608">
            <v>0</v>
          </cell>
        </row>
        <row r="609">
          <cell r="A609">
            <v>0</v>
          </cell>
          <cell r="B609">
            <v>0</v>
          </cell>
          <cell r="C609">
            <v>0</v>
          </cell>
          <cell r="D609">
            <v>0</v>
          </cell>
          <cell r="E609">
            <v>0</v>
          </cell>
          <cell r="F609">
            <v>0</v>
          </cell>
        </row>
        <row r="610">
          <cell r="A610">
            <v>0</v>
          </cell>
          <cell r="B610">
            <v>0</v>
          </cell>
          <cell r="C610">
            <v>0</v>
          </cell>
          <cell r="D610">
            <v>0</v>
          </cell>
          <cell r="E610">
            <v>0</v>
          </cell>
          <cell r="F610">
            <v>0</v>
          </cell>
        </row>
        <row r="611">
          <cell r="A611" t="str">
            <v>Recommended by :</v>
          </cell>
          <cell r="B611">
            <v>0</v>
          </cell>
          <cell r="C611">
            <v>0</v>
          </cell>
          <cell r="D611">
            <v>0</v>
          </cell>
          <cell r="E611">
            <v>0</v>
          </cell>
          <cell r="F611">
            <v>0</v>
          </cell>
        </row>
        <row r="612">
          <cell r="A612">
            <v>0</v>
          </cell>
          <cell r="B612">
            <v>0</v>
          </cell>
          <cell r="C612">
            <v>0</v>
          </cell>
          <cell r="D612">
            <v>0</v>
          </cell>
          <cell r="E612">
            <v>0</v>
          </cell>
          <cell r="F612">
            <v>0</v>
          </cell>
        </row>
        <row r="613">
          <cell r="A613">
            <v>0</v>
          </cell>
          <cell r="B613">
            <v>0</v>
          </cell>
          <cell r="C613">
            <v>0</v>
          </cell>
          <cell r="D613">
            <v>0</v>
          </cell>
          <cell r="E613">
            <v>0</v>
          </cell>
          <cell r="F613">
            <v>0</v>
          </cell>
        </row>
        <row r="614">
          <cell r="A614">
            <v>0</v>
          </cell>
          <cell r="B614" t="str">
            <v>……………………………….</v>
          </cell>
          <cell r="C614">
            <v>0</v>
          </cell>
          <cell r="D614">
            <v>0</v>
          </cell>
          <cell r="E614">
            <v>0</v>
          </cell>
          <cell r="F614">
            <v>0</v>
          </cell>
        </row>
        <row r="615">
          <cell r="A615">
            <v>0</v>
          </cell>
          <cell r="B615" t="str">
            <v>Eng. D. M. K. S. Dissanayake</v>
          </cell>
          <cell r="C615">
            <v>0</v>
          </cell>
          <cell r="D615">
            <v>0</v>
          </cell>
          <cell r="E615">
            <v>0</v>
          </cell>
          <cell r="F615">
            <v>0</v>
          </cell>
        </row>
        <row r="616">
          <cell r="A616">
            <v>0</v>
          </cell>
          <cell r="B616" t="str">
            <v>Provincial Director ( Buildings)</v>
          </cell>
          <cell r="C616">
            <v>0</v>
          </cell>
          <cell r="D616">
            <v>0</v>
          </cell>
          <cell r="E616">
            <v>0</v>
          </cell>
          <cell r="F616">
            <v>0</v>
          </cell>
        </row>
        <row r="617">
          <cell r="A617">
            <v>0</v>
          </cell>
          <cell r="B617">
            <v>0</v>
          </cell>
          <cell r="C617">
            <v>0</v>
          </cell>
          <cell r="D617">
            <v>0</v>
          </cell>
          <cell r="E617">
            <v>0</v>
          </cell>
          <cell r="F617">
            <v>0</v>
          </cell>
        </row>
        <row r="618">
          <cell r="A618" t="str">
            <v>Approved by:</v>
          </cell>
          <cell r="B618">
            <v>0</v>
          </cell>
          <cell r="C618">
            <v>0</v>
          </cell>
          <cell r="D618">
            <v>0</v>
          </cell>
          <cell r="E618">
            <v>0</v>
          </cell>
          <cell r="F618">
            <v>0</v>
          </cell>
        </row>
        <row r="619">
          <cell r="A619">
            <v>0</v>
          </cell>
          <cell r="B619">
            <v>0</v>
          </cell>
          <cell r="C619">
            <v>0</v>
          </cell>
          <cell r="D619">
            <v>0</v>
          </cell>
        </row>
        <row r="620">
          <cell r="A620">
            <v>0</v>
          </cell>
          <cell r="B620">
            <v>0</v>
          </cell>
          <cell r="C620">
            <v>0</v>
          </cell>
          <cell r="D620">
            <v>0</v>
          </cell>
        </row>
        <row r="621">
          <cell r="A621">
            <v>0</v>
          </cell>
          <cell r="B621" t="str">
            <v>………………………………….</v>
          </cell>
          <cell r="C621">
            <v>0</v>
          </cell>
          <cell r="D621">
            <v>0</v>
          </cell>
        </row>
        <row r="622">
          <cell r="A622">
            <v>0</v>
          </cell>
          <cell r="B622" t="str">
            <v>Eng. M.L.C. Fernandu</v>
          </cell>
          <cell r="C622">
            <v>0</v>
          </cell>
          <cell r="D622">
            <v>0</v>
          </cell>
        </row>
        <row r="623">
          <cell r="A623">
            <v>0</v>
          </cell>
          <cell r="B623" t="str">
            <v>Deputy Chief Secretary ( Engineering Services)</v>
          </cell>
          <cell r="C623">
            <v>0</v>
          </cell>
          <cell r="D623">
            <v>0</v>
          </cell>
        </row>
        <row r="624">
          <cell r="A624">
            <v>0</v>
          </cell>
          <cell r="B624">
            <v>0</v>
          </cell>
          <cell r="C624">
            <v>0</v>
          </cell>
          <cell r="D624">
            <v>0</v>
          </cell>
        </row>
      </sheetData>
      <sheetData sheetId="1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age"/>
      <sheetName val="Contents"/>
      <sheetName val="Instructions"/>
      <sheetName val="Rate Analysis"/>
      <sheetName val="Material list no need"/>
      <sheetName val="Measurement sheet"/>
      <sheetName val="BOM"/>
      <sheetName val="BOQ"/>
      <sheetName val="Rate Book"/>
      <sheetName val="Aluminium"/>
      <sheetName val="Material Prices"/>
      <sheetName val="Sheet1"/>
    </sheetNames>
    <sheetDataSet>
      <sheetData sheetId="0"/>
      <sheetData sheetId="1"/>
      <sheetData sheetId="2"/>
      <sheetData sheetId="3"/>
      <sheetData sheetId="4"/>
      <sheetData sheetId="5"/>
      <sheetData sheetId="6"/>
      <sheetData sheetId="7"/>
      <sheetData sheetId="8"/>
      <sheetData sheetId="9"/>
      <sheetData sheetId="10">
        <row r="5">
          <cell r="A5" t="str">
            <v>ITEM</v>
          </cell>
          <cell r="B5" t="str">
            <v>DESCRIPTION</v>
          </cell>
          <cell r="C5" t="str">
            <v>UNIT</v>
          </cell>
          <cell r="D5" t="str">
            <v>MARKETPRICE</v>
          </cell>
          <cell r="E5" t="str">
            <v>TRANSPORTCOST</v>
          </cell>
          <cell r="F5" t="str">
            <v>PROPOSEDRATE</v>
          </cell>
        </row>
        <row r="6">
          <cell r="B6" t="str">
            <v>LABOUR</v>
          </cell>
        </row>
        <row r="7">
          <cell r="A7">
            <v>101</v>
          </cell>
          <cell r="B7" t="str">
            <v>Skilled Labour</v>
          </cell>
          <cell r="C7" t="str">
            <v>day</v>
          </cell>
          <cell r="D7">
            <v>1200</v>
          </cell>
          <cell r="F7">
            <v>1200</v>
          </cell>
        </row>
        <row r="8">
          <cell r="A8">
            <v>102</v>
          </cell>
          <cell r="B8" t="str">
            <v>Semiskilled Labour</v>
          </cell>
          <cell r="C8" t="str">
            <v>day</v>
          </cell>
          <cell r="D8">
            <v>1000</v>
          </cell>
          <cell r="F8">
            <v>1000</v>
          </cell>
        </row>
        <row r="9">
          <cell r="A9">
            <v>103</v>
          </cell>
          <cell r="B9" t="str">
            <v>Unskilled Labour</v>
          </cell>
          <cell r="C9" t="str">
            <v>day</v>
          </cell>
          <cell r="D9">
            <v>800</v>
          </cell>
          <cell r="F9">
            <v>800</v>
          </cell>
        </row>
        <row r="10">
          <cell r="A10">
            <v>104</v>
          </cell>
          <cell r="B10" t="str">
            <v>Mason</v>
          </cell>
          <cell r="C10" t="str">
            <v>day</v>
          </cell>
          <cell r="D10">
            <v>1200</v>
          </cell>
          <cell r="F10">
            <v>1200</v>
          </cell>
        </row>
        <row r="11">
          <cell r="A11">
            <v>105</v>
          </cell>
          <cell r="B11" t="str">
            <v>Carpenter</v>
          </cell>
          <cell r="C11" t="str">
            <v>day</v>
          </cell>
          <cell r="D11">
            <v>1200</v>
          </cell>
          <cell r="F11">
            <v>1200</v>
          </cell>
        </row>
        <row r="12">
          <cell r="A12">
            <v>106</v>
          </cell>
          <cell r="B12" t="str">
            <v>Plumber</v>
          </cell>
          <cell r="C12" t="str">
            <v>day</v>
          </cell>
          <cell r="D12">
            <v>1200</v>
          </cell>
          <cell r="F12">
            <v>1200</v>
          </cell>
        </row>
        <row r="13">
          <cell r="A13">
            <v>107</v>
          </cell>
          <cell r="B13" t="str">
            <v>Painter</v>
          </cell>
          <cell r="C13" t="str">
            <v>day</v>
          </cell>
          <cell r="D13">
            <v>1200</v>
          </cell>
          <cell r="F13">
            <v>1200</v>
          </cell>
        </row>
        <row r="14">
          <cell r="A14">
            <v>108</v>
          </cell>
          <cell r="B14" t="str">
            <v>Welder</v>
          </cell>
          <cell r="C14" t="str">
            <v>day</v>
          </cell>
          <cell r="D14">
            <v>1200</v>
          </cell>
          <cell r="F14">
            <v>1200</v>
          </cell>
        </row>
        <row r="15">
          <cell r="A15">
            <v>109</v>
          </cell>
          <cell r="B15" t="str">
            <v>Bar Bender</v>
          </cell>
          <cell r="C15" t="str">
            <v>day</v>
          </cell>
          <cell r="D15">
            <v>1200</v>
          </cell>
          <cell r="F15">
            <v>1200</v>
          </cell>
        </row>
        <row r="16">
          <cell r="B16" t="str">
            <v>MACHINES</v>
          </cell>
        </row>
        <row r="17">
          <cell r="A17">
            <v>201</v>
          </cell>
          <cell r="B17" t="str">
            <v>Concrete Mixer</v>
          </cell>
          <cell r="C17" t="str">
            <v>day</v>
          </cell>
          <cell r="D17">
            <v>4500</v>
          </cell>
          <cell r="F17">
            <v>4500</v>
          </cell>
        </row>
        <row r="18">
          <cell r="A18">
            <v>202</v>
          </cell>
          <cell r="B18" t="str">
            <v>Pocker vibrator</v>
          </cell>
          <cell r="C18" t="str">
            <v>day</v>
          </cell>
          <cell r="D18">
            <v>2000</v>
          </cell>
          <cell r="F18">
            <v>2000</v>
          </cell>
        </row>
        <row r="19">
          <cell r="A19">
            <v>203</v>
          </cell>
          <cell r="B19" t="str">
            <v xml:space="preserve">   Vibrating roller (one ton)</v>
          </cell>
          <cell r="C19" t="str">
            <v>day</v>
          </cell>
          <cell r="D19">
            <v>4500</v>
          </cell>
          <cell r="F19">
            <v>4500</v>
          </cell>
        </row>
        <row r="20">
          <cell r="A20">
            <v>204</v>
          </cell>
          <cell r="B20" t="str">
            <v xml:space="preserve">    Tractor</v>
          </cell>
          <cell r="C20" t="str">
            <v>day</v>
          </cell>
          <cell r="D20">
            <v>5000</v>
          </cell>
          <cell r="F20">
            <v>5000</v>
          </cell>
        </row>
        <row r="22">
          <cell r="B22" t="str">
            <v>MATERIALS</v>
          </cell>
        </row>
        <row r="23">
          <cell r="B23" t="str">
            <v>Earth Work</v>
          </cell>
        </row>
        <row r="24">
          <cell r="A24">
            <v>301</v>
          </cell>
          <cell r="B24" t="str">
            <v>Baskets</v>
          </cell>
          <cell r="C24" t="str">
            <v>Nr</v>
          </cell>
          <cell r="D24">
            <v>350</v>
          </cell>
          <cell r="F24">
            <v>350</v>
          </cell>
        </row>
        <row r="25">
          <cell r="A25">
            <v>302</v>
          </cell>
          <cell r="B25" t="str">
            <v>Gravel</v>
          </cell>
          <cell r="C25" t="str">
            <v>m3</v>
          </cell>
          <cell r="D25">
            <v>265</v>
          </cell>
          <cell r="F25">
            <v>265</v>
          </cell>
        </row>
        <row r="26">
          <cell r="A26">
            <v>303</v>
          </cell>
          <cell r="B26" t="str">
            <v>Earth</v>
          </cell>
          <cell r="C26" t="str">
            <v>m3</v>
          </cell>
          <cell r="D26">
            <v>124</v>
          </cell>
          <cell r="F26">
            <v>124</v>
          </cell>
        </row>
        <row r="27">
          <cell r="A27">
            <v>304</v>
          </cell>
          <cell r="B27" t="str">
            <v>Blasting powder</v>
          </cell>
          <cell r="C27" t="str">
            <v>kg</v>
          </cell>
          <cell r="D27">
            <v>650</v>
          </cell>
          <cell r="E27">
            <v>6.5</v>
          </cell>
          <cell r="F27">
            <v>657</v>
          </cell>
        </row>
        <row r="28">
          <cell r="A28">
            <v>305</v>
          </cell>
          <cell r="B28" t="str">
            <v>Safety fuse</v>
          </cell>
          <cell r="C28" t="str">
            <v>m</v>
          </cell>
          <cell r="D28">
            <v>42.5</v>
          </cell>
          <cell r="E28">
            <v>0.43</v>
          </cell>
          <cell r="F28">
            <v>43</v>
          </cell>
        </row>
        <row r="29">
          <cell r="A29">
            <v>306</v>
          </cell>
          <cell r="B29" t="str">
            <v>Detonators</v>
          </cell>
          <cell r="C29" t="str">
            <v>Nr</v>
          </cell>
          <cell r="D29">
            <v>30.8</v>
          </cell>
          <cell r="E29">
            <v>0.31</v>
          </cell>
          <cell r="F29">
            <v>31</v>
          </cell>
        </row>
        <row r="30">
          <cell r="B30" t="str">
            <v>Concrete Work</v>
          </cell>
        </row>
        <row r="31">
          <cell r="A31">
            <v>401</v>
          </cell>
          <cell r="B31" t="str">
            <v>Sand</v>
          </cell>
          <cell r="C31" t="str">
            <v>m3</v>
          </cell>
          <cell r="D31">
            <v>2826</v>
          </cell>
          <cell r="F31">
            <v>2826</v>
          </cell>
        </row>
        <row r="32">
          <cell r="A32">
            <v>402</v>
          </cell>
          <cell r="B32" t="str">
            <v>Cement</v>
          </cell>
          <cell r="C32" t="str">
            <v>bag</v>
          </cell>
          <cell r="D32">
            <v>810</v>
          </cell>
          <cell r="F32">
            <v>810</v>
          </cell>
        </row>
        <row r="33">
          <cell r="A33">
            <v>403</v>
          </cell>
          <cell r="B33" t="str">
            <v>Metal 50mm</v>
          </cell>
          <cell r="C33" t="str">
            <v>m3</v>
          </cell>
          <cell r="D33">
            <v>1770</v>
          </cell>
          <cell r="F33">
            <v>1770</v>
          </cell>
        </row>
        <row r="34">
          <cell r="A34">
            <v>404</v>
          </cell>
          <cell r="B34" t="str">
            <v>Metal 38mm</v>
          </cell>
          <cell r="C34" t="str">
            <v>m3</v>
          </cell>
          <cell r="D34">
            <v>1838</v>
          </cell>
          <cell r="F34">
            <v>1838</v>
          </cell>
        </row>
        <row r="35">
          <cell r="A35">
            <v>405</v>
          </cell>
          <cell r="B35" t="str">
            <v>Metal 25mm</v>
          </cell>
          <cell r="C35" t="str">
            <v>m3</v>
          </cell>
          <cell r="D35">
            <v>1945</v>
          </cell>
          <cell r="F35">
            <v>1945</v>
          </cell>
        </row>
        <row r="36">
          <cell r="A36">
            <v>406</v>
          </cell>
          <cell r="B36" t="str">
            <v>Metal 20mm</v>
          </cell>
          <cell r="C36" t="str">
            <v>m3</v>
          </cell>
          <cell r="D36">
            <v>2050</v>
          </cell>
          <cell r="F36">
            <v>2050</v>
          </cell>
        </row>
        <row r="37">
          <cell r="A37">
            <v>407</v>
          </cell>
          <cell r="B37" t="str">
            <v>Metal 12.5mm</v>
          </cell>
          <cell r="C37" t="str">
            <v>m3</v>
          </cell>
          <cell r="D37">
            <v>1485</v>
          </cell>
          <cell r="F37">
            <v>1485</v>
          </cell>
        </row>
        <row r="38">
          <cell r="B38" t="str">
            <v>Formwork</v>
          </cell>
          <cell r="F38">
            <v>0</v>
          </cell>
        </row>
        <row r="39">
          <cell r="A39">
            <v>501</v>
          </cell>
          <cell r="B39" t="str">
            <v>Shuttering planks - 25mm thick</v>
          </cell>
          <cell r="C39" t="str">
            <v>m2</v>
          </cell>
          <cell r="D39">
            <v>444</v>
          </cell>
          <cell r="E39">
            <v>4.4400000000000004</v>
          </cell>
          <cell r="F39">
            <v>448.5</v>
          </cell>
        </row>
        <row r="40">
          <cell r="A40">
            <v>502</v>
          </cell>
          <cell r="B40" t="str">
            <v>Plywood sheets - 20mm thick</v>
          </cell>
          <cell r="C40" t="str">
            <v>m2</v>
          </cell>
          <cell r="D40">
            <v>1043</v>
          </cell>
          <cell r="E40">
            <v>10.43</v>
          </cell>
          <cell r="F40">
            <v>1053.5</v>
          </cell>
        </row>
        <row r="41">
          <cell r="A41">
            <v>503</v>
          </cell>
          <cell r="B41" t="str">
            <v>Round timber 3m</v>
          </cell>
          <cell r="C41" t="str">
            <v>Nr</v>
          </cell>
          <cell r="D41">
            <v>60</v>
          </cell>
          <cell r="E41">
            <v>0.6</v>
          </cell>
          <cell r="F41">
            <v>60.5</v>
          </cell>
        </row>
        <row r="42">
          <cell r="A42">
            <v>504</v>
          </cell>
          <cell r="B42" t="str">
            <v>Bamboo 3m</v>
          </cell>
          <cell r="C42" t="str">
            <v>Nr</v>
          </cell>
          <cell r="D42">
            <v>60</v>
          </cell>
          <cell r="E42">
            <v>0.6</v>
          </cell>
          <cell r="F42">
            <v>60.6</v>
          </cell>
        </row>
        <row r="43">
          <cell r="A43">
            <v>505</v>
          </cell>
          <cell r="B43" t="str">
            <v>100mmx50mm class II timber</v>
          </cell>
          <cell r="C43" t="str">
            <v>m</v>
          </cell>
          <cell r="D43">
            <v>193.2</v>
          </cell>
          <cell r="E43">
            <v>1.93</v>
          </cell>
          <cell r="F43">
            <v>195</v>
          </cell>
        </row>
        <row r="44">
          <cell r="A44">
            <v>506</v>
          </cell>
          <cell r="B44" t="str">
            <v>50mmx50mm class II timber</v>
          </cell>
          <cell r="C44" t="str">
            <v>m</v>
          </cell>
          <cell r="D44">
            <v>109</v>
          </cell>
          <cell r="E44">
            <v>1.0900000000000001</v>
          </cell>
          <cell r="F44">
            <v>110</v>
          </cell>
        </row>
        <row r="45">
          <cell r="A45">
            <v>507</v>
          </cell>
          <cell r="B45" t="str">
            <v>Nail</v>
          </cell>
          <cell r="C45" t="str">
            <v>kg</v>
          </cell>
          <cell r="D45">
            <v>125</v>
          </cell>
          <cell r="E45">
            <v>1.25</v>
          </cell>
          <cell r="F45">
            <v>126.5</v>
          </cell>
        </row>
        <row r="46">
          <cell r="A46">
            <v>508</v>
          </cell>
          <cell r="B46" t="str">
            <v>Mould oil</v>
          </cell>
          <cell r="C46" t="str">
            <v>l</v>
          </cell>
          <cell r="D46">
            <v>89</v>
          </cell>
          <cell r="E46">
            <v>0.89</v>
          </cell>
          <cell r="F46">
            <v>90</v>
          </cell>
        </row>
        <row r="47">
          <cell r="A47">
            <v>509</v>
          </cell>
          <cell r="B47" t="str">
            <v>10mm dia. 450mm bolts</v>
          </cell>
          <cell r="C47" t="str">
            <v>Nr</v>
          </cell>
          <cell r="D47">
            <v>68</v>
          </cell>
          <cell r="E47">
            <v>0.68</v>
          </cell>
          <cell r="F47">
            <v>69</v>
          </cell>
        </row>
        <row r="48">
          <cell r="B48" t="str">
            <v>Reinforcement</v>
          </cell>
        </row>
        <row r="49">
          <cell r="A49">
            <v>601</v>
          </cell>
          <cell r="B49" t="str">
            <v>Steel  MS - 6mm</v>
          </cell>
          <cell r="C49" t="str">
            <v>kg</v>
          </cell>
          <cell r="D49">
            <v>78.400000000000006</v>
          </cell>
          <cell r="E49">
            <v>1.57</v>
          </cell>
          <cell r="F49">
            <v>80</v>
          </cell>
        </row>
        <row r="50">
          <cell r="A50">
            <v>602</v>
          </cell>
          <cell r="B50" t="str">
            <v>Steel  MS - &gt;6mm</v>
          </cell>
          <cell r="C50" t="str">
            <v>kg</v>
          </cell>
          <cell r="D50">
            <v>113</v>
          </cell>
          <cell r="E50">
            <v>2.2599999999999998</v>
          </cell>
          <cell r="F50">
            <v>115.5</v>
          </cell>
        </row>
        <row r="51">
          <cell r="A51">
            <v>603</v>
          </cell>
          <cell r="B51" t="str">
            <v>Steel  TS</v>
          </cell>
          <cell r="C51" t="str">
            <v>kg</v>
          </cell>
          <cell r="D51">
            <v>112</v>
          </cell>
          <cell r="E51">
            <v>2.2400000000000002</v>
          </cell>
          <cell r="F51">
            <v>114</v>
          </cell>
        </row>
        <row r="52">
          <cell r="A52">
            <v>604</v>
          </cell>
          <cell r="B52" t="str">
            <v>Binding wire</v>
          </cell>
          <cell r="C52" t="str">
            <v>kg</v>
          </cell>
          <cell r="D52">
            <v>130</v>
          </cell>
          <cell r="E52">
            <v>2.6</v>
          </cell>
          <cell r="F52">
            <v>132</v>
          </cell>
        </row>
        <row r="53">
          <cell r="B53" t="str">
            <v>Brick Work</v>
          </cell>
        </row>
        <row r="54">
          <cell r="A54">
            <v>701</v>
          </cell>
          <cell r="B54" t="str">
            <v>Bricks 220x105x65mm</v>
          </cell>
          <cell r="C54" t="str">
            <v>Nr</v>
          </cell>
          <cell r="D54">
            <v>4.5</v>
          </cell>
          <cell r="F54">
            <v>4.5</v>
          </cell>
        </row>
        <row r="55">
          <cell r="A55">
            <v>702</v>
          </cell>
          <cell r="B55" t="str">
            <v>Wire cut bricks</v>
          </cell>
          <cell r="C55" t="str">
            <v>Nr</v>
          </cell>
          <cell r="D55">
            <v>18</v>
          </cell>
          <cell r="F55">
            <v>18</v>
          </cell>
        </row>
        <row r="56">
          <cell r="A56">
            <v>703</v>
          </cell>
          <cell r="B56" t="str">
            <v>Batik bricks</v>
          </cell>
          <cell r="C56" t="str">
            <v>Nr</v>
          </cell>
          <cell r="D56">
            <v>22</v>
          </cell>
          <cell r="F56">
            <v>22</v>
          </cell>
        </row>
        <row r="57">
          <cell r="A57">
            <v>704</v>
          </cell>
          <cell r="B57" t="str">
            <v>Bricks 220x105x100mm</v>
          </cell>
          <cell r="C57" t="str">
            <v>Nr</v>
          </cell>
          <cell r="D57">
            <v>10</v>
          </cell>
          <cell r="F57">
            <v>10</v>
          </cell>
        </row>
        <row r="58">
          <cell r="A58">
            <v>705</v>
          </cell>
          <cell r="B58" t="str">
            <v>Bricks 220x150x100mm</v>
          </cell>
          <cell r="C58" t="str">
            <v>Nr</v>
          </cell>
          <cell r="D58">
            <v>12.5</v>
          </cell>
          <cell r="F58">
            <v>12.5</v>
          </cell>
        </row>
        <row r="59">
          <cell r="B59" t="str">
            <v>Masonry</v>
          </cell>
        </row>
        <row r="60">
          <cell r="A60">
            <v>801</v>
          </cell>
          <cell r="B60" t="str">
            <v>150x225mm rubble</v>
          </cell>
          <cell r="C60" t="str">
            <v>m3</v>
          </cell>
          <cell r="D60">
            <v>700</v>
          </cell>
          <cell r="F60">
            <v>700</v>
          </cell>
        </row>
        <row r="61">
          <cell r="A61">
            <v>802</v>
          </cell>
          <cell r="B61" t="str">
            <v>DPC Tar</v>
          </cell>
          <cell r="C61" t="str">
            <v>l</v>
          </cell>
          <cell r="D61">
            <v>96</v>
          </cell>
          <cell r="E61">
            <v>0.96</v>
          </cell>
          <cell r="F61">
            <v>97</v>
          </cell>
        </row>
        <row r="62">
          <cell r="B62" t="str">
            <v>Pavior</v>
          </cell>
        </row>
        <row r="63">
          <cell r="A63">
            <v>901</v>
          </cell>
          <cell r="B63" t="str">
            <v>Antitermite treatment - Sub contractors rate</v>
          </cell>
          <cell r="C63" t="str">
            <v>m2</v>
          </cell>
          <cell r="D63">
            <v>269</v>
          </cell>
          <cell r="F63">
            <v>269</v>
          </cell>
        </row>
        <row r="64">
          <cell r="A64">
            <v>902</v>
          </cell>
          <cell r="B64" t="str">
            <v>Water proofing - Sub contractors rate</v>
          </cell>
          <cell r="C64" t="str">
            <v>m2</v>
          </cell>
          <cell r="D64">
            <v>1126</v>
          </cell>
          <cell r="F64">
            <v>1126</v>
          </cell>
        </row>
        <row r="65">
          <cell r="A65">
            <v>903</v>
          </cell>
          <cell r="B65" t="str">
            <v>Gauge 1000 polythene</v>
          </cell>
          <cell r="C65" t="str">
            <v>m2</v>
          </cell>
          <cell r="D65">
            <v>66</v>
          </cell>
          <cell r="E65">
            <v>0.66</v>
          </cell>
          <cell r="F65">
            <v>66.66</v>
          </cell>
        </row>
        <row r="66">
          <cell r="A66">
            <v>904</v>
          </cell>
          <cell r="B66" t="str">
            <v>Crystaline waterproofing material (XYPEX concentrate)</v>
          </cell>
          <cell r="C66" t="str">
            <v>kg</v>
          </cell>
          <cell r="D66">
            <v>1065</v>
          </cell>
          <cell r="F66">
            <v>1065</v>
          </cell>
        </row>
        <row r="67">
          <cell r="B67" t="str">
            <v>Tiller</v>
          </cell>
          <cell r="F67">
            <v>0</v>
          </cell>
        </row>
        <row r="68">
          <cell r="A68">
            <v>1001</v>
          </cell>
          <cell r="B68" t="str">
            <v>100x100 glazed wall tiles</v>
          </cell>
          <cell r="C68" t="str">
            <v>Nr</v>
          </cell>
          <cell r="D68">
            <v>14</v>
          </cell>
          <cell r="E68">
            <v>0.14000000000000001</v>
          </cell>
          <cell r="F68">
            <v>14.5</v>
          </cell>
        </row>
        <row r="69">
          <cell r="A69">
            <v>1002</v>
          </cell>
          <cell r="B69" t="str">
            <v>150x150 glazed wall tiles</v>
          </cell>
          <cell r="C69" t="str">
            <v>Nr</v>
          </cell>
          <cell r="D69">
            <v>26</v>
          </cell>
          <cell r="E69">
            <v>0.26</v>
          </cell>
          <cell r="F69">
            <v>26.5</v>
          </cell>
        </row>
        <row r="70">
          <cell r="A70">
            <v>1003</v>
          </cell>
          <cell r="B70" t="str">
            <v>200x300 glazed wall tiles</v>
          </cell>
          <cell r="C70" t="str">
            <v>Nr</v>
          </cell>
          <cell r="D70">
            <v>80</v>
          </cell>
          <cell r="E70">
            <v>0.8</v>
          </cell>
          <cell r="F70">
            <v>81</v>
          </cell>
        </row>
        <row r="71">
          <cell r="A71">
            <v>1004</v>
          </cell>
          <cell r="B71" t="str">
            <v>300x400 glazed wall tiles</v>
          </cell>
          <cell r="C71" t="str">
            <v>Nr</v>
          </cell>
          <cell r="D71">
            <v>196</v>
          </cell>
          <cell r="E71">
            <v>1.96</v>
          </cell>
          <cell r="F71">
            <v>198</v>
          </cell>
        </row>
        <row r="72">
          <cell r="A72">
            <v>1005</v>
          </cell>
          <cell r="B72" t="str">
            <v>200x200 non skid floor tiles</v>
          </cell>
          <cell r="C72" t="str">
            <v>Nr</v>
          </cell>
          <cell r="D72">
            <v>63</v>
          </cell>
          <cell r="E72">
            <v>0.63</v>
          </cell>
          <cell r="F72">
            <v>63.63</v>
          </cell>
        </row>
        <row r="73">
          <cell r="A73">
            <v>1006</v>
          </cell>
          <cell r="B73" t="str">
            <v>300x300 non skid floor tiles</v>
          </cell>
          <cell r="C73" t="str">
            <v>Nr</v>
          </cell>
          <cell r="D73">
            <v>165</v>
          </cell>
          <cell r="E73">
            <v>1.65</v>
          </cell>
          <cell r="F73">
            <v>134</v>
          </cell>
        </row>
        <row r="74">
          <cell r="A74">
            <v>1007</v>
          </cell>
          <cell r="B74" t="str">
            <v>450x450 non skid floor tiles</v>
          </cell>
          <cell r="C74" t="str">
            <v>Nr</v>
          </cell>
          <cell r="D74">
            <v>294</v>
          </cell>
          <cell r="E74">
            <v>2.94</v>
          </cell>
          <cell r="F74">
            <v>297</v>
          </cell>
        </row>
        <row r="75">
          <cell r="A75">
            <v>1008</v>
          </cell>
          <cell r="B75" t="str">
            <v>200x200 non skid floor tiles - Homogeneous</v>
          </cell>
          <cell r="C75" t="str">
            <v>Nr</v>
          </cell>
          <cell r="D75">
            <v>74</v>
          </cell>
          <cell r="E75">
            <v>0.74</v>
          </cell>
          <cell r="F75">
            <v>75</v>
          </cell>
        </row>
        <row r="76">
          <cell r="A76">
            <v>1009</v>
          </cell>
          <cell r="B76" t="str">
            <v>300x300 non skid floor tiles - Homogeneous</v>
          </cell>
          <cell r="C76" t="str">
            <v>Nr</v>
          </cell>
          <cell r="D76">
            <v>297</v>
          </cell>
          <cell r="E76">
            <v>2.97</v>
          </cell>
          <cell r="F76">
            <v>146.5</v>
          </cell>
        </row>
        <row r="77">
          <cell r="A77">
            <v>1010</v>
          </cell>
          <cell r="B77" t="str">
            <v>400x400 non skid floor tiles - Homogeneous</v>
          </cell>
          <cell r="C77" t="str">
            <v>Nr</v>
          </cell>
          <cell r="D77">
            <v>475</v>
          </cell>
          <cell r="E77">
            <v>4.75</v>
          </cell>
          <cell r="F77">
            <v>283</v>
          </cell>
        </row>
        <row r="78">
          <cell r="A78">
            <v>1011</v>
          </cell>
          <cell r="B78" t="str">
            <v>PVC tile beading</v>
          </cell>
          <cell r="C78" t="str">
            <v>m</v>
          </cell>
          <cell r="D78">
            <v>35</v>
          </cell>
          <cell r="E78">
            <v>0.35</v>
          </cell>
          <cell r="F78">
            <v>35.5</v>
          </cell>
        </row>
        <row r="79">
          <cell r="A79">
            <v>1012</v>
          </cell>
          <cell r="B79" t="str">
            <v>Stainless steel tile beading</v>
          </cell>
          <cell r="C79" t="str">
            <v>m</v>
          </cell>
        </row>
        <row r="80">
          <cell r="A80">
            <v>1013</v>
          </cell>
          <cell r="B80" t="str">
            <v>non skid homogenous floor tiles quality 3</v>
          </cell>
          <cell r="C80" t="str">
            <v>m2</v>
          </cell>
          <cell r="D80">
            <v>1500</v>
          </cell>
          <cell r="E80">
            <v>15</v>
          </cell>
          <cell r="F80">
            <v>1515</v>
          </cell>
        </row>
        <row r="81">
          <cell r="A81">
            <v>1014</v>
          </cell>
          <cell r="B81" t="str">
            <v>non skid homogenous floor tiles quality 2</v>
          </cell>
          <cell r="C81" t="str">
            <v>m2</v>
          </cell>
          <cell r="D81">
            <v>1850</v>
          </cell>
          <cell r="E81">
            <v>18.5</v>
          </cell>
          <cell r="F81">
            <v>1868.5</v>
          </cell>
        </row>
        <row r="82">
          <cell r="A82">
            <v>1015</v>
          </cell>
          <cell r="B82" t="str">
            <v xml:space="preserve">non skid homogenous floor tiles quality 1 </v>
          </cell>
          <cell r="C82" t="str">
            <v>m2</v>
          </cell>
          <cell r="D82">
            <v>2425</v>
          </cell>
          <cell r="E82">
            <v>24.25</v>
          </cell>
          <cell r="F82">
            <v>2449.25</v>
          </cell>
        </row>
        <row r="83">
          <cell r="A83">
            <v>1016</v>
          </cell>
          <cell r="B83" t="str">
            <v>glazed wall tiles quality 1</v>
          </cell>
          <cell r="C83" t="str">
            <v>m2</v>
          </cell>
          <cell r="D83">
            <v>1500</v>
          </cell>
          <cell r="E83">
            <v>15</v>
          </cell>
          <cell r="F83">
            <v>1515</v>
          </cell>
        </row>
        <row r="84">
          <cell r="A84">
            <v>1017</v>
          </cell>
          <cell r="B84" t="str">
            <v xml:space="preserve">100mm high Timber Skirting </v>
          </cell>
          <cell r="C84" t="str">
            <v>m</v>
          </cell>
          <cell r="D84">
            <v>214</v>
          </cell>
          <cell r="E84">
            <v>2.14</v>
          </cell>
          <cell r="F84">
            <v>216.14</v>
          </cell>
        </row>
        <row r="85">
          <cell r="A85">
            <v>1018</v>
          </cell>
          <cell r="B85" t="str">
            <v>600x600 non skid floor tiles - Homogeneous</v>
          </cell>
          <cell r="C85" t="str">
            <v>m2</v>
          </cell>
          <cell r="D85">
            <v>790</v>
          </cell>
          <cell r="E85">
            <v>7.9</v>
          </cell>
          <cell r="F85">
            <v>797.9</v>
          </cell>
        </row>
        <row r="86">
          <cell r="A86">
            <v>1019</v>
          </cell>
          <cell r="B86" t="str">
            <v>600x300 non skid floor tiles - Homogeneous</v>
          </cell>
          <cell r="C86" t="str">
            <v>m2</v>
          </cell>
          <cell r="D86">
            <v>790</v>
          </cell>
          <cell r="E86">
            <v>7.9</v>
          </cell>
          <cell r="F86">
            <v>797.9</v>
          </cell>
        </row>
        <row r="87">
          <cell r="E87">
            <v>0</v>
          </cell>
          <cell r="F87">
            <v>0</v>
          </cell>
        </row>
        <row r="88">
          <cell r="B88" t="str">
            <v>Roofer</v>
          </cell>
          <cell r="F88">
            <v>0</v>
          </cell>
        </row>
        <row r="89">
          <cell r="A89">
            <v>1101</v>
          </cell>
          <cell r="B89" t="str">
            <v>Special class timber</v>
          </cell>
          <cell r="C89" t="str">
            <v>m3</v>
          </cell>
          <cell r="D89">
            <v>75987</v>
          </cell>
          <cell r="E89">
            <v>759.87</v>
          </cell>
          <cell r="F89">
            <v>76747</v>
          </cell>
        </row>
        <row r="90">
          <cell r="A90">
            <v>1102</v>
          </cell>
          <cell r="B90" t="str">
            <v>50mmx25mm special class timber</v>
          </cell>
          <cell r="C90" t="str">
            <v>m</v>
          </cell>
          <cell r="D90">
            <v>65.599999999999994</v>
          </cell>
          <cell r="E90">
            <v>0.66</v>
          </cell>
          <cell r="F90">
            <v>66.5</v>
          </cell>
        </row>
        <row r="91">
          <cell r="A91">
            <v>1103</v>
          </cell>
          <cell r="B91" t="str">
            <v>50mmx50mm special class timber</v>
          </cell>
          <cell r="C91" t="str">
            <v>m</v>
          </cell>
          <cell r="D91">
            <v>136.19999999999999</v>
          </cell>
          <cell r="E91">
            <v>1.36</v>
          </cell>
          <cell r="F91">
            <v>137.5</v>
          </cell>
        </row>
        <row r="92">
          <cell r="A92">
            <v>1104</v>
          </cell>
          <cell r="B92" t="str">
            <v>100mmx50mm special class timber</v>
          </cell>
          <cell r="C92" t="str">
            <v>m</v>
          </cell>
          <cell r="D92">
            <v>385.5</v>
          </cell>
          <cell r="E92">
            <v>3.86</v>
          </cell>
          <cell r="F92">
            <v>389.5</v>
          </cell>
        </row>
        <row r="93">
          <cell r="A93">
            <v>1105</v>
          </cell>
          <cell r="B93" t="str">
            <v>100mmx75mm special class timber</v>
          </cell>
          <cell r="C93" t="str">
            <v>m</v>
          </cell>
          <cell r="D93">
            <v>587</v>
          </cell>
          <cell r="E93">
            <v>5.87</v>
          </cell>
          <cell r="F93">
            <v>593</v>
          </cell>
        </row>
        <row r="94">
          <cell r="A94">
            <v>1106</v>
          </cell>
          <cell r="B94" t="str">
            <v>125mmx50mm special class timber</v>
          </cell>
          <cell r="C94" t="str">
            <v>m</v>
          </cell>
          <cell r="D94">
            <v>487.8</v>
          </cell>
          <cell r="E94">
            <v>4.88</v>
          </cell>
          <cell r="F94">
            <v>492.5</v>
          </cell>
        </row>
        <row r="95">
          <cell r="A95">
            <v>1107</v>
          </cell>
          <cell r="B95" t="str">
            <v>125mmx75mm special class timber</v>
          </cell>
          <cell r="C95" t="str">
            <v>m</v>
          </cell>
          <cell r="D95">
            <v>742.9</v>
          </cell>
          <cell r="E95">
            <v>7.43</v>
          </cell>
          <cell r="F95">
            <v>750.5</v>
          </cell>
        </row>
        <row r="96">
          <cell r="A96">
            <v>1108</v>
          </cell>
          <cell r="B96" t="str">
            <v>150mmx50mm special class timber</v>
          </cell>
          <cell r="C96" t="str">
            <v>m</v>
          </cell>
          <cell r="D96">
            <v>589.70000000000005</v>
          </cell>
          <cell r="E96">
            <v>5.9</v>
          </cell>
          <cell r="F96">
            <v>595.5</v>
          </cell>
        </row>
        <row r="97">
          <cell r="A97">
            <v>1109</v>
          </cell>
          <cell r="B97" t="str">
            <v>150mmx75mm special class timber</v>
          </cell>
          <cell r="C97" t="str">
            <v>m</v>
          </cell>
          <cell r="D97">
            <v>901.5</v>
          </cell>
          <cell r="E97">
            <v>9.02</v>
          </cell>
          <cell r="F97">
            <v>910.5</v>
          </cell>
        </row>
        <row r="98">
          <cell r="A98">
            <v>1110</v>
          </cell>
          <cell r="B98" t="str">
            <v>Asbestos sheet</v>
          </cell>
          <cell r="C98" t="str">
            <v>m2</v>
          </cell>
          <cell r="D98">
            <v>440</v>
          </cell>
          <cell r="E98">
            <v>4.4000000000000004</v>
          </cell>
          <cell r="F98">
            <v>444.5</v>
          </cell>
        </row>
        <row r="99">
          <cell r="A99">
            <v>1111</v>
          </cell>
          <cell r="B99" t="str">
            <v>Roofing screws 112mm&amp; washer</v>
          </cell>
          <cell r="C99" t="str">
            <v>Nr</v>
          </cell>
          <cell r="D99">
            <v>20</v>
          </cell>
          <cell r="E99">
            <v>0.2</v>
          </cell>
          <cell r="F99">
            <v>20.5</v>
          </cell>
        </row>
        <row r="100">
          <cell r="A100">
            <v>1112</v>
          </cell>
          <cell r="B100" t="str">
            <v>Wood preservative</v>
          </cell>
          <cell r="C100" t="str">
            <v>l</v>
          </cell>
          <cell r="D100">
            <v>325</v>
          </cell>
          <cell r="E100">
            <v>3.25</v>
          </cell>
          <cell r="F100">
            <v>328.5</v>
          </cell>
        </row>
        <row r="101">
          <cell r="A101">
            <v>1113</v>
          </cell>
          <cell r="B101" t="str">
            <v>J bolt and nut</v>
          </cell>
          <cell r="C101" t="str">
            <v>Nr</v>
          </cell>
          <cell r="D101">
            <v>13</v>
          </cell>
          <cell r="E101">
            <v>0.13</v>
          </cell>
          <cell r="F101">
            <v>13.5</v>
          </cell>
        </row>
        <row r="102">
          <cell r="A102">
            <v>1114</v>
          </cell>
          <cell r="B102" t="str">
            <v xml:space="preserve">12mm bolt and nut </v>
          </cell>
          <cell r="C102" t="str">
            <v>Nr</v>
          </cell>
          <cell r="D102">
            <v>16</v>
          </cell>
          <cell r="E102">
            <v>0.16</v>
          </cell>
          <cell r="F102">
            <v>16.5</v>
          </cell>
        </row>
        <row r="103">
          <cell r="A103">
            <v>1115</v>
          </cell>
          <cell r="B103" t="str">
            <v>50x50x5.8mm angle irons</v>
          </cell>
          <cell r="C103" t="str">
            <v>m</v>
          </cell>
          <cell r="D103">
            <v>467</v>
          </cell>
          <cell r="E103">
            <v>4.67</v>
          </cell>
          <cell r="F103">
            <v>471.5</v>
          </cell>
        </row>
        <row r="104">
          <cell r="A104">
            <v>1116</v>
          </cell>
          <cell r="B104" t="str">
            <v>62.5x62.5x5.8mm angle irons</v>
          </cell>
          <cell r="C104" t="str">
            <v>m</v>
          </cell>
          <cell r="D104">
            <v>608</v>
          </cell>
          <cell r="E104">
            <v>6.08</v>
          </cell>
          <cell r="F104">
            <v>614</v>
          </cell>
        </row>
        <row r="105">
          <cell r="A105">
            <v>1117</v>
          </cell>
          <cell r="B105" t="str">
            <v>75x75x5.8mm angle irons</v>
          </cell>
          <cell r="C105" t="str">
            <v>m</v>
          </cell>
          <cell r="D105">
            <v>825</v>
          </cell>
          <cell r="E105">
            <v>8.25</v>
          </cell>
          <cell r="F105">
            <v>833.5</v>
          </cell>
        </row>
        <row r="106">
          <cell r="A106">
            <v>1118</v>
          </cell>
          <cell r="B106" t="str">
            <v>6'-0" asbestos sheets</v>
          </cell>
          <cell r="C106" t="str">
            <v>Nr</v>
          </cell>
          <cell r="D106">
            <v>820</v>
          </cell>
          <cell r="E106">
            <v>8.1999999999999993</v>
          </cell>
          <cell r="F106">
            <v>828</v>
          </cell>
        </row>
        <row r="107">
          <cell r="A107">
            <v>1119</v>
          </cell>
          <cell r="B107" t="str">
            <v>8'-0" asbestos sheets</v>
          </cell>
          <cell r="C107" t="str">
            <v>Nr</v>
          </cell>
          <cell r="D107">
            <v>1150</v>
          </cell>
          <cell r="E107">
            <v>11.5</v>
          </cell>
          <cell r="F107">
            <v>1161.5</v>
          </cell>
        </row>
        <row r="108">
          <cell r="A108">
            <v>1120</v>
          </cell>
          <cell r="B108" t="str">
            <v>10'-0" asbestos sheets</v>
          </cell>
          <cell r="C108" t="str">
            <v>Nr</v>
          </cell>
          <cell r="D108">
            <v>1360</v>
          </cell>
          <cell r="E108">
            <v>13.6</v>
          </cell>
          <cell r="F108">
            <v>1373.5</v>
          </cell>
        </row>
        <row r="109">
          <cell r="A109">
            <v>1121</v>
          </cell>
          <cell r="B109" t="str">
            <v>12'-0" asbestos sheets</v>
          </cell>
          <cell r="C109" t="str">
            <v>Nr</v>
          </cell>
          <cell r="D109">
            <v>1730</v>
          </cell>
          <cell r="E109">
            <v>17.3</v>
          </cell>
          <cell r="F109">
            <v>1747.5</v>
          </cell>
        </row>
        <row r="110">
          <cell r="A110">
            <v>1122</v>
          </cell>
          <cell r="B110" t="str">
            <v>100x50x2mm "C" channels</v>
          </cell>
          <cell r="C110" t="str">
            <v>m</v>
          </cell>
          <cell r="D110">
            <v>355</v>
          </cell>
          <cell r="E110">
            <v>3.55</v>
          </cell>
          <cell r="F110">
            <v>358.5</v>
          </cell>
        </row>
        <row r="111">
          <cell r="A111">
            <v>1123</v>
          </cell>
          <cell r="B111" t="str">
            <v>0.47mm tk. Zn-alum sheets</v>
          </cell>
          <cell r="C111" t="str">
            <v>m2</v>
          </cell>
          <cell r="D111">
            <v>1078</v>
          </cell>
          <cell r="E111">
            <v>10.78</v>
          </cell>
          <cell r="F111">
            <v>1089</v>
          </cell>
        </row>
        <row r="112">
          <cell r="A112">
            <v>1124</v>
          </cell>
          <cell r="B112" t="str">
            <v>Fasteners</v>
          </cell>
          <cell r="C112" t="str">
            <v>Nr</v>
          </cell>
          <cell r="D112">
            <v>9</v>
          </cell>
          <cell r="E112">
            <v>0.09</v>
          </cell>
          <cell r="F112">
            <v>9</v>
          </cell>
        </row>
        <row r="113">
          <cell r="A113">
            <v>1125</v>
          </cell>
          <cell r="B113" t="str">
            <v>Roof tiles</v>
          </cell>
          <cell r="C113" t="str">
            <v>Nr</v>
          </cell>
          <cell r="D113">
            <v>35</v>
          </cell>
          <cell r="E113">
            <v>0.35</v>
          </cell>
          <cell r="F113">
            <v>35.5</v>
          </cell>
        </row>
        <row r="114">
          <cell r="A114">
            <v>1126</v>
          </cell>
          <cell r="B114" t="str">
            <v>Ridge tiles</v>
          </cell>
          <cell r="C114" t="str">
            <v>Nr</v>
          </cell>
          <cell r="D114">
            <v>45</v>
          </cell>
          <cell r="E114">
            <v>0.45</v>
          </cell>
          <cell r="F114">
            <v>45.5</v>
          </cell>
        </row>
        <row r="115">
          <cell r="A115">
            <v>1127</v>
          </cell>
          <cell r="B115" t="str">
            <v>5mm gusset plate</v>
          </cell>
          <cell r="C115" t="str">
            <v>m2</v>
          </cell>
          <cell r="D115">
            <v>4485</v>
          </cell>
          <cell r="E115">
            <v>44.85</v>
          </cell>
          <cell r="F115">
            <v>4530</v>
          </cell>
        </row>
        <row r="116">
          <cell r="A116">
            <v>1128</v>
          </cell>
          <cell r="B116" t="str">
            <v>Zink Alluminium ridge capping  of girth 470mm</v>
          </cell>
          <cell r="C116" t="str">
            <v>m</v>
          </cell>
          <cell r="D116">
            <v>591</v>
          </cell>
          <cell r="E116">
            <v>5.91</v>
          </cell>
          <cell r="F116">
            <v>597</v>
          </cell>
        </row>
        <row r="117">
          <cell r="A117">
            <v>1129</v>
          </cell>
          <cell r="B117" t="str">
            <v>Asbestos ridges</v>
          </cell>
          <cell r="C117" t="str">
            <v>Set</v>
          </cell>
          <cell r="D117">
            <v>600</v>
          </cell>
          <cell r="E117">
            <v>6</v>
          </cell>
          <cell r="F117">
            <v>606</v>
          </cell>
        </row>
        <row r="118">
          <cell r="A118">
            <v>1130</v>
          </cell>
          <cell r="B118" t="str">
            <v>Lime</v>
          </cell>
          <cell r="C118" t="str">
            <v>kg</v>
          </cell>
          <cell r="D118">
            <v>20</v>
          </cell>
          <cell r="E118">
            <v>0.2</v>
          </cell>
          <cell r="F118">
            <v>20.5</v>
          </cell>
        </row>
        <row r="119">
          <cell r="A119">
            <v>1131</v>
          </cell>
          <cell r="B119" t="str">
            <v>Aluminium foil as heat insulation</v>
          </cell>
          <cell r="C119" t="str">
            <v>m2</v>
          </cell>
          <cell r="D119">
            <v>133</v>
          </cell>
          <cell r="E119">
            <v>1.33</v>
          </cell>
          <cell r="F119">
            <v>134.5</v>
          </cell>
        </row>
        <row r="120">
          <cell r="A120">
            <v>1132</v>
          </cell>
          <cell r="B120" t="str">
            <v>Mesh for foil ( 2"x2")</v>
          </cell>
          <cell r="C120" t="str">
            <v>m2</v>
          </cell>
          <cell r="D120">
            <v>454.9</v>
          </cell>
          <cell r="E120">
            <v>4.55</v>
          </cell>
          <cell r="F120">
            <v>459.5</v>
          </cell>
        </row>
        <row r="121">
          <cell r="A121">
            <v>1133</v>
          </cell>
          <cell r="B121" t="str">
            <v>10mm gusset plate</v>
          </cell>
          <cell r="C121" t="str">
            <v>m2</v>
          </cell>
          <cell r="D121">
            <v>8970</v>
          </cell>
          <cell r="E121">
            <v>89.7</v>
          </cell>
          <cell r="F121">
            <v>9059.5</v>
          </cell>
        </row>
        <row r="122">
          <cell r="A122">
            <v>1134</v>
          </cell>
          <cell r="B122" t="str">
            <v>Truss plate, base plate</v>
          </cell>
          <cell r="C122" t="str">
            <v>m2</v>
          </cell>
          <cell r="D122">
            <v>4300</v>
          </cell>
          <cell r="E122">
            <v>43</v>
          </cell>
          <cell r="F122">
            <v>4343</v>
          </cell>
        </row>
        <row r="123">
          <cell r="B123" t="str">
            <v>Carpenter and Joiner</v>
          </cell>
        </row>
        <row r="124">
          <cell r="A124">
            <v>1201</v>
          </cell>
          <cell r="B124" t="str">
            <v>31mm planks special class</v>
          </cell>
          <cell r="C124" t="str">
            <v>m2</v>
          </cell>
          <cell r="D124">
            <v>1841</v>
          </cell>
          <cell r="E124">
            <v>18.41</v>
          </cell>
          <cell r="F124">
            <v>1859.5</v>
          </cell>
        </row>
        <row r="125">
          <cell r="A125">
            <v>1202</v>
          </cell>
          <cell r="B125" t="str">
            <v>25mm planks special class</v>
          </cell>
          <cell r="C125" t="str">
            <v>m2</v>
          </cell>
          <cell r="D125">
            <v>1476.66</v>
          </cell>
          <cell r="E125">
            <v>14.77</v>
          </cell>
          <cell r="F125">
            <v>1491.5</v>
          </cell>
        </row>
        <row r="126">
          <cell r="A126">
            <v>1203</v>
          </cell>
          <cell r="B126" t="str">
            <v>20mm planks special class</v>
          </cell>
          <cell r="C126" t="str">
            <v>m2</v>
          </cell>
          <cell r="D126">
            <v>1181.32</v>
          </cell>
          <cell r="E126">
            <v>11.81</v>
          </cell>
          <cell r="F126">
            <v>1193</v>
          </cell>
        </row>
        <row r="127">
          <cell r="A127">
            <v>1204</v>
          </cell>
          <cell r="B127" t="str">
            <v>20mm thick lunumidella timber</v>
          </cell>
          <cell r="C127" t="str">
            <v>m2</v>
          </cell>
          <cell r="D127">
            <v>700</v>
          </cell>
          <cell r="E127">
            <v>7</v>
          </cell>
          <cell r="F127">
            <v>707</v>
          </cell>
        </row>
        <row r="128">
          <cell r="A128">
            <v>1205</v>
          </cell>
          <cell r="B128" t="str">
            <v>50mm iron screws</v>
          </cell>
          <cell r="C128" t="str">
            <v>Nr</v>
          </cell>
          <cell r="D128">
            <v>2</v>
          </cell>
          <cell r="E128">
            <v>0.02</v>
          </cell>
          <cell r="F128">
            <v>2</v>
          </cell>
        </row>
        <row r="129">
          <cell r="A129">
            <v>1206</v>
          </cell>
          <cell r="B129" t="str">
            <v>G.I. clout nails 20mm</v>
          </cell>
          <cell r="C129" t="str">
            <v>kg</v>
          </cell>
          <cell r="D129">
            <v>300</v>
          </cell>
          <cell r="E129">
            <v>3</v>
          </cell>
          <cell r="F129">
            <v>303</v>
          </cell>
        </row>
        <row r="130">
          <cell r="A130">
            <v>1207</v>
          </cell>
          <cell r="B130" t="str">
            <v>Ceiling sheets</v>
          </cell>
          <cell r="C130" t="str">
            <v>m2</v>
          </cell>
          <cell r="D130">
            <v>263</v>
          </cell>
          <cell r="E130">
            <v>2.63</v>
          </cell>
          <cell r="F130">
            <v>265.5</v>
          </cell>
        </row>
        <row r="131">
          <cell r="A131">
            <v>1208</v>
          </cell>
          <cell r="B131"/>
          <cell r="C131" t="str">
            <v>m</v>
          </cell>
          <cell r="D131">
            <v>49</v>
          </cell>
          <cell r="E131">
            <v>0.49</v>
          </cell>
          <cell r="F131">
            <v>49.5</v>
          </cell>
        </row>
        <row r="132">
          <cell r="A132">
            <v>1209</v>
          </cell>
          <cell r="B132" t="str">
            <v>Moldings</v>
          </cell>
          <cell r="C132" t="str">
            <v>m</v>
          </cell>
          <cell r="D132">
            <v>117</v>
          </cell>
          <cell r="E132">
            <v>1.17</v>
          </cell>
          <cell r="F132">
            <v>118.17</v>
          </cell>
        </row>
        <row r="133">
          <cell r="A133">
            <v>1210</v>
          </cell>
          <cell r="B133" t="str">
            <v>Screws 38mm</v>
          </cell>
          <cell r="C133" t="str">
            <v>Nr</v>
          </cell>
          <cell r="D133">
            <v>1.5</v>
          </cell>
          <cell r="E133">
            <v>0.02</v>
          </cell>
          <cell r="F133">
            <v>1.5</v>
          </cell>
        </row>
        <row r="134">
          <cell r="A134">
            <v>1211</v>
          </cell>
          <cell r="B134" t="str">
            <v>Wooden plugs</v>
          </cell>
          <cell r="C134" t="str">
            <v>Nr</v>
          </cell>
          <cell r="D134">
            <v>5</v>
          </cell>
          <cell r="E134">
            <v>0.05</v>
          </cell>
          <cell r="F134">
            <v>5</v>
          </cell>
        </row>
        <row r="135">
          <cell r="A135">
            <v>1212</v>
          </cell>
          <cell r="B135" t="str">
            <v>Primer</v>
          </cell>
          <cell r="C135" t="str">
            <v>l</v>
          </cell>
          <cell r="D135">
            <v>320</v>
          </cell>
          <cell r="E135">
            <v>3.2</v>
          </cell>
          <cell r="F135">
            <v>323</v>
          </cell>
        </row>
        <row r="136">
          <cell r="A136">
            <v>1213</v>
          </cell>
          <cell r="B136" t="str">
            <v>Emulsion paint</v>
          </cell>
          <cell r="C136" t="str">
            <v>l</v>
          </cell>
          <cell r="D136">
            <v>648</v>
          </cell>
          <cell r="E136">
            <v>6.48</v>
          </cell>
          <cell r="F136">
            <v>654.5</v>
          </cell>
        </row>
        <row r="137">
          <cell r="A137">
            <v>1214</v>
          </cell>
          <cell r="B137" t="str">
            <v>100x75 door/ window frame</v>
          </cell>
          <cell r="C137" t="str">
            <v>m3</v>
          </cell>
          <cell r="D137">
            <v>75987</v>
          </cell>
          <cell r="E137">
            <v>759.87</v>
          </cell>
          <cell r="F137">
            <v>76747</v>
          </cell>
        </row>
        <row r="138">
          <cell r="A138">
            <v>1215</v>
          </cell>
          <cell r="B138" t="str">
            <v>38mm brass screws</v>
          </cell>
          <cell r="C138" t="str">
            <v>Nr</v>
          </cell>
          <cell r="D138">
            <v>5.5</v>
          </cell>
          <cell r="E138">
            <v>0.06</v>
          </cell>
          <cell r="F138">
            <v>5.5</v>
          </cell>
        </row>
        <row r="139">
          <cell r="A139">
            <v>1216</v>
          </cell>
          <cell r="B139" t="str">
            <v>25mm brass screws</v>
          </cell>
          <cell r="C139" t="str">
            <v>Nr</v>
          </cell>
          <cell r="D139">
            <v>3.5</v>
          </cell>
          <cell r="E139">
            <v>0.04</v>
          </cell>
          <cell r="F139">
            <v>3.5</v>
          </cell>
        </row>
        <row r="140">
          <cell r="A140">
            <v>1217</v>
          </cell>
          <cell r="B140" t="str">
            <v>Rawl plugs and screws</v>
          </cell>
          <cell r="C140" t="str">
            <v>Nr</v>
          </cell>
          <cell r="D140">
            <v>2</v>
          </cell>
          <cell r="E140">
            <v>0.02</v>
          </cell>
          <cell r="F140">
            <v>2</v>
          </cell>
        </row>
        <row r="141">
          <cell r="A141">
            <v>1218</v>
          </cell>
          <cell r="B141" t="str">
            <v>100mm brass hinges</v>
          </cell>
          <cell r="C141" t="str">
            <v>pair</v>
          </cell>
          <cell r="D141">
            <v>375</v>
          </cell>
          <cell r="E141">
            <v>3.75</v>
          </cell>
          <cell r="F141">
            <v>379</v>
          </cell>
        </row>
        <row r="142">
          <cell r="A142">
            <v>1219</v>
          </cell>
          <cell r="B142" t="str">
            <v>12x12mm fillets</v>
          </cell>
          <cell r="C142" t="str">
            <v>m</v>
          </cell>
          <cell r="D142">
            <v>5.5</v>
          </cell>
          <cell r="E142">
            <v>0.06</v>
          </cell>
          <cell r="F142">
            <v>5.5</v>
          </cell>
        </row>
        <row r="143">
          <cell r="A143">
            <v>1220</v>
          </cell>
          <cell r="B143" t="str">
            <v>300mm skeleton bolts</v>
          </cell>
          <cell r="C143" t="str">
            <v>Nr</v>
          </cell>
          <cell r="D143">
            <v>78</v>
          </cell>
          <cell r="E143">
            <v>0.78</v>
          </cell>
          <cell r="F143">
            <v>79</v>
          </cell>
        </row>
        <row r="144">
          <cell r="A144">
            <v>1221</v>
          </cell>
          <cell r="B144" t="str">
            <v>38x38mm sash bars</v>
          </cell>
          <cell r="C144" t="str">
            <v>m</v>
          </cell>
          <cell r="D144">
            <v>16</v>
          </cell>
          <cell r="E144">
            <v>0.16</v>
          </cell>
          <cell r="F144">
            <v>16.5</v>
          </cell>
        </row>
        <row r="145">
          <cell r="A145">
            <v>1222</v>
          </cell>
          <cell r="B145" t="str">
            <v>150mm barrel bolts</v>
          </cell>
          <cell r="C145" t="str">
            <v>Nr</v>
          </cell>
          <cell r="D145">
            <v>156</v>
          </cell>
          <cell r="E145">
            <v>1.56</v>
          </cell>
          <cell r="F145">
            <v>157.5</v>
          </cell>
        </row>
        <row r="146">
          <cell r="A146">
            <v>1223</v>
          </cell>
          <cell r="B146" t="str">
            <v>Plywood door sash</v>
          </cell>
          <cell r="C146" t="str">
            <v>Nr</v>
          </cell>
          <cell r="D146">
            <v>2200</v>
          </cell>
          <cell r="E146">
            <v>22</v>
          </cell>
          <cell r="F146">
            <v>2222</v>
          </cell>
        </row>
        <row r="147">
          <cell r="A147">
            <v>1224</v>
          </cell>
          <cell r="B147" t="str">
            <v>Holdfasts</v>
          </cell>
          <cell r="C147" t="str">
            <v>Nr</v>
          </cell>
          <cell r="D147">
            <v>75</v>
          </cell>
          <cell r="E147">
            <v>0.75</v>
          </cell>
          <cell r="F147">
            <v>76</v>
          </cell>
        </row>
        <row r="148">
          <cell r="A148">
            <v>1225</v>
          </cell>
          <cell r="B148" t="str">
            <v>PVC door with frame</v>
          </cell>
          <cell r="C148" t="str">
            <v>Nr</v>
          </cell>
          <cell r="D148">
            <v>4650</v>
          </cell>
          <cell r="E148">
            <v>46.5</v>
          </cell>
          <cell r="F148">
            <v>4696.5</v>
          </cell>
        </row>
        <row r="149">
          <cell r="A149">
            <v>1226</v>
          </cell>
          <cell r="B149" t="str">
            <v>3mm glass plain</v>
          </cell>
          <cell r="C149" t="str">
            <v>m2</v>
          </cell>
          <cell r="D149">
            <v>645</v>
          </cell>
          <cell r="E149">
            <v>6.45</v>
          </cell>
          <cell r="F149">
            <v>651.5</v>
          </cell>
        </row>
        <row r="150">
          <cell r="A150">
            <v>1227</v>
          </cell>
          <cell r="B150" t="str">
            <v>Casement stays</v>
          </cell>
          <cell r="C150" t="str">
            <v>Nr</v>
          </cell>
          <cell r="D150">
            <v>200</v>
          </cell>
          <cell r="E150">
            <v>2</v>
          </cell>
          <cell r="F150">
            <v>202</v>
          </cell>
        </row>
        <row r="151">
          <cell r="A151">
            <v>1228</v>
          </cell>
          <cell r="B151" t="str">
            <v>Casement fasteners</v>
          </cell>
          <cell r="C151" t="str">
            <v>Nr</v>
          </cell>
          <cell r="D151">
            <v>200</v>
          </cell>
          <cell r="E151">
            <v>2</v>
          </cell>
          <cell r="F151">
            <v>202</v>
          </cell>
        </row>
        <row r="152">
          <cell r="A152">
            <v>1229</v>
          </cell>
          <cell r="B152" t="str">
            <v>Class 11 Ginisapu planks 25mm thick</v>
          </cell>
          <cell r="C152" t="str">
            <v>m2</v>
          </cell>
          <cell r="D152">
            <v>1385</v>
          </cell>
          <cell r="E152">
            <v>13.85</v>
          </cell>
          <cell r="F152">
            <v>1399</v>
          </cell>
        </row>
        <row r="153">
          <cell r="A153">
            <v>1230</v>
          </cell>
          <cell r="B153" t="str">
            <v>Brass screw</v>
          </cell>
          <cell r="C153" t="str">
            <v>Nr</v>
          </cell>
          <cell r="D153">
            <v>5.5</v>
          </cell>
          <cell r="E153">
            <v>0.06</v>
          </cell>
          <cell r="F153">
            <v>5.5</v>
          </cell>
        </row>
        <row r="154">
          <cell r="A154">
            <v>1231</v>
          </cell>
          <cell r="B154" t="str">
            <v>Lunumidella timber</v>
          </cell>
          <cell r="C154" t="str">
            <v>m2</v>
          </cell>
          <cell r="D154">
            <v>700</v>
          </cell>
          <cell r="E154">
            <v>7</v>
          </cell>
          <cell r="F154">
            <v>707</v>
          </cell>
        </row>
        <row r="155">
          <cell r="A155">
            <v>1232</v>
          </cell>
          <cell r="B155" t="str">
            <v>12 mm thick flywood sheet</v>
          </cell>
          <cell r="C155" t="str">
            <v>m2</v>
          </cell>
          <cell r="D155">
            <v>875</v>
          </cell>
          <cell r="E155">
            <v>8.75</v>
          </cell>
          <cell r="F155">
            <v>884</v>
          </cell>
        </row>
        <row r="156">
          <cell r="A156">
            <v>1233</v>
          </cell>
          <cell r="B156" t="str">
            <v>G.I. clout nails 38mm</v>
          </cell>
          <cell r="C156" t="str">
            <v>Kg</v>
          </cell>
          <cell r="D156">
            <v>336</v>
          </cell>
          <cell r="E156">
            <v>3.36</v>
          </cell>
          <cell r="F156">
            <v>339.5</v>
          </cell>
        </row>
        <row r="157">
          <cell r="A157">
            <v>1234</v>
          </cell>
          <cell r="B157" t="str">
            <v>31mm planks class 1</v>
          </cell>
          <cell r="C157" t="str">
            <v>m2</v>
          </cell>
          <cell r="D157">
            <v>1440</v>
          </cell>
          <cell r="E157">
            <v>14.4</v>
          </cell>
          <cell r="F157">
            <v>1454.5</v>
          </cell>
        </row>
        <row r="158">
          <cell r="B158" t="str">
            <v>Brass Founder</v>
          </cell>
        </row>
        <row r="159">
          <cell r="A159">
            <v>1301</v>
          </cell>
          <cell r="B159" t="str">
            <v>Night latch lock</v>
          </cell>
          <cell r="C159" t="str">
            <v>Nr</v>
          </cell>
          <cell r="D159">
            <v>600</v>
          </cell>
          <cell r="E159">
            <v>6</v>
          </cell>
          <cell r="F159">
            <v>606</v>
          </cell>
        </row>
        <row r="160">
          <cell r="A160">
            <v>1302</v>
          </cell>
          <cell r="B160" t="str">
            <v>Mortise Union (English) single lock</v>
          </cell>
          <cell r="C160" t="str">
            <v>Nr</v>
          </cell>
          <cell r="E160">
            <v>0</v>
          </cell>
          <cell r="F160">
            <v>0</v>
          </cell>
        </row>
        <row r="161">
          <cell r="A161">
            <v>1303</v>
          </cell>
          <cell r="B161" t="str">
            <v>Mortise Union (English) double lock</v>
          </cell>
          <cell r="C161" t="str">
            <v>Nr</v>
          </cell>
          <cell r="E161">
            <v>0</v>
          </cell>
          <cell r="F161">
            <v>0</v>
          </cell>
        </row>
        <row r="162">
          <cell r="A162">
            <v>1304</v>
          </cell>
          <cell r="B162" t="str">
            <v>Robin ITALY made brass lock</v>
          </cell>
          <cell r="C162" t="str">
            <v>Nr</v>
          </cell>
          <cell r="E162">
            <v>0</v>
          </cell>
          <cell r="F162">
            <v>0</v>
          </cell>
        </row>
        <row r="163">
          <cell r="A163">
            <v>1305</v>
          </cell>
          <cell r="B163" t="str">
            <v>Fuda lock</v>
          </cell>
          <cell r="C163" t="str">
            <v>Nr</v>
          </cell>
          <cell r="E163">
            <v>0</v>
          </cell>
          <cell r="F163">
            <v>0</v>
          </cell>
        </row>
        <row r="164">
          <cell r="A164">
            <v>1306</v>
          </cell>
          <cell r="B164" t="str">
            <v>50mm barrel bolt (Brass)</v>
          </cell>
          <cell r="C164" t="str">
            <v>Nr</v>
          </cell>
          <cell r="D164">
            <v>65</v>
          </cell>
          <cell r="E164">
            <v>0.65</v>
          </cell>
          <cell r="F164">
            <v>65.650000000000006</v>
          </cell>
        </row>
        <row r="165">
          <cell r="A165">
            <v>1307</v>
          </cell>
          <cell r="B165" t="str">
            <v>100x100mm butt hinges</v>
          </cell>
          <cell r="C165" t="str">
            <v>Nr</v>
          </cell>
          <cell r="D165">
            <v>300</v>
          </cell>
          <cell r="E165">
            <v>3</v>
          </cell>
          <cell r="F165">
            <v>303</v>
          </cell>
        </row>
        <row r="166">
          <cell r="A166">
            <v>1308</v>
          </cell>
          <cell r="B166" t="str">
            <v>150x100mm butt hinges</v>
          </cell>
          <cell r="C166" t="str">
            <v>Nr</v>
          </cell>
          <cell r="D166">
            <v>475</v>
          </cell>
          <cell r="E166">
            <v>4.75</v>
          </cell>
          <cell r="F166">
            <v>479.75</v>
          </cell>
        </row>
        <row r="167">
          <cell r="A167">
            <v>1309</v>
          </cell>
          <cell r="B167" t="str">
            <v>100mm barrel bolt (Brass)</v>
          </cell>
          <cell r="C167" t="str">
            <v>Nr</v>
          </cell>
          <cell r="D167">
            <v>150</v>
          </cell>
          <cell r="E167">
            <v>1.5</v>
          </cell>
          <cell r="F167">
            <v>151.5</v>
          </cell>
        </row>
        <row r="168">
          <cell r="A168">
            <v>1310</v>
          </cell>
          <cell r="B168" t="str">
            <v>150mm barrel bolt (Brass)</v>
          </cell>
          <cell r="C168" t="str">
            <v>Nr</v>
          </cell>
          <cell r="D168">
            <v>350</v>
          </cell>
          <cell r="E168">
            <v>3.5</v>
          </cell>
          <cell r="F168">
            <v>353.5</v>
          </cell>
        </row>
        <row r="169">
          <cell r="B169" t="str">
            <v>Iron Monger</v>
          </cell>
          <cell r="F169">
            <v>0</v>
          </cell>
        </row>
        <row r="170">
          <cell r="A170">
            <v>1401</v>
          </cell>
          <cell r="B170" t="str">
            <v>50x50 G.I. welded mesh</v>
          </cell>
          <cell r="C170" t="str">
            <v>m2</v>
          </cell>
          <cell r="D170">
            <v>454</v>
          </cell>
          <cell r="E170">
            <v>4.54</v>
          </cell>
          <cell r="F170">
            <v>458.5</v>
          </cell>
        </row>
        <row r="171">
          <cell r="A171">
            <v>1402</v>
          </cell>
          <cell r="B171" t="str">
            <v>50x12mm beadings</v>
          </cell>
          <cell r="C171" t="str">
            <v>m</v>
          </cell>
          <cell r="D171">
            <v>50</v>
          </cell>
          <cell r="E171">
            <v>0.5</v>
          </cell>
          <cell r="F171">
            <v>50.5</v>
          </cell>
        </row>
        <row r="172">
          <cell r="A172">
            <v>1403</v>
          </cell>
          <cell r="B172" t="str">
            <v>5.5mm MS rods</v>
          </cell>
          <cell r="C172" t="str">
            <v>kg</v>
          </cell>
          <cell r="D172">
            <v>100</v>
          </cell>
          <cell r="E172">
            <v>1</v>
          </cell>
          <cell r="F172">
            <v>101</v>
          </cell>
        </row>
        <row r="173">
          <cell r="A173">
            <v>1404</v>
          </cell>
          <cell r="B173" t="str">
            <v>12x5mm flat iron</v>
          </cell>
          <cell r="C173" t="str">
            <v>m</v>
          </cell>
          <cell r="D173">
            <v>27</v>
          </cell>
          <cell r="E173">
            <v>0.27</v>
          </cell>
          <cell r="F173">
            <v>27.5</v>
          </cell>
        </row>
        <row r="174">
          <cell r="A174">
            <v>1405</v>
          </cell>
          <cell r="B174" t="str">
            <v>25x25x4mm angle iron</v>
          </cell>
          <cell r="C174" t="str">
            <v>m</v>
          </cell>
          <cell r="D174">
            <v>146</v>
          </cell>
          <cell r="E174">
            <v>1.46</v>
          </cell>
          <cell r="F174">
            <v>147.5</v>
          </cell>
        </row>
        <row r="175">
          <cell r="A175">
            <v>1406</v>
          </cell>
          <cell r="B175" t="str">
            <v>100mm safety type Hasp and Staple</v>
          </cell>
          <cell r="C175" t="str">
            <v>Nr</v>
          </cell>
          <cell r="D175">
            <v>150</v>
          </cell>
          <cell r="E175">
            <v>1.5</v>
          </cell>
          <cell r="F175">
            <v>151.5</v>
          </cell>
        </row>
        <row r="176">
          <cell r="A176">
            <v>1407</v>
          </cell>
          <cell r="B176" t="str">
            <v>150mm safety type Hasp and Staple</v>
          </cell>
          <cell r="C176" t="str">
            <v>Nr</v>
          </cell>
          <cell r="D176">
            <v>175</v>
          </cell>
          <cell r="E176">
            <v>1.75</v>
          </cell>
          <cell r="F176">
            <v>177</v>
          </cell>
        </row>
        <row r="177">
          <cell r="A177">
            <v>1408</v>
          </cell>
          <cell r="B177" t="str">
            <v>100x100mm butt hinges</v>
          </cell>
          <cell r="C177" t="str">
            <v>Nr</v>
          </cell>
          <cell r="D177">
            <v>300</v>
          </cell>
          <cell r="E177">
            <v>3</v>
          </cell>
          <cell r="F177">
            <v>303</v>
          </cell>
        </row>
        <row r="178">
          <cell r="A178">
            <v>1409</v>
          </cell>
          <cell r="B178" t="str">
            <v>150x100mm butt hinges</v>
          </cell>
          <cell r="C178" t="str">
            <v>Nr</v>
          </cell>
          <cell r="D178">
            <v>475</v>
          </cell>
          <cell r="E178">
            <v>4.75</v>
          </cell>
          <cell r="F178">
            <v>480</v>
          </cell>
        </row>
        <row r="179">
          <cell r="A179">
            <v>1410</v>
          </cell>
          <cell r="B179" t="str">
            <v>37x37x5.8 mm angle iron</v>
          </cell>
          <cell r="C179" t="str">
            <v>m</v>
          </cell>
          <cell r="D179">
            <v>368</v>
          </cell>
          <cell r="E179">
            <v>3.68</v>
          </cell>
          <cell r="F179">
            <v>371.5</v>
          </cell>
        </row>
        <row r="180">
          <cell r="A180">
            <v>1411</v>
          </cell>
          <cell r="B180" t="str">
            <v>25x25x5 mm angle iron</v>
          </cell>
          <cell r="C180" t="str">
            <v>m</v>
          </cell>
          <cell r="D180">
            <v>187</v>
          </cell>
          <cell r="E180">
            <v>1.87</v>
          </cell>
          <cell r="F180">
            <v>189</v>
          </cell>
        </row>
        <row r="181">
          <cell r="A181">
            <v>1412</v>
          </cell>
          <cell r="B181" t="str">
            <v>25x5mm flat iron</v>
          </cell>
          <cell r="C181" t="str">
            <v>m</v>
          </cell>
          <cell r="D181">
            <v>103</v>
          </cell>
          <cell r="E181">
            <v>1.03</v>
          </cell>
          <cell r="F181">
            <v>104</v>
          </cell>
        </row>
        <row r="182">
          <cell r="A182">
            <v>1413</v>
          </cell>
          <cell r="B182" t="str">
            <v>6mm mild steel hook</v>
          </cell>
          <cell r="C182" t="str">
            <v>Nr</v>
          </cell>
          <cell r="D182">
            <v>50</v>
          </cell>
          <cell r="E182">
            <v>0.5</v>
          </cell>
          <cell r="F182">
            <v>50.5</v>
          </cell>
        </row>
        <row r="183">
          <cell r="B183" t="str">
            <v>Aluminium Extrusions (Natural Anodized)</v>
          </cell>
        </row>
        <row r="184">
          <cell r="A184">
            <v>1501</v>
          </cell>
          <cell r="B184" t="str">
            <v>70S-1101-1 (NA)</v>
          </cell>
          <cell r="C184" t="str">
            <v>m</v>
          </cell>
          <cell r="D184">
            <v>450.61</v>
          </cell>
          <cell r="E184">
            <v>4.51</v>
          </cell>
          <cell r="F184">
            <v>455</v>
          </cell>
        </row>
        <row r="185">
          <cell r="A185">
            <v>1502</v>
          </cell>
          <cell r="B185" t="str">
            <v>70S-1001-1 (NA)</v>
          </cell>
          <cell r="C185" t="str">
            <v>m</v>
          </cell>
          <cell r="D185">
            <v>461.07</v>
          </cell>
          <cell r="E185">
            <v>4.6100000000000003</v>
          </cell>
          <cell r="F185">
            <v>465.5</v>
          </cell>
        </row>
        <row r="186">
          <cell r="A186">
            <v>1503</v>
          </cell>
          <cell r="B186" t="str">
            <v>70S-1201-1 (NA)</v>
          </cell>
          <cell r="C186" t="str">
            <v>m</v>
          </cell>
          <cell r="D186">
            <v>375.07</v>
          </cell>
          <cell r="E186">
            <v>3.75</v>
          </cell>
          <cell r="F186">
            <v>378</v>
          </cell>
        </row>
        <row r="187">
          <cell r="A187">
            <v>1504</v>
          </cell>
          <cell r="B187" t="str">
            <v>70S-1604 (NA)</v>
          </cell>
          <cell r="C187" t="str">
            <v>m</v>
          </cell>
          <cell r="D187">
            <v>367.07</v>
          </cell>
          <cell r="E187">
            <v>3.67</v>
          </cell>
          <cell r="F187">
            <v>371</v>
          </cell>
        </row>
        <row r="188">
          <cell r="A188">
            <v>1505</v>
          </cell>
          <cell r="B188" t="str">
            <v>70S-1704 (NA)</v>
          </cell>
          <cell r="C188" t="str">
            <v>m</v>
          </cell>
          <cell r="D188">
            <v>346.61</v>
          </cell>
          <cell r="E188">
            <v>3.47</v>
          </cell>
          <cell r="F188">
            <v>350</v>
          </cell>
        </row>
        <row r="189">
          <cell r="A189">
            <v>1506</v>
          </cell>
          <cell r="B189" t="str">
            <v>70S-1503A (NA)</v>
          </cell>
          <cell r="C189" t="str">
            <v>m</v>
          </cell>
          <cell r="D189">
            <v>433.38</v>
          </cell>
          <cell r="E189">
            <v>4.33</v>
          </cell>
          <cell r="F189">
            <v>438</v>
          </cell>
        </row>
        <row r="190">
          <cell r="A190">
            <v>1507</v>
          </cell>
          <cell r="B190" t="str">
            <v>70S-1401-1 (NA)</v>
          </cell>
          <cell r="C190" t="str">
            <v>m</v>
          </cell>
          <cell r="D190">
            <v>306.76</v>
          </cell>
          <cell r="E190">
            <v>3.07</v>
          </cell>
          <cell r="F190">
            <v>310</v>
          </cell>
        </row>
        <row r="191">
          <cell r="A191">
            <v>1508</v>
          </cell>
          <cell r="B191" t="str">
            <v>70SF-1006 (NA)</v>
          </cell>
          <cell r="C191" t="str">
            <v>m</v>
          </cell>
          <cell r="D191">
            <v>727.23</v>
          </cell>
          <cell r="E191">
            <v>7.27</v>
          </cell>
          <cell r="F191">
            <v>734.5</v>
          </cell>
        </row>
        <row r="192">
          <cell r="A192">
            <v>1509</v>
          </cell>
          <cell r="B192" t="str">
            <v>70SF-1201A (NA)</v>
          </cell>
          <cell r="C192" t="str">
            <v>m</v>
          </cell>
          <cell r="D192">
            <v>254</v>
          </cell>
          <cell r="E192">
            <v>2.54</v>
          </cell>
          <cell r="F192">
            <v>256.5</v>
          </cell>
        </row>
        <row r="193">
          <cell r="A193">
            <v>1510</v>
          </cell>
          <cell r="B193" t="str">
            <v>70SF-1201B (NA)</v>
          </cell>
          <cell r="C193" t="str">
            <v>m</v>
          </cell>
          <cell r="D193">
            <v>254</v>
          </cell>
          <cell r="E193">
            <v>2.54</v>
          </cell>
          <cell r="F193">
            <v>256.5</v>
          </cell>
        </row>
        <row r="194">
          <cell r="A194">
            <v>1511</v>
          </cell>
          <cell r="B194" t="str">
            <v>DG-02 (NA)</v>
          </cell>
          <cell r="C194" t="str">
            <v>m</v>
          </cell>
          <cell r="D194">
            <v>229.18</v>
          </cell>
          <cell r="E194">
            <v>2.29</v>
          </cell>
          <cell r="F194">
            <v>231.5</v>
          </cell>
        </row>
        <row r="195">
          <cell r="A195">
            <v>1512</v>
          </cell>
          <cell r="B195" t="str">
            <v>DG-102 (NA)</v>
          </cell>
          <cell r="C195" t="str">
            <v>m</v>
          </cell>
          <cell r="D195">
            <v>204.91</v>
          </cell>
          <cell r="E195">
            <v>2.0499999999999998</v>
          </cell>
          <cell r="F195">
            <v>207</v>
          </cell>
        </row>
        <row r="196">
          <cell r="A196">
            <v>1513</v>
          </cell>
          <cell r="B196" t="str">
            <v>CA-1001(NA)</v>
          </cell>
          <cell r="C196" t="str">
            <v>m</v>
          </cell>
          <cell r="D196">
            <v>569.01</v>
          </cell>
          <cell r="E196">
            <v>5.69</v>
          </cell>
          <cell r="F196">
            <v>574.5</v>
          </cell>
        </row>
        <row r="197">
          <cell r="A197">
            <v>1514</v>
          </cell>
          <cell r="B197" t="str">
            <v>CA-1002 (NA)</v>
          </cell>
          <cell r="C197" t="str">
            <v>m</v>
          </cell>
          <cell r="D197">
            <v>889.34</v>
          </cell>
          <cell r="E197">
            <v>8.89</v>
          </cell>
          <cell r="F197">
            <v>898</v>
          </cell>
        </row>
        <row r="198">
          <cell r="A198">
            <v>1515</v>
          </cell>
          <cell r="B198" t="str">
            <v>100D-1914 (NA)</v>
          </cell>
          <cell r="C198" t="str">
            <v>m</v>
          </cell>
          <cell r="D198">
            <v>124.61</v>
          </cell>
          <cell r="E198">
            <v>1.25</v>
          </cell>
          <cell r="F198">
            <v>126</v>
          </cell>
        </row>
        <row r="199">
          <cell r="A199">
            <v>1516</v>
          </cell>
          <cell r="B199" t="str">
            <v>CA-1007 (NA)</v>
          </cell>
          <cell r="C199" t="str">
            <v>m</v>
          </cell>
          <cell r="D199">
            <v>255.24</v>
          </cell>
          <cell r="E199">
            <v>2.5499999999999998</v>
          </cell>
          <cell r="F199">
            <v>258</v>
          </cell>
        </row>
        <row r="200">
          <cell r="A200">
            <v>1517</v>
          </cell>
          <cell r="B200" t="str">
            <v>CA-1008 (NA)</v>
          </cell>
          <cell r="C200" t="str">
            <v>m</v>
          </cell>
          <cell r="D200">
            <v>433.28</v>
          </cell>
          <cell r="E200">
            <v>4.33</v>
          </cell>
          <cell r="F200">
            <v>437.5</v>
          </cell>
        </row>
        <row r="201">
          <cell r="A201">
            <v>1518</v>
          </cell>
          <cell r="B201" t="str">
            <v>CA-2005 (NA)</v>
          </cell>
          <cell r="C201" t="str">
            <v>m</v>
          </cell>
          <cell r="D201">
            <v>485.08</v>
          </cell>
          <cell r="E201">
            <v>4.8499999999999996</v>
          </cell>
          <cell r="F201">
            <v>490</v>
          </cell>
        </row>
        <row r="202">
          <cell r="A202">
            <v>1519</v>
          </cell>
          <cell r="B202" t="str">
            <v>A-111 (MF)</v>
          </cell>
          <cell r="C202" t="str">
            <v>m</v>
          </cell>
          <cell r="D202">
            <v>392.87</v>
          </cell>
          <cell r="E202">
            <v>3.93</v>
          </cell>
          <cell r="F202">
            <v>397</v>
          </cell>
        </row>
        <row r="203">
          <cell r="A203">
            <v>1520</v>
          </cell>
          <cell r="B203" t="str">
            <v>DG-01 (NA)</v>
          </cell>
          <cell r="C203" t="str">
            <v>m</v>
          </cell>
          <cell r="D203">
            <v>219.18</v>
          </cell>
          <cell r="E203">
            <v>2.19</v>
          </cell>
          <cell r="F203">
            <v>221.5</v>
          </cell>
        </row>
        <row r="204">
          <cell r="A204">
            <v>1521</v>
          </cell>
          <cell r="B204" t="str">
            <v>DG-101(NA)</v>
          </cell>
          <cell r="C204" t="str">
            <v>m</v>
          </cell>
          <cell r="D204">
            <v>189.01</v>
          </cell>
          <cell r="E204">
            <v>1.89</v>
          </cell>
          <cell r="F204">
            <v>191</v>
          </cell>
        </row>
        <row r="205">
          <cell r="A205">
            <v>1522</v>
          </cell>
          <cell r="B205" t="str">
            <v>CA-2004 (NA)</v>
          </cell>
          <cell r="C205" t="str">
            <v>m</v>
          </cell>
          <cell r="D205">
            <v>332.78</v>
          </cell>
          <cell r="E205">
            <v>3.33</v>
          </cell>
          <cell r="F205">
            <v>336</v>
          </cell>
        </row>
        <row r="206">
          <cell r="A206">
            <v>1523</v>
          </cell>
          <cell r="B206" t="str">
            <v>GL-107 (NA)</v>
          </cell>
          <cell r="C206" t="str">
            <v>m</v>
          </cell>
          <cell r="D206">
            <v>130.82</v>
          </cell>
          <cell r="E206">
            <v>1.31</v>
          </cell>
          <cell r="F206">
            <v>132</v>
          </cell>
        </row>
        <row r="207">
          <cell r="A207">
            <v>1524</v>
          </cell>
          <cell r="B207" t="str">
            <v>CA-1003 (NA)</v>
          </cell>
          <cell r="C207" t="str">
            <v>m</v>
          </cell>
          <cell r="D207">
            <v>352.13</v>
          </cell>
          <cell r="E207">
            <v>3.52</v>
          </cell>
          <cell r="F207">
            <v>355.5</v>
          </cell>
        </row>
        <row r="208">
          <cell r="A208">
            <v>1525</v>
          </cell>
          <cell r="B208" t="str">
            <v>CA-1004 (NA)</v>
          </cell>
          <cell r="C208" t="str">
            <v>m</v>
          </cell>
          <cell r="D208">
            <v>526.39</v>
          </cell>
          <cell r="E208">
            <v>5.26</v>
          </cell>
          <cell r="F208">
            <v>531.5</v>
          </cell>
        </row>
        <row r="209">
          <cell r="A209">
            <v>1526</v>
          </cell>
          <cell r="B209" t="str">
            <v>CA-2006 (NA)</v>
          </cell>
          <cell r="C209" t="str">
            <v>m</v>
          </cell>
          <cell r="D209">
            <v>491.13</v>
          </cell>
          <cell r="E209">
            <v>4.91</v>
          </cell>
          <cell r="F209">
            <v>496</v>
          </cell>
        </row>
        <row r="210">
          <cell r="A210">
            <v>1527</v>
          </cell>
          <cell r="B210" t="str">
            <v>DG-02 (NA)</v>
          </cell>
          <cell r="C210" t="str">
            <v>m</v>
          </cell>
          <cell r="D210">
            <v>229.18</v>
          </cell>
          <cell r="E210">
            <v>2.29</v>
          </cell>
          <cell r="F210">
            <v>231.5</v>
          </cell>
        </row>
        <row r="211">
          <cell r="A211">
            <v>1528</v>
          </cell>
          <cell r="B211" t="str">
            <v>DG-102(NA)</v>
          </cell>
          <cell r="C211" t="str">
            <v>m</v>
          </cell>
          <cell r="D211">
            <v>204.91</v>
          </cell>
          <cell r="E211">
            <v>2.0499999999999998</v>
          </cell>
          <cell r="F211">
            <v>207</v>
          </cell>
        </row>
        <row r="212">
          <cell r="A212">
            <v>1529</v>
          </cell>
          <cell r="B212" t="str">
            <v>CA-1001 (NA)</v>
          </cell>
          <cell r="C212" t="str">
            <v>m</v>
          </cell>
          <cell r="D212">
            <v>569.01</v>
          </cell>
          <cell r="E212">
            <v>5.69</v>
          </cell>
          <cell r="F212">
            <v>574.5</v>
          </cell>
        </row>
        <row r="213">
          <cell r="A213">
            <v>1530</v>
          </cell>
          <cell r="B213" t="str">
            <v>CA-1002 (NA)</v>
          </cell>
          <cell r="C213" t="str">
            <v>m</v>
          </cell>
          <cell r="D213">
            <v>889.34</v>
          </cell>
          <cell r="E213">
            <v>8.89</v>
          </cell>
          <cell r="F213">
            <v>898</v>
          </cell>
        </row>
        <row r="214">
          <cell r="A214">
            <v>1531</v>
          </cell>
          <cell r="B214" t="str">
            <v>100D-3104 (NA)</v>
          </cell>
          <cell r="C214" t="str">
            <v>m</v>
          </cell>
          <cell r="D214">
            <v>602.61</v>
          </cell>
          <cell r="E214">
            <v>6.03</v>
          </cell>
          <cell r="F214">
            <v>608.5</v>
          </cell>
        </row>
        <row r="215">
          <cell r="A215">
            <v>1532</v>
          </cell>
          <cell r="B215" t="str">
            <v>100D-101 (NA)</v>
          </cell>
          <cell r="C215" t="str">
            <v>m</v>
          </cell>
          <cell r="D215">
            <v>823.23</v>
          </cell>
          <cell r="E215">
            <v>8.23</v>
          </cell>
          <cell r="F215">
            <v>831.5</v>
          </cell>
        </row>
        <row r="216">
          <cell r="A216">
            <v>1533</v>
          </cell>
          <cell r="B216" t="str">
            <v>100D-102 (NA)</v>
          </cell>
          <cell r="C216" t="str">
            <v>m</v>
          </cell>
          <cell r="D216">
            <v>862.3</v>
          </cell>
          <cell r="E216">
            <v>8.6199999999999992</v>
          </cell>
          <cell r="F216">
            <v>871</v>
          </cell>
        </row>
        <row r="217">
          <cell r="A217">
            <v>1534</v>
          </cell>
          <cell r="B217" t="str">
            <v>100D-201 (NA)</v>
          </cell>
          <cell r="C217" t="str">
            <v>m</v>
          </cell>
          <cell r="D217">
            <v>796.92</v>
          </cell>
          <cell r="E217">
            <v>7.97</v>
          </cell>
          <cell r="F217">
            <v>805</v>
          </cell>
        </row>
        <row r="218">
          <cell r="A218">
            <v>1535</v>
          </cell>
          <cell r="B218" t="str">
            <v>100D-301 (NA)</v>
          </cell>
          <cell r="C218" t="str">
            <v>m</v>
          </cell>
          <cell r="D218">
            <v>946.61</v>
          </cell>
          <cell r="E218">
            <v>9.4700000000000006</v>
          </cell>
          <cell r="F218">
            <v>956</v>
          </cell>
        </row>
        <row r="219">
          <cell r="A219">
            <v>1536</v>
          </cell>
          <cell r="B219" t="str">
            <v>100D-401 (NA)</v>
          </cell>
          <cell r="C219" t="str">
            <v>m</v>
          </cell>
          <cell r="D219">
            <v>1048.3</v>
          </cell>
          <cell r="E219">
            <v>10.48</v>
          </cell>
          <cell r="F219">
            <v>1059</v>
          </cell>
        </row>
        <row r="220">
          <cell r="A220">
            <v>1537</v>
          </cell>
          <cell r="B220" t="str">
            <v>100D-501 (NA)</v>
          </cell>
          <cell r="C220" t="str">
            <v>m</v>
          </cell>
          <cell r="D220">
            <v>112.15</v>
          </cell>
          <cell r="E220">
            <v>1.1200000000000001</v>
          </cell>
          <cell r="F220">
            <v>113.5</v>
          </cell>
        </row>
        <row r="221">
          <cell r="A221">
            <v>1538</v>
          </cell>
          <cell r="B221" t="str">
            <v>70D-1910 (NA)</v>
          </cell>
          <cell r="C221" t="str">
            <v>m</v>
          </cell>
          <cell r="D221">
            <v>128.30000000000001</v>
          </cell>
          <cell r="E221">
            <v>1.28</v>
          </cell>
          <cell r="F221">
            <v>129.5</v>
          </cell>
        </row>
        <row r="222">
          <cell r="A222">
            <v>1539</v>
          </cell>
          <cell r="B222" t="str">
            <v>100D-3503A (NA)</v>
          </cell>
          <cell r="C222" t="str">
            <v>m</v>
          </cell>
          <cell r="D222">
            <v>596.91999999999996</v>
          </cell>
          <cell r="E222">
            <v>5.97</v>
          </cell>
          <cell r="F222">
            <v>603</v>
          </cell>
        </row>
        <row r="223">
          <cell r="A223">
            <v>1540</v>
          </cell>
          <cell r="B223" t="str">
            <v>100D-3004A (NA)</v>
          </cell>
          <cell r="C223" t="str">
            <v>m</v>
          </cell>
          <cell r="D223">
            <v>704.3</v>
          </cell>
          <cell r="E223">
            <v>7.04</v>
          </cell>
          <cell r="F223">
            <v>711</v>
          </cell>
        </row>
        <row r="224">
          <cell r="A224">
            <v>1541</v>
          </cell>
          <cell r="B224" t="str">
            <v>100D-3207 (NA)</v>
          </cell>
          <cell r="C224" t="str">
            <v>m</v>
          </cell>
          <cell r="D224">
            <v>918.15</v>
          </cell>
          <cell r="E224">
            <v>9.18</v>
          </cell>
          <cell r="F224">
            <v>937.5</v>
          </cell>
        </row>
        <row r="225">
          <cell r="A225">
            <v>1542</v>
          </cell>
          <cell r="B225" t="str">
            <v>100D-3503 (NA)</v>
          </cell>
          <cell r="C225" t="str">
            <v>m</v>
          </cell>
          <cell r="D225">
            <v>651.69000000000005</v>
          </cell>
          <cell r="E225">
            <v>6.52</v>
          </cell>
          <cell r="F225">
            <v>658</v>
          </cell>
        </row>
        <row r="226">
          <cell r="A226">
            <v>1543</v>
          </cell>
          <cell r="B226" t="str">
            <v>100D-1914 (NA)</v>
          </cell>
          <cell r="C226" t="str">
            <v>m</v>
          </cell>
          <cell r="D226">
            <v>124.61</v>
          </cell>
          <cell r="E226">
            <v>1.25</v>
          </cell>
          <cell r="F226">
            <v>126</v>
          </cell>
        </row>
        <row r="227">
          <cell r="A227">
            <v>1544</v>
          </cell>
          <cell r="B227" t="str">
            <v>100D-3203 (NA)</v>
          </cell>
          <cell r="C227" t="str">
            <v>m</v>
          </cell>
          <cell r="D227">
            <v>693.07</v>
          </cell>
          <cell r="E227">
            <v>6.93</v>
          </cell>
          <cell r="F227">
            <v>700</v>
          </cell>
        </row>
        <row r="228">
          <cell r="A228">
            <v>1545</v>
          </cell>
          <cell r="B228" t="str">
            <v>70S-1002-1(NA)</v>
          </cell>
          <cell r="C228" t="str">
            <v>m</v>
          </cell>
          <cell r="D228">
            <v>323.83999999999997</v>
          </cell>
          <cell r="E228">
            <v>3.24</v>
          </cell>
          <cell r="F228">
            <v>327</v>
          </cell>
        </row>
        <row r="229">
          <cell r="A229">
            <v>1546</v>
          </cell>
          <cell r="B229" t="str">
            <v>70S-1102-1 (NA)</v>
          </cell>
          <cell r="C229" t="str">
            <v>m</v>
          </cell>
          <cell r="D229">
            <v>236.92</v>
          </cell>
          <cell r="E229">
            <v>2.37</v>
          </cell>
          <cell r="F229">
            <v>239.5</v>
          </cell>
        </row>
        <row r="230">
          <cell r="A230">
            <v>1547</v>
          </cell>
          <cell r="B230" t="str">
            <v>70S-1202-1(NA)</v>
          </cell>
          <cell r="C230" t="str">
            <v>m</v>
          </cell>
          <cell r="D230">
            <v>236.92</v>
          </cell>
          <cell r="E230">
            <v>2.37</v>
          </cell>
          <cell r="F230">
            <v>239.5</v>
          </cell>
        </row>
        <row r="231">
          <cell r="A231">
            <v>1548</v>
          </cell>
          <cell r="B231" t="str">
            <v>70S-1704A (NA)</v>
          </cell>
          <cell r="C231" t="str">
            <v>m</v>
          </cell>
          <cell r="D231">
            <v>441.38</v>
          </cell>
          <cell r="E231">
            <v>4.41</v>
          </cell>
          <cell r="F231">
            <v>446</v>
          </cell>
        </row>
        <row r="232">
          <cell r="A232">
            <v>1549</v>
          </cell>
          <cell r="B232" t="str">
            <v>70S-1402-1 (NA)</v>
          </cell>
          <cell r="C232" t="str">
            <v>m</v>
          </cell>
          <cell r="D232">
            <v>299.52999999999997</v>
          </cell>
          <cell r="E232">
            <v>3</v>
          </cell>
          <cell r="F232">
            <v>302.5</v>
          </cell>
        </row>
        <row r="233">
          <cell r="A233">
            <v>1550</v>
          </cell>
          <cell r="B233" t="str">
            <v>70S-1801 (NA)</v>
          </cell>
          <cell r="C233" t="str">
            <v>m</v>
          </cell>
          <cell r="D233">
            <v>281.38</v>
          </cell>
          <cell r="E233">
            <v>2.81</v>
          </cell>
          <cell r="F233">
            <v>284</v>
          </cell>
        </row>
        <row r="234">
          <cell r="A234">
            <v>1551</v>
          </cell>
          <cell r="B234" t="str">
            <v>70S-1101-2 (NA)</v>
          </cell>
          <cell r="C234" t="str">
            <v>m</v>
          </cell>
          <cell r="D234">
            <v>466.46</v>
          </cell>
          <cell r="E234">
            <v>4.66</v>
          </cell>
          <cell r="F234">
            <v>471</v>
          </cell>
        </row>
        <row r="235">
          <cell r="A235">
            <v>1552</v>
          </cell>
          <cell r="B235" t="str">
            <v>70S-1001-1 (NA)</v>
          </cell>
          <cell r="C235" t="str">
            <v>m</v>
          </cell>
          <cell r="D235">
            <v>461.07</v>
          </cell>
          <cell r="E235">
            <v>4.6100000000000003</v>
          </cell>
          <cell r="F235">
            <v>465.5</v>
          </cell>
        </row>
        <row r="236">
          <cell r="A236">
            <v>1553</v>
          </cell>
          <cell r="B236" t="str">
            <v>70S-1704A (NA)</v>
          </cell>
          <cell r="C236" t="str">
            <v>m</v>
          </cell>
          <cell r="D236">
            <v>441.38</v>
          </cell>
          <cell r="E236">
            <v>4.41</v>
          </cell>
          <cell r="F236">
            <v>446</v>
          </cell>
        </row>
        <row r="237">
          <cell r="A237">
            <v>1554</v>
          </cell>
          <cell r="B237" t="str">
            <v>70S-1401-1 (NA)</v>
          </cell>
          <cell r="C237" t="str">
            <v>m</v>
          </cell>
          <cell r="D237">
            <v>306.76</v>
          </cell>
          <cell r="E237">
            <v>3.07</v>
          </cell>
          <cell r="F237">
            <v>310</v>
          </cell>
        </row>
        <row r="238">
          <cell r="A238">
            <v>1555</v>
          </cell>
          <cell r="B238" t="str">
            <v>70S-1201-1 (NA)</v>
          </cell>
          <cell r="C238" t="str">
            <v>m</v>
          </cell>
          <cell r="D238">
            <v>375.07</v>
          </cell>
          <cell r="E238">
            <v>3.75</v>
          </cell>
          <cell r="F238">
            <v>379</v>
          </cell>
        </row>
        <row r="239">
          <cell r="A239">
            <v>1556</v>
          </cell>
          <cell r="B239" t="str">
            <v>70S-1604 (NA)</v>
          </cell>
          <cell r="C239" t="str">
            <v>m</v>
          </cell>
          <cell r="D239">
            <v>367.07</v>
          </cell>
          <cell r="E239">
            <v>3.67</v>
          </cell>
          <cell r="F239">
            <v>371</v>
          </cell>
        </row>
        <row r="240">
          <cell r="A240">
            <v>1557</v>
          </cell>
          <cell r="B240" t="str">
            <v>70S-1801 (NA)</v>
          </cell>
          <cell r="C240" t="str">
            <v>m</v>
          </cell>
          <cell r="D240">
            <v>281.38</v>
          </cell>
          <cell r="E240">
            <v>2.81</v>
          </cell>
          <cell r="F240">
            <v>284</v>
          </cell>
        </row>
        <row r="241">
          <cell r="A241">
            <v>1558</v>
          </cell>
          <cell r="B241" t="str">
            <v>PT-5157 (NA)</v>
          </cell>
          <cell r="C241" t="str">
            <v>m</v>
          </cell>
          <cell r="D241">
            <v>306.39</v>
          </cell>
          <cell r="E241">
            <v>3.06</v>
          </cell>
          <cell r="F241">
            <v>309.5</v>
          </cell>
        </row>
        <row r="242">
          <cell r="A242">
            <v>1559</v>
          </cell>
          <cell r="B242" t="str">
            <v>PT-5158 (NA)</v>
          </cell>
          <cell r="C242" t="str">
            <v>m</v>
          </cell>
          <cell r="D242">
            <v>226.72</v>
          </cell>
          <cell r="E242">
            <v>2.27</v>
          </cell>
          <cell r="F242">
            <v>229</v>
          </cell>
        </row>
        <row r="243">
          <cell r="A243">
            <v>1560</v>
          </cell>
          <cell r="B243" t="str">
            <v>PT-5153 (NA)</v>
          </cell>
          <cell r="C243" t="str">
            <v>m</v>
          </cell>
          <cell r="D243">
            <v>82.78</v>
          </cell>
          <cell r="E243">
            <v>0.83</v>
          </cell>
          <cell r="F243">
            <v>83.5</v>
          </cell>
        </row>
        <row r="244">
          <cell r="A244">
            <v>1561</v>
          </cell>
          <cell r="B244" t="str">
            <v>PT-5154 (NA)</v>
          </cell>
          <cell r="C244" t="str">
            <v>m</v>
          </cell>
          <cell r="D244">
            <v>169.34</v>
          </cell>
          <cell r="E244">
            <v>1.69</v>
          </cell>
          <cell r="F244">
            <v>171</v>
          </cell>
        </row>
        <row r="245">
          <cell r="A245">
            <v>1562</v>
          </cell>
          <cell r="B245" t="str">
            <v>A-110A (MF)</v>
          </cell>
          <cell r="C245" t="str">
            <v>m</v>
          </cell>
          <cell r="D245">
            <v>287.37</v>
          </cell>
          <cell r="E245">
            <v>2.87</v>
          </cell>
          <cell r="F245">
            <v>290</v>
          </cell>
        </row>
        <row r="246">
          <cell r="B246" t="str">
            <v>Aluminium Extrusions (Bronze Anodized)</v>
          </cell>
        </row>
        <row r="247">
          <cell r="A247">
            <v>1601</v>
          </cell>
          <cell r="B247" t="str">
            <v>70S-1101-1 (BA)</v>
          </cell>
          <cell r="C247" t="str">
            <v>m</v>
          </cell>
          <cell r="D247">
            <v>458.61</v>
          </cell>
          <cell r="E247">
            <v>4.59</v>
          </cell>
          <cell r="F247">
            <v>463</v>
          </cell>
        </row>
        <row r="248">
          <cell r="A248">
            <v>1602</v>
          </cell>
          <cell r="B248" t="str">
            <v>70S-1001-1 (BA)</v>
          </cell>
          <cell r="C248" t="str">
            <v>m</v>
          </cell>
          <cell r="D248">
            <v>469.38</v>
          </cell>
          <cell r="E248">
            <v>4.6900000000000004</v>
          </cell>
          <cell r="F248">
            <v>474</v>
          </cell>
        </row>
        <row r="249">
          <cell r="A249">
            <v>1603</v>
          </cell>
          <cell r="B249" t="str">
            <v>70S-1201-1 (BA)</v>
          </cell>
          <cell r="C249" t="str">
            <v>m</v>
          </cell>
          <cell r="D249">
            <v>382</v>
          </cell>
          <cell r="E249">
            <v>3.82</v>
          </cell>
          <cell r="F249">
            <v>386</v>
          </cell>
        </row>
        <row r="250">
          <cell r="A250">
            <v>1604</v>
          </cell>
          <cell r="B250" t="str">
            <v>70S-1604 (BA)</v>
          </cell>
          <cell r="C250" t="str">
            <v>m</v>
          </cell>
          <cell r="D250">
            <v>373.85</v>
          </cell>
          <cell r="E250">
            <v>3.74</v>
          </cell>
          <cell r="F250">
            <v>377.5</v>
          </cell>
        </row>
        <row r="251">
          <cell r="A251">
            <v>1605</v>
          </cell>
          <cell r="B251" t="str">
            <v>70S-1704 (BA)</v>
          </cell>
          <cell r="C251" t="str">
            <v>m</v>
          </cell>
          <cell r="D251">
            <v>352.77</v>
          </cell>
          <cell r="E251">
            <v>3.53</v>
          </cell>
          <cell r="F251">
            <v>356.5</v>
          </cell>
        </row>
        <row r="252">
          <cell r="A252">
            <v>1606</v>
          </cell>
          <cell r="B252" t="str">
            <v>70S-1503A (BA)</v>
          </cell>
          <cell r="C252" t="str">
            <v>m</v>
          </cell>
          <cell r="D252">
            <v>441.38</v>
          </cell>
          <cell r="E252">
            <v>4.41</v>
          </cell>
          <cell r="F252">
            <v>446</v>
          </cell>
        </row>
        <row r="253">
          <cell r="A253">
            <v>1607</v>
          </cell>
          <cell r="B253" t="str">
            <v>70S-1401-1 (BA)</v>
          </cell>
          <cell r="C253" t="str">
            <v>m</v>
          </cell>
          <cell r="D253">
            <v>312</v>
          </cell>
          <cell r="E253">
            <v>3.12</v>
          </cell>
          <cell r="F253">
            <v>315</v>
          </cell>
        </row>
        <row r="254">
          <cell r="A254">
            <v>1608</v>
          </cell>
          <cell r="B254" t="str">
            <v>70SF-1006 (BA)</v>
          </cell>
          <cell r="C254" t="str">
            <v>m</v>
          </cell>
          <cell r="D254">
            <v>740.46</v>
          </cell>
          <cell r="E254">
            <v>7.4</v>
          </cell>
          <cell r="F254">
            <v>748</v>
          </cell>
        </row>
        <row r="255">
          <cell r="A255">
            <v>1609</v>
          </cell>
          <cell r="B255" t="str">
            <v>70SF-1201A (BA)</v>
          </cell>
          <cell r="C255" t="str">
            <v>m</v>
          </cell>
          <cell r="D255">
            <v>258.14999999999998</v>
          </cell>
          <cell r="E255">
            <v>2.58</v>
          </cell>
          <cell r="F255">
            <v>261</v>
          </cell>
        </row>
        <row r="256">
          <cell r="A256">
            <v>1610</v>
          </cell>
          <cell r="B256" t="str">
            <v>70SF-1201B (BA)</v>
          </cell>
          <cell r="C256" t="str">
            <v>m</v>
          </cell>
          <cell r="D256">
            <v>258.14999999999998</v>
          </cell>
          <cell r="E256">
            <v>2.58</v>
          </cell>
          <cell r="F256">
            <v>260.5</v>
          </cell>
        </row>
        <row r="257">
          <cell r="A257">
            <v>1611</v>
          </cell>
          <cell r="B257" t="str">
            <v>DG-02 (BA)</v>
          </cell>
          <cell r="C257" t="str">
            <v>m</v>
          </cell>
          <cell r="D257">
            <v>233.6</v>
          </cell>
          <cell r="E257">
            <v>2.34</v>
          </cell>
          <cell r="F257">
            <v>236</v>
          </cell>
        </row>
        <row r="258">
          <cell r="A258">
            <v>1612</v>
          </cell>
          <cell r="B258" t="str">
            <v>DG-102 (BA)</v>
          </cell>
          <cell r="C258" t="str">
            <v>m</v>
          </cell>
          <cell r="D258">
            <v>208.52</v>
          </cell>
          <cell r="E258">
            <v>2.09</v>
          </cell>
          <cell r="F258">
            <v>210.5</v>
          </cell>
        </row>
        <row r="259">
          <cell r="A259">
            <v>1613</v>
          </cell>
          <cell r="B259" t="str">
            <v>CA-1001(BA)</v>
          </cell>
          <cell r="C259" t="str">
            <v>m</v>
          </cell>
          <cell r="D259">
            <v>579.51</v>
          </cell>
          <cell r="E259">
            <v>5.8</v>
          </cell>
          <cell r="F259">
            <v>585.5</v>
          </cell>
        </row>
        <row r="260">
          <cell r="A260">
            <v>1614</v>
          </cell>
          <cell r="B260" t="str">
            <v>CA-1002 (BA)</v>
          </cell>
          <cell r="C260" t="str">
            <v>m</v>
          </cell>
          <cell r="D260">
            <v>905.57</v>
          </cell>
          <cell r="E260">
            <v>9.06</v>
          </cell>
          <cell r="F260">
            <v>914.5</v>
          </cell>
        </row>
        <row r="261">
          <cell r="A261">
            <v>1615</v>
          </cell>
          <cell r="B261" t="str">
            <v>100D-1914 (BA)</v>
          </cell>
          <cell r="C261" t="str">
            <v>m</v>
          </cell>
          <cell r="D261">
            <v>127.07</v>
          </cell>
          <cell r="E261">
            <v>1.27</v>
          </cell>
          <cell r="F261">
            <v>128.5</v>
          </cell>
        </row>
        <row r="262">
          <cell r="A262">
            <v>1616</v>
          </cell>
          <cell r="B262" t="str">
            <v>CA-1007 (BA)</v>
          </cell>
          <cell r="C262" t="str">
            <v>m</v>
          </cell>
          <cell r="D262">
            <v>260.32</v>
          </cell>
          <cell r="E262">
            <v>2.6</v>
          </cell>
          <cell r="F262">
            <v>263</v>
          </cell>
        </row>
        <row r="263">
          <cell r="A263">
            <v>1617</v>
          </cell>
          <cell r="B263" t="str">
            <v>CA-1008 (BA)</v>
          </cell>
          <cell r="C263" t="str">
            <v>m</v>
          </cell>
          <cell r="D263">
            <v>441.8</v>
          </cell>
          <cell r="E263">
            <v>4.42</v>
          </cell>
          <cell r="F263">
            <v>446</v>
          </cell>
        </row>
        <row r="264">
          <cell r="A264">
            <v>1618</v>
          </cell>
          <cell r="B264" t="str">
            <v>CA-2005 (BA)</v>
          </cell>
          <cell r="C264" t="str">
            <v>m</v>
          </cell>
          <cell r="D264">
            <v>493.6</v>
          </cell>
          <cell r="E264">
            <v>4.9400000000000004</v>
          </cell>
          <cell r="F264">
            <v>498.5</v>
          </cell>
        </row>
        <row r="265">
          <cell r="A265">
            <v>1619</v>
          </cell>
          <cell r="B265" t="str">
            <v>A-111 (MF)</v>
          </cell>
          <cell r="C265" t="str">
            <v>m</v>
          </cell>
          <cell r="D265">
            <v>392.88</v>
          </cell>
          <cell r="E265">
            <v>3.93</v>
          </cell>
          <cell r="F265">
            <v>397</v>
          </cell>
        </row>
        <row r="266">
          <cell r="A266">
            <v>1620</v>
          </cell>
          <cell r="B266" t="str">
            <v>DG-01 (BA)</v>
          </cell>
          <cell r="C266" t="str">
            <v>m</v>
          </cell>
          <cell r="D266">
            <v>223.44</v>
          </cell>
          <cell r="E266">
            <v>2.23</v>
          </cell>
          <cell r="F266">
            <v>225.5</v>
          </cell>
        </row>
        <row r="267">
          <cell r="A267">
            <v>1621</v>
          </cell>
          <cell r="B267" t="str">
            <v>DG-101(BA)</v>
          </cell>
          <cell r="C267" t="str">
            <v>m</v>
          </cell>
          <cell r="D267">
            <v>192.46</v>
          </cell>
          <cell r="E267">
            <v>1.92</v>
          </cell>
          <cell r="F267">
            <v>194.5</v>
          </cell>
        </row>
        <row r="268">
          <cell r="A268">
            <v>1622</v>
          </cell>
          <cell r="B268" t="str">
            <v>CA-2004 (BA)</v>
          </cell>
          <cell r="C268" t="str">
            <v>m</v>
          </cell>
          <cell r="D268">
            <v>339.01</v>
          </cell>
          <cell r="E268">
            <v>3.39</v>
          </cell>
          <cell r="F268">
            <v>342.5</v>
          </cell>
        </row>
        <row r="269">
          <cell r="A269">
            <v>1623</v>
          </cell>
          <cell r="B269" t="str">
            <v>GL-107 (BA)</v>
          </cell>
          <cell r="C269" t="str">
            <v>m</v>
          </cell>
          <cell r="D269">
            <v>132.94999999999999</v>
          </cell>
          <cell r="E269">
            <v>1.33</v>
          </cell>
          <cell r="F269">
            <v>134.5</v>
          </cell>
        </row>
        <row r="270">
          <cell r="A270">
            <v>1624</v>
          </cell>
          <cell r="B270" t="str">
            <v>CA-1003 (BA)</v>
          </cell>
          <cell r="C270" t="str">
            <v>m</v>
          </cell>
          <cell r="D270">
            <v>358.69</v>
          </cell>
          <cell r="E270">
            <v>3.59</v>
          </cell>
          <cell r="F270">
            <v>362.5</v>
          </cell>
        </row>
        <row r="271">
          <cell r="A271">
            <v>1625</v>
          </cell>
          <cell r="B271" t="str">
            <v>CA-1004 (BA)</v>
          </cell>
          <cell r="C271" t="str">
            <v>m</v>
          </cell>
          <cell r="D271">
            <v>535.9</v>
          </cell>
          <cell r="E271">
            <v>5.36</v>
          </cell>
          <cell r="F271">
            <v>541.5</v>
          </cell>
        </row>
        <row r="272">
          <cell r="A272">
            <v>1626</v>
          </cell>
          <cell r="B272" t="str">
            <v>CA-2006 (BA)</v>
          </cell>
          <cell r="C272" t="str">
            <v>m</v>
          </cell>
          <cell r="D272">
            <v>501.31</v>
          </cell>
          <cell r="E272">
            <v>5.01</v>
          </cell>
          <cell r="F272">
            <v>506.5</v>
          </cell>
        </row>
        <row r="273">
          <cell r="A273">
            <v>1627</v>
          </cell>
          <cell r="B273" t="str">
            <v>DG-02 (BA)</v>
          </cell>
          <cell r="C273" t="str">
            <v>m</v>
          </cell>
          <cell r="D273">
            <v>233.6</v>
          </cell>
          <cell r="E273">
            <v>2.34</v>
          </cell>
          <cell r="F273">
            <v>236</v>
          </cell>
        </row>
        <row r="274">
          <cell r="A274">
            <v>1628</v>
          </cell>
          <cell r="B274" t="str">
            <v>DG-102(BA)</v>
          </cell>
          <cell r="C274" t="str">
            <v>m</v>
          </cell>
          <cell r="D274">
            <v>208.52</v>
          </cell>
          <cell r="E274">
            <v>2.09</v>
          </cell>
          <cell r="F274">
            <v>210.5</v>
          </cell>
        </row>
        <row r="275">
          <cell r="A275">
            <v>1629</v>
          </cell>
          <cell r="B275" t="str">
            <v>CA-1001 (BA)</v>
          </cell>
          <cell r="C275" t="str">
            <v>m</v>
          </cell>
          <cell r="D275">
            <v>579.51</v>
          </cell>
          <cell r="E275">
            <v>5.8</v>
          </cell>
          <cell r="F275">
            <v>585.5</v>
          </cell>
        </row>
        <row r="276">
          <cell r="A276">
            <v>1630</v>
          </cell>
          <cell r="B276" t="str">
            <v>CA-1002 (BA)</v>
          </cell>
          <cell r="C276" t="str">
            <v>m</v>
          </cell>
          <cell r="D276">
            <v>905.57</v>
          </cell>
          <cell r="E276">
            <v>9.06</v>
          </cell>
          <cell r="F276">
            <v>914.5</v>
          </cell>
        </row>
        <row r="277">
          <cell r="A277">
            <v>1631</v>
          </cell>
          <cell r="B277" t="str">
            <v>100D-3104 (BA)</v>
          </cell>
          <cell r="C277" t="str">
            <v>m</v>
          </cell>
          <cell r="D277">
            <v>613.69000000000005</v>
          </cell>
          <cell r="E277">
            <v>6.14</v>
          </cell>
          <cell r="F277">
            <v>620</v>
          </cell>
        </row>
        <row r="278">
          <cell r="A278">
            <v>1632</v>
          </cell>
          <cell r="B278" t="str">
            <v>100D-101 (BA)</v>
          </cell>
          <cell r="C278" t="str">
            <v>m</v>
          </cell>
          <cell r="D278">
            <v>838.31</v>
          </cell>
          <cell r="E278">
            <v>8.3800000000000008</v>
          </cell>
          <cell r="F278">
            <v>846.5</v>
          </cell>
        </row>
        <row r="279">
          <cell r="A279">
            <v>1633</v>
          </cell>
          <cell r="B279" t="str">
            <v>100D-102 (BA)</v>
          </cell>
          <cell r="C279" t="str">
            <v>m</v>
          </cell>
          <cell r="D279">
            <v>877.85</v>
          </cell>
          <cell r="E279">
            <v>8.7799999999999994</v>
          </cell>
          <cell r="F279">
            <v>886.5</v>
          </cell>
        </row>
        <row r="280">
          <cell r="A280">
            <v>1634</v>
          </cell>
          <cell r="B280" t="str">
            <v>100D-201 (BA)</v>
          </cell>
          <cell r="C280" t="str">
            <v>m</v>
          </cell>
          <cell r="D280">
            <v>811.69</v>
          </cell>
          <cell r="E280">
            <v>8.1199999999999992</v>
          </cell>
          <cell r="F280">
            <v>820</v>
          </cell>
        </row>
        <row r="281">
          <cell r="A281">
            <v>1635</v>
          </cell>
          <cell r="B281" t="str">
            <v>100D-301 (BA)</v>
          </cell>
          <cell r="C281" t="str">
            <v>m</v>
          </cell>
          <cell r="D281">
            <v>964</v>
          </cell>
          <cell r="E281">
            <v>9.64</v>
          </cell>
          <cell r="F281">
            <v>973.5</v>
          </cell>
        </row>
        <row r="282">
          <cell r="A282">
            <v>1636</v>
          </cell>
          <cell r="B282" t="str">
            <v>100D-401 (BA)</v>
          </cell>
          <cell r="C282" t="str">
            <v>m</v>
          </cell>
          <cell r="D282">
            <v>1067.69</v>
          </cell>
          <cell r="E282">
            <v>10.68</v>
          </cell>
          <cell r="F282">
            <v>1078.5</v>
          </cell>
        </row>
        <row r="283">
          <cell r="A283">
            <v>1637</v>
          </cell>
          <cell r="B283" t="str">
            <v>100D-501 (BA)</v>
          </cell>
          <cell r="C283" t="str">
            <v>m</v>
          </cell>
          <cell r="D283">
            <v>114.15</v>
          </cell>
          <cell r="E283">
            <v>1.1399999999999999</v>
          </cell>
          <cell r="F283">
            <v>115.5</v>
          </cell>
        </row>
        <row r="284">
          <cell r="A284">
            <v>1638</v>
          </cell>
          <cell r="B284" t="str">
            <v>70D-1910 (BA)</v>
          </cell>
          <cell r="C284" t="str">
            <v>m</v>
          </cell>
          <cell r="D284">
            <v>130.30000000000001</v>
          </cell>
          <cell r="E284">
            <v>1.3</v>
          </cell>
          <cell r="F284">
            <v>131.5</v>
          </cell>
        </row>
        <row r="285">
          <cell r="A285">
            <v>1639</v>
          </cell>
          <cell r="B285" t="str">
            <v>100D-3503A (BA)</v>
          </cell>
          <cell r="C285" t="str">
            <v>m</v>
          </cell>
          <cell r="D285">
            <v>607.69000000000005</v>
          </cell>
          <cell r="E285">
            <v>6.08</v>
          </cell>
          <cell r="F285">
            <v>613.5</v>
          </cell>
        </row>
        <row r="286">
          <cell r="A286">
            <v>1640</v>
          </cell>
          <cell r="B286" t="str">
            <v>100D-3004A (BA)</v>
          </cell>
          <cell r="C286" t="str">
            <v>m</v>
          </cell>
          <cell r="D286">
            <v>717.38</v>
          </cell>
          <cell r="E286">
            <v>7.17</v>
          </cell>
          <cell r="F286">
            <v>724.5</v>
          </cell>
        </row>
        <row r="287">
          <cell r="A287">
            <v>1641</v>
          </cell>
          <cell r="B287" t="str">
            <v>100D-3207 (BA)</v>
          </cell>
          <cell r="C287" t="str">
            <v>m</v>
          </cell>
          <cell r="D287">
            <v>934.92</v>
          </cell>
          <cell r="E287">
            <v>9.35</v>
          </cell>
          <cell r="F287">
            <v>944.5</v>
          </cell>
        </row>
        <row r="288">
          <cell r="A288">
            <v>1642</v>
          </cell>
          <cell r="B288" t="str">
            <v>100D-3503 (BA)</v>
          </cell>
          <cell r="C288" t="str">
            <v>m</v>
          </cell>
          <cell r="D288">
            <v>663.85</v>
          </cell>
          <cell r="E288">
            <v>6.64</v>
          </cell>
          <cell r="F288">
            <v>670.5</v>
          </cell>
        </row>
        <row r="289">
          <cell r="A289">
            <v>1643</v>
          </cell>
          <cell r="B289" t="str">
            <v>100D-1914 (BA)</v>
          </cell>
          <cell r="C289" t="str">
            <v>m</v>
          </cell>
          <cell r="D289">
            <v>127.07</v>
          </cell>
          <cell r="E289">
            <v>1.27</v>
          </cell>
          <cell r="F289">
            <v>128.5</v>
          </cell>
        </row>
        <row r="290">
          <cell r="A290">
            <v>1644</v>
          </cell>
          <cell r="B290" t="str">
            <v>100D-3203 (BA)</v>
          </cell>
          <cell r="C290" t="str">
            <v>m</v>
          </cell>
          <cell r="D290">
            <v>705.53</v>
          </cell>
          <cell r="E290">
            <v>7.06</v>
          </cell>
          <cell r="F290">
            <v>712.5</v>
          </cell>
        </row>
        <row r="291">
          <cell r="A291">
            <v>1645</v>
          </cell>
          <cell r="B291" t="str">
            <v>70S-1002-1(BA)</v>
          </cell>
          <cell r="C291" t="str">
            <v>m</v>
          </cell>
          <cell r="D291">
            <v>329.69</v>
          </cell>
          <cell r="E291">
            <v>3.3</v>
          </cell>
          <cell r="F291">
            <v>333</v>
          </cell>
        </row>
        <row r="292">
          <cell r="A292">
            <v>1646</v>
          </cell>
          <cell r="B292" t="str">
            <v>70S-1102-1 (BA)</v>
          </cell>
          <cell r="C292" t="str">
            <v>m</v>
          </cell>
          <cell r="D292">
            <v>241.23</v>
          </cell>
          <cell r="E292">
            <v>2.41</v>
          </cell>
          <cell r="F292">
            <v>243.5</v>
          </cell>
        </row>
        <row r="293">
          <cell r="A293">
            <v>1647</v>
          </cell>
          <cell r="B293" t="str">
            <v>70S-1202-1(BA)</v>
          </cell>
          <cell r="C293" t="str">
            <v>m</v>
          </cell>
          <cell r="D293">
            <v>241.23</v>
          </cell>
          <cell r="E293">
            <v>2.41</v>
          </cell>
          <cell r="F293">
            <v>243.5</v>
          </cell>
        </row>
        <row r="294">
          <cell r="A294">
            <v>1648</v>
          </cell>
          <cell r="B294" t="str">
            <v>70S-1704A (BA)</v>
          </cell>
          <cell r="C294" t="str">
            <v>m</v>
          </cell>
          <cell r="D294">
            <v>449.54</v>
          </cell>
          <cell r="E294">
            <v>4.5</v>
          </cell>
          <cell r="F294">
            <v>454</v>
          </cell>
        </row>
        <row r="295">
          <cell r="A295">
            <v>1649</v>
          </cell>
          <cell r="B295" t="str">
            <v>70S-1402-1 (BA)</v>
          </cell>
          <cell r="C295" t="str">
            <v>m</v>
          </cell>
          <cell r="D295">
            <v>304.92</v>
          </cell>
          <cell r="E295">
            <v>3.05</v>
          </cell>
          <cell r="F295">
            <v>308</v>
          </cell>
        </row>
        <row r="296">
          <cell r="A296">
            <v>1650</v>
          </cell>
          <cell r="B296" t="str">
            <v>70S-1801 (BA)</v>
          </cell>
          <cell r="C296" t="str">
            <v>m</v>
          </cell>
          <cell r="D296">
            <v>286.45999999999998</v>
          </cell>
          <cell r="E296">
            <v>2.86</v>
          </cell>
          <cell r="F296">
            <v>289.5</v>
          </cell>
        </row>
        <row r="297">
          <cell r="A297">
            <v>1651</v>
          </cell>
          <cell r="B297" t="str">
            <v>70S-1101-2 (BA)</v>
          </cell>
          <cell r="C297" t="str">
            <v>m</v>
          </cell>
          <cell r="D297">
            <v>475.07</v>
          </cell>
          <cell r="E297">
            <v>4.75</v>
          </cell>
          <cell r="F297">
            <v>480</v>
          </cell>
        </row>
        <row r="298">
          <cell r="A298">
            <v>1652</v>
          </cell>
          <cell r="B298" t="str">
            <v>70S-1001-1 (BA)</v>
          </cell>
          <cell r="C298" t="str">
            <v>m</v>
          </cell>
          <cell r="D298">
            <v>469.38</v>
          </cell>
          <cell r="E298">
            <v>4.6900000000000004</v>
          </cell>
          <cell r="F298">
            <v>474</v>
          </cell>
        </row>
        <row r="299">
          <cell r="A299">
            <v>1653</v>
          </cell>
          <cell r="B299" t="str">
            <v>70S-1704A (BA)</v>
          </cell>
          <cell r="C299" t="str">
            <v>m</v>
          </cell>
          <cell r="D299">
            <v>449.54</v>
          </cell>
          <cell r="E299">
            <v>4.5</v>
          </cell>
          <cell r="F299">
            <v>454</v>
          </cell>
        </row>
        <row r="300">
          <cell r="A300">
            <v>1654</v>
          </cell>
          <cell r="B300" t="str">
            <v>70S-1401-1 (BA)</v>
          </cell>
          <cell r="C300" t="str">
            <v>m</v>
          </cell>
          <cell r="D300">
            <v>312</v>
          </cell>
          <cell r="E300">
            <v>3.12</v>
          </cell>
          <cell r="F300">
            <v>315</v>
          </cell>
        </row>
        <row r="301">
          <cell r="A301">
            <v>1655</v>
          </cell>
          <cell r="B301" t="str">
            <v>70S-1201-1 (BA)</v>
          </cell>
          <cell r="C301" t="str">
            <v>m</v>
          </cell>
          <cell r="D301">
            <v>382</v>
          </cell>
          <cell r="E301">
            <v>3.82</v>
          </cell>
          <cell r="F301">
            <v>386</v>
          </cell>
        </row>
        <row r="302">
          <cell r="A302">
            <v>1656</v>
          </cell>
          <cell r="B302" t="str">
            <v>70S-1604 (BA)</v>
          </cell>
          <cell r="C302" t="str">
            <v>m</v>
          </cell>
          <cell r="D302">
            <v>373.85</v>
          </cell>
          <cell r="E302">
            <v>3.74</v>
          </cell>
          <cell r="F302">
            <v>377.5</v>
          </cell>
        </row>
        <row r="303">
          <cell r="A303">
            <v>1657</v>
          </cell>
          <cell r="B303" t="str">
            <v>70S-1801 (BA)</v>
          </cell>
          <cell r="C303" t="str">
            <v>m</v>
          </cell>
          <cell r="D303">
            <v>286.45999999999998</v>
          </cell>
          <cell r="E303">
            <v>2.86</v>
          </cell>
          <cell r="F303">
            <v>289.5</v>
          </cell>
        </row>
        <row r="304">
          <cell r="A304">
            <v>1658</v>
          </cell>
          <cell r="B304" t="str">
            <v>PT-5157 (BA)</v>
          </cell>
          <cell r="C304" t="str">
            <v>m</v>
          </cell>
          <cell r="D304">
            <v>312.45999999999998</v>
          </cell>
          <cell r="E304">
            <v>3.12</v>
          </cell>
          <cell r="F304">
            <v>315.5</v>
          </cell>
        </row>
        <row r="305">
          <cell r="A305">
            <v>1659</v>
          </cell>
          <cell r="B305" t="str">
            <v>PT-5158 (BA)</v>
          </cell>
          <cell r="C305" t="str">
            <v>m</v>
          </cell>
          <cell r="D305">
            <v>230.32</v>
          </cell>
          <cell r="E305">
            <v>2.2999999999999998</v>
          </cell>
          <cell r="F305">
            <v>232.5</v>
          </cell>
        </row>
        <row r="306">
          <cell r="A306">
            <v>1660</v>
          </cell>
          <cell r="B306" t="str">
            <v>PT-5153 (BA)</v>
          </cell>
          <cell r="C306" t="str">
            <v>m</v>
          </cell>
          <cell r="D306">
            <v>84.42</v>
          </cell>
          <cell r="E306">
            <v>0.84</v>
          </cell>
          <cell r="F306">
            <v>85.5</v>
          </cell>
        </row>
        <row r="307">
          <cell r="A307">
            <v>1661</v>
          </cell>
          <cell r="B307" t="str">
            <v>PT-5154 (BA)</v>
          </cell>
          <cell r="C307" t="str">
            <v>m</v>
          </cell>
          <cell r="D307">
            <v>171.97</v>
          </cell>
          <cell r="E307">
            <v>1.72</v>
          </cell>
          <cell r="F307">
            <v>173.5</v>
          </cell>
        </row>
        <row r="308">
          <cell r="A308">
            <v>1662</v>
          </cell>
          <cell r="B308" t="str">
            <v>A-110A (MF)</v>
          </cell>
          <cell r="C308" t="str">
            <v>m</v>
          </cell>
          <cell r="D308">
            <v>257.05</v>
          </cell>
          <cell r="E308">
            <v>2.57</v>
          </cell>
          <cell r="F308">
            <v>259.5</v>
          </cell>
        </row>
        <row r="309">
          <cell r="B309" t="str">
            <v>Aluminium Extrusions (Powder Coated)</v>
          </cell>
        </row>
        <row r="310">
          <cell r="A310">
            <v>1701</v>
          </cell>
          <cell r="B310" t="str">
            <v>70S-1101-1 (PC)</v>
          </cell>
          <cell r="C310" t="str">
            <v>m</v>
          </cell>
          <cell r="D310">
            <v>519.38</v>
          </cell>
          <cell r="E310">
            <v>5.19</v>
          </cell>
          <cell r="F310">
            <v>524.5</v>
          </cell>
        </row>
        <row r="311">
          <cell r="A311">
            <v>1702</v>
          </cell>
          <cell r="B311" t="str">
            <v>70S-1001-1 (PC)</v>
          </cell>
          <cell r="C311" t="str">
            <v>m</v>
          </cell>
          <cell r="D311">
            <v>531.23</v>
          </cell>
          <cell r="E311">
            <v>5.31</v>
          </cell>
          <cell r="F311">
            <v>536.5</v>
          </cell>
        </row>
        <row r="312">
          <cell r="A312">
            <v>1703</v>
          </cell>
          <cell r="B312" t="str">
            <v>70S-1201-1 (PC)</v>
          </cell>
          <cell r="C312" t="str">
            <v>m</v>
          </cell>
          <cell r="D312">
            <v>432.15</v>
          </cell>
          <cell r="E312">
            <v>4.32</v>
          </cell>
          <cell r="F312">
            <v>436.5</v>
          </cell>
        </row>
        <row r="313">
          <cell r="A313">
            <v>1704</v>
          </cell>
          <cell r="B313" t="str">
            <v>70S-1604 (PC)</v>
          </cell>
          <cell r="C313" t="str">
            <v>m</v>
          </cell>
          <cell r="D313">
            <v>422.92</v>
          </cell>
          <cell r="E313">
            <v>4.2300000000000004</v>
          </cell>
          <cell r="F313">
            <v>427</v>
          </cell>
        </row>
        <row r="314">
          <cell r="A314">
            <v>1705</v>
          </cell>
          <cell r="B314" t="str">
            <v>70S-1704 (PC)</v>
          </cell>
          <cell r="C314" t="str">
            <v>m</v>
          </cell>
          <cell r="D314">
            <v>399.23</v>
          </cell>
          <cell r="E314">
            <v>3.99</v>
          </cell>
          <cell r="F314">
            <v>403</v>
          </cell>
        </row>
        <row r="315">
          <cell r="A315">
            <v>1706</v>
          </cell>
          <cell r="B315" t="str">
            <v>70S-1503A (PC)</v>
          </cell>
          <cell r="C315" t="str">
            <v>m</v>
          </cell>
          <cell r="D315">
            <v>499.54</v>
          </cell>
          <cell r="E315">
            <v>5</v>
          </cell>
          <cell r="F315">
            <v>504.5</v>
          </cell>
        </row>
        <row r="316">
          <cell r="A316">
            <v>1707</v>
          </cell>
          <cell r="B316" t="str">
            <v>70S-1401-1 (PC)</v>
          </cell>
          <cell r="C316" t="str">
            <v>m</v>
          </cell>
          <cell r="D316">
            <v>353.23</v>
          </cell>
          <cell r="E316">
            <v>3.53</v>
          </cell>
          <cell r="F316">
            <v>357</v>
          </cell>
        </row>
        <row r="317">
          <cell r="A317">
            <v>1708</v>
          </cell>
          <cell r="B317" t="str">
            <v>70SF-1006 (PC)</v>
          </cell>
          <cell r="C317" t="str">
            <v>m</v>
          </cell>
          <cell r="D317">
            <v>838.15</v>
          </cell>
          <cell r="E317">
            <v>8.3800000000000008</v>
          </cell>
          <cell r="F317">
            <v>846.5</v>
          </cell>
        </row>
        <row r="318">
          <cell r="A318">
            <v>1709</v>
          </cell>
          <cell r="B318" t="str">
            <v>70SF-1201A (PC)</v>
          </cell>
          <cell r="C318" t="str">
            <v>m</v>
          </cell>
          <cell r="D318">
            <v>292.61</v>
          </cell>
          <cell r="E318">
            <v>2.93</v>
          </cell>
          <cell r="F318">
            <v>295.5</v>
          </cell>
        </row>
        <row r="319">
          <cell r="A319">
            <v>1710</v>
          </cell>
          <cell r="B319" t="str">
            <v>70SF-1201B (PC)</v>
          </cell>
          <cell r="C319" t="str">
            <v>m</v>
          </cell>
          <cell r="D319">
            <v>292.61</v>
          </cell>
          <cell r="E319">
            <v>2.93</v>
          </cell>
          <cell r="F319">
            <v>295.5</v>
          </cell>
        </row>
        <row r="320">
          <cell r="A320">
            <v>1711</v>
          </cell>
          <cell r="B320" t="str">
            <v>DG-02 (PC)</v>
          </cell>
          <cell r="C320" t="str">
            <v>m</v>
          </cell>
          <cell r="D320">
            <v>264.43</v>
          </cell>
          <cell r="E320">
            <v>2.64</v>
          </cell>
          <cell r="F320">
            <v>267</v>
          </cell>
        </row>
        <row r="321">
          <cell r="A321">
            <v>1712</v>
          </cell>
          <cell r="B321" t="str">
            <v>DG-102 (PC)</v>
          </cell>
          <cell r="C321" t="str">
            <v>m</v>
          </cell>
          <cell r="D321">
            <v>236.06</v>
          </cell>
          <cell r="E321">
            <v>2.36</v>
          </cell>
          <cell r="F321">
            <v>238.5</v>
          </cell>
        </row>
        <row r="322">
          <cell r="A322">
            <v>1713</v>
          </cell>
          <cell r="B322" t="str">
            <v>CA-1001(PC)</v>
          </cell>
          <cell r="C322" t="str">
            <v>m</v>
          </cell>
          <cell r="D322">
            <v>655.57</v>
          </cell>
          <cell r="E322">
            <v>6.56</v>
          </cell>
          <cell r="F322">
            <v>662</v>
          </cell>
        </row>
        <row r="323">
          <cell r="A323">
            <v>1714</v>
          </cell>
          <cell r="B323" t="str">
            <v>CA-1002 (PC)</v>
          </cell>
          <cell r="C323" t="str">
            <v>m</v>
          </cell>
          <cell r="D323">
            <v>1024.92</v>
          </cell>
          <cell r="E323">
            <v>10.25</v>
          </cell>
          <cell r="F323">
            <v>1035</v>
          </cell>
        </row>
        <row r="324">
          <cell r="A324">
            <v>1715</v>
          </cell>
          <cell r="B324" t="str">
            <v>100D-1914 (PC)</v>
          </cell>
          <cell r="C324" t="str">
            <v>m</v>
          </cell>
          <cell r="D324">
            <v>143.84</v>
          </cell>
          <cell r="E324">
            <v>1.44</v>
          </cell>
          <cell r="F324">
            <v>145.5</v>
          </cell>
        </row>
        <row r="325">
          <cell r="A325">
            <v>1716</v>
          </cell>
          <cell r="B325" t="str">
            <v>CA-1007 (PC)</v>
          </cell>
          <cell r="C325" t="str">
            <v>m</v>
          </cell>
          <cell r="D325">
            <v>294.75</v>
          </cell>
          <cell r="E325">
            <v>2.95</v>
          </cell>
          <cell r="F325">
            <v>297.5</v>
          </cell>
        </row>
        <row r="326">
          <cell r="A326">
            <v>1717</v>
          </cell>
          <cell r="B326" t="str">
            <v>CA-1008 (PC)</v>
          </cell>
          <cell r="C326" t="str">
            <v>m</v>
          </cell>
          <cell r="D326">
            <v>500.16</v>
          </cell>
          <cell r="E326">
            <v>5</v>
          </cell>
          <cell r="F326">
            <v>505</v>
          </cell>
        </row>
        <row r="327">
          <cell r="A327">
            <v>1718</v>
          </cell>
          <cell r="B327" t="str">
            <v>CA-2005 (PC)</v>
          </cell>
          <cell r="C327" t="str">
            <v>m</v>
          </cell>
          <cell r="D327">
            <v>558.85</v>
          </cell>
          <cell r="E327">
            <v>5.59</v>
          </cell>
          <cell r="F327">
            <v>564.5</v>
          </cell>
        </row>
        <row r="328">
          <cell r="A328">
            <v>1719</v>
          </cell>
          <cell r="B328" t="str">
            <v>A-111 (MF)</v>
          </cell>
          <cell r="C328" t="str">
            <v>m</v>
          </cell>
          <cell r="D328">
            <v>392.87</v>
          </cell>
          <cell r="E328">
            <v>3.93</v>
          </cell>
          <cell r="F328">
            <v>397</v>
          </cell>
        </row>
        <row r="329">
          <cell r="A329">
            <v>1720</v>
          </cell>
          <cell r="B329" t="str">
            <v>DG-01 (PC)</v>
          </cell>
          <cell r="C329" t="str">
            <v>m</v>
          </cell>
          <cell r="D329">
            <v>252.95</v>
          </cell>
          <cell r="E329">
            <v>2.5299999999999998</v>
          </cell>
          <cell r="F329">
            <v>255.5</v>
          </cell>
        </row>
        <row r="330">
          <cell r="A330">
            <v>1721</v>
          </cell>
          <cell r="B330" t="str">
            <v>DG-101(PC)</v>
          </cell>
          <cell r="C330" t="str">
            <v>m</v>
          </cell>
          <cell r="D330">
            <v>217.54</v>
          </cell>
          <cell r="E330">
            <v>2.1800000000000002</v>
          </cell>
          <cell r="F330">
            <v>219.5</v>
          </cell>
        </row>
        <row r="331">
          <cell r="A331">
            <v>1722</v>
          </cell>
          <cell r="B331" t="str">
            <v>CA-2004 (PC)</v>
          </cell>
          <cell r="C331" t="str">
            <v>m</v>
          </cell>
          <cell r="D331">
            <v>384.26</v>
          </cell>
          <cell r="E331">
            <v>3.84</v>
          </cell>
          <cell r="F331">
            <v>388</v>
          </cell>
        </row>
        <row r="332">
          <cell r="A332">
            <v>1723</v>
          </cell>
          <cell r="B332" t="str">
            <v>GL-107 (PC)</v>
          </cell>
          <cell r="C332" t="str">
            <v>m</v>
          </cell>
          <cell r="D332">
            <v>151.15</v>
          </cell>
          <cell r="E332">
            <v>1.51</v>
          </cell>
          <cell r="F332">
            <v>152.5</v>
          </cell>
        </row>
        <row r="333">
          <cell r="A333">
            <v>1724</v>
          </cell>
          <cell r="B333" t="str">
            <v>CA-1003 (PC)</v>
          </cell>
          <cell r="C333" t="str">
            <v>m</v>
          </cell>
          <cell r="D333">
            <v>405.74</v>
          </cell>
          <cell r="E333">
            <v>4.0599999999999996</v>
          </cell>
          <cell r="F333">
            <v>410</v>
          </cell>
        </row>
        <row r="334">
          <cell r="A334">
            <v>1725</v>
          </cell>
          <cell r="B334" t="str">
            <v>CA-1004 (PC)</v>
          </cell>
          <cell r="C334" t="str">
            <v>m</v>
          </cell>
          <cell r="D334">
            <v>606.72</v>
          </cell>
          <cell r="E334">
            <v>6.07</v>
          </cell>
          <cell r="F334">
            <v>613</v>
          </cell>
        </row>
        <row r="335">
          <cell r="A335">
            <v>1726</v>
          </cell>
          <cell r="B335" t="str">
            <v>CA-2006 (PC)</v>
          </cell>
          <cell r="C335" t="str">
            <v>m</v>
          </cell>
          <cell r="D335">
            <v>567.37</v>
          </cell>
          <cell r="E335">
            <v>5.67</v>
          </cell>
          <cell r="F335">
            <v>573</v>
          </cell>
        </row>
        <row r="336">
          <cell r="A336">
            <v>1727</v>
          </cell>
          <cell r="B336" t="str">
            <v>DG-02 (PC)</v>
          </cell>
          <cell r="C336" t="str">
            <v>m</v>
          </cell>
          <cell r="D336">
            <v>264.43</v>
          </cell>
          <cell r="E336">
            <v>2.64</v>
          </cell>
          <cell r="F336">
            <v>267</v>
          </cell>
        </row>
        <row r="337">
          <cell r="A337">
            <v>1728</v>
          </cell>
          <cell r="B337" t="str">
            <v>DG-102(PC)</v>
          </cell>
          <cell r="C337" t="str">
            <v>m</v>
          </cell>
          <cell r="D337">
            <v>236.06</v>
          </cell>
          <cell r="E337">
            <v>2.36</v>
          </cell>
          <cell r="F337">
            <v>238.5</v>
          </cell>
        </row>
        <row r="338">
          <cell r="A338">
            <v>1729</v>
          </cell>
          <cell r="B338" t="str">
            <v>CA-1001 (PC)</v>
          </cell>
          <cell r="C338" t="str">
            <v>m</v>
          </cell>
          <cell r="D338">
            <v>655.57</v>
          </cell>
          <cell r="E338">
            <v>6.56</v>
          </cell>
          <cell r="F338">
            <v>662</v>
          </cell>
        </row>
        <row r="339">
          <cell r="A339">
            <v>1730</v>
          </cell>
          <cell r="B339" t="str">
            <v>CA-1002 (PC)</v>
          </cell>
          <cell r="C339" t="str">
            <v>m</v>
          </cell>
          <cell r="D339">
            <v>1024.92</v>
          </cell>
          <cell r="E339">
            <v>10.25</v>
          </cell>
          <cell r="F339">
            <v>1035</v>
          </cell>
        </row>
        <row r="340">
          <cell r="A340">
            <v>1731</v>
          </cell>
          <cell r="B340" t="str">
            <v>100D-3104 (PC)</v>
          </cell>
          <cell r="C340" t="str">
            <v>m</v>
          </cell>
          <cell r="D340">
            <v>694.46</v>
          </cell>
          <cell r="E340">
            <v>6.94</v>
          </cell>
          <cell r="F340">
            <v>701.5</v>
          </cell>
        </row>
        <row r="341">
          <cell r="A341">
            <v>1732</v>
          </cell>
          <cell r="B341" t="str">
            <v>100D-101 (PC)</v>
          </cell>
          <cell r="C341" t="str">
            <v>m</v>
          </cell>
          <cell r="D341">
            <v>948.77</v>
          </cell>
          <cell r="E341">
            <v>9.49</v>
          </cell>
          <cell r="F341">
            <v>958.5</v>
          </cell>
        </row>
        <row r="342">
          <cell r="A342">
            <v>1733</v>
          </cell>
          <cell r="B342" t="str">
            <v>100D-102 (PC)</v>
          </cell>
          <cell r="C342" t="str">
            <v>m</v>
          </cell>
          <cell r="D342">
            <v>993.38</v>
          </cell>
          <cell r="E342">
            <v>9.93</v>
          </cell>
          <cell r="F342">
            <v>1003.5</v>
          </cell>
        </row>
        <row r="343">
          <cell r="A343">
            <v>1734</v>
          </cell>
          <cell r="B343" t="str">
            <v>100D-201 (PC)</v>
          </cell>
          <cell r="C343" t="str">
            <v>m</v>
          </cell>
          <cell r="D343">
            <v>918.31</v>
          </cell>
          <cell r="E343">
            <v>9.18</v>
          </cell>
          <cell r="F343">
            <v>927.5</v>
          </cell>
        </row>
        <row r="344">
          <cell r="A344">
            <v>1735</v>
          </cell>
          <cell r="B344" t="str">
            <v>100D-301 (PC)</v>
          </cell>
          <cell r="C344" t="str">
            <v>m</v>
          </cell>
          <cell r="D344">
            <v>1091.08</v>
          </cell>
          <cell r="E344">
            <v>10.91</v>
          </cell>
          <cell r="F344">
            <v>1102</v>
          </cell>
        </row>
        <row r="345">
          <cell r="A345">
            <v>1736</v>
          </cell>
          <cell r="B345" t="str">
            <v>100D-401 (PC)</v>
          </cell>
          <cell r="C345" t="str">
            <v>m</v>
          </cell>
          <cell r="D345">
            <v>1208</v>
          </cell>
          <cell r="E345">
            <v>12.08</v>
          </cell>
          <cell r="F345">
            <v>1220</v>
          </cell>
        </row>
        <row r="346">
          <cell r="A346">
            <v>1737</v>
          </cell>
          <cell r="B346" t="str">
            <v>100D-501 (PC)</v>
          </cell>
          <cell r="C346" t="str">
            <v>m</v>
          </cell>
          <cell r="D346">
            <v>129.08000000000001</v>
          </cell>
          <cell r="E346">
            <v>1.29</v>
          </cell>
          <cell r="F346">
            <v>137.5</v>
          </cell>
        </row>
        <row r="347">
          <cell r="A347">
            <v>1738</v>
          </cell>
          <cell r="B347" t="str">
            <v>70D-1910 (PC)</v>
          </cell>
          <cell r="C347" t="str">
            <v>m</v>
          </cell>
          <cell r="D347">
            <v>147.69</v>
          </cell>
          <cell r="E347">
            <v>1.48</v>
          </cell>
          <cell r="F347">
            <v>149</v>
          </cell>
        </row>
        <row r="348">
          <cell r="A348">
            <v>1739</v>
          </cell>
          <cell r="B348" t="str">
            <v>100D-3503A (PC)</v>
          </cell>
          <cell r="C348" t="str">
            <v>m</v>
          </cell>
          <cell r="D348">
            <v>688</v>
          </cell>
          <cell r="E348">
            <v>6.88</v>
          </cell>
          <cell r="F348">
            <v>695</v>
          </cell>
        </row>
        <row r="349">
          <cell r="A349">
            <v>1740</v>
          </cell>
          <cell r="B349" t="str">
            <v>100D-3004A (PC)</v>
          </cell>
          <cell r="C349" t="str">
            <v>m</v>
          </cell>
          <cell r="D349">
            <v>811.69</v>
          </cell>
          <cell r="E349">
            <v>8.1199999999999992</v>
          </cell>
          <cell r="F349">
            <v>820</v>
          </cell>
        </row>
        <row r="350">
          <cell r="A350">
            <v>1741</v>
          </cell>
          <cell r="B350" t="str">
            <v>100D-3207 (PC)</v>
          </cell>
          <cell r="C350" t="str">
            <v>m</v>
          </cell>
          <cell r="D350">
            <v>1057.8499999999999</v>
          </cell>
          <cell r="E350">
            <v>10.58</v>
          </cell>
          <cell r="F350">
            <v>1068.5</v>
          </cell>
        </row>
        <row r="351">
          <cell r="A351">
            <v>1742</v>
          </cell>
          <cell r="B351" t="str">
            <v>100D-3503 (PC)</v>
          </cell>
          <cell r="C351" t="str">
            <v>m</v>
          </cell>
          <cell r="D351">
            <v>750.92</v>
          </cell>
          <cell r="E351">
            <v>7.51</v>
          </cell>
          <cell r="F351">
            <v>758.5</v>
          </cell>
        </row>
        <row r="352">
          <cell r="A352">
            <v>1743</v>
          </cell>
          <cell r="B352" t="str">
            <v>100D-1914 (PC)</v>
          </cell>
          <cell r="C352" t="str">
            <v>m</v>
          </cell>
          <cell r="D352">
            <v>143.85</v>
          </cell>
          <cell r="E352">
            <v>1.44</v>
          </cell>
          <cell r="F352">
            <v>145.5</v>
          </cell>
        </row>
        <row r="353">
          <cell r="A353">
            <v>1744</v>
          </cell>
          <cell r="B353" t="str">
            <v>100D-3203 (PC)</v>
          </cell>
          <cell r="C353" t="str">
            <v>m</v>
          </cell>
          <cell r="D353">
            <v>798.46</v>
          </cell>
          <cell r="E353">
            <v>7.98</v>
          </cell>
          <cell r="F353">
            <v>806.5</v>
          </cell>
        </row>
        <row r="354">
          <cell r="A354">
            <v>1745</v>
          </cell>
          <cell r="B354" t="str">
            <v>70S-1002-1(PC)</v>
          </cell>
          <cell r="C354" t="str">
            <v>m</v>
          </cell>
          <cell r="D354">
            <v>372.77</v>
          </cell>
          <cell r="E354">
            <v>3.73</v>
          </cell>
          <cell r="F354">
            <v>376.5</v>
          </cell>
        </row>
        <row r="355">
          <cell r="A355">
            <v>1746</v>
          </cell>
          <cell r="B355" t="str">
            <v>70S-1102-1 (PC)</v>
          </cell>
          <cell r="C355" t="str">
            <v>m</v>
          </cell>
          <cell r="D355">
            <v>272.77</v>
          </cell>
          <cell r="E355">
            <v>2.73</v>
          </cell>
          <cell r="F355">
            <v>275.5</v>
          </cell>
        </row>
        <row r="356">
          <cell r="A356">
            <v>1747</v>
          </cell>
          <cell r="B356" t="str">
            <v>70S-1202-1(PC)</v>
          </cell>
          <cell r="C356" t="str">
            <v>m</v>
          </cell>
          <cell r="D356">
            <v>272.77</v>
          </cell>
          <cell r="E356">
            <v>2.73</v>
          </cell>
          <cell r="F356">
            <v>275.5</v>
          </cell>
        </row>
        <row r="357">
          <cell r="A357">
            <v>1748</v>
          </cell>
          <cell r="B357" t="str">
            <v>70S-1704A (PC)</v>
          </cell>
          <cell r="C357" t="str">
            <v>m</v>
          </cell>
          <cell r="D357">
            <v>508.46</v>
          </cell>
          <cell r="E357">
            <v>5.08</v>
          </cell>
          <cell r="F357">
            <v>513.5</v>
          </cell>
        </row>
        <row r="358">
          <cell r="A358">
            <v>1749</v>
          </cell>
          <cell r="B358" t="str">
            <v>70S-1402-1 (PC)</v>
          </cell>
          <cell r="C358" t="str">
            <v>m</v>
          </cell>
          <cell r="D358">
            <v>345.38</v>
          </cell>
          <cell r="E358">
            <v>3.45</v>
          </cell>
          <cell r="F358">
            <v>349</v>
          </cell>
        </row>
        <row r="359">
          <cell r="A359">
            <v>1750</v>
          </cell>
          <cell r="B359" t="str">
            <v>70S-1801 (PC)</v>
          </cell>
          <cell r="C359" t="str">
            <v>m</v>
          </cell>
          <cell r="D359">
            <v>324.14999999999998</v>
          </cell>
          <cell r="E359">
            <v>3.24</v>
          </cell>
          <cell r="F359">
            <v>327.5</v>
          </cell>
        </row>
        <row r="360">
          <cell r="A360">
            <v>1751</v>
          </cell>
          <cell r="B360" t="str">
            <v>70S-1101-2 (PC)</v>
          </cell>
          <cell r="C360" t="str">
            <v>m</v>
          </cell>
          <cell r="D360">
            <v>537.54</v>
          </cell>
          <cell r="E360">
            <v>5.38</v>
          </cell>
          <cell r="F360">
            <v>543</v>
          </cell>
        </row>
        <row r="361">
          <cell r="A361">
            <v>1752</v>
          </cell>
          <cell r="B361" t="str">
            <v>70S-1001-1 (PC)</v>
          </cell>
          <cell r="C361" t="str">
            <v>m</v>
          </cell>
          <cell r="D361">
            <v>531.23</v>
          </cell>
          <cell r="E361">
            <v>5.31</v>
          </cell>
          <cell r="F361">
            <v>536.5</v>
          </cell>
        </row>
        <row r="362">
          <cell r="A362">
            <v>1753</v>
          </cell>
          <cell r="B362" t="str">
            <v>70S-1704A (PC)</v>
          </cell>
          <cell r="C362" t="str">
            <v>m</v>
          </cell>
          <cell r="D362">
            <v>508.46</v>
          </cell>
          <cell r="E362">
            <v>5.08</v>
          </cell>
          <cell r="F362">
            <v>513.5</v>
          </cell>
        </row>
        <row r="363">
          <cell r="A363">
            <v>1754</v>
          </cell>
          <cell r="B363" t="str">
            <v>70S-1401-1 (PC)</v>
          </cell>
          <cell r="C363" t="str">
            <v>m</v>
          </cell>
          <cell r="D363">
            <v>353.23</v>
          </cell>
          <cell r="E363">
            <v>3.53</v>
          </cell>
          <cell r="F363">
            <v>357</v>
          </cell>
        </row>
        <row r="364">
          <cell r="A364">
            <v>1755</v>
          </cell>
          <cell r="B364" t="str">
            <v>70S-1201-1 (PC)</v>
          </cell>
          <cell r="C364" t="str">
            <v>m</v>
          </cell>
          <cell r="D364">
            <v>432.15</v>
          </cell>
          <cell r="E364">
            <v>4.32</v>
          </cell>
          <cell r="F364">
            <v>436.5</v>
          </cell>
        </row>
        <row r="365">
          <cell r="A365">
            <v>1756</v>
          </cell>
          <cell r="B365" t="str">
            <v>70S-1604 (PC)</v>
          </cell>
          <cell r="C365" t="str">
            <v>m</v>
          </cell>
          <cell r="D365">
            <v>422.92</v>
          </cell>
          <cell r="E365">
            <v>4.2300000000000004</v>
          </cell>
          <cell r="F365">
            <v>427</v>
          </cell>
        </row>
        <row r="366">
          <cell r="A366">
            <v>1757</v>
          </cell>
          <cell r="B366" t="str">
            <v>70S-1801 (PC)</v>
          </cell>
          <cell r="C366" t="str">
            <v>m</v>
          </cell>
          <cell r="D366">
            <v>324.14999999999998</v>
          </cell>
          <cell r="E366">
            <v>3.24</v>
          </cell>
          <cell r="F366">
            <v>327.5</v>
          </cell>
        </row>
        <row r="367">
          <cell r="A367">
            <v>1758</v>
          </cell>
          <cell r="B367" t="str">
            <v>PT-5157 (PC)</v>
          </cell>
          <cell r="C367" t="str">
            <v>m</v>
          </cell>
          <cell r="D367">
            <v>354.75</v>
          </cell>
          <cell r="E367">
            <v>3.55</v>
          </cell>
          <cell r="F367">
            <v>358.5</v>
          </cell>
        </row>
        <row r="368">
          <cell r="A368">
            <v>1759</v>
          </cell>
          <cell r="B368" t="str">
            <v>PT-5158 (PC)</v>
          </cell>
          <cell r="C368" t="str">
            <v>m</v>
          </cell>
          <cell r="D368">
            <v>264.10000000000002</v>
          </cell>
          <cell r="E368">
            <v>2.64</v>
          </cell>
          <cell r="F368">
            <v>267</v>
          </cell>
        </row>
        <row r="369">
          <cell r="A369">
            <v>1760</v>
          </cell>
          <cell r="B369" t="str">
            <v>PT-5153 (PC)</v>
          </cell>
          <cell r="C369" t="str">
            <v>m</v>
          </cell>
          <cell r="D369">
            <v>106.23</v>
          </cell>
          <cell r="E369">
            <v>1.06</v>
          </cell>
          <cell r="F369">
            <v>107.5</v>
          </cell>
        </row>
        <row r="370">
          <cell r="A370">
            <v>1761</v>
          </cell>
          <cell r="B370" t="str">
            <v>PT-5154 (PC)</v>
          </cell>
          <cell r="C370" t="str">
            <v>m</v>
          </cell>
          <cell r="D370">
            <v>194.75</v>
          </cell>
          <cell r="E370">
            <v>1.95</v>
          </cell>
          <cell r="F370">
            <v>196.5</v>
          </cell>
        </row>
        <row r="371">
          <cell r="A371">
            <v>1762</v>
          </cell>
          <cell r="B371" t="str">
            <v>A-110A (MF)</v>
          </cell>
          <cell r="C371" t="str">
            <v>m</v>
          </cell>
          <cell r="D371">
            <v>257.05</v>
          </cell>
          <cell r="E371">
            <v>2.57</v>
          </cell>
          <cell r="F371">
            <v>259.5</v>
          </cell>
        </row>
        <row r="372">
          <cell r="B372" t="str">
            <v>Accessories</v>
          </cell>
        </row>
        <row r="373">
          <cell r="A373">
            <v>1801</v>
          </cell>
          <cell r="B373" t="str">
            <v>Sliding lock</v>
          </cell>
          <cell r="C373" t="str">
            <v>Nr</v>
          </cell>
          <cell r="D373">
            <v>95</v>
          </cell>
          <cell r="E373">
            <v>0.95</v>
          </cell>
          <cell r="F373">
            <v>96</v>
          </cell>
        </row>
        <row r="374">
          <cell r="A374">
            <v>1802</v>
          </cell>
          <cell r="B374" t="str">
            <v>Roller-70mm</v>
          </cell>
          <cell r="C374" t="str">
            <v>Nr</v>
          </cell>
          <cell r="D374">
            <v>95</v>
          </cell>
          <cell r="E374">
            <v>0.95</v>
          </cell>
          <cell r="F374">
            <v>96</v>
          </cell>
        </row>
        <row r="375">
          <cell r="A375">
            <v>1803</v>
          </cell>
          <cell r="B375" t="str">
            <v>S.T. Screw - 1" No.8</v>
          </cell>
          <cell r="C375" t="str">
            <v>Nr</v>
          </cell>
          <cell r="D375">
            <v>2</v>
          </cell>
          <cell r="E375">
            <v>0.02</v>
          </cell>
          <cell r="F375">
            <v>2</v>
          </cell>
        </row>
        <row r="376">
          <cell r="A376">
            <v>1804</v>
          </cell>
          <cell r="B376" t="str">
            <v>Gasket</v>
          </cell>
          <cell r="C376" t="str">
            <v>m</v>
          </cell>
          <cell r="D376">
            <v>18</v>
          </cell>
          <cell r="E376">
            <v>0.18</v>
          </cell>
          <cell r="F376">
            <v>18.5</v>
          </cell>
        </row>
        <row r="377">
          <cell r="A377">
            <v>1805</v>
          </cell>
          <cell r="B377" t="str">
            <v>Wool felt</v>
          </cell>
          <cell r="C377" t="str">
            <v>m</v>
          </cell>
          <cell r="D377">
            <v>50.5</v>
          </cell>
          <cell r="E377">
            <v>0.51</v>
          </cell>
          <cell r="F377">
            <v>51</v>
          </cell>
        </row>
        <row r="378">
          <cell r="A378">
            <v>1806</v>
          </cell>
          <cell r="B378" t="str">
            <v>Pop rivet 5/32"x1/2"</v>
          </cell>
          <cell r="C378" t="str">
            <v>Nr</v>
          </cell>
          <cell r="D378">
            <v>1.3</v>
          </cell>
          <cell r="E378">
            <v>0.01</v>
          </cell>
          <cell r="F378">
            <v>1.3</v>
          </cell>
        </row>
        <row r="379">
          <cell r="A379">
            <v>1807</v>
          </cell>
          <cell r="B379" t="str">
            <v>Plastic guide</v>
          </cell>
          <cell r="C379" t="str">
            <v>Nr</v>
          </cell>
          <cell r="D379">
            <v>1.7</v>
          </cell>
          <cell r="E379">
            <v>0.02</v>
          </cell>
          <cell r="F379">
            <v>1.75</v>
          </cell>
        </row>
        <row r="380">
          <cell r="A380">
            <v>1808</v>
          </cell>
          <cell r="B380" t="str">
            <v>Cap 3/8" dia.</v>
          </cell>
          <cell r="C380" t="str">
            <v>Nr</v>
          </cell>
          <cell r="D380">
            <v>2.75</v>
          </cell>
          <cell r="E380">
            <v>0.03</v>
          </cell>
          <cell r="F380">
            <v>2.75</v>
          </cell>
        </row>
        <row r="381">
          <cell r="A381">
            <v>1809</v>
          </cell>
          <cell r="B381" t="str">
            <v>S.T. Screw - 2" No.8</v>
          </cell>
          <cell r="C381" t="str">
            <v>Nr</v>
          </cell>
          <cell r="D381">
            <v>35</v>
          </cell>
          <cell r="E381">
            <v>0.35</v>
          </cell>
          <cell r="F381">
            <v>35.5</v>
          </cell>
        </row>
        <row r="382">
          <cell r="A382">
            <v>1810</v>
          </cell>
          <cell r="B382" t="str">
            <v>Casement lock</v>
          </cell>
          <cell r="C382" t="str">
            <v>Nr</v>
          </cell>
          <cell r="D382">
            <v>165</v>
          </cell>
          <cell r="E382">
            <v>1.65</v>
          </cell>
          <cell r="F382">
            <v>166.5</v>
          </cell>
        </row>
        <row r="383">
          <cell r="A383">
            <v>1811</v>
          </cell>
          <cell r="B383" t="str">
            <v>Bar hinges</v>
          </cell>
          <cell r="C383" t="str">
            <v>Pair</v>
          </cell>
          <cell r="D383">
            <v>440</v>
          </cell>
          <cell r="E383">
            <v>4.4000000000000004</v>
          </cell>
          <cell r="F383">
            <v>444.5</v>
          </cell>
        </row>
        <row r="384">
          <cell r="A384">
            <v>1812</v>
          </cell>
          <cell r="B384" t="str">
            <v>Weather strip</v>
          </cell>
          <cell r="C384" t="str">
            <v>m</v>
          </cell>
          <cell r="D384">
            <v>42</v>
          </cell>
          <cell r="E384">
            <v>0.42</v>
          </cell>
          <cell r="F384">
            <v>42.5</v>
          </cell>
        </row>
        <row r="385">
          <cell r="A385">
            <v>1813</v>
          </cell>
          <cell r="B385" t="str">
            <v>Pop rivet 3/16"x1/2"</v>
          </cell>
          <cell r="C385" t="str">
            <v>Nr</v>
          </cell>
          <cell r="D385">
            <v>2.25</v>
          </cell>
          <cell r="E385">
            <v>0.02</v>
          </cell>
          <cell r="F385">
            <v>2.5</v>
          </cell>
        </row>
        <row r="386">
          <cell r="A386">
            <v>1814</v>
          </cell>
          <cell r="B386" t="str">
            <v>S.T. Screw - No.8 x 1/2'</v>
          </cell>
          <cell r="C386" t="str">
            <v>Nr</v>
          </cell>
          <cell r="D386">
            <v>1.5</v>
          </cell>
          <cell r="E386">
            <v>0.02</v>
          </cell>
          <cell r="F386">
            <v>1.5</v>
          </cell>
        </row>
        <row r="387">
          <cell r="A387">
            <v>1815</v>
          </cell>
          <cell r="B387" t="str">
            <v>Door lock</v>
          </cell>
          <cell r="C387" t="str">
            <v>Nr</v>
          </cell>
          <cell r="D387">
            <v>895</v>
          </cell>
          <cell r="E387">
            <v>8.9499999999999993</v>
          </cell>
          <cell r="F387">
            <v>904</v>
          </cell>
        </row>
        <row r="388">
          <cell r="A388">
            <v>1816</v>
          </cell>
          <cell r="B388" t="str">
            <v>Butt hinge</v>
          </cell>
          <cell r="C388" t="str">
            <v>Nr</v>
          </cell>
          <cell r="D388">
            <v>100</v>
          </cell>
          <cell r="E388">
            <v>1</v>
          </cell>
          <cell r="F388">
            <v>101</v>
          </cell>
        </row>
        <row r="389">
          <cell r="A389">
            <v>1817</v>
          </cell>
          <cell r="B389" t="str">
            <v>Door handle with cap nut</v>
          </cell>
          <cell r="C389" t="str">
            <v>Pair</v>
          </cell>
          <cell r="D389">
            <v>1074</v>
          </cell>
          <cell r="E389">
            <v>10.74</v>
          </cell>
          <cell r="F389">
            <v>1085</v>
          </cell>
        </row>
        <row r="390">
          <cell r="A390">
            <v>1818</v>
          </cell>
          <cell r="B390" t="str">
            <v>Rivert (C Sk) 5/32"x1/2"</v>
          </cell>
          <cell r="C390" t="str">
            <v>Nr</v>
          </cell>
          <cell r="D390">
            <v>1.25</v>
          </cell>
          <cell r="E390">
            <v>0.01</v>
          </cell>
          <cell r="F390">
            <v>1.25</v>
          </cell>
        </row>
        <row r="391">
          <cell r="A391">
            <v>1819</v>
          </cell>
          <cell r="B391" t="str">
            <v>Threaded bar with nut</v>
          </cell>
          <cell r="C391" t="str">
            <v>m</v>
          </cell>
          <cell r="D391">
            <v>224</v>
          </cell>
          <cell r="E391">
            <v>2.2400000000000002</v>
          </cell>
          <cell r="F391">
            <v>226.5</v>
          </cell>
        </row>
        <row r="392">
          <cell r="A392">
            <v>1820</v>
          </cell>
          <cell r="B392" t="str">
            <v>Door closer</v>
          </cell>
          <cell r="C392" t="str">
            <v>Nr</v>
          </cell>
          <cell r="D392">
            <v>2250</v>
          </cell>
          <cell r="E392">
            <v>22.5</v>
          </cell>
          <cell r="F392">
            <v>2272.5</v>
          </cell>
        </row>
        <row r="393">
          <cell r="A393">
            <v>1821</v>
          </cell>
          <cell r="B393" t="str">
            <v>Pop rivet 1/8"x1/2"</v>
          </cell>
          <cell r="C393" t="str">
            <v>Nr</v>
          </cell>
          <cell r="D393">
            <v>1.25</v>
          </cell>
          <cell r="E393">
            <v>0.01</v>
          </cell>
          <cell r="F393">
            <v>1.25</v>
          </cell>
        </row>
        <row r="394">
          <cell r="A394">
            <v>1822</v>
          </cell>
          <cell r="B394" t="str">
            <v>G. I. Channel</v>
          </cell>
          <cell r="C394" t="str">
            <v>m</v>
          </cell>
          <cell r="D394">
            <v>168</v>
          </cell>
          <cell r="E394">
            <v>1.68</v>
          </cell>
          <cell r="F394">
            <v>169.5</v>
          </cell>
        </row>
        <row r="395">
          <cell r="A395">
            <v>1823</v>
          </cell>
          <cell r="B395" t="str">
            <v>White board, chip board or melamine board</v>
          </cell>
          <cell r="C395" t="str">
            <v>m2</v>
          </cell>
          <cell r="D395">
            <v>253</v>
          </cell>
          <cell r="E395">
            <v>2.5299999999999998</v>
          </cell>
          <cell r="F395">
            <v>255.5</v>
          </cell>
        </row>
        <row r="396">
          <cell r="B396" t="str">
            <v>Glazier</v>
          </cell>
        </row>
        <row r="397">
          <cell r="A397">
            <v>1901</v>
          </cell>
          <cell r="B397" t="str">
            <v>5mm thick figured glass panes</v>
          </cell>
          <cell r="C397" t="str">
            <v>m2</v>
          </cell>
          <cell r="D397">
            <v>1184</v>
          </cell>
          <cell r="E397">
            <v>11.84</v>
          </cell>
          <cell r="F397">
            <v>1196</v>
          </cell>
        </row>
        <row r="398">
          <cell r="A398">
            <v>1902</v>
          </cell>
          <cell r="B398" t="str">
            <v>3mm thick figured glass panes</v>
          </cell>
          <cell r="C398" t="str">
            <v>m2</v>
          </cell>
          <cell r="D398">
            <v>592</v>
          </cell>
          <cell r="E398">
            <v>5.92</v>
          </cell>
          <cell r="F398">
            <v>598</v>
          </cell>
        </row>
        <row r="399">
          <cell r="A399">
            <v>1903</v>
          </cell>
          <cell r="B399" t="str">
            <v>5mm thick clear glass panes</v>
          </cell>
          <cell r="C399" t="str">
            <v>m2</v>
          </cell>
          <cell r="D399">
            <v>861</v>
          </cell>
          <cell r="E399">
            <v>8.61</v>
          </cell>
          <cell r="F399">
            <v>869.5</v>
          </cell>
        </row>
        <row r="400">
          <cell r="A400">
            <v>1904</v>
          </cell>
          <cell r="B400" t="str">
            <v>3mm thick clear glass panes</v>
          </cell>
          <cell r="C400" t="str">
            <v>m2</v>
          </cell>
          <cell r="D400">
            <v>646</v>
          </cell>
          <cell r="E400">
            <v>6.46</v>
          </cell>
          <cell r="F400">
            <v>652.5</v>
          </cell>
        </row>
        <row r="401">
          <cell r="A401">
            <v>1905</v>
          </cell>
          <cell r="B401" t="str">
            <v>5mm thick tinted glass panes</v>
          </cell>
          <cell r="C401" t="str">
            <v>m2</v>
          </cell>
          <cell r="D401">
            <v>1140</v>
          </cell>
          <cell r="E401">
            <v>11.4</v>
          </cell>
          <cell r="F401">
            <v>1151.5</v>
          </cell>
        </row>
        <row r="402">
          <cell r="A402">
            <v>1906</v>
          </cell>
          <cell r="B402" t="str">
            <v>3mm thick tinted glass panes</v>
          </cell>
          <cell r="C402" t="str">
            <v>m2</v>
          </cell>
          <cell r="D402">
            <v>750</v>
          </cell>
          <cell r="E402">
            <v>7.5</v>
          </cell>
          <cell r="F402">
            <v>757.5</v>
          </cell>
        </row>
        <row r="403">
          <cell r="A403">
            <v>1907</v>
          </cell>
          <cell r="B403" t="str">
            <v>12mmx12mm teak beading</v>
          </cell>
          <cell r="C403" t="str">
            <v>m</v>
          </cell>
          <cell r="D403">
            <v>5</v>
          </cell>
          <cell r="E403">
            <v>0.05</v>
          </cell>
          <cell r="F403">
            <v>5</v>
          </cell>
        </row>
        <row r="404">
          <cell r="B404" t="str">
            <v>Plasterer</v>
          </cell>
          <cell r="F404">
            <v>0</v>
          </cell>
        </row>
        <row r="405">
          <cell r="A405">
            <v>2001</v>
          </cell>
          <cell r="B405" t="str">
            <v>Lime</v>
          </cell>
          <cell r="C405" t="str">
            <v>kg</v>
          </cell>
          <cell r="D405">
            <v>20</v>
          </cell>
          <cell r="E405">
            <v>0.2</v>
          </cell>
          <cell r="F405">
            <v>20.5</v>
          </cell>
        </row>
        <row r="406">
          <cell r="B406" t="str">
            <v>Plumber</v>
          </cell>
        </row>
        <row r="407">
          <cell r="A407">
            <v>2101</v>
          </cell>
          <cell r="B407" t="str">
            <v>12mm (1/2") ball valve - Brass</v>
          </cell>
          <cell r="C407" t="str">
            <v>Nr</v>
          </cell>
          <cell r="D407">
            <v>401.79</v>
          </cell>
          <cell r="E407">
            <v>4.0199999999999996</v>
          </cell>
          <cell r="F407">
            <v>530.5</v>
          </cell>
        </row>
        <row r="408">
          <cell r="A408">
            <v>2102</v>
          </cell>
          <cell r="B408" t="str">
            <v>12mm (1/2") ball valve - PVC</v>
          </cell>
          <cell r="C408" t="str">
            <v>Nr</v>
          </cell>
          <cell r="D408">
            <v>95</v>
          </cell>
          <cell r="E408">
            <v>0.95</v>
          </cell>
          <cell r="F408">
            <v>96</v>
          </cell>
        </row>
        <row r="409">
          <cell r="A409">
            <v>2103</v>
          </cell>
          <cell r="B409" t="str">
            <v>20mm (3/4") ball valve - Brass</v>
          </cell>
          <cell r="C409" t="str">
            <v>Nr</v>
          </cell>
          <cell r="D409">
            <v>513.39</v>
          </cell>
          <cell r="E409">
            <v>5.13</v>
          </cell>
          <cell r="F409">
            <v>518.52</v>
          </cell>
        </row>
        <row r="410">
          <cell r="A410">
            <v>2104</v>
          </cell>
          <cell r="B410" t="str">
            <v>20mm (3/4") ball valve - PVC</v>
          </cell>
          <cell r="C410" t="str">
            <v>Nr</v>
          </cell>
          <cell r="D410">
            <v>140</v>
          </cell>
          <cell r="E410">
            <v>1.4</v>
          </cell>
          <cell r="F410">
            <v>141.5</v>
          </cell>
        </row>
        <row r="411">
          <cell r="A411">
            <v>2105</v>
          </cell>
          <cell r="B411" t="str">
            <v>25mm (1") ball valve - Brass</v>
          </cell>
          <cell r="C411" t="str">
            <v>Nr</v>
          </cell>
          <cell r="D411">
            <v>848.21</v>
          </cell>
          <cell r="E411">
            <v>8.48</v>
          </cell>
          <cell r="F411">
            <v>856.69</v>
          </cell>
        </row>
        <row r="412">
          <cell r="A412">
            <v>2106</v>
          </cell>
          <cell r="B412" t="str">
            <v>25mm (1") ball valve - PVC</v>
          </cell>
          <cell r="C412" t="str">
            <v>Nr</v>
          </cell>
          <cell r="D412">
            <v>190</v>
          </cell>
          <cell r="E412">
            <v>1.9</v>
          </cell>
          <cell r="F412">
            <v>192</v>
          </cell>
        </row>
        <row r="413">
          <cell r="A413">
            <v>2107</v>
          </cell>
          <cell r="B413" t="str">
            <v>38mm (1 1/2") ball valve - Brass</v>
          </cell>
          <cell r="C413" t="str">
            <v>Nr</v>
          </cell>
          <cell r="D413">
            <v>2053.5700000000002</v>
          </cell>
          <cell r="E413">
            <v>20.54</v>
          </cell>
          <cell r="F413">
            <v>2074.11</v>
          </cell>
        </row>
        <row r="414">
          <cell r="A414">
            <v>2108</v>
          </cell>
          <cell r="B414" t="str">
            <v>38mm (1 1/2") ball valve - PVC</v>
          </cell>
          <cell r="C414" t="str">
            <v>Nr</v>
          </cell>
          <cell r="D414">
            <v>495</v>
          </cell>
          <cell r="E414">
            <v>4.95</v>
          </cell>
          <cell r="F414">
            <v>500</v>
          </cell>
        </row>
        <row r="415">
          <cell r="A415">
            <v>2109</v>
          </cell>
          <cell r="B415" t="str">
            <v>12mm (1/2") bib tap - Brass</v>
          </cell>
          <cell r="C415" t="str">
            <v>Nr</v>
          </cell>
          <cell r="D415">
            <v>1250</v>
          </cell>
          <cell r="E415">
            <v>12.5</v>
          </cell>
          <cell r="F415">
            <v>1262.5</v>
          </cell>
        </row>
        <row r="416">
          <cell r="A416">
            <v>2110</v>
          </cell>
          <cell r="B416" t="str">
            <v>12mm (1/2") bib tap - Chromium Plated</v>
          </cell>
          <cell r="C416" t="str">
            <v>Nr</v>
          </cell>
          <cell r="D416">
            <v>1750</v>
          </cell>
          <cell r="E416">
            <v>17.5</v>
          </cell>
          <cell r="F416">
            <v>1767.5</v>
          </cell>
        </row>
        <row r="417">
          <cell r="A417">
            <v>2111</v>
          </cell>
          <cell r="B417" t="str">
            <v>12mm (1/2") bib tap - PVC</v>
          </cell>
          <cell r="C417" t="str">
            <v>Nr</v>
          </cell>
          <cell r="D417">
            <v>90</v>
          </cell>
          <cell r="E417">
            <v>0.9</v>
          </cell>
          <cell r="F417">
            <v>91</v>
          </cell>
        </row>
        <row r="418">
          <cell r="A418">
            <v>2112</v>
          </cell>
          <cell r="B418" t="str">
            <v>12mm (1/2") gate valve - Brass</v>
          </cell>
          <cell r="C418" t="str">
            <v>Nr</v>
          </cell>
          <cell r="D418">
            <v>500</v>
          </cell>
          <cell r="E418">
            <v>5</v>
          </cell>
          <cell r="F418">
            <v>505</v>
          </cell>
        </row>
        <row r="419">
          <cell r="A419">
            <v>2113</v>
          </cell>
          <cell r="B419" t="str">
            <v>12mm (1/2") gate valve - PVC</v>
          </cell>
          <cell r="C419" t="str">
            <v>Nr</v>
          </cell>
          <cell r="D419">
            <v>90</v>
          </cell>
          <cell r="E419">
            <v>0.9</v>
          </cell>
          <cell r="F419">
            <v>91</v>
          </cell>
        </row>
        <row r="420">
          <cell r="A420">
            <v>2114</v>
          </cell>
          <cell r="B420" t="str">
            <v>20mm (3/4") gate valve - Brass</v>
          </cell>
          <cell r="C420" t="str">
            <v>Nr</v>
          </cell>
          <cell r="D420">
            <v>625</v>
          </cell>
          <cell r="E420">
            <v>6.25</v>
          </cell>
          <cell r="F420">
            <v>631.5</v>
          </cell>
        </row>
        <row r="421">
          <cell r="A421">
            <v>2115</v>
          </cell>
          <cell r="B421" t="str">
            <v>20mm (3/4") gate valve - PVC</v>
          </cell>
          <cell r="C421" t="str">
            <v>Nr</v>
          </cell>
          <cell r="D421">
            <v>165</v>
          </cell>
          <cell r="E421">
            <v>1.65</v>
          </cell>
          <cell r="F421">
            <v>166.5</v>
          </cell>
        </row>
        <row r="422">
          <cell r="A422">
            <v>2116</v>
          </cell>
          <cell r="B422" t="str">
            <v>25mm (1") gate valve - Brass</v>
          </cell>
          <cell r="C422" t="str">
            <v>Nr</v>
          </cell>
          <cell r="D422">
            <v>1000</v>
          </cell>
          <cell r="E422">
            <v>10</v>
          </cell>
          <cell r="F422">
            <v>1010</v>
          </cell>
        </row>
        <row r="423">
          <cell r="A423">
            <v>2117</v>
          </cell>
          <cell r="B423" t="str">
            <v>25mm (1") gate valve - PVC</v>
          </cell>
          <cell r="C423" t="str">
            <v>Nr</v>
          </cell>
          <cell r="D423">
            <v>185</v>
          </cell>
          <cell r="E423">
            <v>1.85</v>
          </cell>
          <cell r="F423">
            <v>187</v>
          </cell>
        </row>
        <row r="424">
          <cell r="A424">
            <v>2118</v>
          </cell>
          <cell r="B424" t="str">
            <v>38mm (1 1/2") gate valve - Brass</v>
          </cell>
          <cell r="C424" t="str">
            <v>Nr</v>
          </cell>
          <cell r="D424">
            <v>1500</v>
          </cell>
          <cell r="E424">
            <v>15</v>
          </cell>
          <cell r="F424">
            <v>1515</v>
          </cell>
        </row>
        <row r="425">
          <cell r="A425">
            <v>2119</v>
          </cell>
          <cell r="B425" t="str">
            <v>38mm (1 1/2") gate valve - PVC</v>
          </cell>
          <cell r="C425" t="str">
            <v>Nr</v>
          </cell>
          <cell r="D425">
            <v>410</v>
          </cell>
          <cell r="E425">
            <v>4.0999999999999996</v>
          </cell>
          <cell r="F425">
            <v>414</v>
          </cell>
        </row>
        <row r="426">
          <cell r="A426">
            <v>2120</v>
          </cell>
          <cell r="B426" t="str">
            <v>20mm (1/2") Type 1000 PVC pipes</v>
          </cell>
          <cell r="C426" t="str">
            <v>m</v>
          </cell>
          <cell r="D426">
            <v>45.75</v>
          </cell>
          <cell r="E426">
            <v>0.46</v>
          </cell>
          <cell r="F426">
            <v>46</v>
          </cell>
        </row>
        <row r="427">
          <cell r="A427">
            <v>2121</v>
          </cell>
          <cell r="B427" t="str">
            <v>20mm (1/2") Type 600 PVC pipes</v>
          </cell>
          <cell r="C427" t="str">
            <v>m</v>
          </cell>
          <cell r="D427" t="str">
            <v>…</v>
          </cell>
        </row>
        <row r="428">
          <cell r="A428">
            <v>2122</v>
          </cell>
          <cell r="B428" t="str">
            <v>20mm (1/2") Type 400 PVC pipes</v>
          </cell>
          <cell r="C428" t="str">
            <v>m</v>
          </cell>
          <cell r="D428" t="str">
            <v>….</v>
          </cell>
        </row>
        <row r="429">
          <cell r="A429">
            <v>2123</v>
          </cell>
          <cell r="B429" t="str">
            <v>25mm (3/4") Type 1000 PVC pipes</v>
          </cell>
          <cell r="C429" t="str">
            <v>m</v>
          </cell>
          <cell r="D429">
            <v>115.25</v>
          </cell>
          <cell r="E429">
            <v>1.1499999999999999</v>
          </cell>
          <cell r="F429">
            <v>101.5</v>
          </cell>
        </row>
        <row r="430">
          <cell r="A430">
            <v>2124</v>
          </cell>
          <cell r="B430" t="str">
            <v>25mm (3/4") Type 600 PVC pipes</v>
          </cell>
          <cell r="C430" t="str">
            <v>m</v>
          </cell>
          <cell r="D430" t="str">
            <v>….</v>
          </cell>
        </row>
        <row r="431">
          <cell r="A431">
            <v>2125</v>
          </cell>
          <cell r="B431" t="str">
            <v>25mm (3/4") Type 400 PVC pipes</v>
          </cell>
          <cell r="C431" t="str">
            <v>m</v>
          </cell>
          <cell r="D431" t="str">
            <v>…..</v>
          </cell>
        </row>
        <row r="432">
          <cell r="A432">
            <v>2126</v>
          </cell>
          <cell r="B432" t="str">
            <v>32mm (1") Type 1000 PVC pipes</v>
          </cell>
          <cell r="C432" t="str">
            <v>m</v>
          </cell>
          <cell r="D432">
            <v>181.25</v>
          </cell>
          <cell r="E432">
            <v>1.81</v>
          </cell>
          <cell r="F432">
            <v>165.5</v>
          </cell>
        </row>
        <row r="433">
          <cell r="A433">
            <v>2127</v>
          </cell>
          <cell r="B433" t="str">
            <v>32mm (1") Type 600 PVC pipes</v>
          </cell>
          <cell r="C433" t="str">
            <v>m</v>
          </cell>
          <cell r="D433">
            <v>82</v>
          </cell>
          <cell r="E433">
            <v>0.82</v>
          </cell>
          <cell r="F433">
            <v>80.5</v>
          </cell>
        </row>
        <row r="434">
          <cell r="A434">
            <v>2128</v>
          </cell>
          <cell r="B434" t="str">
            <v>32mm (1") Type 400 PVC pipes</v>
          </cell>
          <cell r="C434" t="str">
            <v>m</v>
          </cell>
          <cell r="D434" t="str">
            <v>….</v>
          </cell>
        </row>
        <row r="435">
          <cell r="A435">
            <v>2129</v>
          </cell>
          <cell r="B435" t="str">
            <v>40mm (1 1/4") Type 1000 PVC pipes</v>
          </cell>
          <cell r="C435" t="str">
            <v>m</v>
          </cell>
          <cell r="D435">
            <v>245</v>
          </cell>
          <cell r="E435">
            <v>2.4500000000000002</v>
          </cell>
          <cell r="F435">
            <v>223.5</v>
          </cell>
        </row>
        <row r="436">
          <cell r="A436">
            <v>2130</v>
          </cell>
          <cell r="B436" t="str">
            <v>40mm (1 1/4") Type 600 PVC pipes</v>
          </cell>
          <cell r="C436" t="str">
            <v>m</v>
          </cell>
          <cell r="D436">
            <v>189.5</v>
          </cell>
          <cell r="E436">
            <v>1.9</v>
          </cell>
          <cell r="F436">
            <v>156.5</v>
          </cell>
        </row>
        <row r="437">
          <cell r="A437">
            <v>2131</v>
          </cell>
          <cell r="B437" t="str">
            <v>40mm (1 1/4") Type 400 PVC pipes</v>
          </cell>
          <cell r="C437" t="str">
            <v>m</v>
          </cell>
          <cell r="D437" t="str">
            <v>…..</v>
          </cell>
        </row>
        <row r="438">
          <cell r="A438">
            <v>2132</v>
          </cell>
          <cell r="B438" t="str">
            <v>50mm (1 1/2") Type 1000 PVC pipes</v>
          </cell>
          <cell r="C438" t="str">
            <v>m</v>
          </cell>
          <cell r="D438">
            <v>337.75</v>
          </cell>
          <cell r="E438">
            <v>3.38</v>
          </cell>
          <cell r="F438">
            <v>320.5</v>
          </cell>
        </row>
        <row r="439">
          <cell r="A439">
            <v>2133</v>
          </cell>
          <cell r="B439" t="str">
            <v>50mm (1 1/2") Type 600 PVC pipes</v>
          </cell>
          <cell r="C439" t="str">
            <v>m</v>
          </cell>
          <cell r="D439">
            <v>238</v>
          </cell>
          <cell r="E439">
            <v>2.38</v>
          </cell>
          <cell r="F439">
            <v>211</v>
          </cell>
        </row>
        <row r="440">
          <cell r="A440">
            <v>2134</v>
          </cell>
          <cell r="B440" t="str">
            <v>50mm (1 1/2") Type 400 PVC pipes</v>
          </cell>
          <cell r="C440" t="str">
            <v>m</v>
          </cell>
          <cell r="D440">
            <v>182.25</v>
          </cell>
          <cell r="E440">
            <v>1.82</v>
          </cell>
          <cell r="F440">
            <v>148</v>
          </cell>
        </row>
        <row r="441">
          <cell r="A441">
            <v>2135</v>
          </cell>
          <cell r="B441" t="str">
            <v>63mm (2") Type 1000 PVC pipes</v>
          </cell>
          <cell r="C441" t="str">
            <v>m</v>
          </cell>
          <cell r="D441">
            <v>572.75</v>
          </cell>
          <cell r="E441">
            <v>5.73</v>
          </cell>
          <cell r="F441">
            <v>543</v>
          </cell>
        </row>
        <row r="442">
          <cell r="A442">
            <v>2136</v>
          </cell>
          <cell r="B442" t="str">
            <v>63mm (2") Type 600 PVC pipes</v>
          </cell>
          <cell r="C442" t="str">
            <v>m</v>
          </cell>
          <cell r="D442">
            <v>388</v>
          </cell>
          <cell r="E442">
            <v>3.88</v>
          </cell>
          <cell r="F442">
            <v>346</v>
          </cell>
        </row>
        <row r="443">
          <cell r="A443">
            <v>2137</v>
          </cell>
          <cell r="B443" t="str">
            <v>63mm (2") Type 400 PVC pipes</v>
          </cell>
          <cell r="C443" t="str">
            <v>m</v>
          </cell>
          <cell r="D443">
            <v>344</v>
          </cell>
          <cell r="E443">
            <v>3.44</v>
          </cell>
          <cell r="F443">
            <v>270</v>
          </cell>
        </row>
        <row r="444">
          <cell r="A444">
            <v>2138</v>
          </cell>
          <cell r="B444" t="str">
            <v>75mm (2 1/2") Type 600 PVC pipes</v>
          </cell>
          <cell r="C444" t="str">
            <v>m</v>
          </cell>
          <cell r="D444">
            <v>720.5</v>
          </cell>
          <cell r="E444">
            <v>7.21</v>
          </cell>
          <cell r="F444">
            <v>693</v>
          </cell>
        </row>
        <row r="445">
          <cell r="A445">
            <v>2139</v>
          </cell>
          <cell r="B445" t="str">
            <v>75mm (2 1/2") Type 400 PVC pipes</v>
          </cell>
          <cell r="C445" t="str">
            <v>m</v>
          </cell>
          <cell r="D445">
            <v>500</v>
          </cell>
          <cell r="E445">
            <v>5</v>
          </cell>
          <cell r="F445">
            <v>439.5</v>
          </cell>
        </row>
        <row r="446">
          <cell r="A446">
            <v>2140</v>
          </cell>
          <cell r="B446" t="str">
            <v>90mm (3") Type 600 PVC pipes</v>
          </cell>
          <cell r="C446" t="str">
            <v>m</v>
          </cell>
          <cell r="D446">
            <v>732.5</v>
          </cell>
          <cell r="E446">
            <v>7.33</v>
          </cell>
          <cell r="F446">
            <v>915</v>
          </cell>
        </row>
        <row r="447">
          <cell r="A447">
            <v>2141</v>
          </cell>
          <cell r="B447" t="str">
            <v>90mm (3") Type 400 PVC pipes</v>
          </cell>
          <cell r="C447" t="str">
            <v>m</v>
          </cell>
          <cell r="D447">
            <v>555</v>
          </cell>
          <cell r="E447">
            <v>5.55</v>
          </cell>
          <cell r="F447">
            <v>603.5</v>
          </cell>
        </row>
        <row r="448">
          <cell r="A448">
            <v>2142</v>
          </cell>
          <cell r="B448" t="str">
            <v>110mm (4") Type 600 PVC pipes</v>
          </cell>
          <cell r="C448" t="str">
            <v>m</v>
          </cell>
          <cell r="D448">
            <v>1189.5</v>
          </cell>
          <cell r="E448">
            <v>11.9</v>
          </cell>
          <cell r="F448">
            <v>1338.5</v>
          </cell>
        </row>
        <row r="449">
          <cell r="A449">
            <v>2143</v>
          </cell>
          <cell r="B449" t="str">
            <v>110mm (4") Type 400 PVC pipes</v>
          </cell>
          <cell r="C449" t="str">
            <v>m</v>
          </cell>
          <cell r="D449">
            <v>652.5</v>
          </cell>
          <cell r="E449">
            <v>6.53</v>
          </cell>
          <cell r="F449">
            <v>635.5</v>
          </cell>
        </row>
        <row r="450">
          <cell r="A450">
            <v>2144</v>
          </cell>
          <cell r="B450" t="str">
            <v>12mm (1/2")  angle valve - Chromium Plated</v>
          </cell>
          <cell r="C450" t="str">
            <v>Nr</v>
          </cell>
          <cell r="D450">
            <v>1120</v>
          </cell>
          <cell r="E450">
            <v>11.2</v>
          </cell>
          <cell r="F450">
            <v>1131.2</v>
          </cell>
        </row>
        <row r="451">
          <cell r="A451">
            <v>2145</v>
          </cell>
          <cell r="B451" t="str">
            <v xml:space="preserve">12mm (1/2") flexible horse (450mm) </v>
          </cell>
          <cell r="C451" t="str">
            <v>Nr</v>
          </cell>
          <cell r="D451">
            <v>250</v>
          </cell>
          <cell r="E451">
            <v>2.5</v>
          </cell>
          <cell r="F451">
            <v>252.5</v>
          </cell>
        </row>
        <row r="452">
          <cell r="B452" t="str">
            <v>Sanitary Fittings</v>
          </cell>
        </row>
        <row r="453">
          <cell r="A453">
            <v>2201</v>
          </cell>
          <cell r="B453" t="str">
            <v>Kitchen sink with single bowl and single drain board</v>
          </cell>
          <cell r="C453" t="str">
            <v>Nr</v>
          </cell>
          <cell r="D453">
            <v>2750</v>
          </cell>
          <cell r="E453">
            <v>27.5</v>
          </cell>
          <cell r="F453">
            <v>2777.5</v>
          </cell>
        </row>
        <row r="454">
          <cell r="A454">
            <v>2202</v>
          </cell>
          <cell r="B454" t="str">
            <v>Kitchen sink with single bowl and double drain board</v>
          </cell>
          <cell r="C454" t="str">
            <v>Nr</v>
          </cell>
          <cell r="D454">
            <v>3150</v>
          </cell>
          <cell r="E454">
            <v>31.5</v>
          </cell>
          <cell r="F454">
            <v>3181.5</v>
          </cell>
        </row>
        <row r="455">
          <cell r="A455">
            <v>2203</v>
          </cell>
          <cell r="B455" t="str">
            <v>Kitchen sink with double bowl and double drain board</v>
          </cell>
          <cell r="C455" t="str">
            <v>Nr</v>
          </cell>
          <cell r="D455">
            <v>5500</v>
          </cell>
          <cell r="E455">
            <v>55</v>
          </cell>
          <cell r="F455">
            <v>5555</v>
          </cell>
        </row>
        <row r="456">
          <cell r="A456">
            <v>2204</v>
          </cell>
          <cell r="B456" t="str">
            <v>Heavy quality chromium plated swan tap</v>
          </cell>
          <cell r="C456" t="str">
            <v>Nr</v>
          </cell>
          <cell r="D456">
            <v>775</v>
          </cell>
          <cell r="E456">
            <v>7.75</v>
          </cell>
          <cell r="F456">
            <v>783</v>
          </cell>
        </row>
        <row r="457">
          <cell r="A457">
            <v>2205</v>
          </cell>
          <cell r="B457" t="str">
            <v>Tee Iron brackets</v>
          </cell>
          <cell r="C457" t="str">
            <v>Nr</v>
          </cell>
          <cell r="D457">
            <v>100</v>
          </cell>
          <cell r="E457">
            <v>1</v>
          </cell>
          <cell r="F457">
            <v>101</v>
          </cell>
        </row>
        <row r="458">
          <cell r="A458">
            <v>2206</v>
          </cell>
          <cell r="B458" t="str">
            <v>Ceramic wash basin (LCL)</v>
          </cell>
          <cell r="C458" t="str">
            <v>Nr</v>
          </cell>
          <cell r="D458">
            <v>4250</v>
          </cell>
          <cell r="E458">
            <v>42.5</v>
          </cell>
          <cell r="F458">
            <v>4292.5</v>
          </cell>
        </row>
        <row r="459">
          <cell r="A459">
            <v>2207</v>
          </cell>
          <cell r="B459" t="str">
            <v>Ceramic wash basin - Pedestal (LCL)</v>
          </cell>
          <cell r="C459" t="str">
            <v>Nr</v>
          </cell>
          <cell r="D459">
            <v>3900</v>
          </cell>
          <cell r="E459">
            <v>39</v>
          </cell>
          <cell r="F459">
            <v>3939</v>
          </cell>
        </row>
        <row r="460">
          <cell r="A460">
            <v>2208</v>
          </cell>
          <cell r="B460" t="str">
            <v>Ceramic wash basin - Pedestal (Ideal, American,British)</v>
          </cell>
          <cell r="C460" t="str">
            <v>Nr</v>
          </cell>
          <cell r="D460">
            <v>14821</v>
          </cell>
          <cell r="E460">
            <v>148.21</v>
          </cell>
          <cell r="F460">
            <v>14969.21</v>
          </cell>
        </row>
        <row r="461">
          <cell r="A461">
            <v>2209</v>
          </cell>
          <cell r="B461" t="str">
            <v>Heavy quality chromium plated pillar tap</v>
          </cell>
          <cell r="C461" t="str">
            <v>Nr</v>
          </cell>
          <cell r="D461">
            <v>1600</v>
          </cell>
          <cell r="E461">
            <v>16</v>
          </cell>
          <cell r="F461">
            <v>1616</v>
          </cell>
        </row>
        <row r="462">
          <cell r="A462">
            <v>2210</v>
          </cell>
          <cell r="B462" t="str">
            <v>Ceramic squatting pan with trap and ceramic foot rests</v>
          </cell>
          <cell r="C462" t="str">
            <v>Nr</v>
          </cell>
          <cell r="D462">
            <v>549</v>
          </cell>
          <cell r="E462">
            <v>5.49</v>
          </cell>
          <cell r="F462">
            <v>554.5</v>
          </cell>
        </row>
        <row r="463">
          <cell r="A463">
            <v>2211</v>
          </cell>
          <cell r="B463" t="str">
            <v>Square type ceramic squatting pan with foot rests and trap</v>
          </cell>
          <cell r="C463" t="str">
            <v>Nr</v>
          </cell>
          <cell r="D463">
            <v>925</v>
          </cell>
          <cell r="E463">
            <v>9.25</v>
          </cell>
          <cell r="F463">
            <v>934.5</v>
          </cell>
        </row>
        <row r="464">
          <cell r="A464">
            <v>2212</v>
          </cell>
          <cell r="B464" t="str">
            <v>9 liters capacity high level ceramic cistern</v>
          </cell>
          <cell r="C464" t="str">
            <v>Nr</v>
          </cell>
          <cell r="D464">
            <v>2500</v>
          </cell>
          <cell r="E464">
            <v>25</v>
          </cell>
          <cell r="F464">
            <v>2525</v>
          </cell>
        </row>
        <row r="465">
          <cell r="A465">
            <v>2213</v>
          </cell>
          <cell r="B465" t="str">
            <v>9 liters capacity high level PVC cistern</v>
          </cell>
          <cell r="C465" t="str">
            <v>Nr</v>
          </cell>
          <cell r="D465">
            <v>1900</v>
          </cell>
          <cell r="E465">
            <v>19</v>
          </cell>
          <cell r="F465">
            <v>1919</v>
          </cell>
        </row>
        <row r="466">
          <cell r="A466">
            <v>2214</v>
          </cell>
          <cell r="B466" t="str">
            <v>9 liters capacity low level ceramic cistern</v>
          </cell>
          <cell r="C466" t="str">
            <v>Nr</v>
          </cell>
          <cell r="D466">
            <v>2350</v>
          </cell>
          <cell r="E466">
            <v>23.5</v>
          </cell>
          <cell r="F466">
            <v>2373.5</v>
          </cell>
        </row>
        <row r="467">
          <cell r="A467">
            <v>2215</v>
          </cell>
          <cell r="B467" t="str">
            <v>9 liters capacity low level PVC cistern</v>
          </cell>
          <cell r="C467" t="str">
            <v>Nr</v>
          </cell>
          <cell r="D467">
            <v>1900</v>
          </cell>
          <cell r="E467">
            <v>19</v>
          </cell>
          <cell r="F467">
            <v>1919</v>
          </cell>
        </row>
        <row r="468">
          <cell r="A468">
            <v>2216</v>
          </cell>
          <cell r="B468" t="str">
            <v xml:space="preserve">Low level ceramic water closet (LCL) </v>
          </cell>
          <cell r="C468" t="str">
            <v>Nr</v>
          </cell>
          <cell r="D468">
            <v>4500</v>
          </cell>
          <cell r="E468">
            <v>45</v>
          </cell>
          <cell r="F468">
            <v>4545</v>
          </cell>
        </row>
        <row r="469">
          <cell r="A469">
            <v>2217</v>
          </cell>
          <cell r="B469" t="str">
            <v xml:space="preserve">Closed couple ceramic water closet (British) </v>
          </cell>
          <cell r="C469" t="str">
            <v>Nr</v>
          </cell>
          <cell r="D469">
            <v>12000</v>
          </cell>
          <cell r="E469">
            <v>120</v>
          </cell>
          <cell r="F469">
            <v>12120</v>
          </cell>
        </row>
        <row r="470">
          <cell r="A470">
            <v>2218</v>
          </cell>
          <cell r="B470" t="str">
            <v>Bowl type urinal</v>
          </cell>
          <cell r="C470" t="str">
            <v>Nr</v>
          </cell>
          <cell r="D470">
            <v>1380</v>
          </cell>
          <cell r="E470">
            <v>13.8</v>
          </cell>
          <cell r="F470">
            <v>1394</v>
          </cell>
        </row>
        <row r="471">
          <cell r="A471">
            <v>2219</v>
          </cell>
          <cell r="B471" t="str">
            <v>40mm Bottle Trap</v>
          </cell>
          <cell r="C471" t="str">
            <v>Nr</v>
          </cell>
          <cell r="D471">
            <v>3571.43</v>
          </cell>
          <cell r="E471">
            <v>35.71</v>
          </cell>
          <cell r="F471">
            <v>3607.14</v>
          </cell>
        </row>
        <row r="472">
          <cell r="A472">
            <v>2220</v>
          </cell>
          <cell r="B472" t="str">
            <v>Bidet shower</v>
          </cell>
          <cell r="C472" t="str">
            <v>Nr</v>
          </cell>
          <cell r="D472">
            <v>1850</v>
          </cell>
          <cell r="E472">
            <v>18.5</v>
          </cell>
          <cell r="F472">
            <v>1868.5</v>
          </cell>
        </row>
        <row r="473">
          <cell r="A473">
            <v>2221</v>
          </cell>
          <cell r="B473" t="str">
            <v>PVC seat cover</v>
          </cell>
          <cell r="C473" t="str">
            <v>Nr</v>
          </cell>
          <cell r="D473">
            <v>500</v>
          </cell>
          <cell r="E473">
            <v>5</v>
          </cell>
          <cell r="F473">
            <v>505</v>
          </cell>
        </row>
        <row r="474">
          <cell r="A474">
            <v>2222</v>
          </cell>
          <cell r="B474" t="str">
            <v>Bathroom mirror</v>
          </cell>
          <cell r="C474" t="str">
            <v>Nr</v>
          </cell>
          <cell r="D474">
            <v>750</v>
          </cell>
          <cell r="E474">
            <v>7.5</v>
          </cell>
          <cell r="F474">
            <v>757.5</v>
          </cell>
        </row>
        <row r="475">
          <cell r="A475">
            <v>2223</v>
          </cell>
          <cell r="B475" t="str">
            <v>Chromium Plated Soap Tray</v>
          </cell>
          <cell r="C475" t="str">
            <v>Nr</v>
          </cell>
          <cell r="D475">
            <v>2850</v>
          </cell>
          <cell r="E475">
            <v>28.5</v>
          </cell>
          <cell r="F475">
            <v>2878.5</v>
          </cell>
        </row>
        <row r="476">
          <cell r="A476">
            <v>2224</v>
          </cell>
          <cell r="B476" t="str">
            <v>Ceramic Soap Tray</v>
          </cell>
          <cell r="C476" t="str">
            <v>Nr</v>
          </cell>
          <cell r="D476">
            <v>300</v>
          </cell>
          <cell r="E476">
            <v>3</v>
          </cell>
          <cell r="F476">
            <v>303</v>
          </cell>
        </row>
        <row r="477">
          <cell r="A477">
            <v>2225</v>
          </cell>
          <cell r="B477" t="str">
            <v>Chromium Plated Tooth brush holder</v>
          </cell>
          <cell r="C477" t="str">
            <v>Nr</v>
          </cell>
          <cell r="D477">
            <v>2350</v>
          </cell>
          <cell r="E477">
            <v>23.5</v>
          </cell>
          <cell r="F477">
            <v>2373.5</v>
          </cell>
        </row>
        <row r="478">
          <cell r="A478">
            <v>2226</v>
          </cell>
          <cell r="B478" t="str">
            <v>Ceramic Tooth brush holder</v>
          </cell>
          <cell r="C478" t="str">
            <v>Nr</v>
          </cell>
          <cell r="D478">
            <v>400</v>
          </cell>
          <cell r="E478">
            <v>4</v>
          </cell>
          <cell r="F478">
            <v>404</v>
          </cell>
        </row>
        <row r="479">
          <cell r="A479">
            <v>2227</v>
          </cell>
          <cell r="B479" t="str">
            <v>Chromium Plated 150mm dia. Shower Rose</v>
          </cell>
          <cell r="C479" t="str">
            <v>Nr</v>
          </cell>
          <cell r="D479">
            <v>12600</v>
          </cell>
          <cell r="E479">
            <v>126</v>
          </cell>
          <cell r="F479">
            <v>12726</v>
          </cell>
        </row>
        <row r="480">
          <cell r="A480">
            <v>2228</v>
          </cell>
          <cell r="B480" t="str">
            <v>PVC 150mm dia. Shower Rose</v>
          </cell>
          <cell r="C480" t="str">
            <v>Nr</v>
          </cell>
          <cell r="D480">
            <v>140</v>
          </cell>
          <cell r="E480">
            <v>1.4</v>
          </cell>
          <cell r="F480">
            <v>141.4</v>
          </cell>
        </row>
        <row r="481">
          <cell r="A481">
            <v>2229</v>
          </cell>
          <cell r="B481" t="str">
            <v>Chromium Plated toilet paper holder</v>
          </cell>
          <cell r="C481" t="str">
            <v>Nr</v>
          </cell>
          <cell r="D481">
            <v>2740</v>
          </cell>
          <cell r="E481">
            <v>27.4</v>
          </cell>
          <cell r="F481">
            <v>2767.4</v>
          </cell>
        </row>
        <row r="482">
          <cell r="A482">
            <v>2230</v>
          </cell>
          <cell r="B482" t="str">
            <v>Ceremic toilet paper holder</v>
          </cell>
          <cell r="C482" t="str">
            <v>Nr</v>
          </cell>
          <cell r="D482">
            <v>400</v>
          </cell>
          <cell r="E482">
            <v>4</v>
          </cell>
          <cell r="F482">
            <v>404</v>
          </cell>
        </row>
        <row r="483">
          <cell r="A483">
            <v>2231</v>
          </cell>
          <cell r="B483" t="str">
            <v>Chromium Plated towel rail</v>
          </cell>
          <cell r="C483" t="str">
            <v>Nr</v>
          </cell>
          <cell r="D483">
            <v>3250</v>
          </cell>
          <cell r="E483">
            <v>32.5</v>
          </cell>
          <cell r="F483">
            <v>3282.5</v>
          </cell>
        </row>
        <row r="484">
          <cell r="A484">
            <v>2232</v>
          </cell>
          <cell r="B484" t="str">
            <v>Ceremic towel rail</v>
          </cell>
          <cell r="C484" t="str">
            <v>Nr</v>
          </cell>
          <cell r="D484">
            <v>600</v>
          </cell>
          <cell r="E484">
            <v>6</v>
          </cell>
          <cell r="F484">
            <v>606</v>
          </cell>
        </row>
        <row r="485">
          <cell r="A485">
            <v>2233</v>
          </cell>
          <cell r="B485" t="str">
            <v>Chromium Plated conceal valve for shower</v>
          </cell>
          <cell r="C485" t="str">
            <v>Nr</v>
          </cell>
          <cell r="D485">
            <v>1300</v>
          </cell>
          <cell r="E485">
            <v>13</v>
          </cell>
          <cell r="F485">
            <v>1313</v>
          </cell>
        </row>
        <row r="486">
          <cell r="B486" t="str">
            <v>Roof Plumber</v>
          </cell>
          <cell r="F486">
            <v>0</v>
          </cell>
        </row>
        <row r="487">
          <cell r="A487">
            <v>2301</v>
          </cell>
          <cell r="B487" t="str">
            <v>PVC eave gutters</v>
          </cell>
          <cell r="C487" t="str">
            <v>m</v>
          </cell>
          <cell r="D487">
            <v>540</v>
          </cell>
          <cell r="E487">
            <v>5.4</v>
          </cell>
          <cell r="F487">
            <v>545.5</v>
          </cell>
        </row>
        <row r="488">
          <cell r="A488">
            <v>2302</v>
          </cell>
          <cell r="B488" t="str">
            <v>End cap</v>
          </cell>
          <cell r="C488" t="str">
            <v>Nr</v>
          </cell>
          <cell r="D488">
            <v>85</v>
          </cell>
          <cell r="E488">
            <v>0.85</v>
          </cell>
          <cell r="F488">
            <v>72.5</v>
          </cell>
        </row>
        <row r="489">
          <cell r="A489">
            <v>2303</v>
          </cell>
          <cell r="B489" t="str">
            <v>Joint</v>
          </cell>
          <cell r="C489" t="str">
            <v>m</v>
          </cell>
          <cell r="D489">
            <v>85</v>
          </cell>
          <cell r="E489">
            <v>0.85</v>
          </cell>
          <cell r="F489">
            <v>86</v>
          </cell>
        </row>
        <row r="490">
          <cell r="A490">
            <v>2304</v>
          </cell>
          <cell r="B490" t="str">
            <v>Gutter joiner</v>
          </cell>
          <cell r="C490" t="str">
            <v>Nr</v>
          </cell>
          <cell r="D490">
            <v>95</v>
          </cell>
          <cell r="E490">
            <v>0.95</v>
          </cell>
          <cell r="F490">
            <v>96</v>
          </cell>
        </row>
        <row r="491">
          <cell r="A491">
            <v>2305</v>
          </cell>
          <cell r="B491" t="str">
            <v>Gutter brackets</v>
          </cell>
          <cell r="C491" t="str">
            <v>Nr</v>
          </cell>
          <cell r="D491">
            <v>24</v>
          </cell>
          <cell r="E491">
            <v>0.24</v>
          </cell>
          <cell r="F491">
            <v>36.5</v>
          </cell>
        </row>
        <row r="492">
          <cell r="A492">
            <v>2306</v>
          </cell>
          <cell r="B492" t="str">
            <v>Running head</v>
          </cell>
          <cell r="C492" t="str">
            <v>Nr</v>
          </cell>
          <cell r="D492">
            <v>225</v>
          </cell>
          <cell r="E492">
            <v>2.25</v>
          </cell>
          <cell r="F492">
            <v>227.25</v>
          </cell>
        </row>
        <row r="493">
          <cell r="A493">
            <v>2307</v>
          </cell>
          <cell r="B493" t="str">
            <v>87.5 mm dia. PVC down pipes</v>
          </cell>
          <cell r="C493" t="str">
            <v>m</v>
          </cell>
          <cell r="D493">
            <v>196</v>
          </cell>
          <cell r="E493">
            <v>1.96</v>
          </cell>
          <cell r="F493">
            <v>138.5</v>
          </cell>
        </row>
        <row r="494">
          <cell r="A494">
            <v>2308</v>
          </cell>
          <cell r="B494" t="str">
            <v>87.5 mm dia. PVC socket</v>
          </cell>
          <cell r="C494" t="str">
            <v>Nr</v>
          </cell>
          <cell r="D494">
            <v>65</v>
          </cell>
          <cell r="E494">
            <v>0.65</v>
          </cell>
          <cell r="F494">
            <v>62.5</v>
          </cell>
        </row>
        <row r="495">
          <cell r="A495">
            <v>2309</v>
          </cell>
          <cell r="B495" t="str">
            <v>87.5 mm dia. PVC elbows</v>
          </cell>
          <cell r="C495" t="str">
            <v>Nr</v>
          </cell>
          <cell r="D495">
            <v>150</v>
          </cell>
          <cell r="E495">
            <v>1.5</v>
          </cell>
          <cell r="F495">
            <v>91</v>
          </cell>
        </row>
        <row r="496">
          <cell r="A496">
            <v>2310</v>
          </cell>
          <cell r="B496" t="str">
            <v>Clips</v>
          </cell>
          <cell r="C496" t="str">
            <v>Nr</v>
          </cell>
          <cell r="D496">
            <v>20</v>
          </cell>
          <cell r="E496">
            <v>0.2</v>
          </cell>
          <cell r="F496">
            <v>18</v>
          </cell>
        </row>
        <row r="497">
          <cell r="A497">
            <v>2311</v>
          </cell>
          <cell r="B497" t="str">
            <v>200mmx200x87.5mm PVC gutter box</v>
          </cell>
          <cell r="C497" t="str">
            <v>Nr</v>
          </cell>
          <cell r="D497">
            <v>490</v>
          </cell>
          <cell r="E497">
            <v>4.9000000000000004</v>
          </cell>
          <cell r="F497">
            <v>494.9</v>
          </cell>
        </row>
        <row r="498">
          <cell r="A498">
            <v>2312</v>
          </cell>
          <cell r="B498" t="str">
            <v>Zink Aluminium rainwater eave gutters</v>
          </cell>
          <cell r="C498" t="str">
            <v>m</v>
          </cell>
          <cell r="D498">
            <v>525</v>
          </cell>
          <cell r="E498">
            <v>5.25</v>
          </cell>
          <cell r="F498">
            <v>530.5</v>
          </cell>
        </row>
        <row r="499">
          <cell r="A499">
            <v>2313</v>
          </cell>
          <cell r="B499" t="str">
            <v>Stop end and plate</v>
          </cell>
          <cell r="C499" t="str">
            <v>Nr</v>
          </cell>
          <cell r="D499">
            <v>140</v>
          </cell>
          <cell r="E499">
            <v>1.4</v>
          </cell>
          <cell r="F499">
            <v>141.5</v>
          </cell>
        </row>
        <row r="500">
          <cell r="A500">
            <v>2314</v>
          </cell>
          <cell r="B500" t="str">
            <v>Steel brackets</v>
          </cell>
          <cell r="C500" t="str">
            <v>Nr</v>
          </cell>
          <cell r="D500">
            <v>50</v>
          </cell>
          <cell r="E500">
            <v>0.5</v>
          </cell>
          <cell r="F500">
            <v>50.5</v>
          </cell>
        </row>
        <row r="501">
          <cell r="A501">
            <v>2315</v>
          </cell>
          <cell r="B501" t="str">
            <v>100x100mm Zn-alum down pipes</v>
          </cell>
          <cell r="C501" t="str">
            <v>m</v>
          </cell>
          <cell r="D501">
            <v>524</v>
          </cell>
          <cell r="E501">
            <v>5.24</v>
          </cell>
          <cell r="F501">
            <v>529</v>
          </cell>
        </row>
        <row r="502">
          <cell r="A502">
            <v>2316</v>
          </cell>
          <cell r="B502" t="str">
            <v>150x150mm Zn-alum down pipes</v>
          </cell>
          <cell r="C502" t="str">
            <v>m</v>
          </cell>
          <cell r="D502">
            <v>838</v>
          </cell>
          <cell r="E502">
            <v>8.3800000000000008</v>
          </cell>
          <cell r="F502">
            <v>846.5</v>
          </cell>
        </row>
        <row r="503">
          <cell r="A503">
            <v>2317</v>
          </cell>
          <cell r="B503" t="str">
            <v>Nozzles</v>
          </cell>
          <cell r="C503" t="str">
            <v>Nr</v>
          </cell>
          <cell r="D503">
            <v>754</v>
          </cell>
          <cell r="E503">
            <v>7.54</v>
          </cell>
          <cell r="F503">
            <v>761.5</v>
          </cell>
        </row>
        <row r="504">
          <cell r="A504">
            <v>2318</v>
          </cell>
          <cell r="B504" t="str">
            <v>Offsets</v>
          </cell>
          <cell r="C504" t="str">
            <v>Nr</v>
          </cell>
          <cell r="D504">
            <v>1635</v>
          </cell>
          <cell r="E504">
            <v>16.350000000000001</v>
          </cell>
          <cell r="F504">
            <v>1651.5</v>
          </cell>
        </row>
        <row r="505">
          <cell r="A505">
            <v>2319</v>
          </cell>
          <cell r="B505" t="str">
            <v>Shoes</v>
          </cell>
          <cell r="C505" t="str">
            <v>Nr</v>
          </cell>
          <cell r="D505">
            <v>624</v>
          </cell>
          <cell r="E505">
            <v>6.24</v>
          </cell>
          <cell r="F505">
            <v>630</v>
          </cell>
        </row>
        <row r="506">
          <cell r="A506">
            <v>2320</v>
          </cell>
          <cell r="B506" t="str">
            <v>Clips</v>
          </cell>
          <cell r="C506" t="str">
            <v>Nr</v>
          </cell>
          <cell r="D506">
            <v>9</v>
          </cell>
          <cell r="E506">
            <v>0.09</v>
          </cell>
          <cell r="F506">
            <v>9</v>
          </cell>
        </row>
        <row r="507">
          <cell r="A507">
            <v>2321</v>
          </cell>
          <cell r="B507" t="str">
            <v>300x300mm gutter boxes in Zink Alum color coated metal sheets</v>
          </cell>
          <cell r="C507" t="str">
            <v>Nr</v>
          </cell>
          <cell r="D507">
            <v>1142</v>
          </cell>
          <cell r="E507">
            <v>11.42</v>
          </cell>
          <cell r="F507">
            <v>1153.5</v>
          </cell>
        </row>
        <row r="508">
          <cell r="A508">
            <v>2322</v>
          </cell>
          <cell r="B508" t="str">
            <v>25x25mm N/A Alluminium</v>
          </cell>
          <cell r="C508" t="str">
            <v>m</v>
          </cell>
          <cell r="E508">
            <v>0</v>
          </cell>
        </row>
        <row r="509">
          <cell r="B509" t="str">
            <v>Tinker</v>
          </cell>
        </row>
        <row r="510">
          <cell r="A510">
            <v>2401</v>
          </cell>
          <cell r="B510" t="str">
            <v>18 B.W.G. sheets</v>
          </cell>
          <cell r="C510" t="str">
            <v>m2</v>
          </cell>
          <cell r="D510">
            <v>1177</v>
          </cell>
          <cell r="E510">
            <v>11.77</v>
          </cell>
          <cell r="F510">
            <v>1189</v>
          </cell>
        </row>
        <row r="511">
          <cell r="B511" t="str">
            <v>Drain Layer</v>
          </cell>
        </row>
        <row r="512">
          <cell r="A512">
            <v>2501</v>
          </cell>
          <cell r="B512" t="str">
            <v>Copper wire dome</v>
          </cell>
          <cell r="C512" t="str">
            <v>Nr</v>
          </cell>
          <cell r="D512">
            <v>250</v>
          </cell>
          <cell r="E512">
            <v>2.5</v>
          </cell>
          <cell r="F512">
            <v>252.5</v>
          </cell>
        </row>
        <row r="513">
          <cell r="A513">
            <v>2502</v>
          </cell>
          <cell r="B513" t="str">
            <v>Drainage gully and grate  PVC</v>
          </cell>
          <cell r="C513" t="str">
            <v>Nr</v>
          </cell>
          <cell r="D513">
            <v>130</v>
          </cell>
          <cell r="E513">
            <v>1.3</v>
          </cell>
          <cell r="F513">
            <v>131.5</v>
          </cell>
        </row>
        <row r="514">
          <cell r="A514">
            <v>2503</v>
          </cell>
          <cell r="B514" t="str">
            <v>40mm 4-way PVC floor trap</v>
          </cell>
          <cell r="C514" t="str">
            <v>Nr</v>
          </cell>
          <cell r="D514">
            <v>300</v>
          </cell>
          <cell r="E514">
            <v>3</v>
          </cell>
          <cell r="F514">
            <v>303</v>
          </cell>
        </row>
        <row r="515">
          <cell r="B515" t="str">
            <v>Painter</v>
          </cell>
        </row>
        <row r="516">
          <cell r="A516">
            <v>2601</v>
          </cell>
          <cell r="B516" t="str">
            <v>Lime</v>
          </cell>
          <cell r="C516" t="str">
            <v>kg</v>
          </cell>
          <cell r="D516">
            <v>20</v>
          </cell>
          <cell r="E516">
            <v>0.2</v>
          </cell>
          <cell r="F516">
            <v>20.5</v>
          </cell>
        </row>
        <row r="517">
          <cell r="A517">
            <v>2602</v>
          </cell>
          <cell r="B517" t="str">
            <v>Glue</v>
          </cell>
          <cell r="C517" t="str">
            <v>kg</v>
          </cell>
          <cell r="D517">
            <v>80</v>
          </cell>
          <cell r="E517">
            <v>0.8</v>
          </cell>
          <cell r="F517">
            <v>81</v>
          </cell>
        </row>
        <row r="518">
          <cell r="A518">
            <v>2603</v>
          </cell>
          <cell r="B518" t="str">
            <v>Yellow ochre</v>
          </cell>
          <cell r="C518" t="str">
            <v>kg</v>
          </cell>
          <cell r="D518">
            <v>60</v>
          </cell>
          <cell r="E518">
            <v>0.6</v>
          </cell>
          <cell r="F518">
            <v>60.5</v>
          </cell>
        </row>
        <row r="519">
          <cell r="A519">
            <v>2604</v>
          </cell>
          <cell r="B519" t="str">
            <v>Snowcem</v>
          </cell>
          <cell r="C519" t="str">
            <v>kg</v>
          </cell>
          <cell r="D519">
            <v>80</v>
          </cell>
          <cell r="E519">
            <v>0.8</v>
          </cell>
          <cell r="F519">
            <v>81</v>
          </cell>
        </row>
        <row r="520">
          <cell r="A520">
            <v>2605</v>
          </cell>
          <cell r="B520" t="str">
            <v>Wall primer</v>
          </cell>
          <cell r="C520" t="str">
            <v>l</v>
          </cell>
          <cell r="D520">
            <v>320</v>
          </cell>
          <cell r="E520">
            <v>3.2</v>
          </cell>
          <cell r="F520">
            <v>323</v>
          </cell>
        </row>
        <row r="521">
          <cell r="A521">
            <v>2606</v>
          </cell>
          <cell r="B521" t="str">
            <v>Emulsion paint</v>
          </cell>
          <cell r="C521" t="str">
            <v>l</v>
          </cell>
          <cell r="D521">
            <v>645</v>
          </cell>
          <cell r="E521">
            <v>6.45</v>
          </cell>
          <cell r="F521">
            <v>651.5</v>
          </cell>
        </row>
        <row r="522">
          <cell r="A522">
            <v>2607</v>
          </cell>
          <cell r="B522" t="str">
            <v>Weather shield paint</v>
          </cell>
          <cell r="C522" t="str">
            <v>l</v>
          </cell>
          <cell r="D522">
            <v>838</v>
          </cell>
          <cell r="E522">
            <v>8.3800000000000008</v>
          </cell>
          <cell r="F522">
            <v>846.5</v>
          </cell>
        </row>
        <row r="523">
          <cell r="A523">
            <v>2608</v>
          </cell>
          <cell r="B523" t="str">
            <v>Enamel paint</v>
          </cell>
          <cell r="C523" t="str">
            <v>l</v>
          </cell>
          <cell r="D523">
            <v>740</v>
          </cell>
          <cell r="E523">
            <v>7.4</v>
          </cell>
          <cell r="F523">
            <v>747.5</v>
          </cell>
        </row>
        <row r="524">
          <cell r="A524">
            <v>2609</v>
          </cell>
          <cell r="B524" t="str">
            <v>Anticorrosive paint</v>
          </cell>
          <cell r="C524" t="str">
            <v>l</v>
          </cell>
          <cell r="D524">
            <v>510</v>
          </cell>
          <cell r="E524">
            <v>5.0999999999999996</v>
          </cell>
          <cell r="F524">
            <v>515</v>
          </cell>
        </row>
        <row r="525">
          <cell r="A525">
            <v>2610</v>
          </cell>
          <cell r="B525" t="str">
            <v>Floor paint</v>
          </cell>
          <cell r="C525" t="str">
            <v>l</v>
          </cell>
          <cell r="D525">
            <v>780</v>
          </cell>
          <cell r="E525">
            <v>7.8</v>
          </cell>
          <cell r="F525">
            <v>788</v>
          </cell>
        </row>
        <row r="526">
          <cell r="A526">
            <v>2611</v>
          </cell>
          <cell r="B526" t="str">
            <v>Floor polish</v>
          </cell>
          <cell r="C526" t="str">
            <v>kg</v>
          </cell>
          <cell r="D526">
            <v>650</v>
          </cell>
          <cell r="E526">
            <v>6.5</v>
          </cell>
          <cell r="F526">
            <v>656.5</v>
          </cell>
        </row>
        <row r="527">
          <cell r="A527">
            <v>2612</v>
          </cell>
          <cell r="B527" t="str">
            <v>Wood primer</v>
          </cell>
          <cell r="C527" t="str">
            <v>l</v>
          </cell>
          <cell r="D527">
            <v>720</v>
          </cell>
          <cell r="E527">
            <v>7.2</v>
          </cell>
          <cell r="F527">
            <v>727</v>
          </cell>
        </row>
        <row r="528">
          <cell r="A528">
            <v>2613</v>
          </cell>
          <cell r="B528" t="str">
            <v>Polyurethane varnish</v>
          </cell>
          <cell r="C528" t="str">
            <v>l</v>
          </cell>
          <cell r="D528">
            <v>750</v>
          </cell>
          <cell r="E528">
            <v>7.5</v>
          </cell>
          <cell r="F528">
            <v>757.5</v>
          </cell>
        </row>
        <row r="529">
          <cell r="B529" t="str">
            <v>Electrical Installation</v>
          </cell>
        </row>
        <row r="530">
          <cell r="A530">
            <v>2701</v>
          </cell>
          <cell r="B530" t="str">
            <v>1/1.13 mm Cu\PVC\PVC ( 1 sq.mm)</v>
          </cell>
          <cell r="C530" t="str">
            <v>m</v>
          </cell>
          <cell r="D530">
            <v>18.5</v>
          </cell>
          <cell r="E530">
            <v>0.19</v>
          </cell>
          <cell r="F530">
            <v>18.5</v>
          </cell>
        </row>
        <row r="531">
          <cell r="A531">
            <v>2702</v>
          </cell>
          <cell r="B531" t="str">
            <v>7/0.67 mm Cu\PVC ( 2.5 sq.mm)</v>
          </cell>
          <cell r="C531" t="str">
            <v>m</v>
          </cell>
          <cell r="D531">
            <v>61.5</v>
          </cell>
          <cell r="E531">
            <v>0.62</v>
          </cell>
          <cell r="F531">
            <v>62</v>
          </cell>
        </row>
        <row r="532">
          <cell r="A532">
            <v>2703</v>
          </cell>
          <cell r="B532" t="str">
            <v>7/0.53mm Cu\PVC\PVC(T)-1.5sq.mm</v>
          </cell>
          <cell r="C532" t="str">
            <v>m</v>
          </cell>
          <cell r="D532">
            <v>79.2</v>
          </cell>
          <cell r="E532">
            <v>0.79</v>
          </cell>
          <cell r="F532">
            <v>80</v>
          </cell>
        </row>
        <row r="533">
          <cell r="A533">
            <v>2704</v>
          </cell>
          <cell r="B533" t="str">
            <v>7/0.67mm Cu\PVC\PVC(T)-2.5sq.mm</v>
          </cell>
          <cell r="C533" t="str">
            <v>m</v>
          </cell>
          <cell r="D533">
            <v>115.4</v>
          </cell>
          <cell r="E533">
            <v>1.1499999999999999</v>
          </cell>
          <cell r="F533">
            <v>116.5</v>
          </cell>
        </row>
        <row r="534">
          <cell r="A534">
            <v>2705</v>
          </cell>
          <cell r="B534" t="str">
            <v>7/1.04mm Cu\PVC\PVC(T)-6sq.mm</v>
          </cell>
          <cell r="C534" t="str">
            <v>m</v>
          </cell>
          <cell r="D534">
            <v>249.3</v>
          </cell>
          <cell r="E534">
            <v>2.4900000000000002</v>
          </cell>
          <cell r="F534">
            <v>252</v>
          </cell>
        </row>
        <row r="535">
          <cell r="A535">
            <v>2706</v>
          </cell>
          <cell r="B535" t="str">
            <v>Holder</v>
          </cell>
          <cell r="C535" t="str">
            <v>Nr</v>
          </cell>
          <cell r="D535">
            <v>55</v>
          </cell>
          <cell r="E535">
            <v>0.55000000000000004</v>
          </cell>
          <cell r="F535">
            <v>55.5</v>
          </cell>
        </row>
        <row r="536">
          <cell r="A536">
            <v>2707</v>
          </cell>
          <cell r="B536" t="str">
            <v>Sun box</v>
          </cell>
          <cell r="C536" t="str">
            <v>Nr</v>
          </cell>
          <cell r="D536">
            <v>35</v>
          </cell>
          <cell r="E536">
            <v>0.35</v>
          </cell>
          <cell r="F536">
            <v>35.5</v>
          </cell>
        </row>
        <row r="537">
          <cell r="A537">
            <v>2708</v>
          </cell>
          <cell r="B537" t="str">
            <v>Switch</v>
          </cell>
          <cell r="C537" t="str">
            <v>Nr</v>
          </cell>
          <cell r="D537">
            <v>35</v>
          </cell>
          <cell r="E537">
            <v>0.35</v>
          </cell>
          <cell r="F537">
            <v>35.5</v>
          </cell>
        </row>
        <row r="538">
          <cell r="A538">
            <v>2709</v>
          </cell>
          <cell r="B538" t="str">
            <v>PVC conduit 1"</v>
          </cell>
          <cell r="C538" t="str">
            <v>m</v>
          </cell>
          <cell r="D538">
            <v>34.25</v>
          </cell>
          <cell r="E538">
            <v>0.34</v>
          </cell>
          <cell r="F538">
            <v>34</v>
          </cell>
        </row>
        <row r="539">
          <cell r="A539">
            <v>2710</v>
          </cell>
          <cell r="B539" t="str">
            <v>5A socket outlet</v>
          </cell>
          <cell r="C539" t="str">
            <v>Nr</v>
          </cell>
          <cell r="D539">
            <v>340</v>
          </cell>
          <cell r="E539">
            <v>3.4</v>
          </cell>
          <cell r="F539">
            <v>315</v>
          </cell>
        </row>
        <row r="540">
          <cell r="A540">
            <v>2711</v>
          </cell>
          <cell r="B540" t="str">
            <v>13A socket outlet</v>
          </cell>
          <cell r="C540" t="str">
            <v>Nr</v>
          </cell>
          <cell r="D540">
            <v>360</v>
          </cell>
          <cell r="E540">
            <v>3.6</v>
          </cell>
          <cell r="F540">
            <v>333.5</v>
          </cell>
        </row>
        <row r="541">
          <cell r="A541">
            <v>2712</v>
          </cell>
          <cell r="B541" t="str">
            <v>15A socket outlet</v>
          </cell>
          <cell r="C541" t="str">
            <v>Nr</v>
          </cell>
          <cell r="D541">
            <v>420</v>
          </cell>
          <cell r="E541">
            <v>4.2</v>
          </cell>
          <cell r="F541">
            <v>387</v>
          </cell>
        </row>
        <row r="542">
          <cell r="A542">
            <v>2713</v>
          </cell>
          <cell r="B542" t="str">
            <v>Ceiling rose</v>
          </cell>
          <cell r="C542" t="str">
            <v>Nr</v>
          </cell>
          <cell r="D542">
            <v>85</v>
          </cell>
          <cell r="E542">
            <v>0.85</v>
          </cell>
          <cell r="F542">
            <v>86</v>
          </cell>
        </row>
        <row r="543">
          <cell r="A543">
            <v>2714</v>
          </cell>
          <cell r="B543" t="str">
            <v>Round block</v>
          </cell>
          <cell r="C543" t="str">
            <v>Nr</v>
          </cell>
          <cell r="D543">
            <v>15</v>
          </cell>
          <cell r="E543">
            <v>0.15</v>
          </cell>
          <cell r="F543">
            <v>15</v>
          </cell>
        </row>
        <row r="544">
          <cell r="A544">
            <v>2715</v>
          </cell>
          <cell r="B544" t="str">
            <v>Fan hook</v>
          </cell>
          <cell r="C544" t="str">
            <v>Nr</v>
          </cell>
          <cell r="D544">
            <v>175</v>
          </cell>
          <cell r="E544">
            <v>1.75</v>
          </cell>
          <cell r="F544">
            <v>177</v>
          </cell>
        </row>
        <row r="545">
          <cell r="A545">
            <v>2716</v>
          </cell>
          <cell r="B545" t="str">
            <v>Pendent lamp</v>
          </cell>
          <cell r="C545" t="str">
            <v>Nr</v>
          </cell>
          <cell r="D545">
            <v>60</v>
          </cell>
          <cell r="E545">
            <v>0.6</v>
          </cell>
          <cell r="F545">
            <v>60.5</v>
          </cell>
        </row>
        <row r="546">
          <cell r="A546">
            <v>2717</v>
          </cell>
          <cell r="B546" t="str">
            <v>Weather proofed angle batten lamp</v>
          </cell>
          <cell r="C546" t="str">
            <v>Nr</v>
          </cell>
          <cell r="D546">
            <v>1350</v>
          </cell>
          <cell r="E546">
            <v>13.5</v>
          </cell>
          <cell r="F546">
            <v>1363.5</v>
          </cell>
        </row>
        <row r="547">
          <cell r="A547">
            <v>2718</v>
          </cell>
          <cell r="B547" t="str">
            <v>Wall bracket lamp</v>
          </cell>
          <cell r="C547" t="str">
            <v>Nr</v>
          </cell>
          <cell r="D547">
            <v>850</v>
          </cell>
          <cell r="E547">
            <v>8.5</v>
          </cell>
          <cell r="F547">
            <v>858.5</v>
          </cell>
        </row>
        <row r="548">
          <cell r="A548">
            <v>2719</v>
          </cell>
          <cell r="B548" t="str">
            <v>1200 mm, 40W single fluorescent lamp</v>
          </cell>
          <cell r="C548" t="str">
            <v>Nr</v>
          </cell>
          <cell r="D548">
            <v>975</v>
          </cell>
          <cell r="E548">
            <v>9.75</v>
          </cell>
          <cell r="F548">
            <v>985</v>
          </cell>
        </row>
        <row r="549">
          <cell r="A549">
            <v>2720</v>
          </cell>
          <cell r="B549" t="str">
            <v>1200 mm, 40W double fluorescent lamp</v>
          </cell>
          <cell r="C549" t="str">
            <v>Nr</v>
          </cell>
          <cell r="D549">
            <v>1900</v>
          </cell>
          <cell r="E549">
            <v>19</v>
          </cell>
          <cell r="F549">
            <v>1919</v>
          </cell>
        </row>
        <row r="550">
          <cell r="A550">
            <v>2721</v>
          </cell>
          <cell r="B550" t="str">
            <v>600x300 mm fully parabolic reflective type fluorescent lamp (2 tube)</v>
          </cell>
          <cell r="C550" t="str">
            <v>Nr</v>
          </cell>
          <cell r="D550">
            <v>3450</v>
          </cell>
          <cell r="E550">
            <v>34.5</v>
          </cell>
          <cell r="F550">
            <v>3484.5</v>
          </cell>
        </row>
        <row r="551">
          <cell r="A551">
            <v>2722</v>
          </cell>
          <cell r="B551" t="str">
            <v>1200x300 mm fully parabolic reflective type fluorescent lamp (2 tube)</v>
          </cell>
          <cell r="C551" t="str">
            <v>Nr</v>
          </cell>
          <cell r="D551">
            <v>3850</v>
          </cell>
          <cell r="E551">
            <v>38.5</v>
          </cell>
          <cell r="F551">
            <v>3888.5</v>
          </cell>
        </row>
        <row r="552">
          <cell r="A552">
            <v>2723</v>
          </cell>
          <cell r="B552" t="str">
            <v>600x600 mm fully parabolic reflective type fluorescent lamp (3 tube)</v>
          </cell>
          <cell r="C552" t="str">
            <v>Nr</v>
          </cell>
          <cell r="D552">
            <v>3950</v>
          </cell>
          <cell r="E552">
            <v>39.5</v>
          </cell>
          <cell r="F552">
            <v>3989.5</v>
          </cell>
        </row>
        <row r="553">
          <cell r="A553">
            <v>2724</v>
          </cell>
          <cell r="B553" t="str">
            <v>1200x600 mm fully parabolic reflective type fluorescent lamp (3 tube)</v>
          </cell>
          <cell r="C553" t="str">
            <v>Nr</v>
          </cell>
          <cell r="D553">
            <v>4750</v>
          </cell>
          <cell r="E553">
            <v>47.5</v>
          </cell>
          <cell r="F553">
            <v>4797.5</v>
          </cell>
        </row>
        <row r="554">
          <cell r="A554">
            <v>2725</v>
          </cell>
          <cell r="B554" t="str">
            <v>1200mm sweep ceiling fan</v>
          </cell>
          <cell r="C554" t="str">
            <v>Nr</v>
          </cell>
          <cell r="D554">
            <v>5950</v>
          </cell>
          <cell r="E554">
            <v>59.5</v>
          </cell>
          <cell r="F554">
            <v>6009.5</v>
          </cell>
        </row>
        <row r="555">
          <cell r="A555">
            <v>2726</v>
          </cell>
          <cell r="B555" t="str">
            <v>300x300mm exhaust fan</v>
          </cell>
          <cell r="C555" t="str">
            <v>Nr</v>
          </cell>
          <cell r="D555">
            <v>4250</v>
          </cell>
          <cell r="E555">
            <v>42.5</v>
          </cell>
          <cell r="F555">
            <v>4292.5</v>
          </cell>
        </row>
        <row r="556">
          <cell r="A556">
            <v>2727</v>
          </cell>
          <cell r="B556" t="str">
            <v>Wall mounted fan</v>
          </cell>
          <cell r="C556" t="str">
            <v>Nr</v>
          </cell>
          <cell r="D556">
            <v>6250</v>
          </cell>
          <cell r="E556">
            <v>62.5</v>
          </cell>
          <cell r="F556">
            <v>6312.5</v>
          </cell>
        </row>
        <row r="557">
          <cell r="A557">
            <v>2728</v>
          </cell>
          <cell r="B557" t="str">
            <v>40 Amp single phase main switch</v>
          </cell>
          <cell r="C557" t="str">
            <v>Nr</v>
          </cell>
          <cell r="D557">
            <v>736</v>
          </cell>
          <cell r="E557">
            <v>7.36</v>
          </cell>
          <cell r="F557">
            <v>743.5</v>
          </cell>
        </row>
        <row r="558">
          <cell r="A558">
            <v>2729</v>
          </cell>
          <cell r="B558" t="str">
            <v>60 Amp single phase main switch</v>
          </cell>
          <cell r="C558" t="str">
            <v>Nr</v>
          </cell>
          <cell r="D558">
            <v>871</v>
          </cell>
          <cell r="E558">
            <v>8.7100000000000009</v>
          </cell>
          <cell r="F558">
            <v>879.5</v>
          </cell>
        </row>
        <row r="559">
          <cell r="A559">
            <v>2730</v>
          </cell>
          <cell r="B559" t="str">
            <v>40 Amp Circuit breaker</v>
          </cell>
          <cell r="C559" t="str">
            <v>Nr</v>
          </cell>
          <cell r="D559">
            <v>395</v>
          </cell>
          <cell r="E559">
            <v>3.95</v>
          </cell>
          <cell r="F559">
            <v>399</v>
          </cell>
        </row>
        <row r="560">
          <cell r="A560">
            <v>2731</v>
          </cell>
          <cell r="B560" t="str">
            <v>Distribution board with cover</v>
          </cell>
          <cell r="C560" t="str">
            <v>Nr</v>
          </cell>
          <cell r="D560">
            <v>1450</v>
          </cell>
          <cell r="E560">
            <v>14.5</v>
          </cell>
          <cell r="F560">
            <v>1464.5</v>
          </cell>
        </row>
        <row r="561">
          <cell r="A561">
            <v>2732</v>
          </cell>
          <cell r="B561" t="str">
            <v>40 Amp three phase main switch</v>
          </cell>
          <cell r="C561" t="str">
            <v>Nr</v>
          </cell>
          <cell r="D561">
            <v>1224</v>
          </cell>
          <cell r="E561">
            <v>12.24</v>
          </cell>
          <cell r="F561">
            <v>1236</v>
          </cell>
        </row>
        <row r="562">
          <cell r="A562">
            <v>2733</v>
          </cell>
          <cell r="B562" t="str">
            <v>60 Amp three phase main switch</v>
          </cell>
          <cell r="C562" t="str">
            <v>Nr</v>
          </cell>
          <cell r="D562">
            <v>1324</v>
          </cell>
          <cell r="E562">
            <v>13.24</v>
          </cell>
          <cell r="F562">
            <v>1337</v>
          </cell>
        </row>
        <row r="563">
          <cell r="A563">
            <v>2734</v>
          </cell>
          <cell r="B563" t="str">
            <v>40 Amp single phase RCCB (Trip switch)</v>
          </cell>
          <cell r="C563" t="str">
            <v>Nr</v>
          </cell>
          <cell r="D563">
            <v>2677</v>
          </cell>
          <cell r="E563">
            <v>26.77</v>
          </cell>
          <cell r="F563">
            <v>2704</v>
          </cell>
        </row>
        <row r="564">
          <cell r="A564">
            <v>2735</v>
          </cell>
          <cell r="B564" t="str">
            <v>60 Amp single phase RCCB (Trip switch)</v>
          </cell>
          <cell r="C564" t="str">
            <v>Nr</v>
          </cell>
          <cell r="D564">
            <v>2712</v>
          </cell>
          <cell r="E564">
            <v>27.12</v>
          </cell>
          <cell r="F564">
            <v>2739</v>
          </cell>
        </row>
        <row r="565">
          <cell r="A565">
            <v>2736</v>
          </cell>
          <cell r="B565" t="str">
            <v>40 Amp three phase RCCB (Trip switch)</v>
          </cell>
          <cell r="C565" t="str">
            <v>Nr</v>
          </cell>
          <cell r="D565">
            <v>3706</v>
          </cell>
          <cell r="E565">
            <v>37.06</v>
          </cell>
          <cell r="F565">
            <v>3743</v>
          </cell>
        </row>
        <row r="566">
          <cell r="A566">
            <v>2737</v>
          </cell>
          <cell r="B566" t="str">
            <v>60 Amp three phase RCCB (Trip switch)</v>
          </cell>
          <cell r="C566" t="str">
            <v>Nr</v>
          </cell>
          <cell r="D566">
            <v>3912</v>
          </cell>
          <cell r="E566">
            <v>39.119999999999997</v>
          </cell>
          <cell r="F566">
            <v>3951</v>
          </cell>
        </row>
        <row r="567">
          <cell r="A567">
            <v>2738</v>
          </cell>
          <cell r="B567" t="str">
            <v>Electrical Bell</v>
          </cell>
          <cell r="C567" t="str">
            <v>Nr</v>
          </cell>
          <cell r="D567">
            <v>500</v>
          </cell>
          <cell r="E567">
            <v>5</v>
          </cell>
          <cell r="F567">
            <v>505</v>
          </cell>
        </row>
        <row r="568">
          <cell r="A568">
            <v>2739</v>
          </cell>
          <cell r="B568" t="str">
            <v>GI earth electrode</v>
          </cell>
          <cell r="C568" t="str">
            <v>Nr</v>
          </cell>
          <cell r="D568">
            <v>990</v>
          </cell>
          <cell r="E568">
            <v>9.9</v>
          </cell>
          <cell r="F568">
            <v>1000</v>
          </cell>
        </row>
        <row r="569">
          <cell r="A569">
            <v>2740</v>
          </cell>
          <cell r="B569" t="str">
            <v>50x50x5.8 mm angle Iron</v>
          </cell>
          <cell r="C569" t="str">
            <v>m</v>
          </cell>
          <cell r="D569">
            <v>467</v>
          </cell>
          <cell r="E569">
            <v>4.67</v>
          </cell>
          <cell r="F569">
            <v>471.5</v>
          </cell>
        </row>
        <row r="570">
          <cell r="A570">
            <v>2741</v>
          </cell>
          <cell r="B570" t="str">
            <v>60 Amp Circuit breaker</v>
          </cell>
          <cell r="C570" t="str">
            <v>Nr</v>
          </cell>
          <cell r="D570">
            <v>395</v>
          </cell>
          <cell r="E570">
            <v>3.95</v>
          </cell>
          <cell r="F570">
            <v>399</v>
          </cell>
        </row>
        <row r="571">
          <cell r="B571" t="str">
            <v>Miscellaneous Work</v>
          </cell>
        </row>
        <row r="572">
          <cell r="A572">
            <v>2801</v>
          </cell>
          <cell r="B572" t="str">
            <v>PVC coated gauge 10 chain link mesh</v>
          </cell>
          <cell r="C572" t="str">
            <v>m2</v>
          </cell>
          <cell r="D572">
            <v>595</v>
          </cell>
          <cell r="E572">
            <v>5.95</v>
          </cell>
          <cell r="F572">
            <v>543.5</v>
          </cell>
        </row>
        <row r="573">
          <cell r="A573">
            <v>2802</v>
          </cell>
          <cell r="B573" t="str">
            <v>2" GI pipes (2mm)</v>
          </cell>
          <cell r="C573" t="str">
            <v>m</v>
          </cell>
          <cell r="D573">
            <v>1165</v>
          </cell>
          <cell r="E573">
            <v>11.65</v>
          </cell>
          <cell r="F573">
            <v>547.5</v>
          </cell>
        </row>
        <row r="574">
          <cell r="A574">
            <v>2803</v>
          </cell>
          <cell r="B574" t="str">
            <v>1 1/2" GI pipes (2mm)</v>
          </cell>
          <cell r="C574" t="str">
            <v>m</v>
          </cell>
          <cell r="D574">
            <v>459</v>
          </cell>
          <cell r="E574">
            <v>4.59</v>
          </cell>
          <cell r="F574">
            <v>463.5</v>
          </cell>
        </row>
        <row r="575">
          <cell r="A575">
            <v>2804</v>
          </cell>
          <cell r="B575" t="str">
            <v>1"  GI pipes (2mm)</v>
          </cell>
          <cell r="C575" t="str">
            <v>m</v>
          </cell>
          <cell r="D575">
            <v>367</v>
          </cell>
          <cell r="E575">
            <v>3.67</v>
          </cell>
          <cell r="F575">
            <v>370.5</v>
          </cell>
        </row>
        <row r="576">
          <cell r="A576">
            <v>2805</v>
          </cell>
          <cell r="B576" t="str">
            <v>Barbed wire</v>
          </cell>
          <cell r="C576" t="str">
            <v>m</v>
          </cell>
          <cell r="D576">
            <v>25.35</v>
          </cell>
          <cell r="E576">
            <v>0.25</v>
          </cell>
          <cell r="F576">
            <v>25.6</v>
          </cell>
        </row>
        <row r="577">
          <cell r="A577">
            <v>2806</v>
          </cell>
          <cell r="B577" t="str">
            <v>Hooks and washers</v>
          </cell>
          <cell r="C577" t="str">
            <v>Nr</v>
          </cell>
          <cell r="D577">
            <v>10.5</v>
          </cell>
          <cell r="E577">
            <v>0.11</v>
          </cell>
          <cell r="F577">
            <v>10.5</v>
          </cell>
        </row>
        <row r="578">
          <cell r="A578">
            <v>2807</v>
          </cell>
          <cell r="B578" t="str">
            <v>Concrete fence posts 6'-0"</v>
          </cell>
          <cell r="C578" t="str">
            <v>Nr</v>
          </cell>
          <cell r="D578">
            <v>930</v>
          </cell>
          <cell r="E578">
            <v>9.3000000000000007</v>
          </cell>
          <cell r="F578">
            <v>939.5</v>
          </cell>
        </row>
        <row r="579">
          <cell r="A579">
            <v>2808</v>
          </cell>
          <cell r="B579" t="str">
            <v>Concrete fence posts 6'-6"</v>
          </cell>
          <cell r="C579" t="str">
            <v>Nr</v>
          </cell>
          <cell r="D579">
            <v>1010</v>
          </cell>
          <cell r="E579">
            <v>10.1</v>
          </cell>
          <cell r="F579">
            <v>1020</v>
          </cell>
        </row>
        <row r="580">
          <cell r="A580">
            <v>2809</v>
          </cell>
          <cell r="B580" t="str">
            <v>Concrete fence posts 7'-0"</v>
          </cell>
          <cell r="C580" t="str">
            <v>Nr</v>
          </cell>
          <cell r="D580">
            <v>1100</v>
          </cell>
          <cell r="E580">
            <v>11</v>
          </cell>
          <cell r="F580">
            <v>1111</v>
          </cell>
        </row>
        <row r="581">
          <cell r="A581">
            <v>2810</v>
          </cell>
          <cell r="B581" t="str">
            <v>Concrete fence posts 8'-0"</v>
          </cell>
          <cell r="C581" t="str">
            <v>Nr</v>
          </cell>
          <cell r="D581">
            <v>1240</v>
          </cell>
          <cell r="E581">
            <v>12.4</v>
          </cell>
          <cell r="F581">
            <v>1252.5</v>
          </cell>
        </row>
        <row r="582">
          <cell r="A582">
            <v>2811</v>
          </cell>
          <cell r="B582" t="str">
            <v>Concrete fence posts 10'-6"</v>
          </cell>
          <cell r="C582" t="str">
            <v>Nr</v>
          </cell>
          <cell r="D582">
            <v>2850</v>
          </cell>
          <cell r="E582">
            <v>28.5</v>
          </cell>
          <cell r="F582">
            <v>2878.5</v>
          </cell>
        </row>
        <row r="583">
          <cell r="A583">
            <v>2812</v>
          </cell>
          <cell r="B583" t="str">
            <v>Concrete fence supporting posts for corner posts</v>
          </cell>
          <cell r="C583" t="str">
            <v>Nr</v>
          </cell>
          <cell r="D583">
            <v>1250</v>
          </cell>
          <cell r="E583">
            <v>12.5</v>
          </cell>
          <cell r="F583">
            <v>1262.5</v>
          </cell>
        </row>
        <row r="584">
          <cell r="A584">
            <v>2813</v>
          </cell>
          <cell r="B584" t="str">
            <v>2" GI pipes (1.8mm)</v>
          </cell>
          <cell r="C584" t="str">
            <v>m</v>
          </cell>
          <cell r="D584">
            <v>492</v>
          </cell>
          <cell r="E584">
            <v>4.92</v>
          </cell>
          <cell r="F584">
            <v>497</v>
          </cell>
        </row>
        <row r="585">
          <cell r="A585">
            <v>2814</v>
          </cell>
          <cell r="B585" t="str">
            <v>2" GI pipes (1.5mm)</v>
          </cell>
          <cell r="C585" t="str">
            <v>m</v>
          </cell>
          <cell r="D585">
            <v>459</v>
          </cell>
          <cell r="E585">
            <v>4.59</v>
          </cell>
          <cell r="F585">
            <v>463.5</v>
          </cell>
        </row>
        <row r="586">
          <cell r="A586">
            <v>2815</v>
          </cell>
          <cell r="B586" t="str">
            <v>1 1/2" GI pipes (1.8mm)</v>
          </cell>
          <cell r="C586" t="str">
            <v>m</v>
          </cell>
          <cell r="D586">
            <v>434</v>
          </cell>
          <cell r="E586">
            <v>4.34</v>
          </cell>
          <cell r="F586">
            <v>438.5</v>
          </cell>
        </row>
        <row r="587">
          <cell r="A587">
            <v>2816</v>
          </cell>
          <cell r="B587" t="str">
            <v>1 1/2" GI pipes (1.5mm)</v>
          </cell>
          <cell r="C587" t="str">
            <v>m</v>
          </cell>
          <cell r="D587">
            <v>359</v>
          </cell>
          <cell r="E587">
            <v>3.59</v>
          </cell>
          <cell r="F587">
            <v>362.5</v>
          </cell>
        </row>
        <row r="588">
          <cell r="A588">
            <v>2817</v>
          </cell>
          <cell r="B588" t="str">
            <v>1 1/4" GI pipes (2mm)</v>
          </cell>
          <cell r="C588" t="str">
            <v>m</v>
          </cell>
          <cell r="D588">
            <v>409</v>
          </cell>
          <cell r="E588">
            <v>4.09</v>
          </cell>
          <cell r="F588">
            <v>413</v>
          </cell>
        </row>
        <row r="589">
          <cell r="A589">
            <v>2818</v>
          </cell>
          <cell r="B589" t="str">
            <v>1 1/4" GI pipes (1.8mm)</v>
          </cell>
          <cell r="C589" t="str">
            <v>m</v>
          </cell>
          <cell r="D589">
            <v>359</v>
          </cell>
          <cell r="E589">
            <v>3.59</v>
          </cell>
          <cell r="F589">
            <v>362.5</v>
          </cell>
        </row>
        <row r="590">
          <cell r="A590">
            <v>2819</v>
          </cell>
          <cell r="B590" t="str">
            <v>1 1/4" GI pipes (1.5mm)</v>
          </cell>
          <cell r="C590" t="str">
            <v>m</v>
          </cell>
          <cell r="D590">
            <v>267</v>
          </cell>
          <cell r="E590">
            <v>2.67</v>
          </cell>
          <cell r="F590">
            <v>269.5</v>
          </cell>
        </row>
        <row r="591">
          <cell r="A591">
            <v>2820</v>
          </cell>
          <cell r="B591" t="str">
            <v>1 " GI pipes (1.8mm)</v>
          </cell>
          <cell r="C591" t="str">
            <v>m</v>
          </cell>
          <cell r="D591">
            <v>292</v>
          </cell>
          <cell r="E591">
            <v>2.92</v>
          </cell>
          <cell r="F591">
            <v>295</v>
          </cell>
        </row>
        <row r="592">
          <cell r="A592">
            <v>2821</v>
          </cell>
          <cell r="B592" t="str">
            <v>1 " GI pipes (1.5mm)</v>
          </cell>
          <cell r="C592" t="str">
            <v>m</v>
          </cell>
          <cell r="D592">
            <v>234</v>
          </cell>
          <cell r="E592">
            <v>2.34</v>
          </cell>
          <cell r="F592">
            <v>236.5</v>
          </cell>
        </row>
        <row r="593">
          <cell r="A593">
            <v>2822</v>
          </cell>
          <cell r="B593" t="str">
            <v>12mm thick MDF board</v>
          </cell>
          <cell r="C593" t="str">
            <v>m2</v>
          </cell>
          <cell r="D593">
            <v>718</v>
          </cell>
          <cell r="E593">
            <v>7.18</v>
          </cell>
          <cell r="F593">
            <v>725</v>
          </cell>
        </row>
        <row r="594">
          <cell r="A594">
            <v>2823</v>
          </cell>
          <cell r="B594" t="str">
            <v>12 mm thick regiform board</v>
          </cell>
          <cell r="C594" t="str">
            <v>m2</v>
          </cell>
          <cell r="D594">
            <v>131</v>
          </cell>
          <cell r="E594">
            <v>1.31</v>
          </cell>
          <cell r="F594">
            <v>132.5</v>
          </cell>
        </row>
        <row r="595">
          <cell r="A595">
            <v>2824</v>
          </cell>
          <cell r="B595" t="str">
            <v>Velvet cloth</v>
          </cell>
          <cell r="C595" t="str">
            <v>m2</v>
          </cell>
          <cell r="D595">
            <v>150</v>
          </cell>
          <cell r="E595">
            <v>1.5</v>
          </cell>
          <cell r="F595">
            <v>151.5</v>
          </cell>
        </row>
        <row r="599">
          <cell r="A599" t="str">
            <v xml:space="preserve">Prepared and Checked by B.S.R. Preparation Committee </v>
          </cell>
        </row>
        <row r="601">
          <cell r="A601" t="str">
            <v>1.</v>
          </cell>
          <cell r="B601" t="str">
            <v>Chairman : Eng. P. S. S. Vithanage, Chief Engineer (Buildings)</v>
          </cell>
        </row>
        <row r="603">
          <cell r="A603" t="str">
            <v>2</v>
          </cell>
          <cell r="B603" t="str">
            <v>Member 1 : Eng H.M Jayarathna, Chief Engineer (Buildings)</v>
          </cell>
        </row>
        <row r="605">
          <cell r="A605" t="str">
            <v>3</v>
          </cell>
          <cell r="B605" t="str">
            <v>Member 2 : Eng H.M Dharmarathna, Engineer</v>
          </cell>
        </row>
        <row r="607">
          <cell r="A607" t="str">
            <v>4</v>
          </cell>
          <cell r="B607" t="str">
            <v>Member 3 : Eng. D.M.R. Dhanapala, Engineer</v>
          </cell>
        </row>
        <row r="611">
          <cell r="A611" t="str">
            <v>Recommended by :</v>
          </cell>
        </row>
        <row r="614">
          <cell r="B614" t="str">
            <v>……………………………….</v>
          </cell>
        </row>
        <row r="615">
          <cell r="B615" t="str">
            <v>Eng. D. M. K. S. Dissanayake</v>
          </cell>
        </row>
        <row r="616">
          <cell r="B616" t="str">
            <v>Provincial Director ( Buildings)</v>
          </cell>
        </row>
        <row r="618">
          <cell r="A618" t="str">
            <v>Approved by:</v>
          </cell>
        </row>
        <row r="621">
          <cell r="B621" t="str">
            <v>………………………………….</v>
          </cell>
        </row>
        <row r="622">
          <cell r="B622" t="str">
            <v>Eng. M.L.C. Fernandu</v>
          </cell>
        </row>
        <row r="623">
          <cell r="B623" t="str">
            <v>Deputy Chief Secretary ( Engineering Services)</v>
          </cell>
        </row>
      </sheetData>
      <sheetData sheetId="1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DULE_(9)"/>
      <sheetName val="SCHEDULE_(8)"/>
      <sheetName val="SCHEDULE_(7)"/>
      <sheetName val="SCHEDULE_(6)"/>
      <sheetName val="SCHEDULE_(5)"/>
      <sheetName val="SCHEDULE_(4)"/>
      <sheetName val="SCHEDULE_(3)"/>
      <sheetName val="SCHEDULE_(2)"/>
      <sheetName val="SCHEDULE"/>
      <sheetName val="Shape_Codes"/>
      <sheetName val="Database"/>
      <sheetName val="Help"/>
      <sheetName val="Setup"/>
      <sheetName val="About"/>
      <sheetName val="More"/>
      <sheetName val="page"/>
      <sheetName val="Info"/>
      <sheetName val="check"/>
      <sheetName val="schedule_nos"/>
      <sheetName val="Shape_cords"/>
      <sheetName val="SCHEDULE (9)"/>
      <sheetName val="SCHEDULE (8)"/>
      <sheetName val="SCHEDULE (7)"/>
      <sheetName val="SCHEDULE (6)"/>
      <sheetName val="SCHEDULE (5)"/>
      <sheetName val="SCHEDULE (4)"/>
      <sheetName val="SCHEDULE (3)"/>
      <sheetName val="SCHEDULE (2)"/>
      <sheetName val="Shape Codes"/>
      <sheetName val="schedule nos"/>
      <sheetName val="Shape cords"/>
    </sheetNames>
    <sheetDataSet>
      <sheetData sheetId="0"/>
      <sheetData sheetId="1"/>
      <sheetData sheetId="2"/>
      <sheetData sheetId="3"/>
      <sheetData sheetId="4"/>
      <sheetData sheetId="5"/>
      <sheetData sheetId="6"/>
      <sheetData sheetId="7"/>
      <sheetData sheetId="8">
        <row r="10">
          <cell r="AJ10">
            <v>0</v>
          </cell>
        </row>
        <row r="11">
          <cell r="AJ11">
            <v>0</v>
          </cell>
        </row>
        <row r="12">
          <cell r="AJ12">
            <v>0</v>
          </cell>
        </row>
        <row r="13">
          <cell r="AJ13">
            <v>0</v>
          </cell>
        </row>
        <row r="14">
          <cell r="AJ14">
            <v>0</v>
          </cell>
        </row>
        <row r="15">
          <cell r="AJ15">
            <v>0</v>
          </cell>
        </row>
        <row r="16">
          <cell r="AJ16">
            <v>0</v>
          </cell>
        </row>
        <row r="17">
          <cell r="AJ17">
            <v>0</v>
          </cell>
        </row>
        <row r="18">
          <cell r="AJ18">
            <v>0</v>
          </cell>
        </row>
        <row r="19">
          <cell r="AJ19">
            <v>0</v>
          </cell>
        </row>
        <row r="20">
          <cell r="AJ20">
            <v>0</v>
          </cell>
        </row>
        <row r="21">
          <cell r="AJ21">
            <v>0</v>
          </cell>
        </row>
        <row r="22">
          <cell r="AJ22">
            <v>0</v>
          </cell>
        </row>
        <row r="23">
          <cell r="AJ23">
            <v>0</v>
          </cell>
        </row>
        <row r="24">
          <cell r="AJ24">
            <v>0</v>
          </cell>
        </row>
        <row r="25">
          <cell r="AJ25">
            <v>0</v>
          </cell>
        </row>
        <row r="26">
          <cell r="AJ26">
            <v>0</v>
          </cell>
        </row>
        <row r="27">
          <cell r="AJ27">
            <v>0</v>
          </cell>
        </row>
        <row r="28">
          <cell r="AJ28">
            <v>0</v>
          </cell>
        </row>
        <row r="29">
          <cell r="AJ29">
            <v>0</v>
          </cell>
        </row>
        <row r="30">
          <cell r="AJ30">
            <v>0</v>
          </cell>
        </row>
        <row r="31">
          <cell r="AJ31">
            <v>0</v>
          </cell>
        </row>
        <row r="32">
          <cell r="AJ32">
            <v>0</v>
          </cell>
        </row>
      </sheetData>
      <sheetData sheetId="9"/>
      <sheetData sheetId="10">
        <row r="7">
          <cell r="B7" t="str">
            <v>Example Job 1</v>
          </cell>
          <cell r="C7">
            <v>990001</v>
          </cell>
          <cell r="D7" t="str">
            <v>ABC</v>
          </cell>
        </row>
        <row r="8">
          <cell r="B8" t="str">
            <v>Example Job 2</v>
          </cell>
          <cell r="C8">
            <v>990002</v>
          </cell>
          <cell r="D8" t="str">
            <v>DEF</v>
          </cell>
        </row>
        <row r="9">
          <cell r="B9" t="str">
            <v>Example Job 3</v>
          </cell>
          <cell r="C9">
            <v>990003</v>
          </cell>
          <cell r="D9" t="str">
            <v>GHJ</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ow r="1">
          <cell r="A1">
            <v>1</v>
          </cell>
        </row>
      </sheetData>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sheetData>
      <sheetData sheetId="3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1 "/>
      <sheetName val="B-2"/>
      <sheetName val="B 3"/>
      <sheetName val="B-4"/>
      <sheetName val="S M B-4"/>
      <sheetName val="B-5"/>
      <sheetName val="S M B-5"/>
      <sheetName val="B-6"/>
      <sheetName val="B-7"/>
      <sheetName val="B-8"/>
      <sheetName val="DWS"/>
      <sheetName val="Main sum"/>
      <sheetName val="S M B-5 (2)"/>
      <sheetName val="Add 01"/>
      <sheetName val="Main sum 2"/>
      <sheetName val="Main sum 3"/>
    </sheetNames>
    <sheetDataSet>
      <sheetData sheetId="0"/>
      <sheetData sheetId="1">
        <row r="1">
          <cell r="J1">
            <v>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age"/>
      <sheetName val="Contents"/>
      <sheetName val="Instructions"/>
      <sheetName val="Material Prices"/>
      <sheetName val="Rate Analysis"/>
      <sheetName val="Rate Book"/>
      <sheetName val="Aluminium"/>
      <sheetName val="New item(discri)"/>
      <sheetName val="Sheet1"/>
      <sheetName val="Publicbuilding"/>
      <sheetName val="BQLIST"/>
    </sheetNames>
    <sheetDataSet>
      <sheetData sheetId="0"/>
      <sheetData sheetId="1"/>
      <sheetData sheetId="2"/>
      <sheetData sheetId="3">
        <row r="5">
          <cell r="A5" t="str">
            <v>ITEM</v>
          </cell>
          <cell r="B5" t="str">
            <v>DESCRIPTION</v>
          </cell>
          <cell r="C5" t="str">
            <v>UNIT</v>
          </cell>
          <cell r="D5" t="str">
            <v>MARKETPRICE</v>
          </cell>
          <cell r="E5" t="str">
            <v>TRANSPORTCOST</v>
          </cell>
          <cell r="F5" t="str">
            <v>PROPOSEDRATE</v>
          </cell>
        </row>
        <row r="6">
          <cell r="B6" t="str">
            <v>LABOUR</v>
          </cell>
        </row>
        <row r="7">
          <cell r="A7">
            <v>101</v>
          </cell>
          <cell r="B7" t="str">
            <v>Skilled Labour</v>
          </cell>
          <cell r="C7" t="str">
            <v>day</v>
          </cell>
          <cell r="D7">
            <v>800</v>
          </cell>
          <cell r="F7">
            <v>800</v>
          </cell>
        </row>
        <row r="8">
          <cell r="A8">
            <v>102</v>
          </cell>
          <cell r="B8" t="str">
            <v>Semiskilled Labour</v>
          </cell>
          <cell r="C8" t="str">
            <v>day</v>
          </cell>
          <cell r="D8">
            <v>700</v>
          </cell>
          <cell r="F8">
            <v>700</v>
          </cell>
        </row>
        <row r="9">
          <cell r="A9">
            <v>103</v>
          </cell>
          <cell r="B9" t="str">
            <v>Unskilled Labour</v>
          </cell>
          <cell r="C9" t="str">
            <v>day</v>
          </cell>
          <cell r="D9">
            <v>500</v>
          </cell>
          <cell r="F9">
            <v>500</v>
          </cell>
        </row>
        <row r="10">
          <cell r="A10">
            <v>104</v>
          </cell>
          <cell r="B10" t="str">
            <v>Mason</v>
          </cell>
          <cell r="C10" t="str">
            <v>day</v>
          </cell>
          <cell r="D10">
            <v>800</v>
          </cell>
          <cell r="F10">
            <v>800</v>
          </cell>
        </row>
        <row r="11">
          <cell r="A11">
            <v>105</v>
          </cell>
          <cell r="B11" t="str">
            <v>Carpenter</v>
          </cell>
          <cell r="C11" t="str">
            <v>day</v>
          </cell>
          <cell r="D11">
            <v>800</v>
          </cell>
          <cell r="F11">
            <v>800</v>
          </cell>
        </row>
        <row r="12">
          <cell r="A12">
            <v>106</v>
          </cell>
          <cell r="B12" t="str">
            <v>Plumber</v>
          </cell>
          <cell r="C12" t="str">
            <v>day</v>
          </cell>
          <cell r="D12">
            <v>800</v>
          </cell>
          <cell r="F12">
            <v>800</v>
          </cell>
        </row>
        <row r="13">
          <cell r="A13">
            <v>107</v>
          </cell>
          <cell r="B13" t="str">
            <v>Painter</v>
          </cell>
          <cell r="C13" t="str">
            <v>day</v>
          </cell>
          <cell r="D13">
            <v>800</v>
          </cell>
          <cell r="F13">
            <v>800</v>
          </cell>
        </row>
        <row r="14">
          <cell r="A14">
            <v>108</v>
          </cell>
          <cell r="B14" t="str">
            <v>Welder</v>
          </cell>
          <cell r="C14" t="str">
            <v>day</v>
          </cell>
          <cell r="D14">
            <v>800</v>
          </cell>
          <cell r="F14">
            <v>800</v>
          </cell>
        </row>
        <row r="15">
          <cell r="A15">
            <v>109</v>
          </cell>
          <cell r="B15" t="str">
            <v>Bar Bender</v>
          </cell>
          <cell r="C15" t="str">
            <v>day</v>
          </cell>
          <cell r="D15">
            <v>800</v>
          </cell>
          <cell r="F15">
            <v>800</v>
          </cell>
        </row>
        <row r="16">
          <cell r="B16" t="str">
            <v>MACHINES</v>
          </cell>
        </row>
        <row r="17">
          <cell r="A17">
            <v>201</v>
          </cell>
          <cell r="B17" t="str">
            <v>Concrete Mixer</v>
          </cell>
          <cell r="C17" t="str">
            <v>day</v>
          </cell>
          <cell r="D17">
            <v>5000</v>
          </cell>
          <cell r="F17">
            <v>5000</v>
          </cell>
        </row>
        <row r="18">
          <cell r="A18">
            <v>202</v>
          </cell>
          <cell r="B18" t="str">
            <v>Pocker vibrator</v>
          </cell>
          <cell r="C18" t="str">
            <v>day</v>
          </cell>
          <cell r="D18">
            <v>2000</v>
          </cell>
          <cell r="F18">
            <v>2000</v>
          </cell>
        </row>
        <row r="19">
          <cell r="A19">
            <v>203</v>
          </cell>
          <cell r="B19" t="str">
            <v xml:space="preserve">   Vibrating roller (one ton)</v>
          </cell>
          <cell r="C19" t="str">
            <v>day</v>
          </cell>
          <cell r="D19">
            <v>4500</v>
          </cell>
          <cell r="F19">
            <v>4500</v>
          </cell>
        </row>
        <row r="20">
          <cell r="A20">
            <v>204</v>
          </cell>
          <cell r="B20" t="str">
            <v xml:space="preserve">    Tractor</v>
          </cell>
          <cell r="C20" t="str">
            <v>day</v>
          </cell>
          <cell r="D20">
            <v>5000</v>
          </cell>
          <cell r="F20">
            <v>5000</v>
          </cell>
        </row>
        <row r="22">
          <cell r="B22" t="str">
            <v>MATERIALS</v>
          </cell>
        </row>
        <row r="23">
          <cell r="B23" t="str">
            <v>Earth Work</v>
          </cell>
        </row>
        <row r="24">
          <cell r="A24">
            <v>301</v>
          </cell>
          <cell r="B24" t="str">
            <v>Baskets</v>
          </cell>
          <cell r="C24" t="str">
            <v>Nr</v>
          </cell>
          <cell r="D24">
            <v>110</v>
          </cell>
          <cell r="F24">
            <v>110</v>
          </cell>
        </row>
        <row r="25">
          <cell r="A25">
            <v>302</v>
          </cell>
          <cell r="B25" t="str">
            <v>Gravel</v>
          </cell>
          <cell r="C25" t="str">
            <v>m3</v>
          </cell>
          <cell r="D25">
            <v>265</v>
          </cell>
          <cell r="F25">
            <v>265</v>
          </cell>
        </row>
        <row r="26">
          <cell r="A26">
            <v>303</v>
          </cell>
          <cell r="B26" t="str">
            <v>Earth</v>
          </cell>
          <cell r="C26" t="str">
            <v>m3</v>
          </cell>
          <cell r="D26">
            <v>124</v>
          </cell>
          <cell r="F26">
            <v>124</v>
          </cell>
        </row>
        <row r="27">
          <cell r="A27">
            <v>304</v>
          </cell>
          <cell r="B27" t="str">
            <v>Blasting powder</v>
          </cell>
          <cell r="C27" t="str">
            <v>kg</v>
          </cell>
          <cell r="D27">
            <v>650</v>
          </cell>
          <cell r="E27">
            <v>6.5</v>
          </cell>
          <cell r="F27">
            <v>657</v>
          </cell>
        </row>
        <row r="28">
          <cell r="A28">
            <v>305</v>
          </cell>
          <cell r="B28" t="str">
            <v>Safety fuse</v>
          </cell>
          <cell r="C28" t="str">
            <v>m</v>
          </cell>
          <cell r="D28">
            <v>42.5</v>
          </cell>
          <cell r="E28">
            <v>0.43</v>
          </cell>
          <cell r="F28">
            <v>43</v>
          </cell>
        </row>
        <row r="29">
          <cell r="A29">
            <v>306</v>
          </cell>
          <cell r="B29" t="str">
            <v>Detonators</v>
          </cell>
          <cell r="C29" t="str">
            <v>Nr</v>
          </cell>
          <cell r="D29">
            <v>30.8</v>
          </cell>
          <cell r="E29">
            <v>0.31</v>
          </cell>
          <cell r="F29">
            <v>31</v>
          </cell>
        </row>
        <row r="30">
          <cell r="B30" t="str">
            <v>Concrete Work</v>
          </cell>
        </row>
        <row r="31">
          <cell r="A31">
            <v>401</v>
          </cell>
          <cell r="B31" t="str">
            <v>Sand</v>
          </cell>
          <cell r="C31" t="str">
            <v>m3</v>
          </cell>
          <cell r="D31">
            <v>495</v>
          </cell>
          <cell r="F31">
            <v>495</v>
          </cell>
        </row>
        <row r="32">
          <cell r="A32">
            <v>402</v>
          </cell>
          <cell r="B32" t="str">
            <v>Cement</v>
          </cell>
          <cell r="C32" t="str">
            <v>bag</v>
          </cell>
          <cell r="D32">
            <v>810</v>
          </cell>
          <cell r="F32">
            <v>810</v>
          </cell>
        </row>
        <row r="33">
          <cell r="A33">
            <v>403</v>
          </cell>
          <cell r="B33" t="str">
            <v>Metal 50mm</v>
          </cell>
          <cell r="C33" t="str">
            <v>m3</v>
          </cell>
          <cell r="D33">
            <v>1770</v>
          </cell>
          <cell r="F33">
            <v>1770</v>
          </cell>
        </row>
        <row r="34">
          <cell r="A34">
            <v>404</v>
          </cell>
          <cell r="B34" t="str">
            <v>Metal 38mm</v>
          </cell>
          <cell r="C34" t="str">
            <v>m3</v>
          </cell>
          <cell r="D34">
            <v>1838</v>
          </cell>
          <cell r="F34">
            <v>1838</v>
          </cell>
        </row>
        <row r="35">
          <cell r="A35">
            <v>405</v>
          </cell>
          <cell r="B35" t="str">
            <v>Metal 25mm</v>
          </cell>
          <cell r="C35" t="str">
            <v>m3</v>
          </cell>
          <cell r="D35">
            <v>1945</v>
          </cell>
          <cell r="F35">
            <v>1945</v>
          </cell>
        </row>
        <row r="36">
          <cell r="A36">
            <v>406</v>
          </cell>
          <cell r="B36" t="str">
            <v>Metal 20mm</v>
          </cell>
          <cell r="C36" t="str">
            <v>m3</v>
          </cell>
          <cell r="D36">
            <v>2050</v>
          </cell>
          <cell r="F36">
            <v>2050</v>
          </cell>
        </row>
        <row r="37">
          <cell r="A37">
            <v>407</v>
          </cell>
          <cell r="B37" t="str">
            <v>Metal 12.5mm</v>
          </cell>
          <cell r="C37" t="str">
            <v>m3</v>
          </cell>
          <cell r="D37">
            <v>1485</v>
          </cell>
          <cell r="F37">
            <v>1485</v>
          </cell>
        </row>
        <row r="38">
          <cell r="B38" t="str">
            <v>Formwork</v>
          </cell>
          <cell r="F38">
            <v>0</v>
          </cell>
        </row>
        <row r="39">
          <cell r="A39">
            <v>501</v>
          </cell>
          <cell r="B39" t="str">
            <v>Shuttering planks - 25mm thick</v>
          </cell>
          <cell r="C39" t="str">
            <v>m2</v>
          </cell>
          <cell r="D39">
            <v>444</v>
          </cell>
          <cell r="E39">
            <v>4.4400000000000004</v>
          </cell>
          <cell r="F39">
            <v>448.5</v>
          </cell>
        </row>
        <row r="40">
          <cell r="A40">
            <v>502</v>
          </cell>
          <cell r="B40" t="str">
            <v>Plywood sheets - 20mm thick</v>
          </cell>
          <cell r="C40" t="str">
            <v>m2</v>
          </cell>
          <cell r="D40">
            <v>1043</v>
          </cell>
          <cell r="E40">
            <v>10.43</v>
          </cell>
          <cell r="F40">
            <v>1053.5</v>
          </cell>
        </row>
        <row r="41">
          <cell r="A41">
            <v>503</v>
          </cell>
          <cell r="B41" t="str">
            <v>Round timber 3m</v>
          </cell>
          <cell r="C41" t="str">
            <v>Nr</v>
          </cell>
          <cell r="D41">
            <v>60</v>
          </cell>
          <cell r="E41">
            <v>0.6</v>
          </cell>
          <cell r="F41">
            <v>60.5</v>
          </cell>
        </row>
        <row r="42">
          <cell r="A42">
            <v>504</v>
          </cell>
          <cell r="B42" t="str">
            <v>Bamboo 3m</v>
          </cell>
          <cell r="C42" t="str">
            <v>Nr</v>
          </cell>
          <cell r="D42">
            <v>60</v>
          </cell>
          <cell r="E42">
            <v>0.6</v>
          </cell>
          <cell r="F42">
            <v>60.6</v>
          </cell>
        </row>
        <row r="43">
          <cell r="A43">
            <v>505</v>
          </cell>
          <cell r="B43" t="str">
            <v>100mmx50mm class II timber</v>
          </cell>
          <cell r="C43" t="str">
            <v>m</v>
          </cell>
          <cell r="D43">
            <v>193.2</v>
          </cell>
          <cell r="E43">
            <v>1.93</v>
          </cell>
          <cell r="F43">
            <v>195</v>
          </cell>
        </row>
        <row r="44">
          <cell r="A44">
            <v>506</v>
          </cell>
          <cell r="B44" t="str">
            <v>50mmx50mm class II timber</v>
          </cell>
          <cell r="C44" t="str">
            <v>m</v>
          </cell>
          <cell r="D44">
            <v>109</v>
          </cell>
          <cell r="E44">
            <v>1.0900000000000001</v>
          </cell>
          <cell r="F44">
            <v>110</v>
          </cell>
        </row>
        <row r="45">
          <cell r="A45">
            <v>507</v>
          </cell>
          <cell r="B45" t="str">
            <v>Nail</v>
          </cell>
          <cell r="C45" t="str">
            <v>kg</v>
          </cell>
          <cell r="D45">
            <v>125</v>
          </cell>
          <cell r="E45">
            <v>1.25</v>
          </cell>
          <cell r="F45">
            <v>126.5</v>
          </cell>
        </row>
        <row r="46">
          <cell r="A46">
            <v>508</v>
          </cell>
          <cell r="B46" t="str">
            <v>Mould oil</v>
          </cell>
          <cell r="C46" t="str">
            <v>l</v>
          </cell>
          <cell r="D46">
            <v>89</v>
          </cell>
          <cell r="E46">
            <v>0.89</v>
          </cell>
          <cell r="F46">
            <v>90</v>
          </cell>
        </row>
        <row r="47">
          <cell r="A47">
            <v>509</v>
          </cell>
          <cell r="B47" t="str">
            <v>10mm dia. 450mm bolts</v>
          </cell>
          <cell r="C47" t="str">
            <v>Nr</v>
          </cell>
          <cell r="D47">
            <v>68</v>
          </cell>
          <cell r="E47">
            <v>0.68</v>
          </cell>
          <cell r="F47">
            <v>69</v>
          </cell>
        </row>
        <row r="48">
          <cell r="B48" t="str">
            <v>Reinforcement</v>
          </cell>
        </row>
        <row r="49">
          <cell r="A49">
            <v>601</v>
          </cell>
          <cell r="B49" t="str">
            <v>Steel  MS - 6mm</v>
          </cell>
          <cell r="C49" t="str">
            <v>kg</v>
          </cell>
          <cell r="D49">
            <v>78.400000000000006</v>
          </cell>
          <cell r="E49">
            <v>1.57</v>
          </cell>
          <cell r="F49">
            <v>80</v>
          </cell>
        </row>
        <row r="50">
          <cell r="A50">
            <v>602</v>
          </cell>
          <cell r="B50" t="str">
            <v>Steel  MS - &gt;6mm</v>
          </cell>
          <cell r="C50" t="str">
            <v>kg</v>
          </cell>
          <cell r="D50">
            <v>113</v>
          </cell>
          <cell r="E50">
            <v>2.2599999999999998</v>
          </cell>
          <cell r="F50">
            <v>115.5</v>
          </cell>
        </row>
        <row r="51">
          <cell r="A51">
            <v>603</v>
          </cell>
          <cell r="B51" t="str">
            <v>Steel  TS</v>
          </cell>
          <cell r="C51" t="str">
            <v>kg</v>
          </cell>
          <cell r="D51">
            <v>113</v>
          </cell>
          <cell r="E51">
            <v>2.2599999999999998</v>
          </cell>
          <cell r="F51">
            <v>115.5</v>
          </cell>
        </row>
        <row r="52">
          <cell r="A52">
            <v>604</v>
          </cell>
          <cell r="B52" t="str">
            <v>Binding wire</v>
          </cell>
          <cell r="C52" t="str">
            <v>kg</v>
          </cell>
          <cell r="D52">
            <v>130</v>
          </cell>
          <cell r="E52">
            <v>2.6</v>
          </cell>
          <cell r="F52">
            <v>132</v>
          </cell>
        </row>
        <row r="53">
          <cell r="B53" t="str">
            <v>Brick Work</v>
          </cell>
        </row>
        <row r="54">
          <cell r="A54">
            <v>701</v>
          </cell>
          <cell r="B54" t="str">
            <v>Bricks 220x105x65mm</v>
          </cell>
          <cell r="C54" t="str">
            <v>Nr</v>
          </cell>
          <cell r="D54">
            <v>4.5</v>
          </cell>
          <cell r="F54">
            <v>4.5</v>
          </cell>
        </row>
        <row r="55">
          <cell r="A55">
            <v>702</v>
          </cell>
          <cell r="B55" t="str">
            <v>Wire cut bricks</v>
          </cell>
          <cell r="C55" t="str">
            <v>Nr</v>
          </cell>
          <cell r="D55">
            <v>18</v>
          </cell>
          <cell r="F55">
            <v>18</v>
          </cell>
        </row>
        <row r="56">
          <cell r="A56">
            <v>703</v>
          </cell>
          <cell r="B56" t="str">
            <v>Batik bricks</v>
          </cell>
          <cell r="C56" t="str">
            <v>Nr</v>
          </cell>
          <cell r="D56">
            <v>22</v>
          </cell>
          <cell r="F56">
            <v>22</v>
          </cell>
        </row>
        <row r="57">
          <cell r="A57">
            <v>704</v>
          </cell>
          <cell r="B57" t="str">
            <v>Bricks 220x105x100mm</v>
          </cell>
          <cell r="C57" t="str">
            <v>Nr</v>
          </cell>
          <cell r="D57">
            <v>6</v>
          </cell>
          <cell r="F57">
            <v>6</v>
          </cell>
        </row>
        <row r="58">
          <cell r="A58">
            <v>705</v>
          </cell>
          <cell r="B58" t="str">
            <v>Bricks 220x150x100mm</v>
          </cell>
          <cell r="C58" t="str">
            <v>Nr</v>
          </cell>
          <cell r="D58">
            <v>7</v>
          </cell>
          <cell r="F58">
            <v>7</v>
          </cell>
        </row>
        <row r="59">
          <cell r="B59" t="str">
            <v>Masonry</v>
          </cell>
        </row>
        <row r="60">
          <cell r="A60">
            <v>801</v>
          </cell>
          <cell r="B60" t="str">
            <v>150x225mm rubble</v>
          </cell>
          <cell r="C60" t="str">
            <v>m3</v>
          </cell>
          <cell r="D60">
            <v>700</v>
          </cell>
          <cell r="F60">
            <v>700</v>
          </cell>
        </row>
        <row r="61">
          <cell r="A61">
            <v>802</v>
          </cell>
          <cell r="B61" t="str">
            <v>DPC Tar</v>
          </cell>
          <cell r="C61" t="str">
            <v>l</v>
          </cell>
          <cell r="D61">
            <v>96</v>
          </cell>
          <cell r="E61">
            <v>0.96</v>
          </cell>
          <cell r="F61">
            <v>97</v>
          </cell>
        </row>
        <row r="62">
          <cell r="B62" t="str">
            <v>Pavior</v>
          </cell>
        </row>
        <row r="63">
          <cell r="A63">
            <v>901</v>
          </cell>
          <cell r="B63" t="str">
            <v>Antitermite treatment - Sub contractors rate</v>
          </cell>
          <cell r="C63" t="str">
            <v>m2</v>
          </cell>
          <cell r="D63">
            <v>269</v>
          </cell>
          <cell r="F63">
            <v>269</v>
          </cell>
        </row>
        <row r="64">
          <cell r="A64">
            <v>902</v>
          </cell>
          <cell r="B64" t="str">
            <v>Water proofing - Sub contractors rate</v>
          </cell>
          <cell r="C64" t="str">
            <v>m2</v>
          </cell>
          <cell r="D64">
            <v>1126</v>
          </cell>
          <cell r="F64">
            <v>1126</v>
          </cell>
        </row>
        <row r="65">
          <cell r="A65">
            <v>903</v>
          </cell>
          <cell r="B65" t="str">
            <v>Gauge 1000 polythene</v>
          </cell>
          <cell r="C65" t="str">
            <v>m2</v>
          </cell>
          <cell r="D65">
            <v>66</v>
          </cell>
          <cell r="E65">
            <v>0.66</v>
          </cell>
          <cell r="F65">
            <v>66.66</v>
          </cell>
        </row>
        <row r="66">
          <cell r="A66">
            <v>904</v>
          </cell>
          <cell r="B66" t="str">
            <v>Crystaline waterproofing material (XYPEX concentrate)</v>
          </cell>
          <cell r="C66" t="str">
            <v>kg</v>
          </cell>
          <cell r="D66">
            <v>1065</v>
          </cell>
          <cell r="F66">
            <v>1065</v>
          </cell>
        </row>
        <row r="67">
          <cell r="B67" t="str">
            <v>Tiller</v>
          </cell>
          <cell r="F67">
            <v>0</v>
          </cell>
        </row>
        <row r="68">
          <cell r="A68">
            <v>1001</v>
          </cell>
          <cell r="B68" t="str">
            <v>100x100 glazed wall tiles</v>
          </cell>
          <cell r="C68" t="str">
            <v>Nr</v>
          </cell>
          <cell r="D68">
            <v>14</v>
          </cell>
          <cell r="E68">
            <v>0.14000000000000001</v>
          </cell>
          <cell r="F68">
            <v>14.5</v>
          </cell>
        </row>
        <row r="69">
          <cell r="A69">
            <v>1002</v>
          </cell>
          <cell r="B69" t="str">
            <v>150x150 glazed wall tiles</v>
          </cell>
          <cell r="C69" t="str">
            <v>Nr</v>
          </cell>
          <cell r="D69">
            <v>26</v>
          </cell>
          <cell r="E69">
            <v>0.26</v>
          </cell>
          <cell r="F69">
            <v>26.5</v>
          </cell>
        </row>
        <row r="70">
          <cell r="A70">
            <v>1003</v>
          </cell>
          <cell r="B70" t="str">
            <v>200x300 glazed wall tiles</v>
          </cell>
          <cell r="C70" t="str">
            <v>Nr</v>
          </cell>
          <cell r="D70">
            <v>80</v>
          </cell>
          <cell r="E70">
            <v>0.8</v>
          </cell>
          <cell r="F70">
            <v>81</v>
          </cell>
        </row>
        <row r="71">
          <cell r="A71">
            <v>1004</v>
          </cell>
          <cell r="B71" t="str">
            <v>300x400 glazed wall tiles</v>
          </cell>
          <cell r="C71" t="str">
            <v>Nr</v>
          </cell>
          <cell r="D71">
            <v>196</v>
          </cell>
          <cell r="E71">
            <v>1.96</v>
          </cell>
          <cell r="F71">
            <v>198</v>
          </cell>
        </row>
        <row r="72">
          <cell r="A72">
            <v>1005</v>
          </cell>
          <cell r="B72" t="str">
            <v>200x200 non skid floor tiles</v>
          </cell>
          <cell r="C72" t="str">
            <v>Nr</v>
          </cell>
          <cell r="D72">
            <v>49.5</v>
          </cell>
          <cell r="E72">
            <v>0.5</v>
          </cell>
          <cell r="F72">
            <v>50</v>
          </cell>
        </row>
        <row r="73">
          <cell r="A73">
            <v>1006</v>
          </cell>
          <cell r="B73" t="str">
            <v>300x300 non skid floor tiles</v>
          </cell>
          <cell r="C73" t="str">
            <v>Nr</v>
          </cell>
          <cell r="D73">
            <v>132.5</v>
          </cell>
          <cell r="E73">
            <v>1.33</v>
          </cell>
          <cell r="F73">
            <v>134</v>
          </cell>
        </row>
        <row r="74">
          <cell r="A74">
            <v>1007</v>
          </cell>
          <cell r="B74" t="str">
            <v>450x450 non skid floor tiles</v>
          </cell>
          <cell r="C74" t="str">
            <v>Nr</v>
          </cell>
          <cell r="D74">
            <v>294</v>
          </cell>
          <cell r="E74">
            <v>2.94</v>
          </cell>
          <cell r="F74">
            <v>297</v>
          </cell>
        </row>
        <row r="75">
          <cell r="A75">
            <v>1008</v>
          </cell>
          <cell r="B75" t="str">
            <v>200x200 non skid floor tiles - Homogeneous</v>
          </cell>
          <cell r="C75" t="str">
            <v>Nr</v>
          </cell>
          <cell r="D75">
            <v>74</v>
          </cell>
          <cell r="E75">
            <v>0.74</v>
          </cell>
          <cell r="F75">
            <v>75</v>
          </cell>
        </row>
        <row r="76">
          <cell r="A76">
            <v>1009</v>
          </cell>
          <cell r="B76" t="str">
            <v>300x300 non skid floor tiles - Homogeneous</v>
          </cell>
          <cell r="C76" t="str">
            <v>Nr</v>
          </cell>
          <cell r="D76">
            <v>145</v>
          </cell>
          <cell r="E76">
            <v>1.45</v>
          </cell>
          <cell r="F76">
            <v>146.5</v>
          </cell>
        </row>
        <row r="77">
          <cell r="A77">
            <v>1010</v>
          </cell>
          <cell r="B77" t="str">
            <v>400x400 non skid floor tiles - Homogeneous</v>
          </cell>
          <cell r="C77" t="str">
            <v>Nr</v>
          </cell>
          <cell r="D77">
            <v>280</v>
          </cell>
          <cell r="E77">
            <v>2.8</v>
          </cell>
          <cell r="F77">
            <v>283</v>
          </cell>
        </row>
        <row r="78">
          <cell r="A78">
            <v>1011</v>
          </cell>
          <cell r="B78" t="str">
            <v>PVC tile beading</v>
          </cell>
          <cell r="C78" t="str">
            <v>m</v>
          </cell>
          <cell r="D78">
            <v>35</v>
          </cell>
          <cell r="E78">
            <v>0.35</v>
          </cell>
          <cell r="F78">
            <v>35.5</v>
          </cell>
        </row>
        <row r="79">
          <cell r="A79">
            <v>1012</v>
          </cell>
          <cell r="B79" t="str">
            <v>Stainless steel tile beading</v>
          </cell>
          <cell r="C79" t="str">
            <v>m</v>
          </cell>
        </row>
        <row r="80">
          <cell r="A80">
            <v>1013</v>
          </cell>
          <cell r="B80" t="str">
            <v>non skid homogenous floor tiles quality 3</v>
          </cell>
          <cell r="C80" t="str">
            <v>m2</v>
          </cell>
          <cell r="D80">
            <v>1500</v>
          </cell>
          <cell r="E80">
            <v>15</v>
          </cell>
          <cell r="F80">
            <v>1515</v>
          </cell>
        </row>
        <row r="81">
          <cell r="A81">
            <v>1014</v>
          </cell>
          <cell r="B81" t="str">
            <v>non skid homogenous floor tiles quality 2</v>
          </cell>
          <cell r="C81" t="str">
            <v>m2</v>
          </cell>
          <cell r="D81">
            <v>1850</v>
          </cell>
          <cell r="E81">
            <v>18.5</v>
          </cell>
          <cell r="F81">
            <v>1868.5</v>
          </cell>
        </row>
        <row r="82">
          <cell r="A82">
            <v>1015</v>
          </cell>
          <cell r="B82" t="str">
            <v xml:space="preserve">non skid homogenous floor tiles quality 1 </v>
          </cell>
          <cell r="C82" t="str">
            <v>m2</v>
          </cell>
          <cell r="D82">
            <v>2425</v>
          </cell>
          <cell r="E82">
            <v>24.25</v>
          </cell>
          <cell r="F82">
            <v>2449.25</v>
          </cell>
        </row>
        <row r="83">
          <cell r="A83">
            <v>1016</v>
          </cell>
          <cell r="B83" t="str">
            <v>glazed wall tiles quality 1</v>
          </cell>
          <cell r="C83" t="str">
            <v>m2</v>
          </cell>
          <cell r="D83">
            <v>1500</v>
          </cell>
          <cell r="E83">
            <v>15</v>
          </cell>
          <cell r="F83">
            <v>1515</v>
          </cell>
        </row>
        <row r="84">
          <cell r="A84">
            <v>1017</v>
          </cell>
          <cell r="B84" t="str">
            <v xml:space="preserve">100mm high Timber Skirting </v>
          </cell>
          <cell r="C84" t="str">
            <v>m</v>
          </cell>
          <cell r="D84">
            <v>214</v>
          </cell>
          <cell r="E84">
            <v>2.14</v>
          </cell>
          <cell r="F84">
            <v>216.14</v>
          </cell>
        </row>
        <row r="86">
          <cell r="B86" t="str">
            <v>Roofer</v>
          </cell>
          <cell r="F86">
            <v>0</v>
          </cell>
        </row>
        <row r="87">
          <cell r="A87">
            <v>1101</v>
          </cell>
          <cell r="B87" t="str">
            <v>Special class timber</v>
          </cell>
          <cell r="C87" t="str">
            <v>m3</v>
          </cell>
          <cell r="D87">
            <v>75987</v>
          </cell>
          <cell r="E87">
            <v>759.87</v>
          </cell>
          <cell r="F87">
            <v>76747</v>
          </cell>
        </row>
        <row r="88">
          <cell r="A88">
            <v>1102</v>
          </cell>
          <cell r="B88" t="str">
            <v>50mmx25mm special class timber</v>
          </cell>
          <cell r="C88" t="str">
            <v>m</v>
          </cell>
          <cell r="D88">
            <v>65.599999999999994</v>
          </cell>
          <cell r="E88">
            <v>0.66</v>
          </cell>
          <cell r="F88">
            <v>66.5</v>
          </cell>
        </row>
        <row r="89">
          <cell r="A89">
            <v>1103</v>
          </cell>
          <cell r="B89" t="str">
            <v>50mmx50mm special class timber</v>
          </cell>
          <cell r="C89" t="str">
            <v>m</v>
          </cell>
          <cell r="D89">
            <v>136.19999999999999</v>
          </cell>
          <cell r="E89">
            <v>1.36</v>
          </cell>
          <cell r="F89">
            <v>137.5</v>
          </cell>
        </row>
        <row r="90">
          <cell r="A90">
            <v>1104</v>
          </cell>
          <cell r="B90" t="str">
            <v>100mmx50mm special class timber</v>
          </cell>
          <cell r="C90" t="str">
            <v>m</v>
          </cell>
          <cell r="D90">
            <v>385.5</v>
          </cell>
          <cell r="E90">
            <v>3.86</v>
          </cell>
          <cell r="F90">
            <v>389.5</v>
          </cell>
        </row>
        <row r="91">
          <cell r="A91">
            <v>1105</v>
          </cell>
          <cell r="B91" t="str">
            <v>100mmx75mm special class timber</v>
          </cell>
          <cell r="C91" t="str">
            <v>m</v>
          </cell>
          <cell r="D91">
            <v>587</v>
          </cell>
          <cell r="E91">
            <v>5.87</v>
          </cell>
          <cell r="F91">
            <v>593</v>
          </cell>
        </row>
        <row r="92">
          <cell r="A92">
            <v>1106</v>
          </cell>
          <cell r="B92" t="str">
            <v>125mmx50mm special class timber</v>
          </cell>
          <cell r="C92" t="str">
            <v>m</v>
          </cell>
          <cell r="D92">
            <v>487.8</v>
          </cell>
          <cell r="E92">
            <v>4.88</v>
          </cell>
          <cell r="F92">
            <v>492.5</v>
          </cell>
        </row>
        <row r="93">
          <cell r="A93">
            <v>1107</v>
          </cell>
          <cell r="B93" t="str">
            <v>125mmx75mm special class timber</v>
          </cell>
          <cell r="C93" t="str">
            <v>m</v>
          </cell>
          <cell r="D93">
            <v>742.9</v>
          </cell>
          <cell r="E93">
            <v>7.43</v>
          </cell>
          <cell r="F93">
            <v>750.5</v>
          </cell>
        </row>
        <row r="94">
          <cell r="A94">
            <v>1108</v>
          </cell>
          <cell r="B94" t="str">
            <v>150mmx50mm special class timber</v>
          </cell>
          <cell r="C94" t="str">
            <v>m</v>
          </cell>
          <cell r="D94">
            <v>589.70000000000005</v>
          </cell>
          <cell r="E94">
            <v>5.9</v>
          </cell>
          <cell r="F94">
            <v>595.5</v>
          </cell>
        </row>
        <row r="95">
          <cell r="A95">
            <v>1109</v>
          </cell>
          <cell r="B95" t="str">
            <v>150mmx75mm special class timber</v>
          </cell>
          <cell r="C95" t="str">
            <v>m</v>
          </cell>
          <cell r="D95">
            <v>901.5</v>
          </cell>
          <cell r="E95">
            <v>9.02</v>
          </cell>
          <cell r="F95">
            <v>910.5</v>
          </cell>
        </row>
        <row r="96">
          <cell r="A96">
            <v>1110</v>
          </cell>
          <cell r="B96" t="str">
            <v>Asbestos sheet</v>
          </cell>
          <cell r="C96" t="str">
            <v>m2</v>
          </cell>
          <cell r="D96">
            <v>440</v>
          </cell>
          <cell r="E96">
            <v>4.4000000000000004</v>
          </cell>
          <cell r="F96">
            <v>444.5</v>
          </cell>
        </row>
        <row r="97">
          <cell r="A97">
            <v>1111</v>
          </cell>
          <cell r="B97" t="str">
            <v>Roofing screws 112mm&amp; washer</v>
          </cell>
          <cell r="C97" t="str">
            <v>Nr</v>
          </cell>
          <cell r="D97">
            <v>20</v>
          </cell>
          <cell r="E97">
            <v>0.2</v>
          </cell>
          <cell r="F97">
            <v>20.5</v>
          </cell>
        </row>
        <row r="98">
          <cell r="A98">
            <v>1112</v>
          </cell>
          <cell r="B98" t="str">
            <v>Wood preservative</v>
          </cell>
          <cell r="C98" t="str">
            <v>l</v>
          </cell>
          <cell r="D98">
            <v>325</v>
          </cell>
          <cell r="E98">
            <v>3.25</v>
          </cell>
          <cell r="F98">
            <v>328.5</v>
          </cell>
        </row>
        <row r="99">
          <cell r="A99">
            <v>1113</v>
          </cell>
          <cell r="B99" t="str">
            <v>J bolt and nut</v>
          </cell>
          <cell r="C99" t="str">
            <v>Nr</v>
          </cell>
          <cell r="D99">
            <v>13</v>
          </cell>
          <cell r="E99">
            <v>0.13</v>
          </cell>
          <cell r="F99">
            <v>13.5</v>
          </cell>
        </row>
        <row r="100">
          <cell r="A100">
            <v>1114</v>
          </cell>
          <cell r="B100" t="str">
            <v xml:space="preserve">12mm bolt and nut </v>
          </cell>
          <cell r="C100" t="str">
            <v>Nr</v>
          </cell>
          <cell r="D100">
            <v>16</v>
          </cell>
          <cell r="E100">
            <v>0.16</v>
          </cell>
          <cell r="F100">
            <v>16.5</v>
          </cell>
        </row>
        <row r="101">
          <cell r="A101">
            <v>1115</v>
          </cell>
          <cell r="B101" t="str">
            <v>50x50x5.8mm angle irons</v>
          </cell>
          <cell r="C101" t="str">
            <v>m</v>
          </cell>
          <cell r="D101">
            <v>467</v>
          </cell>
          <cell r="E101">
            <v>4.67</v>
          </cell>
          <cell r="F101">
            <v>471.5</v>
          </cell>
        </row>
        <row r="102">
          <cell r="A102">
            <v>1116</v>
          </cell>
          <cell r="B102" t="str">
            <v>62.5x62.5x5.8mm angle irons</v>
          </cell>
          <cell r="C102" t="str">
            <v>m</v>
          </cell>
          <cell r="D102">
            <v>608</v>
          </cell>
          <cell r="E102">
            <v>6.08</v>
          </cell>
          <cell r="F102">
            <v>614</v>
          </cell>
        </row>
        <row r="103">
          <cell r="A103">
            <v>1117</v>
          </cell>
          <cell r="B103" t="str">
            <v>75x75x5.8mm angle irons</v>
          </cell>
          <cell r="C103" t="str">
            <v>m</v>
          </cell>
          <cell r="D103">
            <v>825</v>
          </cell>
          <cell r="E103">
            <v>8.25</v>
          </cell>
          <cell r="F103">
            <v>833.5</v>
          </cell>
        </row>
        <row r="104">
          <cell r="A104">
            <v>1118</v>
          </cell>
          <cell r="B104" t="str">
            <v>6'-0" asbestos sheets</v>
          </cell>
          <cell r="C104" t="str">
            <v>Nr</v>
          </cell>
          <cell r="D104">
            <v>820</v>
          </cell>
          <cell r="E104">
            <v>8.1999999999999993</v>
          </cell>
          <cell r="F104">
            <v>828</v>
          </cell>
        </row>
        <row r="105">
          <cell r="A105">
            <v>1119</v>
          </cell>
          <cell r="B105" t="str">
            <v>8'-0" asbestos sheets</v>
          </cell>
          <cell r="C105" t="str">
            <v>Nr</v>
          </cell>
          <cell r="D105">
            <v>1150</v>
          </cell>
          <cell r="E105">
            <v>11.5</v>
          </cell>
          <cell r="F105">
            <v>1161.5</v>
          </cell>
        </row>
        <row r="106">
          <cell r="A106">
            <v>1120</v>
          </cell>
          <cell r="B106" t="str">
            <v>10'-0" asbestos sheets</v>
          </cell>
          <cell r="C106" t="str">
            <v>Nr</v>
          </cell>
          <cell r="D106">
            <v>1360</v>
          </cell>
          <cell r="E106">
            <v>13.6</v>
          </cell>
          <cell r="F106">
            <v>1373.5</v>
          </cell>
        </row>
        <row r="107">
          <cell r="A107">
            <v>1121</v>
          </cell>
          <cell r="B107" t="str">
            <v>12'-0" asbestos sheets</v>
          </cell>
          <cell r="C107" t="str">
            <v>Nr</v>
          </cell>
          <cell r="D107">
            <v>1730</v>
          </cell>
          <cell r="E107">
            <v>17.3</v>
          </cell>
          <cell r="F107">
            <v>1747.5</v>
          </cell>
        </row>
        <row r="108">
          <cell r="A108">
            <v>1122</v>
          </cell>
          <cell r="B108" t="str">
            <v>100x50x2mm "C" channels</v>
          </cell>
          <cell r="C108" t="str">
            <v>m</v>
          </cell>
          <cell r="D108">
            <v>355</v>
          </cell>
          <cell r="E108">
            <v>3.55</v>
          </cell>
          <cell r="F108">
            <v>358.5</v>
          </cell>
        </row>
        <row r="109">
          <cell r="A109">
            <v>1123</v>
          </cell>
          <cell r="B109" t="str">
            <v>0.47mm tk. Zn-alum sheets</v>
          </cell>
          <cell r="C109" t="str">
            <v>m2</v>
          </cell>
          <cell r="D109">
            <v>1078</v>
          </cell>
          <cell r="E109">
            <v>10.78</v>
          </cell>
          <cell r="F109">
            <v>1089</v>
          </cell>
        </row>
        <row r="110">
          <cell r="A110">
            <v>1124</v>
          </cell>
          <cell r="B110" t="str">
            <v>Fasteners</v>
          </cell>
          <cell r="C110" t="str">
            <v>Nr</v>
          </cell>
          <cell r="D110">
            <v>9</v>
          </cell>
          <cell r="E110">
            <v>0.09</v>
          </cell>
          <cell r="F110">
            <v>9</v>
          </cell>
        </row>
        <row r="111">
          <cell r="A111">
            <v>1125</v>
          </cell>
          <cell r="B111" t="str">
            <v>Roof tiles</v>
          </cell>
          <cell r="C111" t="str">
            <v>Nr</v>
          </cell>
          <cell r="D111">
            <v>35</v>
          </cell>
          <cell r="E111">
            <v>0.35</v>
          </cell>
          <cell r="F111">
            <v>35.5</v>
          </cell>
        </row>
        <row r="112">
          <cell r="A112">
            <v>1126</v>
          </cell>
          <cell r="B112" t="str">
            <v>Ridge tiles</v>
          </cell>
          <cell r="C112" t="str">
            <v>Nr</v>
          </cell>
          <cell r="D112">
            <v>45</v>
          </cell>
          <cell r="E112">
            <v>0.45</v>
          </cell>
          <cell r="F112">
            <v>45.5</v>
          </cell>
        </row>
        <row r="113">
          <cell r="A113">
            <v>1127</v>
          </cell>
          <cell r="B113" t="str">
            <v>5mm gusset plate</v>
          </cell>
          <cell r="C113" t="str">
            <v>m2</v>
          </cell>
          <cell r="D113">
            <v>4485</v>
          </cell>
          <cell r="E113">
            <v>44.85</v>
          </cell>
          <cell r="F113">
            <v>4530</v>
          </cell>
        </row>
        <row r="114">
          <cell r="A114">
            <v>1128</v>
          </cell>
          <cell r="B114" t="str">
            <v>Zink Alluminium ridge capping  of girth 470mm</v>
          </cell>
          <cell r="C114" t="str">
            <v>m</v>
          </cell>
          <cell r="D114">
            <v>591</v>
          </cell>
          <cell r="E114">
            <v>5.91</v>
          </cell>
          <cell r="F114">
            <v>597</v>
          </cell>
        </row>
        <row r="115">
          <cell r="A115">
            <v>1129</v>
          </cell>
          <cell r="B115" t="str">
            <v>Asbestos ridges</v>
          </cell>
          <cell r="C115" t="str">
            <v>Set</v>
          </cell>
          <cell r="D115">
            <v>600</v>
          </cell>
          <cell r="E115">
            <v>6</v>
          </cell>
          <cell r="F115">
            <v>606</v>
          </cell>
        </row>
        <row r="116">
          <cell r="A116">
            <v>1130</v>
          </cell>
          <cell r="B116" t="str">
            <v>Lime</v>
          </cell>
          <cell r="C116" t="str">
            <v>kg</v>
          </cell>
          <cell r="D116">
            <v>20</v>
          </cell>
          <cell r="E116">
            <v>0.2</v>
          </cell>
          <cell r="F116">
            <v>20.5</v>
          </cell>
        </row>
        <row r="117">
          <cell r="A117">
            <v>1131</v>
          </cell>
          <cell r="B117" t="str">
            <v>Aluminium foil as heat insulation</v>
          </cell>
          <cell r="C117" t="str">
            <v>m2</v>
          </cell>
          <cell r="D117">
            <v>133</v>
          </cell>
          <cell r="E117">
            <v>1.33</v>
          </cell>
          <cell r="F117">
            <v>134.5</v>
          </cell>
        </row>
        <row r="118">
          <cell r="A118">
            <v>1132</v>
          </cell>
          <cell r="B118" t="str">
            <v>Mesh for foil ( 2"x2")</v>
          </cell>
          <cell r="C118" t="str">
            <v>m2</v>
          </cell>
          <cell r="D118">
            <v>454.9</v>
          </cell>
          <cell r="E118">
            <v>4.55</v>
          </cell>
          <cell r="F118">
            <v>459.5</v>
          </cell>
        </row>
        <row r="119">
          <cell r="A119">
            <v>1133</v>
          </cell>
          <cell r="B119" t="str">
            <v>10mm gusset plate</v>
          </cell>
          <cell r="C119" t="str">
            <v>m2</v>
          </cell>
          <cell r="D119">
            <v>8970</v>
          </cell>
          <cell r="E119">
            <v>89.7</v>
          </cell>
          <cell r="F119">
            <v>9059.5</v>
          </cell>
        </row>
        <row r="120">
          <cell r="A120">
            <v>1134</v>
          </cell>
          <cell r="B120" t="str">
            <v>Truss plate, base plate</v>
          </cell>
          <cell r="C120" t="str">
            <v>m2</v>
          </cell>
          <cell r="D120">
            <v>4300</v>
          </cell>
          <cell r="E120">
            <v>43</v>
          </cell>
          <cell r="F120">
            <v>4343</v>
          </cell>
        </row>
        <row r="121">
          <cell r="B121" t="str">
            <v>Carpenter and Joiner</v>
          </cell>
        </row>
        <row r="122">
          <cell r="A122">
            <v>1201</v>
          </cell>
          <cell r="B122" t="str">
            <v>31mm planks special class</v>
          </cell>
          <cell r="C122" t="str">
            <v>m2</v>
          </cell>
          <cell r="D122">
            <v>1841</v>
          </cell>
          <cell r="E122">
            <v>18.41</v>
          </cell>
          <cell r="F122">
            <v>1859.5</v>
          </cell>
        </row>
        <row r="123">
          <cell r="A123">
            <v>1202</v>
          </cell>
          <cell r="B123" t="str">
            <v>25mm planks special class</v>
          </cell>
          <cell r="C123" t="str">
            <v>m2</v>
          </cell>
          <cell r="D123">
            <v>1476.66</v>
          </cell>
          <cell r="E123">
            <v>14.77</v>
          </cell>
          <cell r="F123">
            <v>1491.5</v>
          </cell>
        </row>
        <row r="124">
          <cell r="A124">
            <v>1203</v>
          </cell>
          <cell r="B124" t="str">
            <v>20mm planks special class</v>
          </cell>
          <cell r="C124" t="str">
            <v>m2</v>
          </cell>
          <cell r="D124">
            <v>1181.32</v>
          </cell>
          <cell r="E124">
            <v>11.81</v>
          </cell>
          <cell r="F124">
            <v>1193</v>
          </cell>
        </row>
        <row r="125">
          <cell r="A125">
            <v>1204</v>
          </cell>
          <cell r="B125" t="str">
            <v>20mm thick lunumidella timber</v>
          </cell>
          <cell r="C125" t="str">
            <v>m2</v>
          </cell>
          <cell r="D125">
            <v>700</v>
          </cell>
          <cell r="E125">
            <v>7</v>
          </cell>
          <cell r="F125">
            <v>707</v>
          </cell>
        </row>
        <row r="126">
          <cell r="A126">
            <v>1205</v>
          </cell>
          <cell r="B126" t="str">
            <v>50mm iron screws</v>
          </cell>
          <cell r="C126" t="str">
            <v>Nr</v>
          </cell>
          <cell r="D126">
            <v>2</v>
          </cell>
          <cell r="E126">
            <v>0.02</v>
          </cell>
          <cell r="F126">
            <v>2</v>
          </cell>
        </row>
        <row r="127">
          <cell r="A127">
            <v>1206</v>
          </cell>
          <cell r="B127" t="str">
            <v>G.I. clout nails 20mm</v>
          </cell>
          <cell r="C127" t="str">
            <v>kg</v>
          </cell>
          <cell r="D127">
            <v>300</v>
          </cell>
          <cell r="E127">
            <v>3</v>
          </cell>
          <cell r="F127">
            <v>303</v>
          </cell>
        </row>
        <row r="128">
          <cell r="A128">
            <v>1207</v>
          </cell>
          <cell r="B128" t="str">
            <v>Ceiling sheets</v>
          </cell>
          <cell r="C128" t="str">
            <v>m2</v>
          </cell>
          <cell r="D128">
            <v>263</v>
          </cell>
          <cell r="E128">
            <v>2.63</v>
          </cell>
          <cell r="F128">
            <v>265.5</v>
          </cell>
        </row>
        <row r="129">
          <cell r="A129">
            <v>1208</v>
          </cell>
          <cell r="B129" t="str">
            <v>Beadings</v>
          </cell>
          <cell r="C129" t="str">
            <v>m</v>
          </cell>
          <cell r="D129">
            <v>49</v>
          </cell>
          <cell r="E129">
            <v>0.49</v>
          </cell>
          <cell r="F129">
            <v>49.5</v>
          </cell>
        </row>
        <row r="130">
          <cell r="A130">
            <v>1209</v>
          </cell>
          <cell r="B130" t="str">
            <v>Moldings</v>
          </cell>
          <cell r="C130" t="str">
            <v>m</v>
          </cell>
          <cell r="D130">
            <v>117</v>
          </cell>
          <cell r="E130">
            <v>1.17</v>
          </cell>
          <cell r="F130">
            <v>118.17</v>
          </cell>
        </row>
        <row r="131">
          <cell r="A131">
            <v>1210</v>
          </cell>
          <cell r="B131" t="str">
            <v>Screws 38mm</v>
          </cell>
          <cell r="C131" t="str">
            <v>Nr</v>
          </cell>
          <cell r="D131">
            <v>1.5</v>
          </cell>
          <cell r="E131">
            <v>0.02</v>
          </cell>
          <cell r="F131">
            <v>1.5</v>
          </cell>
        </row>
        <row r="132">
          <cell r="A132">
            <v>1211</v>
          </cell>
          <cell r="B132" t="str">
            <v>Wooden plugs</v>
          </cell>
          <cell r="C132" t="str">
            <v>Nr</v>
          </cell>
          <cell r="D132">
            <v>5</v>
          </cell>
          <cell r="E132">
            <v>0.05</v>
          </cell>
          <cell r="F132">
            <v>5</v>
          </cell>
        </row>
        <row r="133">
          <cell r="A133">
            <v>1212</v>
          </cell>
          <cell r="B133" t="str">
            <v>Primer</v>
          </cell>
          <cell r="C133" t="str">
            <v>l</v>
          </cell>
          <cell r="D133">
            <v>320</v>
          </cell>
          <cell r="E133">
            <v>3.2</v>
          </cell>
          <cell r="F133">
            <v>323</v>
          </cell>
        </row>
        <row r="134">
          <cell r="A134">
            <v>1213</v>
          </cell>
          <cell r="B134" t="str">
            <v>Emulsion paint</v>
          </cell>
          <cell r="C134" t="str">
            <v>l</v>
          </cell>
          <cell r="D134">
            <v>648</v>
          </cell>
          <cell r="E134">
            <v>6.48</v>
          </cell>
          <cell r="F134">
            <v>654.5</v>
          </cell>
        </row>
        <row r="135">
          <cell r="A135">
            <v>1214</v>
          </cell>
          <cell r="B135" t="str">
            <v>100x75 door/ window frame</v>
          </cell>
          <cell r="C135" t="str">
            <v>m3</v>
          </cell>
          <cell r="D135">
            <v>75987</v>
          </cell>
          <cell r="E135">
            <v>759.87</v>
          </cell>
          <cell r="F135">
            <v>76747</v>
          </cell>
        </row>
        <row r="136">
          <cell r="A136">
            <v>1215</v>
          </cell>
          <cell r="B136" t="str">
            <v>38mm brass screws</v>
          </cell>
          <cell r="C136" t="str">
            <v>Nr</v>
          </cell>
          <cell r="D136">
            <v>5.5</v>
          </cell>
          <cell r="E136">
            <v>0.06</v>
          </cell>
          <cell r="F136">
            <v>5.5</v>
          </cell>
        </row>
        <row r="137">
          <cell r="A137">
            <v>1216</v>
          </cell>
          <cell r="B137" t="str">
            <v>25mm brass screws</v>
          </cell>
          <cell r="C137" t="str">
            <v>Nr</v>
          </cell>
          <cell r="D137">
            <v>3.5</v>
          </cell>
          <cell r="E137">
            <v>0.04</v>
          </cell>
          <cell r="F137">
            <v>3.5</v>
          </cell>
        </row>
        <row r="138">
          <cell r="A138">
            <v>1217</v>
          </cell>
          <cell r="B138" t="str">
            <v>Rawl plugs and screws</v>
          </cell>
          <cell r="C138" t="str">
            <v>Nr</v>
          </cell>
          <cell r="D138">
            <v>2</v>
          </cell>
          <cell r="E138">
            <v>0.02</v>
          </cell>
          <cell r="F138">
            <v>2</v>
          </cell>
        </row>
        <row r="139">
          <cell r="A139">
            <v>1218</v>
          </cell>
          <cell r="B139" t="str">
            <v>100mm brass hinges</v>
          </cell>
          <cell r="C139" t="str">
            <v>pair</v>
          </cell>
          <cell r="D139">
            <v>375</v>
          </cell>
          <cell r="E139">
            <v>3.75</v>
          </cell>
          <cell r="F139">
            <v>379</v>
          </cell>
        </row>
        <row r="140">
          <cell r="A140">
            <v>1219</v>
          </cell>
          <cell r="B140" t="str">
            <v>12x12mm fillets</v>
          </cell>
          <cell r="C140" t="str">
            <v>m</v>
          </cell>
          <cell r="D140">
            <v>5.5</v>
          </cell>
          <cell r="E140">
            <v>0.06</v>
          </cell>
          <cell r="F140">
            <v>5.5</v>
          </cell>
        </row>
        <row r="141">
          <cell r="A141">
            <v>1220</v>
          </cell>
          <cell r="B141" t="str">
            <v>300mm skeleton bolts</v>
          </cell>
          <cell r="C141" t="str">
            <v>Nr</v>
          </cell>
          <cell r="D141">
            <v>78</v>
          </cell>
          <cell r="E141">
            <v>0.78</v>
          </cell>
          <cell r="F141">
            <v>79</v>
          </cell>
        </row>
        <row r="142">
          <cell r="A142">
            <v>1221</v>
          </cell>
          <cell r="B142" t="str">
            <v>38x38mm sash bars</v>
          </cell>
          <cell r="C142" t="str">
            <v>m</v>
          </cell>
          <cell r="D142">
            <v>16</v>
          </cell>
          <cell r="E142">
            <v>0.16</v>
          </cell>
          <cell r="F142">
            <v>16.5</v>
          </cell>
        </row>
        <row r="143">
          <cell r="A143">
            <v>1222</v>
          </cell>
          <cell r="B143" t="str">
            <v>150mm barrel bolts</v>
          </cell>
          <cell r="C143" t="str">
            <v>Nr</v>
          </cell>
          <cell r="D143">
            <v>156</v>
          </cell>
          <cell r="E143">
            <v>1.56</v>
          </cell>
          <cell r="F143">
            <v>157.5</v>
          </cell>
        </row>
        <row r="144">
          <cell r="A144">
            <v>1223</v>
          </cell>
          <cell r="B144" t="str">
            <v>Plywood door sash</v>
          </cell>
          <cell r="C144" t="str">
            <v>Nr</v>
          </cell>
          <cell r="D144">
            <v>2200</v>
          </cell>
          <cell r="E144">
            <v>22</v>
          </cell>
          <cell r="F144">
            <v>2222</v>
          </cell>
        </row>
        <row r="145">
          <cell r="A145">
            <v>1224</v>
          </cell>
          <cell r="B145" t="str">
            <v>Holdfasts</v>
          </cell>
          <cell r="C145" t="str">
            <v>Nr</v>
          </cell>
          <cell r="D145">
            <v>75</v>
          </cell>
          <cell r="E145">
            <v>0.75</v>
          </cell>
          <cell r="F145">
            <v>76</v>
          </cell>
        </row>
        <row r="146">
          <cell r="A146">
            <v>1225</v>
          </cell>
          <cell r="B146" t="str">
            <v>PVC door with frame</v>
          </cell>
          <cell r="C146" t="str">
            <v>Nr</v>
          </cell>
          <cell r="D146">
            <v>4650</v>
          </cell>
          <cell r="E146">
            <v>46.5</v>
          </cell>
          <cell r="F146">
            <v>4696.5</v>
          </cell>
        </row>
        <row r="147">
          <cell r="A147">
            <v>1226</v>
          </cell>
          <cell r="B147" t="str">
            <v>3mm glass plain</v>
          </cell>
          <cell r="C147" t="str">
            <v>m2</v>
          </cell>
          <cell r="D147">
            <v>645</v>
          </cell>
          <cell r="E147">
            <v>6.45</v>
          </cell>
          <cell r="F147">
            <v>651.5</v>
          </cell>
        </row>
        <row r="148">
          <cell r="A148">
            <v>1227</v>
          </cell>
          <cell r="B148" t="str">
            <v>Casement stays</v>
          </cell>
          <cell r="C148" t="str">
            <v>Nr</v>
          </cell>
          <cell r="D148">
            <v>200</v>
          </cell>
          <cell r="E148">
            <v>2</v>
          </cell>
          <cell r="F148">
            <v>202</v>
          </cell>
        </row>
        <row r="149">
          <cell r="A149">
            <v>1228</v>
          </cell>
          <cell r="B149" t="str">
            <v>Casement fasteners</v>
          </cell>
          <cell r="C149" t="str">
            <v>Nr</v>
          </cell>
          <cell r="D149">
            <v>200</v>
          </cell>
          <cell r="E149">
            <v>2</v>
          </cell>
          <cell r="F149">
            <v>202</v>
          </cell>
        </row>
        <row r="150">
          <cell r="A150">
            <v>1229</v>
          </cell>
          <cell r="B150" t="str">
            <v>Class 11 Ginisapu planks 25mm thick</v>
          </cell>
          <cell r="C150" t="str">
            <v>m2</v>
          </cell>
          <cell r="D150">
            <v>1385</v>
          </cell>
          <cell r="E150">
            <v>13.85</v>
          </cell>
          <cell r="F150">
            <v>1399</v>
          </cell>
        </row>
        <row r="151">
          <cell r="A151">
            <v>1230</v>
          </cell>
          <cell r="B151" t="str">
            <v>Brass screw</v>
          </cell>
          <cell r="C151" t="str">
            <v>Nr</v>
          </cell>
          <cell r="D151">
            <v>5.5</v>
          </cell>
          <cell r="E151">
            <v>0.06</v>
          </cell>
          <cell r="F151">
            <v>5.5</v>
          </cell>
        </row>
        <row r="152">
          <cell r="A152">
            <v>1231</v>
          </cell>
          <cell r="B152" t="str">
            <v>Lunumidella timber</v>
          </cell>
          <cell r="C152" t="str">
            <v>m2</v>
          </cell>
          <cell r="D152">
            <v>700</v>
          </cell>
          <cell r="E152">
            <v>7</v>
          </cell>
          <cell r="F152">
            <v>707</v>
          </cell>
        </row>
        <row r="153">
          <cell r="A153">
            <v>1232</v>
          </cell>
          <cell r="B153" t="str">
            <v>12 mm thick flywood sheet</v>
          </cell>
          <cell r="C153" t="str">
            <v>m2</v>
          </cell>
          <cell r="D153">
            <v>875</v>
          </cell>
          <cell r="E153">
            <v>8.75</v>
          </cell>
          <cell r="F153">
            <v>884</v>
          </cell>
        </row>
        <row r="154">
          <cell r="A154">
            <v>1233</v>
          </cell>
          <cell r="B154" t="str">
            <v>G.I. clout nails 38mm</v>
          </cell>
          <cell r="C154" t="str">
            <v>Kg</v>
          </cell>
          <cell r="D154">
            <v>336</v>
          </cell>
          <cell r="E154">
            <v>3.36</v>
          </cell>
          <cell r="F154">
            <v>339.5</v>
          </cell>
        </row>
        <row r="155">
          <cell r="A155">
            <v>1234</v>
          </cell>
          <cell r="B155" t="str">
            <v>31mm planks class 1</v>
          </cell>
          <cell r="C155" t="str">
            <v>m2</v>
          </cell>
          <cell r="D155">
            <v>1440</v>
          </cell>
          <cell r="E155">
            <v>14.4</v>
          </cell>
          <cell r="F155">
            <v>1454.5</v>
          </cell>
        </row>
        <row r="156">
          <cell r="B156" t="str">
            <v>Brass Founder</v>
          </cell>
        </row>
        <row r="157">
          <cell r="A157">
            <v>1301</v>
          </cell>
          <cell r="B157" t="str">
            <v>Night latch lock</v>
          </cell>
          <cell r="C157" t="str">
            <v>Nr</v>
          </cell>
          <cell r="D157">
            <v>600</v>
          </cell>
          <cell r="E157">
            <v>6</v>
          </cell>
          <cell r="F157">
            <v>606</v>
          </cell>
        </row>
        <row r="158">
          <cell r="A158">
            <v>1302</v>
          </cell>
          <cell r="B158" t="str">
            <v>Mortise Union (English) single lock</v>
          </cell>
          <cell r="C158" t="str">
            <v>Nr</v>
          </cell>
          <cell r="E158">
            <v>0</v>
          </cell>
          <cell r="F158">
            <v>0</v>
          </cell>
        </row>
        <row r="159">
          <cell r="A159">
            <v>1303</v>
          </cell>
          <cell r="B159" t="str">
            <v>Mortise Union (English) double lock</v>
          </cell>
          <cell r="C159" t="str">
            <v>Nr</v>
          </cell>
          <cell r="E159">
            <v>0</v>
          </cell>
          <cell r="F159">
            <v>0</v>
          </cell>
        </row>
        <row r="160">
          <cell r="A160">
            <v>1304</v>
          </cell>
          <cell r="B160" t="str">
            <v>Robin ITALY made brass lock</v>
          </cell>
          <cell r="C160" t="str">
            <v>Nr</v>
          </cell>
          <cell r="E160">
            <v>0</v>
          </cell>
          <cell r="F160">
            <v>0</v>
          </cell>
        </row>
        <row r="161">
          <cell r="A161">
            <v>1305</v>
          </cell>
          <cell r="B161" t="str">
            <v>Fuda lock</v>
          </cell>
          <cell r="C161" t="str">
            <v>Nr</v>
          </cell>
          <cell r="E161">
            <v>0</v>
          </cell>
          <cell r="F161">
            <v>0</v>
          </cell>
        </row>
        <row r="162">
          <cell r="A162">
            <v>1306</v>
          </cell>
          <cell r="B162" t="str">
            <v>50mm barrel bolt (Brass)</v>
          </cell>
          <cell r="C162" t="str">
            <v>Nr</v>
          </cell>
          <cell r="D162">
            <v>65</v>
          </cell>
          <cell r="E162">
            <v>0.65</v>
          </cell>
          <cell r="F162">
            <v>65.650000000000006</v>
          </cell>
        </row>
        <row r="163">
          <cell r="A163">
            <v>1307</v>
          </cell>
          <cell r="B163" t="str">
            <v>100x100mm butt hinges</v>
          </cell>
          <cell r="C163" t="str">
            <v>Nr</v>
          </cell>
          <cell r="D163">
            <v>300</v>
          </cell>
          <cell r="E163">
            <v>3</v>
          </cell>
          <cell r="F163">
            <v>303</v>
          </cell>
        </row>
        <row r="164">
          <cell r="A164">
            <v>1308</v>
          </cell>
          <cell r="B164" t="str">
            <v>150x100mm butt hinges</v>
          </cell>
          <cell r="C164" t="str">
            <v>Nr</v>
          </cell>
          <cell r="D164">
            <v>475</v>
          </cell>
          <cell r="E164">
            <v>4.75</v>
          </cell>
          <cell r="F164">
            <v>479.75</v>
          </cell>
        </row>
        <row r="165">
          <cell r="A165">
            <v>1309</v>
          </cell>
          <cell r="B165" t="str">
            <v>100mm barrel bolt (Brass)</v>
          </cell>
          <cell r="C165" t="str">
            <v>Nr</v>
          </cell>
          <cell r="D165">
            <v>150</v>
          </cell>
          <cell r="E165">
            <v>1.5</v>
          </cell>
          <cell r="F165">
            <v>151.5</v>
          </cell>
        </row>
        <row r="166">
          <cell r="A166">
            <v>1310</v>
          </cell>
          <cell r="B166" t="str">
            <v>150mm barrel bolt (Brass)</v>
          </cell>
          <cell r="C166" t="str">
            <v>Nr</v>
          </cell>
          <cell r="D166">
            <v>350</v>
          </cell>
          <cell r="E166">
            <v>3.5</v>
          </cell>
          <cell r="F166">
            <v>353.5</v>
          </cell>
        </row>
        <row r="167">
          <cell r="B167" t="str">
            <v>Iron Monger</v>
          </cell>
          <cell r="F167">
            <v>0</v>
          </cell>
        </row>
        <row r="168">
          <cell r="A168">
            <v>1401</v>
          </cell>
          <cell r="B168" t="str">
            <v>50x50 G.I. welded mesh</v>
          </cell>
          <cell r="C168" t="str">
            <v>m2</v>
          </cell>
          <cell r="D168">
            <v>454</v>
          </cell>
          <cell r="E168">
            <v>4.54</v>
          </cell>
          <cell r="F168">
            <v>458.5</v>
          </cell>
        </row>
        <row r="169">
          <cell r="A169">
            <v>1402</v>
          </cell>
          <cell r="B169" t="str">
            <v>50x12mm beadings</v>
          </cell>
          <cell r="C169" t="str">
            <v>m</v>
          </cell>
          <cell r="D169">
            <v>50</v>
          </cell>
          <cell r="E169">
            <v>0.5</v>
          </cell>
          <cell r="F169">
            <v>50.5</v>
          </cell>
        </row>
        <row r="170">
          <cell r="A170">
            <v>1403</v>
          </cell>
          <cell r="B170" t="str">
            <v>5.5mm MS rods</v>
          </cell>
          <cell r="C170" t="str">
            <v>kg</v>
          </cell>
          <cell r="D170">
            <v>100</v>
          </cell>
          <cell r="E170">
            <v>1</v>
          </cell>
          <cell r="F170">
            <v>101</v>
          </cell>
        </row>
        <row r="171">
          <cell r="A171">
            <v>1404</v>
          </cell>
          <cell r="B171" t="str">
            <v>12x5mm flat iron</v>
          </cell>
          <cell r="C171" t="str">
            <v>m</v>
          </cell>
          <cell r="D171">
            <v>27</v>
          </cell>
          <cell r="E171">
            <v>0.27</v>
          </cell>
          <cell r="F171">
            <v>27.5</v>
          </cell>
        </row>
        <row r="172">
          <cell r="A172">
            <v>1405</v>
          </cell>
          <cell r="B172" t="str">
            <v>25x25x4mm angle iron</v>
          </cell>
          <cell r="C172" t="str">
            <v>m</v>
          </cell>
          <cell r="D172">
            <v>146</v>
          </cell>
          <cell r="E172">
            <v>1.46</v>
          </cell>
          <cell r="F172">
            <v>147.5</v>
          </cell>
        </row>
        <row r="173">
          <cell r="A173">
            <v>1406</v>
          </cell>
          <cell r="B173" t="str">
            <v>100mm safety type Hasp and Staple</v>
          </cell>
          <cell r="C173" t="str">
            <v>Nr</v>
          </cell>
          <cell r="D173">
            <v>150</v>
          </cell>
          <cell r="E173">
            <v>1.5</v>
          </cell>
          <cell r="F173">
            <v>151.5</v>
          </cell>
        </row>
        <row r="174">
          <cell r="A174">
            <v>1407</v>
          </cell>
          <cell r="B174" t="str">
            <v>150mm safety type Hasp and Staple</v>
          </cell>
          <cell r="C174" t="str">
            <v>Nr</v>
          </cell>
          <cell r="D174">
            <v>175</v>
          </cell>
          <cell r="E174">
            <v>1.75</v>
          </cell>
          <cell r="F174">
            <v>177</v>
          </cell>
        </row>
        <row r="175">
          <cell r="A175">
            <v>1408</v>
          </cell>
          <cell r="B175" t="str">
            <v>100x100mm butt hinges</v>
          </cell>
          <cell r="C175" t="str">
            <v>Nr</v>
          </cell>
          <cell r="D175">
            <v>300</v>
          </cell>
          <cell r="E175">
            <v>3</v>
          </cell>
          <cell r="F175">
            <v>303</v>
          </cell>
        </row>
        <row r="176">
          <cell r="A176">
            <v>1409</v>
          </cell>
          <cell r="B176" t="str">
            <v>150x100mm butt hinges</v>
          </cell>
          <cell r="C176" t="str">
            <v>Nr</v>
          </cell>
          <cell r="D176">
            <v>475</v>
          </cell>
          <cell r="E176">
            <v>4.75</v>
          </cell>
          <cell r="F176">
            <v>480</v>
          </cell>
        </row>
        <row r="177">
          <cell r="A177">
            <v>1410</v>
          </cell>
          <cell r="B177" t="str">
            <v>37x37x5.8 mm angle iron</v>
          </cell>
          <cell r="C177" t="str">
            <v>m</v>
          </cell>
          <cell r="D177">
            <v>368</v>
          </cell>
          <cell r="E177">
            <v>3.68</v>
          </cell>
          <cell r="F177">
            <v>371.5</v>
          </cell>
        </row>
        <row r="178">
          <cell r="A178">
            <v>1411</v>
          </cell>
          <cell r="B178" t="str">
            <v>25x25x5 mm angle iron</v>
          </cell>
          <cell r="C178" t="str">
            <v>m</v>
          </cell>
          <cell r="D178">
            <v>187</v>
          </cell>
          <cell r="E178">
            <v>1.87</v>
          </cell>
          <cell r="F178">
            <v>189</v>
          </cell>
        </row>
        <row r="179">
          <cell r="A179">
            <v>1412</v>
          </cell>
          <cell r="B179" t="str">
            <v>25x5mm flat iron</v>
          </cell>
          <cell r="C179" t="str">
            <v>m</v>
          </cell>
          <cell r="D179">
            <v>103</v>
          </cell>
          <cell r="E179">
            <v>1.03</v>
          </cell>
          <cell r="F179">
            <v>104</v>
          </cell>
        </row>
        <row r="180">
          <cell r="A180">
            <v>1413</v>
          </cell>
          <cell r="B180" t="str">
            <v>6mm mild steel hook</v>
          </cell>
          <cell r="C180" t="str">
            <v>Nr</v>
          </cell>
          <cell r="D180">
            <v>50</v>
          </cell>
          <cell r="E180">
            <v>0.5</v>
          </cell>
          <cell r="F180">
            <v>50.5</v>
          </cell>
        </row>
        <row r="181">
          <cell r="B181" t="str">
            <v>Aluminium Extrusions (Natural Anodized)</v>
          </cell>
        </row>
        <row r="182">
          <cell r="A182">
            <v>1501</v>
          </cell>
          <cell r="B182" t="str">
            <v>70S-1101-1 (NA)</v>
          </cell>
          <cell r="C182" t="str">
            <v>m</v>
          </cell>
          <cell r="D182">
            <v>450.61</v>
          </cell>
          <cell r="E182">
            <v>4.51</v>
          </cell>
          <cell r="F182">
            <v>455</v>
          </cell>
        </row>
        <row r="183">
          <cell r="A183">
            <v>1502</v>
          </cell>
          <cell r="B183" t="str">
            <v>70S-1001-1 (NA)</v>
          </cell>
          <cell r="C183" t="str">
            <v>m</v>
          </cell>
          <cell r="D183">
            <v>461.07</v>
          </cell>
          <cell r="E183">
            <v>4.6100000000000003</v>
          </cell>
          <cell r="F183">
            <v>465.5</v>
          </cell>
        </row>
        <row r="184">
          <cell r="A184">
            <v>1503</v>
          </cell>
          <cell r="B184" t="str">
            <v>70S-1201-1 (NA)</v>
          </cell>
          <cell r="C184" t="str">
            <v>m</v>
          </cell>
          <cell r="D184">
            <v>375.07</v>
          </cell>
          <cell r="E184">
            <v>3.75</v>
          </cell>
          <cell r="F184">
            <v>378</v>
          </cell>
        </row>
        <row r="185">
          <cell r="A185">
            <v>1504</v>
          </cell>
          <cell r="B185" t="str">
            <v>70S-1604 (NA)</v>
          </cell>
          <cell r="C185" t="str">
            <v>m</v>
          </cell>
          <cell r="D185">
            <v>367.07</v>
          </cell>
          <cell r="E185">
            <v>3.67</v>
          </cell>
          <cell r="F185">
            <v>371</v>
          </cell>
        </row>
        <row r="186">
          <cell r="A186">
            <v>1505</v>
          </cell>
          <cell r="B186" t="str">
            <v>70S-1704 (NA)</v>
          </cell>
          <cell r="C186" t="str">
            <v>m</v>
          </cell>
          <cell r="D186">
            <v>346.61</v>
          </cell>
          <cell r="E186">
            <v>3.47</v>
          </cell>
          <cell r="F186">
            <v>350</v>
          </cell>
        </row>
        <row r="187">
          <cell r="A187">
            <v>1506</v>
          </cell>
          <cell r="B187" t="str">
            <v>70S-1503A (NA)</v>
          </cell>
          <cell r="C187" t="str">
            <v>m</v>
          </cell>
          <cell r="D187">
            <v>433.38</v>
          </cell>
          <cell r="E187">
            <v>4.33</v>
          </cell>
          <cell r="F187">
            <v>438</v>
          </cell>
        </row>
        <row r="188">
          <cell r="A188">
            <v>1507</v>
          </cell>
          <cell r="B188" t="str">
            <v>70S-1401-1 (NA)</v>
          </cell>
          <cell r="C188" t="str">
            <v>m</v>
          </cell>
          <cell r="D188">
            <v>306.76</v>
          </cell>
          <cell r="E188">
            <v>3.07</v>
          </cell>
          <cell r="F188">
            <v>310</v>
          </cell>
        </row>
        <row r="189">
          <cell r="A189">
            <v>1508</v>
          </cell>
          <cell r="B189" t="str">
            <v>70SF-1006 (NA)</v>
          </cell>
          <cell r="C189" t="str">
            <v>m</v>
          </cell>
          <cell r="D189">
            <v>727.23</v>
          </cell>
          <cell r="E189">
            <v>7.27</v>
          </cell>
          <cell r="F189">
            <v>734.5</v>
          </cell>
        </row>
        <row r="190">
          <cell r="A190">
            <v>1509</v>
          </cell>
          <cell r="B190" t="str">
            <v>70SF-1201A (NA)</v>
          </cell>
          <cell r="C190" t="str">
            <v>m</v>
          </cell>
          <cell r="D190">
            <v>254</v>
          </cell>
          <cell r="E190">
            <v>2.54</v>
          </cell>
          <cell r="F190">
            <v>256.5</v>
          </cell>
        </row>
        <row r="191">
          <cell r="A191">
            <v>1510</v>
          </cell>
          <cell r="B191" t="str">
            <v>70SF-1201B (NA)</v>
          </cell>
          <cell r="C191" t="str">
            <v>m</v>
          </cell>
          <cell r="D191">
            <v>254</v>
          </cell>
          <cell r="E191">
            <v>2.54</v>
          </cell>
          <cell r="F191">
            <v>256.5</v>
          </cell>
        </row>
        <row r="192">
          <cell r="A192">
            <v>1511</v>
          </cell>
          <cell r="B192" t="str">
            <v>DG-02 (NA)</v>
          </cell>
          <cell r="C192" t="str">
            <v>m</v>
          </cell>
          <cell r="D192">
            <v>229.18</v>
          </cell>
          <cell r="E192">
            <v>2.29</v>
          </cell>
          <cell r="F192">
            <v>231.5</v>
          </cell>
        </row>
        <row r="193">
          <cell r="A193">
            <v>1512</v>
          </cell>
          <cell r="B193" t="str">
            <v>DG-102 (NA)</v>
          </cell>
          <cell r="C193" t="str">
            <v>m</v>
          </cell>
          <cell r="D193">
            <v>204.91</v>
          </cell>
          <cell r="E193">
            <v>2.0499999999999998</v>
          </cell>
          <cell r="F193">
            <v>207</v>
          </cell>
        </row>
        <row r="194">
          <cell r="A194">
            <v>1513</v>
          </cell>
          <cell r="B194" t="str">
            <v>CA-1001(NA)</v>
          </cell>
          <cell r="C194" t="str">
            <v>m</v>
          </cell>
          <cell r="D194">
            <v>569.01</v>
          </cell>
          <cell r="E194">
            <v>5.69</v>
          </cell>
          <cell r="F194">
            <v>574.5</v>
          </cell>
        </row>
        <row r="195">
          <cell r="A195">
            <v>1514</v>
          </cell>
          <cell r="B195" t="str">
            <v>CA-1002 (NA)</v>
          </cell>
          <cell r="C195" t="str">
            <v>m</v>
          </cell>
          <cell r="D195">
            <v>889.34</v>
          </cell>
          <cell r="E195">
            <v>8.89</v>
          </cell>
          <cell r="F195">
            <v>898</v>
          </cell>
        </row>
        <row r="196">
          <cell r="A196">
            <v>1515</v>
          </cell>
          <cell r="B196" t="str">
            <v>100D-1914 (NA)</v>
          </cell>
          <cell r="C196" t="str">
            <v>m</v>
          </cell>
          <cell r="D196">
            <v>124.61</v>
          </cell>
          <cell r="E196">
            <v>1.25</v>
          </cell>
          <cell r="F196">
            <v>126</v>
          </cell>
        </row>
        <row r="197">
          <cell r="A197">
            <v>1516</v>
          </cell>
          <cell r="B197" t="str">
            <v>CA-1007 (NA)</v>
          </cell>
          <cell r="C197" t="str">
            <v>m</v>
          </cell>
          <cell r="D197">
            <v>255.24</v>
          </cell>
          <cell r="E197">
            <v>2.5499999999999998</v>
          </cell>
          <cell r="F197">
            <v>258</v>
          </cell>
        </row>
        <row r="198">
          <cell r="A198">
            <v>1517</v>
          </cell>
          <cell r="B198" t="str">
            <v>CA-1008 (NA)</v>
          </cell>
          <cell r="C198" t="str">
            <v>m</v>
          </cell>
          <cell r="D198">
            <v>433.28</v>
          </cell>
          <cell r="E198">
            <v>4.33</v>
          </cell>
          <cell r="F198">
            <v>437.5</v>
          </cell>
        </row>
        <row r="199">
          <cell r="A199">
            <v>1518</v>
          </cell>
          <cell r="B199" t="str">
            <v>CA-2005 (NA)</v>
          </cell>
          <cell r="C199" t="str">
            <v>m</v>
          </cell>
          <cell r="D199">
            <v>485.08</v>
          </cell>
          <cell r="E199">
            <v>4.8499999999999996</v>
          </cell>
          <cell r="F199">
            <v>490</v>
          </cell>
        </row>
        <row r="200">
          <cell r="A200">
            <v>1519</v>
          </cell>
          <cell r="B200" t="str">
            <v>A-111 (MF)</v>
          </cell>
          <cell r="C200" t="str">
            <v>m</v>
          </cell>
          <cell r="D200">
            <v>392.87</v>
          </cell>
          <cell r="E200">
            <v>3.93</v>
          </cell>
          <cell r="F200">
            <v>397</v>
          </cell>
        </row>
        <row r="201">
          <cell r="A201">
            <v>1520</v>
          </cell>
          <cell r="B201" t="str">
            <v>DG-01 (NA)</v>
          </cell>
          <cell r="C201" t="str">
            <v>m</v>
          </cell>
          <cell r="D201">
            <v>219.18</v>
          </cell>
          <cell r="E201">
            <v>2.19</v>
          </cell>
          <cell r="F201">
            <v>221.5</v>
          </cell>
        </row>
        <row r="202">
          <cell r="A202">
            <v>1521</v>
          </cell>
          <cell r="B202" t="str">
            <v>DG-101(NA)</v>
          </cell>
          <cell r="C202" t="str">
            <v>m</v>
          </cell>
          <cell r="D202">
            <v>189.01</v>
          </cell>
          <cell r="E202">
            <v>1.89</v>
          </cell>
          <cell r="F202">
            <v>191</v>
          </cell>
        </row>
        <row r="203">
          <cell r="A203">
            <v>1522</v>
          </cell>
          <cell r="B203" t="str">
            <v>CA-2004 (NA)</v>
          </cell>
          <cell r="C203" t="str">
            <v>m</v>
          </cell>
          <cell r="D203">
            <v>332.78</v>
          </cell>
          <cell r="E203">
            <v>3.33</v>
          </cell>
          <cell r="F203">
            <v>336</v>
          </cell>
        </row>
        <row r="204">
          <cell r="A204">
            <v>1523</v>
          </cell>
          <cell r="B204" t="str">
            <v>GL-107 (NA)</v>
          </cell>
          <cell r="C204" t="str">
            <v>m</v>
          </cell>
          <cell r="D204">
            <v>130.82</v>
          </cell>
          <cell r="E204">
            <v>1.31</v>
          </cell>
          <cell r="F204">
            <v>132</v>
          </cell>
        </row>
        <row r="205">
          <cell r="A205">
            <v>1524</v>
          </cell>
          <cell r="B205" t="str">
            <v>CA-1003 (NA)</v>
          </cell>
          <cell r="C205" t="str">
            <v>m</v>
          </cell>
          <cell r="D205">
            <v>352.13</v>
          </cell>
          <cell r="E205">
            <v>3.52</v>
          </cell>
          <cell r="F205">
            <v>355.5</v>
          </cell>
        </row>
        <row r="206">
          <cell r="A206">
            <v>1525</v>
          </cell>
          <cell r="B206" t="str">
            <v>CA-1004 (NA)</v>
          </cell>
          <cell r="C206" t="str">
            <v>m</v>
          </cell>
          <cell r="D206">
            <v>526.39</v>
          </cell>
          <cell r="E206">
            <v>5.26</v>
          </cell>
          <cell r="F206">
            <v>531.5</v>
          </cell>
        </row>
        <row r="207">
          <cell r="A207">
            <v>1526</v>
          </cell>
          <cell r="B207" t="str">
            <v>CA-2006 (NA)</v>
          </cell>
          <cell r="C207" t="str">
            <v>m</v>
          </cell>
          <cell r="D207">
            <v>491.13</v>
          </cell>
          <cell r="E207">
            <v>4.91</v>
          </cell>
          <cell r="F207">
            <v>496</v>
          </cell>
        </row>
        <row r="208">
          <cell r="A208">
            <v>1527</v>
          </cell>
          <cell r="B208" t="str">
            <v>DG-02 (NA)</v>
          </cell>
          <cell r="C208" t="str">
            <v>m</v>
          </cell>
          <cell r="D208">
            <v>229.18</v>
          </cell>
          <cell r="E208">
            <v>2.29</v>
          </cell>
          <cell r="F208">
            <v>231.5</v>
          </cell>
        </row>
        <row r="209">
          <cell r="A209">
            <v>1528</v>
          </cell>
          <cell r="B209" t="str">
            <v>DG-102(NA)</v>
          </cell>
          <cell r="C209" t="str">
            <v>m</v>
          </cell>
          <cell r="D209">
            <v>204.91</v>
          </cell>
          <cell r="E209">
            <v>2.0499999999999998</v>
          </cell>
          <cell r="F209">
            <v>207</v>
          </cell>
        </row>
        <row r="210">
          <cell r="A210">
            <v>1529</v>
          </cell>
          <cell r="B210" t="str">
            <v>CA-1001 (NA)</v>
          </cell>
          <cell r="C210" t="str">
            <v>m</v>
          </cell>
          <cell r="D210">
            <v>569.01</v>
          </cell>
          <cell r="E210">
            <v>5.69</v>
          </cell>
          <cell r="F210">
            <v>574.5</v>
          </cell>
        </row>
        <row r="211">
          <cell r="A211">
            <v>1530</v>
          </cell>
          <cell r="B211" t="str">
            <v>CA-1002 (NA)</v>
          </cell>
          <cell r="C211" t="str">
            <v>m</v>
          </cell>
          <cell r="D211">
            <v>889.34</v>
          </cell>
          <cell r="E211">
            <v>8.89</v>
          </cell>
          <cell r="F211">
            <v>898</v>
          </cell>
        </row>
        <row r="212">
          <cell r="A212">
            <v>1531</v>
          </cell>
          <cell r="B212" t="str">
            <v>100D-3104 (NA)</v>
          </cell>
          <cell r="C212" t="str">
            <v>m</v>
          </cell>
          <cell r="D212">
            <v>602.61</v>
          </cell>
          <cell r="E212">
            <v>6.03</v>
          </cell>
          <cell r="F212">
            <v>608.5</v>
          </cell>
        </row>
        <row r="213">
          <cell r="A213">
            <v>1532</v>
          </cell>
          <cell r="B213" t="str">
            <v>100D-101 (NA)</v>
          </cell>
          <cell r="C213" t="str">
            <v>m</v>
          </cell>
          <cell r="D213">
            <v>823.23</v>
          </cell>
          <cell r="E213">
            <v>8.23</v>
          </cell>
          <cell r="F213">
            <v>831.5</v>
          </cell>
        </row>
        <row r="214">
          <cell r="A214">
            <v>1533</v>
          </cell>
          <cell r="B214" t="str">
            <v>100D-102 (NA)</v>
          </cell>
          <cell r="C214" t="str">
            <v>m</v>
          </cell>
          <cell r="D214">
            <v>862.3</v>
          </cell>
          <cell r="E214">
            <v>8.6199999999999992</v>
          </cell>
          <cell r="F214">
            <v>871</v>
          </cell>
        </row>
        <row r="215">
          <cell r="A215">
            <v>1534</v>
          </cell>
          <cell r="B215" t="str">
            <v>100D-201 (NA)</v>
          </cell>
          <cell r="C215" t="str">
            <v>m</v>
          </cell>
          <cell r="D215">
            <v>796.92</v>
          </cell>
          <cell r="E215">
            <v>7.97</v>
          </cell>
          <cell r="F215">
            <v>805</v>
          </cell>
        </row>
        <row r="216">
          <cell r="A216">
            <v>1535</v>
          </cell>
          <cell r="B216" t="str">
            <v>100D-301 (NA)</v>
          </cell>
          <cell r="C216" t="str">
            <v>m</v>
          </cell>
          <cell r="D216">
            <v>946.61</v>
          </cell>
          <cell r="E216">
            <v>9.4700000000000006</v>
          </cell>
          <cell r="F216">
            <v>956</v>
          </cell>
        </row>
        <row r="217">
          <cell r="A217">
            <v>1536</v>
          </cell>
          <cell r="B217" t="str">
            <v>100D-401 (NA)</v>
          </cell>
          <cell r="C217" t="str">
            <v>m</v>
          </cell>
          <cell r="D217">
            <v>1048.3</v>
          </cell>
          <cell r="E217">
            <v>10.48</v>
          </cell>
          <cell r="F217">
            <v>1059</v>
          </cell>
        </row>
        <row r="218">
          <cell r="A218">
            <v>1537</v>
          </cell>
          <cell r="B218" t="str">
            <v>100D-501 (NA)</v>
          </cell>
          <cell r="C218" t="str">
            <v>m</v>
          </cell>
          <cell r="D218">
            <v>112.15</v>
          </cell>
          <cell r="E218">
            <v>1.1200000000000001</v>
          </cell>
          <cell r="F218">
            <v>113.5</v>
          </cell>
        </row>
        <row r="219">
          <cell r="A219">
            <v>1538</v>
          </cell>
          <cell r="B219" t="str">
            <v>70D-1910 (NA)</v>
          </cell>
          <cell r="C219" t="str">
            <v>m</v>
          </cell>
          <cell r="D219">
            <v>128.30000000000001</v>
          </cell>
          <cell r="E219">
            <v>1.28</v>
          </cell>
          <cell r="F219">
            <v>129.5</v>
          </cell>
        </row>
        <row r="220">
          <cell r="A220">
            <v>1539</v>
          </cell>
          <cell r="B220" t="str">
            <v>100D-3503A (NA)</v>
          </cell>
          <cell r="C220" t="str">
            <v>m</v>
          </cell>
          <cell r="D220">
            <v>596.91999999999996</v>
          </cell>
          <cell r="E220">
            <v>5.97</v>
          </cell>
          <cell r="F220">
            <v>603</v>
          </cell>
        </row>
        <row r="221">
          <cell r="A221">
            <v>1540</v>
          </cell>
          <cell r="B221" t="str">
            <v>100D-3004A (NA)</v>
          </cell>
          <cell r="C221" t="str">
            <v>m</v>
          </cell>
          <cell r="D221">
            <v>704.3</v>
          </cell>
          <cell r="E221">
            <v>7.04</v>
          </cell>
          <cell r="F221">
            <v>711</v>
          </cell>
        </row>
        <row r="222">
          <cell r="A222">
            <v>1541</v>
          </cell>
          <cell r="B222" t="str">
            <v>100D-3207 (NA)</v>
          </cell>
          <cell r="C222" t="str">
            <v>m</v>
          </cell>
          <cell r="D222">
            <v>918.15</v>
          </cell>
          <cell r="E222">
            <v>9.18</v>
          </cell>
          <cell r="F222">
            <v>937.5</v>
          </cell>
        </row>
        <row r="223">
          <cell r="A223">
            <v>1542</v>
          </cell>
          <cell r="B223" t="str">
            <v>100D-3503 (NA)</v>
          </cell>
          <cell r="C223" t="str">
            <v>m</v>
          </cell>
          <cell r="D223">
            <v>651.69000000000005</v>
          </cell>
          <cell r="E223">
            <v>6.52</v>
          </cell>
          <cell r="F223">
            <v>658</v>
          </cell>
        </row>
        <row r="224">
          <cell r="A224">
            <v>1543</v>
          </cell>
          <cell r="B224" t="str">
            <v>100D-1914 (NA)</v>
          </cell>
          <cell r="C224" t="str">
            <v>m</v>
          </cell>
          <cell r="D224">
            <v>124.61</v>
          </cell>
          <cell r="E224">
            <v>1.25</v>
          </cell>
          <cell r="F224">
            <v>126</v>
          </cell>
        </row>
        <row r="225">
          <cell r="A225">
            <v>1544</v>
          </cell>
          <cell r="B225" t="str">
            <v>100D-3203 (NA)</v>
          </cell>
          <cell r="C225" t="str">
            <v>m</v>
          </cell>
          <cell r="D225">
            <v>693.07</v>
          </cell>
          <cell r="E225">
            <v>6.93</v>
          </cell>
          <cell r="F225">
            <v>700</v>
          </cell>
        </row>
        <row r="226">
          <cell r="A226">
            <v>1545</v>
          </cell>
          <cell r="B226" t="str">
            <v>70S-1002-1(NA)</v>
          </cell>
          <cell r="C226" t="str">
            <v>m</v>
          </cell>
          <cell r="D226">
            <v>323.83999999999997</v>
          </cell>
          <cell r="E226">
            <v>3.24</v>
          </cell>
          <cell r="F226">
            <v>327</v>
          </cell>
        </row>
        <row r="227">
          <cell r="A227">
            <v>1546</v>
          </cell>
          <cell r="B227" t="str">
            <v>70S-1102-1 (NA)</v>
          </cell>
          <cell r="C227" t="str">
            <v>m</v>
          </cell>
          <cell r="D227">
            <v>236.92</v>
          </cell>
          <cell r="E227">
            <v>2.37</v>
          </cell>
          <cell r="F227">
            <v>239.5</v>
          </cell>
        </row>
        <row r="228">
          <cell r="A228">
            <v>1547</v>
          </cell>
          <cell r="B228" t="str">
            <v>70S-1202-1(NA)</v>
          </cell>
          <cell r="C228" t="str">
            <v>m</v>
          </cell>
          <cell r="D228">
            <v>236.92</v>
          </cell>
          <cell r="E228">
            <v>2.37</v>
          </cell>
          <cell r="F228">
            <v>239.5</v>
          </cell>
        </row>
        <row r="229">
          <cell r="A229">
            <v>1548</v>
          </cell>
          <cell r="B229" t="str">
            <v>70S-1704A (NA)</v>
          </cell>
          <cell r="C229" t="str">
            <v>m</v>
          </cell>
          <cell r="D229">
            <v>441.38</v>
          </cell>
          <cell r="E229">
            <v>4.41</v>
          </cell>
          <cell r="F229">
            <v>446</v>
          </cell>
        </row>
        <row r="230">
          <cell r="A230">
            <v>1549</v>
          </cell>
          <cell r="B230" t="str">
            <v>70S-1402-1 (NA)</v>
          </cell>
          <cell r="C230" t="str">
            <v>m</v>
          </cell>
          <cell r="D230">
            <v>299.52999999999997</v>
          </cell>
          <cell r="E230">
            <v>3</v>
          </cell>
          <cell r="F230">
            <v>302.5</v>
          </cell>
        </row>
        <row r="231">
          <cell r="A231">
            <v>1550</v>
          </cell>
          <cell r="B231" t="str">
            <v>70S-1801 (NA)</v>
          </cell>
          <cell r="C231" t="str">
            <v>m</v>
          </cell>
          <cell r="D231">
            <v>281.38</v>
          </cell>
          <cell r="E231">
            <v>2.81</v>
          </cell>
          <cell r="F231">
            <v>284</v>
          </cell>
        </row>
        <row r="232">
          <cell r="A232">
            <v>1551</v>
          </cell>
          <cell r="B232" t="str">
            <v>70S-1101-2 (NA)</v>
          </cell>
          <cell r="C232" t="str">
            <v>m</v>
          </cell>
          <cell r="D232">
            <v>466.46</v>
          </cell>
          <cell r="E232">
            <v>4.66</v>
          </cell>
          <cell r="F232">
            <v>471</v>
          </cell>
        </row>
        <row r="233">
          <cell r="A233">
            <v>1552</v>
          </cell>
          <cell r="B233" t="str">
            <v>70S-1001-1 (NA)</v>
          </cell>
          <cell r="C233" t="str">
            <v>m</v>
          </cell>
          <cell r="D233">
            <v>461.07</v>
          </cell>
          <cell r="E233">
            <v>4.6100000000000003</v>
          </cell>
          <cell r="F233">
            <v>465.5</v>
          </cell>
        </row>
        <row r="234">
          <cell r="A234">
            <v>1553</v>
          </cell>
          <cell r="B234" t="str">
            <v>70S-1704A (NA)</v>
          </cell>
          <cell r="C234" t="str">
            <v>m</v>
          </cell>
          <cell r="D234">
            <v>441.38</v>
          </cell>
          <cell r="E234">
            <v>4.41</v>
          </cell>
          <cell r="F234">
            <v>446</v>
          </cell>
        </row>
        <row r="235">
          <cell r="A235">
            <v>1554</v>
          </cell>
          <cell r="B235" t="str">
            <v>70S-1401-1 (NA)</v>
          </cell>
          <cell r="C235" t="str">
            <v>m</v>
          </cell>
          <cell r="D235">
            <v>306.76</v>
          </cell>
          <cell r="E235">
            <v>3.07</v>
          </cell>
          <cell r="F235">
            <v>310</v>
          </cell>
        </row>
        <row r="236">
          <cell r="A236">
            <v>1555</v>
          </cell>
          <cell r="B236" t="str">
            <v>70S-1201-1 (NA)</v>
          </cell>
          <cell r="C236" t="str">
            <v>m</v>
          </cell>
          <cell r="D236">
            <v>375.07</v>
          </cell>
          <cell r="E236">
            <v>3.75</v>
          </cell>
          <cell r="F236">
            <v>379</v>
          </cell>
        </row>
        <row r="237">
          <cell r="A237">
            <v>1556</v>
          </cell>
          <cell r="B237" t="str">
            <v>70S-1604 (NA)</v>
          </cell>
          <cell r="C237" t="str">
            <v>m</v>
          </cell>
          <cell r="D237">
            <v>367.07</v>
          </cell>
          <cell r="E237">
            <v>3.67</v>
          </cell>
          <cell r="F237">
            <v>371</v>
          </cell>
        </row>
        <row r="238">
          <cell r="A238">
            <v>1557</v>
          </cell>
          <cell r="B238" t="str">
            <v>70S-1801 (NA)</v>
          </cell>
          <cell r="C238" t="str">
            <v>m</v>
          </cell>
          <cell r="D238">
            <v>281.38</v>
          </cell>
          <cell r="E238">
            <v>2.81</v>
          </cell>
          <cell r="F238">
            <v>284</v>
          </cell>
        </row>
        <row r="239">
          <cell r="A239">
            <v>1558</v>
          </cell>
          <cell r="B239" t="str">
            <v>PT-5157 (NA)</v>
          </cell>
          <cell r="C239" t="str">
            <v>m</v>
          </cell>
          <cell r="D239">
            <v>306.39</v>
          </cell>
          <cell r="E239">
            <v>3.06</v>
          </cell>
          <cell r="F239">
            <v>309.5</v>
          </cell>
        </row>
        <row r="240">
          <cell r="A240">
            <v>1559</v>
          </cell>
          <cell r="B240" t="str">
            <v>PT-5158 (NA)</v>
          </cell>
          <cell r="C240" t="str">
            <v>m</v>
          </cell>
          <cell r="D240">
            <v>226.72</v>
          </cell>
          <cell r="E240">
            <v>2.27</v>
          </cell>
          <cell r="F240">
            <v>229</v>
          </cell>
        </row>
        <row r="241">
          <cell r="A241">
            <v>1560</v>
          </cell>
          <cell r="B241" t="str">
            <v>PT-5153 (NA)</v>
          </cell>
          <cell r="C241" t="str">
            <v>m</v>
          </cell>
          <cell r="D241">
            <v>82.78</v>
          </cell>
          <cell r="E241">
            <v>0.83</v>
          </cell>
          <cell r="F241">
            <v>83.5</v>
          </cell>
        </row>
        <row r="242">
          <cell r="A242">
            <v>1561</v>
          </cell>
          <cell r="B242" t="str">
            <v>PT-5154 (NA)</v>
          </cell>
          <cell r="C242" t="str">
            <v>m</v>
          </cell>
          <cell r="D242">
            <v>169.34</v>
          </cell>
          <cell r="E242">
            <v>1.69</v>
          </cell>
          <cell r="F242">
            <v>171</v>
          </cell>
        </row>
        <row r="243">
          <cell r="A243">
            <v>1562</v>
          </cell>
          <cell r="B243" t="str">
            <v>A-110A (MF)</v>
          </cell>
          <cell r="C243" t="str">
            <v>m</v>
          </cell>
          <cell r="D243">
            <v>287.37</v>
          </cell>
          <cell r="E243">
            <v>2.87</v>
          </cell>
          <cell r="F243">
            <v>290</v>
          </cell>
        </row>
        <row r="244">
          <cell r="B244" t="str">
            <v>Aluminium Extrusions (Bronze Anodized)</v>
          </cell>
        </row>
        <row r="245">
          <cell r="A245">
            <v>1601</v>
          </cell>
          <cell r="B245" t="str">
            <v>70S-1101-1 (BA)</v>
          </cell>
          <cell r="C245" t="str">
            <v>m</v>
          </cell>
          <cell r="D245">
            <v>458.61</v>
          </cell>
          <cell r="E245">
            <v>4.59</v>
          </cell>
          <cell r="F245">
            <v>463</v>
          </cell>
        </row>
        <row r="246">
          <cell r="A246">
            <v>1602</v>
          </cell>
          <cell r="B246" t="str">
            <v>70S-1001-1 (BA)</v>
          </cell>
          <cell r="C246" t="str">
            <v>m</v>
          </cell>
          <cell r="D246">
            <v>469.38</v>
          </cell>
          <cell r="E246">
            <v>4.6900000000000004</v>
          </cell>
          <cell r="F246">
            <v>474</v>
          </cell>
        </row>
        <row r="247">
          <cell r="A247">
            <v>1603</v>
          </cell>
          <cell r="B247" t="str">
            <v>70S-1201-1 (BA)</v>
          </cell>
          <cell r="C247" t="str">
            <v>m</v>
          </cell>
          <cell r="D247">
            <v>382</v>
          </cell>
          <cell r="E247">
            <v>3.82</v>
          </cell>
          <cell r="F247">
            <v>386</v>
          </cell>
        </row>
        <row r="248">
          <cell r="A248">
            <v>1604</v>
          </cell>
          <cell r="B248" t="str">
            <v>70S-1604 (BA)</v>
          </cell>
          <cell r="C248" t="str">
            <v>m</v>
          </cell>
          <cell r="D248">
            <v>373.85</v>
          </cell>
          <cell r="E248">
            <v>3.74</v>
          </cell>
          <cell r="F248">
            <v>377.5</v>
          </cell>
        </row>
        <row r="249">
          <cell r="A249">
            <v>1605</v>
          </cell>
          <cell r="B249" t="str">
            <v>70S-1704 (BA)</v>
          </cell>
          <cell r="C249" t="str">
            <v>m</v>
          </cell>
          <cell r="D249">
            <v>352.77</v>
          </cell>
          <cell r="E249">
            <v>3.53</v>
          </cell>
          <cell r="F249">
            <v>356.5</v>
          </cell>
        </row>
        <row r="250">
          <cell r="A250">
            <v>1606</v>
          </cell>
          <cell r="B250" t="str">
            <v>70S-1503A (BA)</v>
          </cell>
          <cell r="C250" t="str">
            <v>m</v>
          </cell>
          <cell r="D250">
            <v>441.38</v>
          </cell>
          <cell r="E250">
            <v>4.41</v>
          </cell>
          <cell r="F250">
            <v>446</v>
          </cell>
        </row>
        <row r="251">
          <cell r="A251">
            <v>1607</v>
          </cell>
          <cell r="B251" t="str">
            <v>70S-1401-1 (BA)</v>
          </cell>
          <cell r="C251" t="str">
            <v>m</v>
          </cell>
          <cell r="D251">
            <v>312</v>
          </cell>
          <cell r="E251">
            <v>3.12</v>
          </cell>
          <cell r="F251">
            <v>315</v>
          </cell>
        </row>
        <row r="252">
          <cell r="A252">
            <v>1608</v>
          </cell>
          <cell r="B252" t="str">
            <v>70SF-1006 (BA)</v>
          </cell>
          <cell r="C252" t="str">
            <v>m</v>
          </cell>
          <cell r="D252">
            <v>740.46</v>
          </cell>
          <cell r="E252">
            <v>7.4</v>
          </cell>
          <cell r="F252">
            <v>748</v>
          </cell>
        </row>
        <row r="253">
          <cell r="A253">
            <v>1609</v>
          </cell>
          <cell r="B253" t="str">
            <v>70SF-1201A (BA)</v>
          </cell>
          <cell r="C253" t="str">
            <v>m</v>
          </cell>
          <cell r="D253">
            <v>258.14999999999998</v>
          </cell>
          <cell r="E253">
            <v>2.58</v>
          </cell>
          <cell r="F253">
            <v>261</v>
          </cell>
        </row>
        <row r="254">
          <cell r="A254">
            <v>1610</v>
          </cell>
          <cell r="B254" t="str">
            <v>70SF-1201B (BA)</v>
          </cell>
          <cell r="C254" t="str">
            <v>m</v>
          </cell>
          <cell r="D254">
            <v>258.14999999999998</v>
          </cell>
          <cell r="E254">
            <v>2.58</v>
          </cell>
          <cell r="F254">
            <v>260.5</v>
          </cell>
        </row>
        <row r="255">
          <cell r="A255">
            <v>1611</v>
          </cell>
          <cell r="B255" t="str">
            <v>DG-02 (BA)</v>
          </cell>
          <cell r="C255" t="str">
            <v>m</v>
          </cell>
          <cell r="D255">
            <v>233.6</v>
          </cell>
          <cell r="E255">
            <v>2.34</v>
          </cell>
          <cell r="F255">
            <v>236</v>
          </cell>
        </row>
        <row r="256">
          <cell r="A256">
            <v>1612</v>
          </cell>
          <cell r="B256" t="str">
            <v>DG-102 (BA)</v>
          </cell>
          <cell r="C256" t="str">
            <v>m</v>
          </cell>
          <cell r="D256">
            <v>208.52</v>
          </cell>
          <cell r="E256">
            <v>2.09</v>
          </cell>
          <cell r="F256">
            <v>210.5</v>
          </cell>
        </row>
        <row r="257">
          <cell r="A257">
            <v>1613</v>
          </cell>
          <cell r="B257" t="str">
            <v>CA-1001(BA)</v>
          </cell>
          <cell r="C257" t="str">
            <v>m</v>
          </cell>
          <cell r="D257">
            <v>579.51</v>
          </cell>
          <cell r="E257">
            <v>5.8</v>
          </cell>
          <cell r="F257">
            <v>585.5</v>
          </cell>
        </row>
        <row r="258">
          <cell r="A258">
            <v>1614</v>
          </cell>
          <cell r="B258" t="str">
            <v>CA-1002 (BA)</v>
          </cell>
          <cell r="C258" t="str">
            <v>m</v>
          </cell>
          <cell r="D258">
            <v>905.57</v>
          </cell>
          <cell r="E258">
            <v>9.06</v>
          </cell>
          <cell r="F258">
            <v>914.5</v>
          </cell>
        </row>
        <row r="259">
          <cell r="A259">
            <v>1615</v>
          </cell>
          <cell r="B259" t="str">
            <v>100D-1914 (BA)</v>
          </cell>
          <cell r="C259" t="str">
            <v>m</v>
          </cell>
          <cell r="D259">
            <v>127.07</v>
          </cell>
          <cell r="E259">
            <v>1.27</v>
          </cell>
          <cell r="F259">
            <v>128.5</v>
          </cell>
        </row>
        <row r="260">
          <cell r="A260">
            <v>1616</v>
          </cell>
          <cell r="B260" t="str">
            <v>CA-1007 (BA)</v>
          </cell>
          <cell r="C260" t="str">
            <v>m</v>
          </cell>
          <cell r="D260">
            <v>260.32</v>
          </cell>
          <cell r="E260">
            <v>2.6</v>
          </cell>
          <cell r="F260">
            <v>263</v>
          </cell>
        </row>
        <row r="261">
          <cell r="A261">
            <v>1617</v>
          </cell>
          <cell r="B261" t="str">
            <v>CA-1008 (BA)</v>
          </cell>
          <cell r="C261" t="str">
            <v>m</v>
          </cell>
          <cell r="D261">
            <v>441.8</v>
          </cell>
          <cell r="E261">
            <v>4.42</v>
          </cell>
          <cell r="F261">
            <v>446</v>
          </cell>
        </row>
        <row r="262">
          <cell r="A262">
            <v>1618</v>
          </cell>
          <cell r="B262" t="str">
            <v>CA-2005 (BA)</v>
          </cell>
          <cell r="C262" t="str">
            <v>m</v>
          </cell>
          <cell r="D262">
            <v>493.6</v>
          </cell>
          <cell r="E262">
            <v>4.9400000000000004</v>
          </cell>
          <cell r="F262">
            <v>498.5</v>
          </cell>
        </row>
        <row r="263">
          <cell r="A263">
            <v>1619</v>
          </cell>
          <cell r="B263" t="str">
            <v>A-111 (MF)</v>
          </cell>
          <cell r="C263" t="str">
            <v>m</v>
          </cell>
          <cell r="D263">
            <v>392.88</v>
          </cell>
          <cell r="E263">
            <v>3.93</v>
          </cell>
          <cell r="F263">
            <v>397</v>
          </cell>
        </row>
        <row r="264">
          <cell r="A264">
            <v>1620</v>
          </cell>
          <cell r="B264" t="str">
            <v>DG-01 (BA)</v>
          </cell>
          <cell r="C264" t="str">
            <v>m</v>
          </cell>
          <cell r="D264">
            <v>223.44</v>
          </cell>
          <cell r="E264">
            <v>2.23</v>
          </cell>
          <cell r="F264">
            <v>225.5</v>
          </cell>
        </row>
        <row r="265">
          <cell r="A265">
            <v>1621</v>
          </cell>
          <cell r="B265" t="str">
            <v>DG-101(BA)</v>
          </cell>
          <cell r="C265" t="str">
            <v>m</v>
          </cell>
          <cell r="D265">
            <v>192.46</v>
          </cell>
          <cell r="E265">
            <v>1.92</v>
          </cell>
          <cell r="F265">
            <v>194.5</v>
          </cell>
        </row>
        <row r="266">
          <cell r="A266">
            <v>1622</v>
          </cell>
          <cell r="B266" t="str">
            <v>CA-2004 (BA)</v>
          </cell>
          <cell r="C266" t="str">
            <v>m</v>
          </cell>
          <cell r="D266">
            <v>339.01</v>
          </cell>
          <cell r="E266">
            <v>3.39</v>
          </cell>
          <cell r="F266">
            <v>342.5</v>
          </cell>
        </row>
        <row r="267">
          <cell r="A267">
            <v>1623</v>
          </cell>
          <cell r="B267" t="str">
            <v>GL-107 (BA)</v>
          </cell>
          <cell r="C267" t="str">
            <v>m</v>
          </cell>
          <cell r="D267">
            <v>132.94999999999999</v>
          </cell>
          <cell r="E267">
            <v>1.33</v>
          </cell>
          <cell r="F267">
            <v>134.5</v>
          </cell>
        </row>
        <row r="268">
          <cell r="A268">
            <v>1624</v>
          </cell>
          <cell r="B268" t="str">
            <v>CA-1003 (BA)</v>
          </cell>
          <cell r="C268" t="str">
            <v>m</v>
          </cell>
          <cell r="D268">
            <v>358.69</v>
          </cell>
          <cell r="E268">
            <v>3.59</v>
          </cell>
          <cell r="F268">
            <v>362.5</v>
          </cell>
        </row>
        <row r="269">
          <cell r="A269">
            <v>1625</v>
          </cell>
          <cell r="B269" t="str">
            <v>CA-1004 (BA)</v>
          </cell>
          <cell r="C269" t="str">
            <v>m</v>
          </cell>
          <cell r="D269">
            <v>535.9</v>
          </cell>
          <cell r="E269">
            <v>5.36</v>
          </cell>
          <cell r="F269">
            <v>541.5</v>
          </cell>
        </row>
        <row r="270">
          <cell r="A270">
            <v>1626</v>
          </cell>
          <cell r="B270" t="str">
            <v>CA-2006 (BA)</v>
          </cell>
          <cell r="C270" t="str">
            <v>m</v>
          </cell>
          <cell r="D270">
            <v>501.31</v>
          </cell>
          <cell r="E270">
            <v>5.01</v>
          </cell>
          <cell r="F270">
            <v>506.5</v>
          </cell>
        </row>
        <row r="271">
          <cell r="A271">
            <v>1627</v>
          </cell>
          <cell r="B271" t="str">
            <v>DG-02 (BA)</v>
          </cell>
          <cell r="C271" t="str">
            <v>m</v>
          </cell>
          <cell r="D271">
            <v>233.6</v>
          </cell>
          <cell r="E271">
            <v>2.34</v>
          </cell>
          <cell r="F271">
            <v>236</v>
          </cell>
        </row>
        <row r="272">
          <cell r="A272">
            <v>1628</v>
          </cell>
          <cell r="B272" t="str">
            <v>DG-102(BA)</v>
          </cell>
          <cell r="C272" t="str">
            <v>m</v>
          </cell>
          <cell r="D272">
            <v>208.52</v>
          </cell>
          <cell r="E272">
            <v>2.09</v>
          </cell>
          <cell r="F272">
            <v>210.5</v>
          </cell>
        </row>
        <row r="273">
          <cell r="A273">
            <v>1629</v>
          </cell>
          <cell r="B273" t="str">
            <v>CA-1001 (BA)</v>
          </cell>
          <cell r="C273" t="str">
            <v>m</v>
          </cell>
          <cell r="D273">
            <v>579.51</v>
          </cell>
          <cell r="E273">
            <v>5.8</v>
          </cell>
          <cell r="F273">
            <v>585.5</v>
          </cell>
        </row>
        <row r="274">
          <cell r="A274">
            <v>1630</v>
          </cell>
          <cell r="B274" t="str">
            <v>CA-1002 (BA)</v>
          </cell>
          <cell r="C274" t="str">
            <v>m</v>
          </cell>
          <cell r="D274">
            <v>905.57</v>
          </cell>
          <cell r="E274">
            <v>9.06</v>
          </cell>
          <cell r="F274">
            <v>914.5</v>
          </cell>
        </row>
        <row r="275">
          <cell r="A275">
            <v>1631</v>
          </cell>
          <cell r="B275" t="str">
            <v>100D-3104 (BA)</v>
          </cell>
          <cell r="C275" t="str">
            <v>m</v>
          </cell>
          <cell r="D275">
            <v>613.69000000000005</v>
          </cell>
          <cell r="E275">
            <v>6.14</v>
          </cell>
          <cell r="F275">
            <v>620</v>
          </cell>
        </row>
        <row r="276">
          <cell r="A276">
            <v>1632</v>
          </cell>
          <cell r="B276" t="str">
            <v>100D-101 (BA)</v>
          </cell>
          <cell r="C276" t="str">
            <v>m</v>
          </cell>
          <cell r="D276">
            <v>838.31</v>
          </cell>
          <cell r="E276">
            <v>8.3800000000000008</v>
          </cell>
          <cell r="F276">
            <v>846.5</v>
          </cell>
        </row>
        <row r="277">
          <cell r="A277">
            <v>1633</v>
          </cell>
          <cell r="B277" t="str">
            <v>100D-102 (BA)</v>
          </cell>
          <cell r="C277" t="str">
            <v>m</v>
          </cell>
          <cell r="D277">
            <v>877.85</v>
          </cell>
          <cell r="E277">
            <v>8.7799999999999994</v>
          </cell>
          <cell r="F277">
            <v>886.5</v>
          </cell>
        </row>
        <row r="278">
          <cell r="A278">
            <v>1634</v>
          </cell>
          <cell r="B278" t="str">
            <v>100D-201 (BA)</v>
          </cell>
          <cell r="C278" t="str">
            <v>m</v>
          </cell>
          <cell r="D278">
            <v>811.69</v>
          </cell>
          <cell r="E278">
            <v>8.1199999999999992</v>
          </cell>
          <cell r="F278">
            <v>820</v>
          </cell>
        </row>
        <row r="279">
          <cell r="A279">
            <v>1635</v>
          </cell>
          <cell r="B279" t="str">
            <v>100D-301 (BA)</v>
          </cell>
          <cell r="C279" t="str">
            <v>m</v>
          </cell>
          <cell r="D279">
            <v>964</v>
          </cell>
          <cell r="E279">
            <v>9.64</v>
          </cell>
          <cell r="F279">
            <v>973.5</v>
          </cell>
        </row>
        <row r="280">
          <cell r="A280">
            <v>1636</v>
          </cell>
          <cell r="B280" t="str">
            <v>100D-401 (BA)</v>
          </cell>
          <cell r="C280" t="str">
            <v>m</v>
          </cell>
          <cell r="D280">
            <v>1067.69</v>
          </cell>
          <cell r="E280">
            <v>10.68</v>
          </cell>
          <cell r="F280">
            <v>1078.5</v>
          </cell>
        </row>
        <row r="281">
          <cell r="A281">
            <v>1637</v>
          </cell>
          <cell r="B281" t="str">
            <v>100D-501 (BA)</v>
          </cell>
          <cell r="C281" t="str">
            <v>m</v>
          </cell>
          <cell r="D281">
            <v>114.15</v>
          </cell>
          <cell r="E281">
            <v>1.1399999999999999</v>
          </cell>
          <cell r="F281">
            <v>115.5</v>
          </cell>
        </row>
        <row r="282">
          <cell r="A282">
            <v>1638</v>
          </cell>
          <cell r="B282" t="str">
            <v>70D-1910 (BA)</v>
          </cell>
          <cell r="C282" t="str">
            <v>m</v>
          </cell>
          <cell r="D282">
            <v>130.30000000000001</v>
          </cell>
          <cell r="E282">
            <v>1.3</v>
          </cell>
          <cell r="F282">
            <v>131.5</v>
          </cell>
        </row>
        <row r="283">
          <cell r="A283">
            <v>1639</v>
          </cell>
          <cell r="B283" t="str">
            <v>100D-3503A (BA)</v>
          </cell>
          <cell r="C283" t="str">
            <v>m</v>
          </cell>
          <cell r="D283">
            <v>607.69000000000005</v>
          </cell>
          <cell r="E283">
            <v>6.08</v>
          </cell>
          <cell r="F283">
            <v>613.5</v>
          </cell>
        </row>
        <row r="284">
          <cell r="A284">
            <v>1640</v>
          </cell>
          <cell r="B284" t="str">
            <v>100D-3004A (BA)</v>
          </cell>
          <cell r="C284" t="str">
            <v>m</v>
          </cell>
          <cell r="D284">
            <v>717.38</v>
          </cell>
          <cell r="E284">
            <v>7.17</v>
          </cell>
          <cell r="F284">
            <v>724.5</v>
          </cell>
        </row>
        <row r="285">
          <cell r="A285">
            <v>1641</v>
          </cell>
          <cell r="B285" t="str">
            <v>100D-3207 (BA)</v>
          </cell>
          <cell r="C285" t="str">
            <v>m</v>
          </cell>
          <cell r="D285">
            <v>934.92</v>
          </cell>
          <cell r="E285">
            <v>9.35</v>
          </cell>
          <cell r="F285">
            <v>944.5</v>
          </cell>
        </row>
        <row r="286">
          <cell r="A286">
            <v>1642</v>
          </cell>
          <cell r="B286" t="str">
            <v>100D-3503 (BA)</v>
          </cell>
          <cell r="C286" t="str">
            <v>m</v>
          </cell>
          <cell r="D286">
            <v>663.85</v>
          </cell>
          <cell r="E286">
            <v>6.64</v>
          </cell>
          <cell r="F286">
            <v>670.5</v>
          </cell>
        </row>
        <row r="287">
          <cell r="A287">
            <v>1643</v>
          </cell>
          <cell r="B287" t="str">
            <v>100D-1914 (BA)</v>
          </cell>
          <cell r="C287" t="str">
            <v>m</v>
          </cell>
          <cell r="D287">
            <v>127.07</v>
          </cell>
          <cell r="E287">
            <v>1.27</v>
          </cell>
          <cell r="F287">
            <v>128.5</v>
          </cell>
        </row>
        <row r="288">
          <cell r="A288">
            <v>1644</v>
          </cell>
          <cell r="B288" t="str">
            <v>100D-3203 (BA)</v>
          </cell>
          <cell r="C288" t="str">
            <v>m</v>
          </cell>
          <cell r="D288">
            <v>705.53</v>
          </cell>
          <cell r="E288">
            <v>7.06</v>
          </cell>
          <cell r="F288">
            <v>712.5</v>
          </cell>
        </row>
        <row r="289">
          <cell r="A289">
            <v>1645</v>
          </cell>
          <cell r="B289" t="str">
            <v>70S-1002-1(BA)</v>
          </cell>
          <cell r="C289" t="str">
            <v>m</v>
          </cell>
          <cell r="D289">
            <v>329.69</v>
          </cell>
          <cell r="E289">
            <v>3.3</v>
          </cell>
          <cell r="F289">
            <v>333</v>
          </cell>
        </row>
        <row r="290">
          <cell r="A290">
            <v>1646</v>
          </cell>
          <cell r="B290" t="str">
            <v>70S-1102-1 (BA)</v>
          </cell>
          <cell r="C290" t="str">
            <v>m</v>
          </cell>
          <cell r="D290">
            <v>241.23</v>
          </cell>
          <cell r="E290">
            <v>2.41</v>
          </cell>
          <cell r="F290">
            <v>243.5</v>
          </cell>
        </row>
        <row r="291">
          <cell r="A291">
            <v>1647</v>
          </cell>
          <cell r="B291" t="str">
            <v>70S-1202-1(BA)</v>
          </cell>
          <cell r="C291" t="str">
            <v>m</v>
          </cell>
          <cell r="D291">
            <v>241.23</v>
          </cell>
          <cell r="E291">
            <v>2.41</v>
          </cell>
          <cell r="F291">
            <v>243.5</v>
          </cell>
        </row>
        <row r="292">
          <cell r="A292">
            <v>1648</v>
          </cell>
          <cell r="B292" t="str">
            <v>70S-1704A (BA)</v>
          </cell>
          <cell r="C292" t="str">
            <v>m</v>
          </cell>
          <cell r="D292">
            <v>449.54</v>
          </cell>
          <cell r="E292">
            <v>4.5</v>
          </cell>
          <cell r="F292">
            <v>454</v>
          </cell>
        </row>
        <row r="293">
          <cell r="A293">
            <v>1649</v>
          </cell>
          <cell r="B293" t="str">
            <v>70S-1402-1 (BA)</v>
          </cell>
          <cell r="C293" t="str">
            <v>m</v>
          </cell>
          <cell r="D293">
            <v>304.92</v>
          </cell>
          <cell r="E293">
            <v>3.05</v>
          </cell>
          <cell r="F293">
            <v>308</v>
          </cell>
        </row>
        <row r="294">
          <cell r="A294">
            <v>1650</v>
          </cell>
          <cell r="B294" t="str">
            <v>70S-1801 (BA)</v>
          </cell>
          <cell r="C294" t="str">
            <v>m</v>
          </cell>
          <cell r="D294">
            <v>286.45999999999998</v>
          </cell>
          <cell r="E294">
            <v>2.86</v>
          </cell>
          <cell r="F294">
            <v>289.5</v>
          </cell>
        </row>
        <row r="295">
          <cell r="A295">
            <v>1651</v>
          </cell>
          <cell r="B295" t="str">
            <v>70S-1101-2 (BA)</v>
          </cell>
          <cell r="C295" t="str">
            <v>m</v>
          </cell>
          <cell r="D295">
            <v>475.07</v>
          </cell>
          <cell r="E295">
            <v>4.75</v>
          </cell>
          <cell r="F295">
            <v>480</v>
          </cell>
        </row>
        <row r="296">
          <cell r="A296">
            <v>1652</v>
          </cell>
          <cell r="B296" t="str">
            <v>70S-1001-1 (BA)</v>
          </cell>
          <cell r="C296" t="str">
            <v>m</v>
          </cell>
          <cell r="D296">
            <v>469.38</v>
          </cell>
          <cell r="E296">
            <v>4.6900000000000004</v>
          </cell>
          <cell r="F296">
            <v>474</v>
          </cell>
        </row>
        <row r="297">
          <cell r="A297">
            <v>1653</v>
          </cell>
          <cell r="B297" t="str">
            <v>70S-1704A (BA)</v>
          </cell>
          <cell r="C297" t="str">
            <v>m</v>
          </cell>
          <cell r="D297">
            <v>449.54</v>
          </cell>
          <cell r="E297">
            <v>4.5</v>
          </cell>
          <cell r="F297">
            <v>454</v>
          </cell>
        </row>
        <row r="298">
          <cell r="A298">
            <v>1654</v>
          </cell>
          <cell r="B298" t="str">
            <v>70S-1401-1 (BA)</v>
          </cell>
          <cell r="C298" t="str">
            <v>m</v>
          </cell>
          <cell r="D298">
            <v>312</v>
          </cell>
          <cell r="E298">
            <v>3.12</v>
          </cell>
          <cell r="F298">
            <v>315</v>
          </cell>
        </row>
        <row r="299">
          <cell r="A299">
            <v>1655</v>
          </cell>
          <cell r="B299" t="str">
            <v>70S-1201-1 (BA)</v>
          </cell>
          <cell r="C299" t="str">
            <v>m</v>
          </cell>
          <cell r="D299">
            <v>382</v>
          </cell>
          <cell r="E299">
            <v>3.82</v>
          </cell>
          <cell r="F299">
            <v>386</v>
          </cell>
        </row>
        <row r="300">
          <cell r="A300">
            <v>1656</v>
          </cell>
          <cell r="B300" t="str">
            <v>70S-1604 (BA)</v>
          </cell>
          <cell r="C300" t="str">
            <v>m</v>
          </cell>
          <cell r="D300">
            <v>373.85</v>
          </cell>
          <cell r="E300">
            <v>3.74</v>
          </cell>
          <cell r="F300">
            <v>377.5</v>
          </cell>
        </row>
        <row r="301">
          <cell r="A301">
            <v>1657</v>
          </cell>
          <cell r="B301" t="str">
            <v>70S-1801 (BA)</v>
          </cell>
          <cell r="C301" t="str">
            <v>m</v>
          </cell>
          <cell r="D301">
            <v>286.45999999999998</v>
          </cell>
          <cell r="E301">
            <v>2.86</v>
          </cell>
          <cell r="F301">
            <v>289.5</v>
          </cell>
        </row>
        <row r="302">
          <cell r="A302">
            <v>1658</v>
          </cell>
          <cell r="B302" t="str">
            <v>PT-5157 (BA)</v>
          </cell>
          <cell r="C302" t="str">
            <v>m</v>
          </cell>
          <cell r="D302">
            <v>312.45999999999998</v>
          </cell>
          <cell r="E302">
            <v>3.12</v>
          </cell>
          <cell r="F302">
            <v>315.5</v>
          </cell>
        </row>
        <row r="303">
          <cell r="A303">
            <v>1659</v>
          </cell>
          <cell r="B303" t="str">
            <v>PT-5158 (BA)</v>
          </cell>
          <cell r="C303" t="str">
            <v>m</v>
          </cell>
          <cell r="D303">
            <v>230.32</v>
          </cell>
          <cell r="E303">
            <v>2.2999999999999998</v>
          </cell>
          <cell r="F303">
            <v>232.5</v>
          </cell>
        </row>
        <row r="304">
          <cell r="A304">
            <v>1660</v>
          </cell>
          <cell r="B304" t="str">
            <v>PT-5153 (BA)</v>
          </cell>
          <cell r="C304" t="str">
            <v>m</v>
          </cell>
          <cell r="D304">
            <v>84.42</v>
          </cell>
          <cell r="E304">
            <v>0.84</v>
          </cell>
          <cell r="F304">
            <v>85.5</v>
          </cell>
        </row>
        <row r="305">
          <cell r="A305">
            <v>1661</v>
          </cell>
          <cell r="B305" t="str">
            <v>PT-5154 (BA)</v>
          </cell>
          <cell r="C305" t="str">
            <v>m</v>
          </cell>
          <cell r="D305">
            <v>171.97</v>
          </cell>
          <cell r="E305">
            <v>1.72</v>
          </cell>
          <cell r="F305">
            <v>173.5</v>
          </cell>
        </row>
        <row r="306">
          <cell r="A306">
            <v>1662</v>
          </cell>
          <cell r="B306" t="str">
            <v>A-110A (MF)</v>
          </cell>
          <cell r="C306" t="str">
            <v>m</v>
          </cell>
          <cell r="D306">
            <v>257.05</v>
          </cell>
          <cell r="E306">
            <v>2.57</v>
          </cell>
          <cell r="F306">
            <v>259.5</v>
          </cell>
        </row>
        <row r="307">
          <cell r="B307" t="str">
            <v>Aluminium Extrusions (Powder Coated)</v>
          </cell>
        </row>
        <row r="308">
          <cell r="A308">
            <v>1701</v>
          </cell>
          <cell r="B308" t="str">
            <v>70S-1101-1 (PC)</v>
          </cell>
          <cell r="C308" t="str">
            <v>m</v>
          </cell>
          <cell r="D308">
            <v>519.38</v>
          </cell>
          <cell r="E308">
            <v>5.19</v>
          </cell>
          <cell r="F308">
            <v>524.5</v>
          </cell>
        </row>
        <row r="309">
          <cell r="A309">
            <v>1702</v>
          </cell>
          <cell r="B309" t="str">
            <v>70S-1001-1 (PC)</v>
          </cell>
          <cell r="C309" t="str">
            <v>m</v>
          </cell>
          <cell r="D309">
            <v>531.23</v>
          </cell>
          <cell r="E309">
            <v>5.31</v>
          </cell>
          <cell r="F309">
            <v>536.5</v>
          </cell>
        </row>
        <row r="310">
          <cell r="A310">
            <v>1703</v>
          </cell>
          <cell r="B310" t="str">
            <v>70S-1201-1 (PC)</v>
          </cell>
          <cell r="C310" t="str">
            <v>m</v>
          </cell>
          <cell r="D310">
            <v>432.15</v>
          </cell>
          <cell r="E310">
            <v>4.32</v>
          </cell>
          <cell r="F310">
            <v>436.5</v>
          </cell>
        </row>
        <row r="311">
          <cell r="A311">
            <v>1704</v>
          </cell>
          <cell r="B311" t="str">
            <v>70S-1604 (PC)</v>
          </cell>
          <cell r="C311" t="str">
            <v>m</v>
          </cell>
          <cell r="D311">
            <v>422.92</v>
          </cell>
          <cell r="E311">
            <v>4.2300000000000004</v>
          </cell>
          <cell r="F311">
            <v>427</v>
          </cell>
        </row>
        <row r="312">
          <cell r="A312">
            <v>1705</v>
          </cell>
          <cell r="B312" t="str">
            <v>70S-1704 (PC)</v>
          </cell>
          <cell r="C312" t="str">
            <v>m</v>
          </cell>
          <cell r="D312">
            <v>399.23</v>
          </cell>
          <cell r="E312">
            <v>3.99</v>
          </cell>
          <cell r="F312">
            <v>403</v>
          </cell>
        </row>
        <row r="313">
          <cell r="A313">
            <v>1706</v>
          </cell>
          <cell r="B313" t="str">
            <v>70S-1503A (PC)</v>
          </cell>
          <cell r="C313" t="str">
            <v>m</v>
          </cell>
          <cell r="D313">
            <v>499.54</v>
          </cell>
          <cell r="E313">
            <v>5</v>
          </cell>
          <cell r="F313">
            <v>504.5</v>
          </cell>
        </row>
        <row r="314">
          <cell r="A314">
            <v>1707</v>
          </cell>
          <cell r="B314" t="str">
            <v>70S-1401-1 (PC)</v>
          </cell>
          <cell r="C314" t="str">
            <v>m</v>
          </cell>
          <cell r="D314">
            <v>353.23</v>
          </cell>
          <cell r="E314">
            <v>3.53</v>
          </cell>
          <cell r="F314">
            <v>357</v>
          </cell>
        </row>
        <row r="315">
          <cell r="A315">
            <v>1708</v>
          </cell>
          <cell r="B315" t="str">
            <v>70SF-1006 (PC)</v>
          </cell>
          <cell r="C315" t="str">
            <v>m</v>
          </cell>
          <cell r="D315">
            <v>838.15</v>
          </cell>
          <cell r="E315">
            <v>8.3800000000000008</v>
          </cell>
          <cell r="F315">
            <v>846.5</v>
          </cell>
        </row>
        <row r="316">
          <cell r="A316">
            <v>1709</v>
          </cell>
          <cell r="B316" t="str">
            <v>70SF-1201A (PC)</v>
          </cell>
          <cell r="C316" t="str">
            <v>m</v>
          </cell>
          <cell r="D316">
            <v>292.61</v>
          </cell>
          <cell r="E316">
            <v>2.93</v>
          </cell>
          <cell r="F316">
            <v>295.5</v>
          </cell>
        </row>
        <row r="317">
          <cell r="A317">
            <v>1710</v>
          </cell>
          <cell r="B317" t="str">
            <v>70SF-1201B (PC)</v>
          </cell>
          <cell r="C317" t="str">
            <v>m</v>
          </cell>
          <cell r="D317">
            <v>292.61</v>
          </cell>
          <cell r="E317">
            <v>2.93</v>
          </cell>
          <cell r="F317">
            <v>295.5</v>
          </cell>
        </row>
        <row r="318">
          <cell r="A318">
            <v>1711</v>
          </cell>
          <cell r="B318" t="str">
            <v>DG-02 (PC)</v>
          </cell>
          <cell r="C318" t="str">
            <v>m</v>
          </cell>
          <cell r="D318">
            <v>264.43</v>
          </cell>
          <cell r="E318">
            <v>2.64</v>
          </cell>
          <cell r="F318">
            <v>267</v>
          </cell>
        </row>
        <row r="319">
          <cell r="A319">
            <v>1712</v>
          </cell>
          <cell r="B319" t="str">
            <v>DG-102 (PC)</v>
          </cell>
          <cell r="C319" t="str">
            <v>m</v>
          </cell>
          <cell r="D319">
            <v>236.06</v>
          </cell>
          <cell r="E319">
            <v>2.36</v>
          </cell>
          <cell r="F319">
            <v>238.5</v>
          </cell>
        </row>
        <row r="320">
          <cell r="A320">
            <v>1713</v>
          </cell>
          <cell r="B320" t="str">
            <v>CA-1001(PC)</v>
          </cell>
          <cell r="C320" t="str">
            <v>m</v>
          </cell>
          <cell r="D320">
            <v>655.57</v>
          </cell>
          <cell r="E320">
            <v>6.56</v>
          </cell>
          <cell r="F320">
            <v>662</v>
          </cell>
        </row>
        <row r="321">
          <cell r="A321">
            <v>1714</v>
          </cell>
          <cell r="B321" t="str">
            <v>CA-1002 (PC)</v>
          </cell>
          <cell r="C321" t="str">
            <v>m</v>
          </cell>
          <cell r="D321">
            <v>1024.92</v>
          </cell>
          <cell r="E321">
            <v>10.25</v>
          </cell>
          <cell r="F321">
            <v>1035</v>
          </cell>
        </row>
        <row r="322">
          <cell r="A322">
            <v>1715</v>
          </cell>
          <cell r="B322" t="str">
            <v>100D-1914 (PC)</v>
          </cell>
          <cell r="C322" t="str">
            <v>m</v>
          </cell>
          <cell r="D322">
            <v>143.84</v>
          </cell>
          <cell r="E322">
            <v>1.44</v>
          </cell>
          <cell r="F322">
            <v>145.5</v>
          </cell>
        </row>
        <row r="323">
          <cell r="A323">
            <v>1716</v>
          </cell>
          <cell r="B323" t="str">
            <v>CA-1007 (PC)</v>
          </cell>
          <cell r="C323" t="str">
            <v>m</v>
          </cell>
          <cell r="D323">
            <v>294.75</v>
          </cell>
          <cell r="E323">
            <v>2.95</v>
          </cell>
          <cell r="F323">
            <v>297.5</v>
          </cell>
        </row>
        <row r="324">
          <cell r="A324">
            <v>1717</v>
          </cell>
          <cell r="B324" t="str">
            <v>CA-1008 (PC)</v>
          </cell>
          <cell r="C324" t="str">
            <v>m</v>
          </cell>
          <cell r="D324">
            <v>500.16</v>
          </cell>
          <cell r="E324">
            <v>5</v>
          </cell>
          <cell r="F324">
            <v>505</v>
          </cell>
        </row>
        <row r="325">
          <cell r="A325">
            <v>1718</v>
          </cell>
          <cell r="B325" t="str">
            <v>CA-2005 (PC)</v>
          </cell>
          <cell r="C325" t="str">
            <v>m</v>
          </cell>
          <cell r="D325">
            <v>558.85</v>
          </cell>
          <cell r="E325">
            <v>5.59</v>
          </cell>
          <cell r="F325">
            <v>564.5</v>
          </cell>
        </row>
        <row r="326">
          <cell r="A326">
            <v>1719</v>
          </cell>
          <cell r="B326" t="str">
            <v>A-111 (MF)</v>
          </cell>
          <cell r="C326" t="str">
            <v>m</v>
          </cell>
          <cell r="D326">
            <v>392.87</v>
          </cell>
          <cell r="E326">
            <v>3.93</v>
          </cell>
          <cell r="F326">
            <v>397</v>
          </cell>
        </row>
        <row r="327">
          <cell r="A327">
            <v>1720</v>
          </cell>
          <cell r="B327" t="str">
            <v>DG-01 (PC)</v>
          </cell>
          <cell r="C327" t="str">
            <v>m</v>
          </cell>
          <cell r="D327">
            <v>252.95</v>
          </cell>
          <cell r="E327">
            <v>2.5299999999999998</v>
          </cell>
          <cell r="F327">
            <v>255.5</v>
          </cell>
        </row>
        <row r="328">
          <cell r="A328">
            <v>1721</v>
          </cell>
          <cell r="B328" t="str">
            <v>DG-101(PC)</v>
          </cell>
          <cell r="C328" t="str">
            <v>m</v>
          </cell>
          <cell r="D328">
            <v>217.54</v>
          </cell>
          <cell r="E328">
            <v>2.1800000000000002</v>
          </cell>
          <cell r="F328">
            <v>219.5</v>
          </cell>
        </row>
        <row r="329">
          <cell r="A329">
            <v>1722</v>
          </cell>
          <cell r="B329" t="str">
            <v>CA-2004 (PC)</v>
          </cell>
          <cell r="C329" t="str">
            <v>m</v>
          </cell>
          <cell r="D329">
            <v>384.26</v>
          </cell>
          <cell r="E329">
            <v>3.84</v>
          </cell>
          <cell r="F329">
            <v>388</v>
          </cell>
        </row>
        <row r="330">
          <cell r="A330">
            <v>1723</v>
          </cell>
          <cell r="B330" t="str">
            <v>GL-107 (PC)</v>
          </cell>
          <cell r="C330" t="str">
            <v>m</v>
          </cell>
          <cell r="D330">
            <v>151.15</v>
          </cell>
          <cell r="E330">
            <v>1.51</v>
          </cell>
          <cell r="F330">
            <v>152.5</v>
          </cell>
        </row>
        <row r="331">
          <cell r="A331">
            <v>1724</v>
          </cell>
          <cell r="B331" t="str">
            <v>CA-1003 (PC)</v>
          </cell>
          <cell r="C331" t="str">
            <v>m</v>
          </cell>
          <cell r="D331">
            <v>405.74</v>
          </cell>
          <cell r="E331">
            <v>4.0599999999999996</v>
          </cell>
          <cell r="F331">
            <v>410</v>
          </cell>
        </row>
        <row r="332">
          <cell r="A332">
            <v>1725</v>
          </cell>
          <cell r="B332" t="str">
            <v>CA-1004 (PC)</v>
          </cell>
          <cell r="C332" t="str">
            <v>m</v>
          </cell>
          <cell r="D332">
            <v>606.72</v>
          </cell>
          <cell r="E332">
            <v>6.07</v>
          </cell>
          <cell r="F332">
            <v>613</v>
          </cell>
        </row>
        <row r="333">
          <cell r="A333">
            <v>1726</v>
          </cell>
          <cell r="B333" t="str">
            <v>CA-2006 (PC)</v>
          </cell>
          <cell r="C333" t="str">
            <v>m</v>
          </cell>
          <cell r="D333">
            <v>567.37</v>
          </cell>
          <cell r="E333">
            <v>5.67</v>
          </cell>
          <cell r="F333">
            <v>573</v>
          </cell>
        </row>
        <row r="334">
          <cell r="A334">
            <v>1727</v>
          </cell>
          <cell r="B334" t="str">
            <v>DG-02 (PC)</v>
          </cell>
          <cell r="C334" t="str">
            <v>m</v>
          </cell>
          <cell r="D334">
            <v>264.43</v>
          </cell>
          <cell r="E334">
            <v>2.64</v>
          </cell>
          <cell r="F334">
            <v>267</v>
          </cell>
        </row>
        <row r="335">
          <cell r="A335">
            <v>1728</v>
          </cell>
          <cell r="B335" t="str">
            <v>DG-102(PC)</v>
          </cell>
          <cell r="C335" t="str">
            <v>m</v>
          </cell>
          <cell r="D335">
            <v>236.06</v>
          </cell>
          <cell r="E335">
            <v>2.36</v>
          </cell>
          <cell r="F335">
            <v>238.5</v>
          </cell>
        </row>
        <row r="336">
          <cell r="A336">
            <v>1729</v>
          </cell>
          <cell r="B336" t="str">
            <v>CA-1001 (PC)</v>
          </cell>
          <cell r="C336" t="str">
            <v>m</v>
          </cell>
          <cell r="D336">
            <v>655.57</v>
          </cell>
          <cell r="E336">
            <v>6.56</v>
          </cell>
          <cell r="F336">
            <v>662</v>
          </cell>
        </row>
        <row r="337">
          <cell r="A337">
            <v>1730</v>
          </cell>
          <cell r="B337" t="str">
            <v>CA-1002 (PC)</v>
          </cell>
          <cell r="C337" t="str">
            <v>m</v>
          </cell>
          <cell r="D337">
            <v>1024.92</v>
          </cell>
          <cell r="E337">
            <v>10.25</v>
          </cell>
          <cell r="F337">
            <v>1035</v>
          </cell>
        </row>
        <row r="338">
          <cell r="A338">
            <v>1731</v>
          </cell>
          <cell r="B338" t="str">
            <v>100D-3104 (PC)</v>
          </cell>
          <cell r="C338" t="str">
            <v>m</v>
          </cell>
          <cell r="D338">
            <v>694.46</v>
          </cell>
          <cell r="E338">
            <v>6.94</v>
          </cell>
          <cell r="F338">
            <v>701.5</v>
          </cell>
        </row>
        <row r="339">
          <cell r="A339">
            <v>1732</v>
          </cell>
          <cell r="B339" t="str">
            <v>100D-101 (PC)</v>
          </cell>
          <cell r="C339" t="str">
            <v>m</v>
          </cell>
          <cell r="D339">
            <v>948.77</v>
          </cell>
          <cell r="E339">
            <v>9.49</v>
          </cell>
          <cell r="F339">
            <v>958.5</v>
          </cell>
        </row>
        <row r="340">
          <cell r="A340">
            <v>1733</v>
          </cell>
          <cell r="B340" t="str">
            <v>100D-102 (PC)</v>
          </cell>
          <cell r="C340" t="str">
            <v>m</v>
          </cell>
          <cell r="D340">
            <v>993.38</v>
          </cell>
          <cell r="E340">
            <v>9.93</v>
          </cell>
          <cell r="F340">
            <v>1003.5</v>
          </cell>
        </row>
        <row r="341">
          <cell r="A341">
            <v>1734</v>
          </cell>
          <cell r="B341" t="str">
            <v>100D-201 (PC)</v>
          </cell>
          <cell r="C341" t="str">
            <v>m</v>
          </cell>
          <cell r="D341">
            <v>918.31</v>
          </cell>
          <cell r="E341">
            <v>9.18</v>
          </cell>
          <cell r="F341">
            <v>927.5</v>
          </cell>
        </row>
        <row r="342">
          <cell r="A342">
            <v>1735</v>
          </cell>
          <cell r="B342" t="str">
            <v>100D-301 (PC)</v>
          </cell>
          <cell r="C342" t="str">
            <v>m</v>
          </cell>
          <cell r="D342">
            <v>1091.08</v>
          </cell>
          <cell r="E342">
            <v>10.91</v>
          </cell>
          <cell r="F342">
            <v>1102</v>
          </cell>
        </row>
        <row r="343">
          <cell r="A343">
            <v>1736</v>
          </cell>
          <cell r="B343" t="str">
            <v>100D-401 (PC)</v>
          </cell>
          <cell r="C343" t="str">
            <v>m</v>
          </cell>
          <cell r="D343">
            <v>1208</v>
          </cell>
          <cell r="E343">
            <v>12.08</v>
          </cell>
          <cell r="F343">
            <v>1220</v>
          </cell>
        </row>
        <row r="344">
          <cell r="A344">
            <v>1737</v>
          </cell>
          <cell r="B344" t="str">
            <v>100D-501 (PC)</v>
          </cell>
          <cell r="C344" t="str">
            <v>m</v>
          </cell>
          <cell r="D344">
            <v>129.08000000000001</v>
          </cell>
          <cell r="E344">
            <v>1.29</v>
          </cell>
          <cell r="F344">
            <v>137.5</v>
          </cell>
        </row>
        <row r="345">
          <cell r="A345">
            <v>1738</v>
          </cell>
          <cell r="B345" t="str">
            <v>70D-1910 (PC)</v>
          </cell>
          <cell r="C345" t="str">
            <v>m</v>
          </cell>
          <cell r="D345">
            <v>147.69</v>
          </cell>
          <cell r="E345">
            <v>1.48</v>
          </cell>
          <cell r="F345">
            <v>149</v>
          </cell>
        </row>
        <row r="346">
          <cell r="A346">
            <v>1739</v>
          </cell>
          <cell r="B346" t="str">
            <v>100D-3503A (PC)</v>
          </cell>
          <cell r="C346" t="str">
            <v>m</v>
          </cell>
          <cell r="D346">
            <v>688</v>
          </cell>
          <cell r="E346">
            <v>6.88</v>
          </cell>
          <cell r="F346">
            <v>695</v>
          </cell>
        </row>
        <row r="347">
          <cell r="A347">
            <v>1740</v>
          </cell>
          <cell r="B347" t="str">
            <v>100D-3004A (PC)</v>
          </cell>
          <cell r="C347" t="str">
            <v>m</v>
          </cell>
          <cell r="D347">
            <v>811.69</v>
          </cell>
          <cell r="E347">
            <v>8.1199999999999992</v>
          </cell>
          <cell r="F347">
            <v>820</v>
          </cell>
        </row>
        <row r="348">
          <cell r="A348">
            <v>1741</v>
          </cell>
          <cell r="B348" t="str">
            <v>100D-3207 (PC)</v>
          </cell>
          <cell r="C348" t="str">
            <v>m</v>
          </cell>
          <cell r="D348">
            <v>1057.8499999999999</v>
          </cell>
          <cell r="E348">
            <v>10.58</v>
          </cell>
          <cell r="F348">
            <v>1068.5</v>
          </cell>
        </row>
        <row r="349">
          <cell r="A349">
            <v>1742</v>
          </cell>
          <cell r="B349" t="str">
            <v>100D-3503 (PC)</v>
          </cell>
          <cell r="C349" t="str">
            <v>m</v>
          </cell>
          <cell r="D349">
            <v>750.92</v>
          </cell>
          <cell r="E349">
            <v>7.51</v>
          </cell>
          <cell r="F349">
            <v>758.5</v>
          </cell>
        </row>
        <row r="350">
          <cell r="A350">
            <v>1743</v>
          </cell>
          <cell r="B350" t="str">
            <v>100D-1914 (PC)</v>
          </cell>
          <cell r="C350" t="str">
            <v>m</v>
          </cell>
          <cell r="D350">
            <v>143.85</v>
          </cell>
          <cell r="E350">
            <v>1.44</v>
          </cell>
          <cell r="F350">
            <v>145.5</v>
          </cell>
        </row>
        <row r="351">
          <cell r="A351">
            <v>1744</v>
          </cell>
          <cell r="B351" t="str">
            <v>100D-3203 (PC)</v>
          </cell>
          <cell r="C351" t="str">
            <v>m</v>
          </cell>
          <cell r="D351">
            <v>798.46</v>
          </cell>
          <cell r="E351">
            <v>7.98</v>
          </cell>
          <cell r="F351">
            <v>806.5</v>
          </cell>
        </row>
        <row r="352">
          <cell r="A352">
            <v>1745</v>
          </cell>
          <cell r="B352" t="str">
            <v>70S-1002-1(PC)</v>
          </cell>
          <cell r="C352" t="str">
            <v>m</v>
          </cell>
          <cell r="D352">
            <v>372.77</v>
          </cell>
          <cell r="E352">
            <v>3.73</v>
          </cell>
          <cell r="F352">
            <v>376.5</v>
          </cell>
        </row>
        <row r="353">
          <cell r="A353">
            <v>1746</v>
          </cell>
          <cell r="B353" t="str">
            <v>70S-1102-1 (PC)</v>
          </cell>
          <cell r="C353" t="str">
            <v>m</v>
          </cell>
          <cell r="D353">
            <v>272.77</v>
          </cell>
          <cell r="E353">
            <v>2.73</v>
          </cell>
          <cell r="F353">
            <v>275.5</v>
          </cell>
        </row>
        <row r="354">
          <cell r="A354">
            <v>1747</v>
          </cell>
          <cell r="B354" t="str">
            <v>70S-1202-1(PC)</v>
          </cell>
          <cell r="C354" t="str">
            <v>m</v>
          </cell>
          <cell r="D354">
            <v>272.77</v>
          </cell>
          <cell r="E354">
            <v>2.73</v>
          </cell>
          <cell r="F354">
            <v>275.5</v>
          </cell>
        </row>
        <row r="355">
          <cell r="A355">
            <v>1748</v>
          </cell>
          <cell r="B355" t="str">
            <v>70S-1704A (PC)</v>
          </cell>
          <cell r="C355" t="str">
            <v>m</v>
          </cell>
          <cell r="D355">
            <v>508.46</v>
          </cell>
          <cell r="E355">
            <v>5.08</v>
          </cell>
          <cell r="F355">
            <v>513.5</v>
          </cell>
        </row>
        <row r="356">
          <cell r="A356">
            <v>1749</v>
          </cell>
          <cell r="B356" t="str">
            <v>70S-1402-1 (PC)</v>
          </cell>
          <cell r="C356" t="str">
            <v>m</v>
          </cell>
          <cell r="D356">
            <v>345.38</v>
          </cell>
          <cell r="E356">
            <v>3.45</v>
          </cell>
          <cell r="F356">
            <v>349</v>
          </cell>
        </row>
        <row r="357">
          <cell r="A357">
            <v>1750</v>
          </cell>
          <cell r="B357" t="str">
            <v>70S-1801 (PC)</v>
          </cell>
          <cell r="C357" t="str">
            <v>m</v>
          </cell>
          <cell r="D357">
            <v>324.14999999999998</v>
          </cell>
          <cell r="E357">
            <v>3.24</v>
          </cell>
          <cell r="F357">
            <v>327.5</v>
          </cell>
        </row>
        <row r="358">
          <cell r="A358">
            <v>1751</v>
          </cell>
          <cell r="B358" t="str">
            <v>70S-1101-2 (PC)</v>
          </cell>
          <cell r="C358" t="str">
            <v>m</v>
          </cell>
          <cell r="D358">
            <v>537.54</v>
          </cell>
          <cell r="E358">
            <v>5.38</v>
          </cell>
          <cell r="F358">
            <v>543</v>
          </cell>
        </row>
        <row r="359">
          <cell r="A359">
            <v>1752</v>
          </cell>
          <cell r="B359" t="str">
            <v>70S-1001-1 (PC)</v>
          </cell>
          <cell r="C359" t="str">
            <v>m</v>
          </cell>
          <cell r="D359">
            <v>531.23</v>
          </cell>
          <cell r="E359">
            <v>5.31</v>
          </cell>
          <cell r="F359">
            <v>536.5</v>
          </cell>
        </row>
        <row r="360">
          <cell r="A360">
            <v>1753</v>
          </cell>
          <cell r="B360" t="str">
            <v>70S-1704A (PC)</v>
          </cell>
          <cell r="C360" t="str">
            <v>m</v>
          </cell>
          <cell r="D360">
            <v>508.46</v>
          </cell>
          <cell r="E360">
            <v>5.08</v>
          </cell>
          <cell r="F360">
            <v>513.5</v>
          </cell>
        </row>
        <row r="361">
          <cell r="A361">
            <v>1754</v>
          </cell>
          <cell r="B361" t="str">
            <v>70S-1401-1 (PC)</v>
          </cell>
          <cell r="C361" t="str">
            <v>m</v>
          </cell>
          <cell r="D361">
            <v>353.23</v>
          </cell>
          <cell r="E361">
            <v>3.53</v>
          </cell>
          <cell r="F361">
            <v>357</v>
          </cell>
        </row>
        <row r="362">
          <cell r="A362">
            <v>1755</v>
          </cell>
          <cell r="B362" t="str">
            <v>70S-1201-1 (PC)</v>
          </cell>
          <cell r="C362" t="str">
            <v>m</v>
          </cell>
          <cell r="D362">
            <v>432.15</v>
          </cell>
          <cell r="E362">
            <v>4.32</v>
          </cell>
          <cell r="F362">
            <v>436.5</v>
          </cell>
        </row>
        <row r="363">
          <cell r="A363">
            <v>1756</v>
          </cell>
          <cell r="B363" t="str">
            <v>70S-1604 (PC)</v>
          </cell>
          <cell r="C363" t="str">
            <v>m</v>
          </cell>
          <cell r="D363">
            <v>422.92</v>
          </cell>
          <cell r="E363">
            <v>4.2300000000000004</v>
          </cell>
          <cell r="F363">
            <v>427</v>
          </cell>
        </row>
        <row r="364">
          <cell r="A364">
            <v>1757</v>
          </cell>
          <cell r="B364" t="str">
            <v>70S-1801 (PC)</v>
          </cell>
          <cell r="C364" t="str">
            <v>m</v>
          </cell>
          <cell r="D364">
            <v>324.14999999999998</v>
          </cell>
          <cell r="E364">
            <v>3.24</v>
          </cell>
          <cell r="F364">
            <v>327.5</v>
          </cell>
        </row>
        <row r="365">
          <cell r="A365">
            <v>1758</v>
          </cell>
          <cell r="B365" t="str">
            <v>PT-5157 (PC)</v>
          </cell>
          <cell r="C365" t="str">
            <v>m</v>
          </cell>
          <cell r="D365">
            <v>354.75</v>
          </cell>
          <cell r="E365">
            <v>3.55</v>
          </cell>
          <cell r="F365">
            <v>358.5</v>
          </cell>
        </row>
        <row r="366">
          <cell r="A366">
            <v>1759</v>
          </cell>
          <cell r="B366" t="str">
            <v>PT-5158 (PC)</v>
          </cell>
          <cell r="C366" t="str">
            <v>m</v>
          </cell>
          <cell r="D366">
            <v>264.10000000000002</v>
          </cell>
          <cell r="E366">
            <v>2.64</v>
          </cell>
          <cell r="F366">
            <v>267</v>
          </cell>
        </row>
        <row r="367">
          <cell r="A367">
            <v>1760</v>
          </cell>
          <cell r="B367" t="str">
            <v>PT-5153 (PC)</v>
          </cell>
          <cell r="C367" t="str">
            <v>m</v>
          </cell>
          <cell r="D367">
            <v>106.23</v>
          </cell>
          <cell r="E367">
            <v>1.06</v>
          </cell>
          <cell r="F367">
            <v>107.5</v>
          </cell>
        </row>
        <row r="368">
          <cell r="A368">
            <v>1761</v>
          </cell>
          <cell r="B368" t="str">
            <v>PT-5154 (PC)</v>
          </cell>
          <cell r="C368" t="str">
            <v>m</v>
          </cell>
          <cell r="D368">
            <v>194.75</v>
          </cell>
          <cell r="E368">
            <v>1.95</v>
          </cell>
          <cell r="F368">
            <v>196.5</v>
          </cell>
        </row>
        <row r="369">
          <cell r="A369">
            <v>1762</v>
          </cell>
          <cell r="B369" t="str">
            <v>A-110A (MF)</v>
          </cell>
          <cell r="C369" t="str">
            <v>m</v>
          </cell>
          <cell r="D369">
            <v>257.05</v>
          </cell>
          <cell r="E369">
            <v>2.57</v>
          </cell>
          <cell r="F369">
            <v>259.5</v>
          </cell>
        </row>
        <row r="370">
          <cell r="B370" t="str">
            <v>Accessories</v>
          </cell>
        </row>
        <row r="371">
          <cell r="A371">
            <v>1801</v>
          </cell>
          <cell r="B371" t="str">
            <v>Sliding lock</v>
          </cell>
          <cell r="C371" t="str">
            <v>Nr</v>
          </cell>
          <cell r="D371">
            <v>95</v>
          </cell>
          <cell r="E371">
            <v>0.95</v>
          </cell>
          <cell r="F371">
            <v>96</v>
          </cell>
        </row>
        <row r="372">
          <cell r="A372">
            <v>1802</v>
          </cell>
          <cell r="B372" t="str">
            <v>Roller-70mm</v>
          </cell>
          <cell r="C372" t="str">
            <v>Nr</v>
          </cell>
          <cell r="D372">
            <v>95</v>
          </cell>
          <cell r="E372">
            <v>0.95</v>
          </cell>
          <cell r="F372">
            <v>96</v>
          </cell>
        </row>
        <row r="373">
          <cell r="A373">
            <v>1803</v>
          </cell>
          <cell r="B373" t="str">
            <v>S.T. Screw - 1" No.8</v>
          </cell>
          <cell r="C373" t="str">
            <v>Nr</v>
          </cell>
          <cell r="D373">
            <v>2</v>
          </cell>
          <cell r="E373">
            <v>0.02</v>
          </cell>
          <cell r="F373">
            <v>2</v>
          </cell>
        </row>
        <row r="374">
          <cell r="A374">
            <v>1804</v>
          </cell>
          <cell r="B374" t="str">
            <v>Gasket</v>
          </cell>
          <cell r="C374" t="str">
            <v>m</v>
          </cell>
          <cell r="D374">
            <v>18</v>
          </cell>
          <cell r="E374">
            <v>0.18</v>
          </cell>
          <cell r="F374">
            <v>18.5</v>
          </cell>
        </row>
        <row r="375">
          <cell r="A375">
            <v>1805</v>
          </cell>
          <cell r="B375" t="str">
            <v>Wool felt</v>
          </cell>
          <cell r="C375" t="str">
            <v>m</v>
          </cell>
          <cell r="D375">
            <v>50.5</v>
          </cell>
          <cell r="E375">
            <v>0.51</v>
          </cell>
          <cell r="F375">
            <v>51</v>
          </cell>
        </row>
        <row r="376">
          <cell r="A376">
            <v>1806</v>
          </cell>
          <cell r="B376" t="str">
            <v>Pop rivet 5/32"x1/2"</v>
          </cell>
          <cell r="C376" t="str">
            <v>Nr</v>
          </cell>
          <cell r="D376">
            <v>1.3</v>
          </cell>
          <cell r="E376">
            <v>0.01</v>
          </cell>
          <cell r="F376">
            <v>1.3</v>
          </cell>
        </row>
        <row r="377">
          <cell r="A377">
            <v>1807</v>
          </cell>
          <cell r="B377" t="str">
            <v>Plastic guide</v>
          </cell>
          <cell r="C377" t="str">
            <v>Nr</v>
          </cell>
          <cell r="D377">
            <v>1.7</v>
          </cell>
          <cell r="E377">
            <v>0.02</v>
          </cell>
          <cell r="F377">
            <v>1.75</v>
          </cell>
        </row>
        <row r="378">
          <cell r="A378">
            <v>1808</v>
          </cell>
          <cell r="B378" t="str">
            <v>Cap 3/8" dia.</v>
          </cell>
          <cell r="C378" t="str">
            <v>Nr</v>
          </cell>
          <cell r="D378">
            <v>2.75</v>
          </cell>
          <cell r="E378">
            <v>0.03</v>
          </cell>
          <cell r="F378">
            <v>2.75</v>
          </cell>
        </row>
        <row r="379">
          <cell r="A379">
            <v>1809</v>
          </cell>
          <cell r="B379" t="str">
            <v>S.T. Screw - 2" No.8</v>
          </cell>
          <cell r="C379" t="str">
            <v>Nr</v>
          </cell>
          <cell r="D379">
            <v>35</v>
          </cell>
          <cell r="E379">
            <v>0.35</v>
          </cell>
          <cell r="F379">
            <v>35.5</v>
          </cell>
        </row>
        <row r="380">
          <cell r="A380">
            <v>1810</v>
          </cell>
          <cell r="B380" t="str">
            <v>Casement lock</v>
          </cell>
          <cell r="C380" t="str">
            <v>Nr</v>
          </cell>
          <cell r="D380">
            <v>165</v>
          </cell>
          <cell r="E380">
            <v>1.65</v>
          </cell>
          <cell r="F380">
            <v>166.5</v>
          </cell>
        </row>
        <row r="381">
          <cell r="A381">
            <v>1811</v>
          </cell>
          <cell r="B381" t="str">
            <v>Bar hinges</v>
          </cell>
          <cell r="C381" t="str">
            <v>Pair</v>
          </cell>
          <cell r="D381">
            <v>440</v>
          </cell>
          <cell r="E381">
            <v>4.4000000000000004</v>
          </cell>
          <cell r="F381">
            <v>444.5</v>
          </cell>
        </row>
        <row r="382">
          <cell r="A382">
            <v>1812</v>
          </cell>
          <cell r="B382" t="str">
            <v>Weather strip</v>
          </cell>
          <cell r="C382" t="str">
            <v>m</v>
          </cell>
          <cell r="D382">
            <v>42</v>
          </cell>
          <cell r="E382">
            <v>0.42</v>
          </cell>
          <cell r="F382">
            <v>42.5</v>
          </cell>
        </row>
        <row r="383">
          <cell r="A383">
            <v>1813</v>
          </cell>
          <cell r="B383" t="str">
            <v>Pop rivet 3/16"x1/2"</v>
          </cell>
          <cell r="C383" t="str">
            <v>Nr</v>
          </cell>
          <cell r="D383">
            <v>2.25</v>
          </cell>
          <cell r="E383">
            <v>0.02</v>
          </cell>
          <cell r="F383">
            <v>2.5</v>
          </cell>
        </row>
        <row r="384">
          <cell r="A384">
            <v>1814</v>
          </cell>
          <cell r="B384" t="str">
            <v>S.T. Screw - No.8 x 1/2'</v>
          </cell>
          <cell r="C384" t="str">
            <v>Nr</v>
          </cell>
          <cell r="D384">
            <v>1.5</v>
          </cell>
          <cell r="E384">
            <v>0.02</v>
          </cell>
          <cell r="F384">
            <v>1.5</v>
          </cell>
        </row>
        <row r="385">
          <cell r="A385">
            <v>1815</v>
          </cell>
          <cell r="B385" t="str">
            <v>Door lock</v>
          </cell>
          <cell r="C385" t="str">
            <v>Nr</v>
          </cell>
          <cell r="D385">
            <v>895</v>
          </cell>
          <cell r="E385">
            <v>8.9499999999999993</v>
          </cell>
          <cell r="F385">
            <v>904</v>
          </cell>
        </row>
        <row r="386">
          <cell r="A386">
            <v>1816</v>
          </cell>
          <cell r="B386" t="str">
            <v>Butt hinge</v>
          </cell>
          <cell r="C386" t="str">
            <v>Nr</v>
          </cell>
          <cell r="D386">
            <v>100</v>
          </cell>
          <cell r="E386">
            <v>1</v>
          </cell>
          <cell r="F386">
            <v>101</v>
          </cell>
        </row>
        <row r="387">
          <cell r="A387">
            <v>1817</v>
          </cell>
          <cell r="B387" t="str">
            <v>Door handle with cap nut</v>
          </cell>
          <cell r="C387" t="str">
            <v>Pair</v>
          </cell>
          <cell r="D387">
            <v>1074</v>
          </cell>
          <cell r="E387">
            <v>10.74</v>
          </cell>
          <cell r="F387">
            <v>1085</v>
          </cell>
        </row>
        <row r="388">
          <cell r="A388">
            <v>1818</v>
          </cell>
          <cell r="B388" t="str">
            <v>Rivert (C Sk) 5/32"x1/2"</v>
          </cell>
          <cell r="C388" t="str">
            <v>Nr</v>
          </cell>
          <cell r="D388">
            <v>1.25</v>
          </cell>
          <cell r="E388">
            <v>0.01</v>
          </cell>
          <cell r="F388">
            <v>1.25</v>
          </cell>
        </row>
        <row r="389">
          <cell r="A389">
            <v>1819</v>
          </cell>
          <cell r="B389" t="str">
            <v>Threaded bar with nut</v>
          </cell>
          <cell r="C389" t="str">
            <v>m</v>
          </cell>
          <cell r="D389">
            <v>224</v>
          </cell>
          <cell r="E389">
            <v>2.2400000000000002</v>
          </cell>
          <cell r="F389">
            <v>226.5</v>
          </cell>
        </row>
        <row r="390">
          <cell r="A390">
            <v>1820</v>
          </cell>
          <cell r="B390" t="str">
            <v>Door closer</v>
          </cell>
          <cell r="C390" t="str">
            <v>Nr</v>
          </cell>
          <cell r="D390">
            <v>2250</v>
          </cell>
          <cell r="E390">
            <v>22.5</v>
          </cell>
          <cell r="F390">
            <v>2272.5</v>
          </cell>
        </row>
        <row r="391">
          <cell r="A391">
            <v>1821</v>
          </cell>
          <cell r="B391" t="str">
            <v>Pop rivet 1/8"x1/2"</v>
          </cell>
          <cell r="C391" t="str">
            <v>Nr</v>
          </cell>
          <cell r="D391">
            <v>1.25</v>
          </cell>
          <cell r="E391">
            <v>0.01</v>
          </cell>
          <cell r="F391">
            <v>1.25</v>
          </cell>
        </row>
        <row r="392">
          <cell r="A392">
            <v>1822</v>
          </cell>
          <cell r="B392" t="str">
            <v>G. I. Channel</v>
          </cell>
          <cell r="C392" t="str">
            <v>m</v>
          </cell>
          <cell r="D392">
            <v>168</v>
          </cell>
          <cell r="E392">
            <v>1.68</v>
          </cell>
          <cell r="F392">
            <v>169.5</v>
          </cell>
        </row>
        <row r="393">
          <cell r="A393">
            <v>1823</v>
          </cell>
          <cell r="B393" t="str">
            <v>White board, chip board or melamine board</v>
          </cell>
          <cell r="C393" t="str">
            <v>m2</v>
          </cell>
          <cell r="D393">
            <v>253</v>
          </cell>
          <cell r="E393">
            <v>2.5299999999999998</v>
          </cell>
          <cell r="F393">
            <v>255.5</v>
          </cell>
        </row>
        <row r="394">
          <cell r="B394" t="str">
            <v>Glazier</v>
          </cell>
        </row>
        <row r="395">
          <cell r="A395">
            <v>1901</v>
          </cell>
          <cell r="B395" t="str">
            <v>5mm thick figured glass panes</v>
          </cell>
          <cell r="C395" t="str">
            <v>m2</v>
          </cell>
          <cell r="D395">
            <v>1184</v>
          </cell>
          <cell r="E395">
            <v>11.84</v>
          </cell>
          <cell r="F395">
            <v>1196</v>
          </cell>
        </row>
        <row r="396">
          <cell r="A396">
            <v>1902</v>
          </cell>
          <cell r="B396" t="str">
            <v>3mm thick figured glass panes</v>
          </cell>
          <cell r="C396" t="str">
            <v>m2</v>
          </cell>
          <cell r="D396">
            <v>592</v>
          </cell>
          <cell r="E396">
            <v>5.92</v>
          </cell>
          <cell r="F396">
            <v>598</v>
          </cell>
        </row>
        <row r="397">
          <cell r="A397">
            <v>1903</v>
          </cell>
          <cell r="B397" t="str">
            <v>5mm thick clear glass panes</v>
          </cell>
          <cell r="C397" t="str">
            <v>m2</v>
          </cell>
          <cell r="D397">
            <v>861</v>
          </cell>
          <cell r="E397">
            <v>8.61</v>
          </cell>
          <cell r="F397">
            <v>869.5</v>
          </cell>
        </row>
        <row r="398">
          <cell r="A398">
            <v>1904</v>
          </cell>
          <cell r="B398" t="str">
            <v>3mm thick clear glass panes</v>
          </cell>
          <cell r="C398" t="str">
            <v>m2</v>
          </cell>
          <cell r="D398">
            <v>646</v>
          </cell>
          <cell r="E398">
            <v>6.46</v>
          </cell>
          <cell r="F398">
            <v>652.5</v>
          </cell>
        </row>
        <row r="399">
          <cell r="A399">
            <v>1905</v>
          </cell>
          <cell r="B399" t="str">
            <v>5mm thick tinted glass panes</v>
          </cell>
          <cell r="C399" t="str">
            <v>m2</v>
          </cell>
          <cell r="D399">
            <v>1140</v>
          </cell>
          <cell r="E399">
            <v>11.4</v>
          </cell>
          <cell r="F399">
            <v>1151.5</v>
          </cell>
        </row>
        <row r="400">
          <cell r="A400">
            <v>1906</v>
          </cell>
          <cell r="B400" t="str">
            <v>3mm thick tinted glass panes</v>
          </cell>
          <cell r="C400" t="str">
            <v>m2</v>
          </cell>
          <cell r="D400">
            <v>750</v>
          </cell>
          <cell r="E400">
            <v>7.5</v>
          </cell>
          <cell r="F400">
            <v>757.5</v>
          </cell>
        </row>
        <row r="401">
          <cell r="A401">
            <v>1907</v>
          </cell>
          <cell r="B401" t="str">
            <v>12mmx12mm teak beading</v>
          </cell>
          <cell r="C401" t="str">
            <v>m</v>
          </cell>
          <cell r="D401">
            <v>5</v>
          </cell>
          <cell r="E401">
            <v>0.05</v>
          </cell>
          <cell r="F401">
            <v>5</v>
          </cell>
        </row>
        <row r="402">
          <cell r="B402" t="str">
            <v>Plasterer</v>
          </cell>
          <cell r="F402">
            <v>0</v>
          </cell>
        </row>
        <row r="403">
          <cell r="A403">
            <v>2001</v>
          </cell>
          <cell r="B403" t="str">
            <v>Lime</v>
          </cell>
          <cell r="C403" t="str">
            <v>kg</v>
          </cell>
          <cell r="D403">
            <v>20</v>
          </cell>
          <cell r="E403">
            <v>0.2</v>
          </cell>
          <cell r="F403">
            <v>20.5</v>
          </cell>
        </row>
        <row r="404">
          <cell r="B404" t="str">
            <v>Plumber</v>
          </cell>
        </row>
        <row r="405">
          <cell r="A405">
            <v>2101</v>
          </cell>
          <cell r="B405" t="str">
            <v>12mm (1/2") ball valve - Brass</v>
          </cell>
          <cell r="C405" t="str">
            <v>Nr</v>
          </cell>
          <cell r="D405">
            <v>525</v>
          </cell>
          <cell r="E405">
            <v>5.25</v>
          </cell>
          <cell r="F405">
            <v>530.5</v>
          </cell>
        </row>
        <row r="406">
          <cell r="A406">
            <v>2102</v>
          </cell>
          <cell r="B406" t="str">
            <v>12mm (1/2") ball valve - PVC</v>
          </cell>
          <cell r="C406" t="str">
            <v>Nr</v>
          </cell>
          <cell r="D406">
            <v>95</v>
          </cell>
          <cell r="E406">
            <v>0.95</v>
          </cell>
          <cell r="F406">
            <v>96</v>
          </cell>
        </row>
        <row r="407">
          <cell r="A407">
            <v>2103</v>
          </cell>
          <cell r="B407" t="str">
            <v>20mm (3/4") ball valve - Brass</v>
          </cell>
          <cell r="C407" t="str">
            <v>Nr</v>
          </cell>
          <cell r="D407">
            <v>750</v>
          </cell>
          <cell r="E407">
            <v>7.5</v>
          </cell>
          <cell r="F407">
            <v>757.5</v>
          </cell>
        </row>
        <row r="408">
          <cell r="A408">
            <v>2104</v>
          </cell>
          <cell r="B408" t="str">
            <v>20mm (3/4") ball valve - PVC</v>
          </cell>
          <cell r="C408" t="str">
            <v>Nr</v>
          </cell>
          <cell r="D408">
            <v>140</v>
          </cell>
          <cell r="E408">
            <v>1.4</v>
          </cell>
          <cell r="F408">
            <v>141.5</v>
          </cell>
        </row>
        <row r="409">
          <cell r="A409">
            <v>2105</v>
          </cell>
          <cell r="B409" t="str">
            <v>25mm (1") ball valve - Brass</v>
          </cell>
          <cell r="C409" t="str">
            <v>Nr</v>
          </cell>
          <cell r="D409">
            <v>1100</v>
          </cell>
          <cell r="E409">
            <v>11</v>
          </cell>
          <cell r="F409">
            <v>1111</v>
          </cell>
        </row>
        <row r="410">
          <cell r="A410">
            <v>2106</v>
          </cell>
          <cell r="B410" t="str">
            <v>25mm (1") ball valve - PVC</v>
          </cell>
          <cell r="C410" t="str">
            <v>Nr</v>
          </cell>
          <cell r="D410">
            <v>190</v>
          </cell>
          <cell r="E410">
            <v>1.9</v>
          </cell>
          <cell r="F410">
            <v>192</v>
          </cell>
        </row>
        <row r="411">
          <cell r="A411">
            <v>2107</v>
          </cell>
          <cell r="B411" t="str">
            <v>38mm (1 1/2") ball valve - Brass</v>
          </cell>
          <cell r="C411" t="str">
            <v>Nr</v>
          </cell>
          <cell r="D411">
            <v>1450</v>
          </cell>
          <cell r="E411">
            <v>14.5</v>
          </cell>
          <cell r="F411">
            <v>1464.5</v>
          </cell>
        </row>
        <row r="412">
          <cell r="A412">
            <v>2108</v>
          </cell>
          <cell r="B412" t="str">
            <v>38mm (1 1/2") ball valve - PVC</v>
          </cell>
          <cell r="C412" t="str">
            <v>Nr</v>
          </cell>
          <cell r="D412">
            <v>495</v>
          </cell>
          <cell r="E412">
            <v>4.95</v>
          </cell>
          <cell r="F412">
            <v>500</v>
          </cell>
        </row>
        <row r="413">
          <cell r="A413">
            <v>2109</v>
          </cell>
          <cell r="B413" t="str">
            <v>12mm (1/2") bib tap - Brass</v>
          </cell>
          <cell r="C413" t="str">
            <v>Nr</v>
          </cell>
          <cell r="D413">
            <v>500</v>
          </cell>
          <cell r="E413">
            <v>5</v>
          </cell>
          <cell r="F413">
            <v>505</v>
          </cell>
        </row>
        <row r="414">
          <cell r="A414">
            <v>2110</v>
          </cell>
          <cell r="B414" t="str">
            <v>12mm (1/2") bib tap - Chromium Plated</v>
          </cell>
          <cell r="C414" t="str">
            <v>Nr</v>
          </cell>
          <cell r="D414">
            <v>950</v>
          </cell>
          <cell r="E414">
            <v>9.5</v>
          </cell>
          <cell r="F414">
            <v>959.5</v>
          </cell>
        </row>
        <row r="415">
          <cell r="A415">
            <v>2111</v>
          </cell>
          <cell r="B415" t="str">
            <v>12mm (1/2") bib tap - PVC</v>
          </cell>
          <cell r="C415" t="str">
            <v>Nr</v>
          </cell>
          <cell r="D415">
            <v>90</v>
          </cell>
          <cell r="E415">
            <v>0.9</v>
          </cell>
          <cell r="F415">
            <v>91</v>
          </cell>
        </row>
        <row r="416">
          <cell r="A416">
            <v>2112</v>
          </cell>
          <cell r="B416" t="str">
            <v>12mm (1/2") gate valve - Brass</v>
          </cell>
          <cell r="C416" t="str">
            <v>Nr</v>
          </cell>
          <cell r="D416">
            <v>500</v>
          </cell>
          <cell r="E416">
            <v>5</v>
          </cell>
          <cell r="F416">
            <v>505</v>
          </cell>
        </row>
        <row r="417">
          <cell r="A417">
            <v>2113</v>
          </cell>
          <cell r="B417" t="str">
            <v>12mm (1/2") gate valve - PVC</v>
          </cell>
          <cell r="C417" t="str">
            <v>Nr</v>
          </cell>
          <cell r="D417">
            <v>90</v>
          </cell>
          <cell r="E417">
            <v>0.9</v>
          </cell>
          <cell r="F417">
            <v>91</v>
          </cell>
        </row>
        <row r="418">
          <cell r="A418">
            <v>2114</v>
          </cell>
          <cell r="B418" t="str">
            <v>20mm (3/4") gate valve - Brass</v>
          </cell>
          <cell r="C418" t="str">
            <v>Nr</v>
          </cell>
          <cell r="D418">
            <v>625</v>
          </cell>
          <cell r="E418">
            <v>6.25</v>
          </cell>
          <cell r="F418">
            <v>631.5</v>
          </cell>
        </row>
        <row r="419">
          <cell r="A419">
            <v>2115</v>
          </cell>
          <cell r="B419" t="str">
            <v>20mm (3/4") gate valve - PVC</v>
          </cell>
          <cell r="C419" t="str">
            <v>Nr</v>
          </cell>
          <cell r="D419">
            <v>165</v>
          </cell>
          <cell r="E419">
            <v>1.65</v>
          </cell>
          <cell r="F419">
            <v>166.5</v>
          </cell>
        </row>
        <row r="420">
          <cell r="A420">
            <v>2116</v>
          </cell>
          <cell r="B420" t="str">
            <v>25mm (1") gate valve - Brass</v>
          </cell>
          <cell r="C420" t="str">
            <v>Nr</v>
          </cell>
          <cell r="D420">
            <v>1000</v>
          </cell>
          <cell r="E420">
            <v>10</v>
          </cell>
          <cell r="F420">
            <v>1010</v>
          </cell>
        </row>
        <row r="421">
          <cell r="A421">
            <v>2117</v>
          </cell>
          <cell r="B421" t="str">
            <v>25mm (1") gate valve - PVC</v>
          </cell>
          <cell r="C421" t="str">
            <v>Nr</v>
          </cell>
          <cell r="D421">
            <v>185</v>
          </cell>
          <cell r="E421">
            <v>1.85</v>
          </cell>
          <cell r="F421">
            <v>187</v>
          </cell>
        </row>
        <row r="422">
          <cell r="A422">
            <v>2118</v>
          </cell>
          <cell r="B422" t="str">
            <v>38mm (1 1/2") gate valve - Brass</v>
          </cell>
          <cell r="C422" t="str">
            <v>Nr</v>
          </cell>
          <cell r="D422">
            <v>1500</v>
          </cell>
          <cell r="E422">
            <v>15</v>
          </cell>
          <cell r="F422">
            <v>1515</v>
          </cell>
        </row>
        <row r="423">
          <cell r="A423">
            <v>2119</v>
          </cell>
          <cell r="B423" t="str">
            <v>38mm (1 1/2") gate valve - PVC</v>
          </cell>
          <cell r="C423" t="str">
            <v>Nr</v>
          </cell>
          <cell r="D423">
            <v>410</v>
          </cell>
          <cell r="E423">
            <v>4.0999999999999996</v>
          </cell>
          <cell r="F423">
            <v>414</v>
          </cell>
        </row>
        <row r="424">
          <cell r="A424">
            <v>2120</v>
          </cell>
          <cell r="B424" t="str">
            <v>20mm (1/2") Type 1000 PVC pipes</v>
          </cell>
          <cell r="C424" t="str">
            <v>m</v>
          </cell>
          <cell r="D424">
            <v>45.75</v>
          </cell>
          <cell r="E424">
            <v>0.46</v>
          </cell>
          <cell r="F424">
            <v>46</v>
          </cell>
        </row>
        <row r="425">
          <cell r="A425">
            <v>2121</v>
          </cell>
          <cell r="B425" t="str">
            <v>20mm (1/2") Type 600 PVC pipes</v>
          </cell>
          <cell r="C425" t="str">
            <v>m</v>
          </cell>
          <cell r="D425" t="str">
            <v>…</v>
          </cell>
        </row>
        <row r="426">
          <cell r="A426">
            <v>2122</v>
          </cell>
          <cell r="B426" t="str">
            <v>20mm (1/2") Type 400 PVC pipes</v>
          </cell>
          <cell r="C426" t="str">
            <v>m</v>
          </cell>
          <cell r="D426" t="str">
            <v>….</v>
          </cell>
        </row>
        <row r="427">
          <cell r="A427">
            <v>2123</v>
          </cell>
          <cell r="B427" t="str">
            <v>25mm (3/4") Type 1000 PVC pipes</v>
          </cell>
          <cell r="C427" t="str">
            <v>m</v>
          </cell>
          <cell r="D427">
            <v>100.5</v>
          </cell>
          <cell r="E427">
            <v>1.01</v>
          </cell>
          <cell r="F427">
            <v>101.5</v>
          </cell>
        </row>
        <row r="428">
          <cell r="A428">
            <v>2124</v>
          </cell>
          <cell r="B428" t="str">
            <v>25mm (3/4") Type 600 PVC pipes</v>
          </cell>
          <cell r="C428" t="str">
            <v>m</v>
          </cell>
          <cell r="D428" t="str">
            <v>….</v>
          </cell>
        </row>
        <row r="429">
          <cell r="A429">
            <v>2125</v>
          </cell>
          <cell r="B429" t="str">
            <v>25mm (3/4") Type 400 PVC pipes</v>
          </cell>
          <cell r="C429" t="str">
            <v>m</v>
          </cell>
          <cell r="D429" t="str">
            <v>…..</v>
          </cell>
        </row>
        <row r="430">
          <cell r="A430">
            <v>2126</v>
          </cell>
          <cell r="B430" t="str">
            <v>32mm (1") Type 1000 PVC pipes</v>
          </cell>
          <cell r="C430" t="str">
            <v>m</v>
          </cell>
          <cell r="D430">
            <v>164</v>
          </cell>
          <cell r="E430">
            <v>1.64</v>
          </cell>
          <cell r="F430">
            <v>165.5</v>
          </cell>
        </row>
        <row r="431">
          <cell r="A431">
            <v>2127</v>
          </cell>
          <cell r="B431" t="str">
            <v>32mm (1") Type 600 PVC pipes</v>
          </cell>
          <cell r="C431" t="str">
            <v>m</v>
          </cell>
          <cell r="D431">
            <v>79.5</v>
          </cell>
          <cell r="E431">
            <v>0.8</v>
          </cell>
          <cell r="F431">
            <v>80.5</v>
          </cell>
        </row>
        <row r="432">
          <cell r="A432">
            <v>2128</v>
          </cell>
          <cell r="B432" t="str">
            <v>32mm (1") Type 400 PVC pipes</v>
          </cell>
          <cell r="C432" t="str">
            <v>m</v>
          </cell>
          <cell r="D432" t="str">
            <v>….</v>
          </cell>
        </row>
        <row r="433">
          <cell r="A433">
            <v>2129</v>
          </cell>
          <cell r="B433" t="str">
            <v>40mm (1 1/4") Type 1000 PVC pipes</v>
          </cell>
          <cell r="C433" t="str">
            <v>m</v>
          </cell>
          <cell r="D433">
            <v>221.25</v>
          </cell>
          <cell r="E433">
            <v>2.21</v>
          </cell>
          <cell r="F433">
            <v>223.5</v>
          </cell>
        </row>
        <row r="434">
          <cell r="A434">
            <v>2130</v>
          </cell>
          <cell r="B434" t="str">
            <v>40mm (1 1/4") Type 600 PVC pipes</v>
          </cell>
          <cell r="C434" t="str">
            <v>m</v>
          </cell>
          <cell r="D434">
            <v>155</v>
          </cell>
          <cell r="E434">
            <v>1.55</v>
          </cell>
          <cell r="F434">
            <v>156.5</v>
          </cell>
        </row>
        <row r="435">
          <cell r="A435">
            <v>2131</v>
          </cell>
          <cell r="B435" t="str">
            <v>40mm (1 1/4") Type 400 PVC pipes</v>
          </cell>
          <cell r="C435" t="str">
            <v>m</v>
          </cell>
          <cell r="D435" t="str">
            <v>…..</v>
          </cell>
        </row>
        <row r="436">
          <cell r="A436">
            <v>2132</v>
          </cell>
          <cell r="B436" t="str">
            <v>50mm (1 1/2") Type 1000 PVC pipes</v>
          </cell>
          <cell r="C436" t="str">
            <v>m</v>
          </cell>
          <cell r="D436">
            <v>317.5</v>
          </cell>
          <cell r="E436">
            <v>3.18</v>
          </cell>
          <cell r="F436">
            <v>320.5</v>
          </cell>
        </row>
        <row r="437">
          <cell r="A437">
            <v>2133</v>
          </cell>
          <cell r="B437" t="str">
            <v>50mm (1 1/2") Type 600 PVC pipes</v>
          </cell>
          <cell r="C437" t="str">
            <v>m</v>
          </cell>
          <cell r="D437">
            <v>208.75</v>
          </cell>
          <cell r="E437">
            <v>2.09</v>
          </cell>
          <cell r="F437">
            <v>211</v>
          </cell>
        </row>
        <row r="438">
          <cell r="A438">
            <v>2134</v>
          </cell>
          <cell r="B438" t="str">
            <v>50mm (1 1/2") Type 400 PVC pipes</v>
          </cell>
          <cell r="C438" t="str">
            <v>m</v>
          </cell>
          <cell r="D438">
            <v>146.62</v>
          </cell>
          <cell r="E438">
            <v>1.47</v>
          </cell>
          <cell r="F438">
            <v>148</v>
          </cell>
        </row>
        <row r="439">
          <cell r="A439">
            <v>2135</v>
          </cell>
          <cell r="B439" t="str">
            <v>63mm (2") Type 1000 PVC pipes</v>
          </cell>
          <cell r="C439" t="str">
            <v>m</v>
          </cell>
          <cell r="D439">
            <v>537.5</v>
          </cell>
          <cell r="E439">
            <v>5.38</v>
          </cell>
          <cell r="F439">
            <v>543</v>
          </cell>
        </row>
        <row r="440">
          <cell r="A440">
            <v>2136</v>
          </cell>
          <cell r="B440" t="str">
            <v>63mm (2") Type 600 PVC pipes</v>
          </cell>
          <cell r="C440" t="str">
            <v>m</v>
          </cell>
          <cell r="D440">
            <v>342.5</v>
          </cell>
          <cell r="E440">
            <v>3.43</v>
          </cell>
          <cell r="F440">
            <v>346</v>
          </cell>
        </row>
        <row r="441">
          <cell r="A441">
            <v>2137</v>
          </cell>
          <cell r="B441" t="str">
            <v>63mm (2") Type 400 PVC pipes</v>
          </cell>
          <cell r="C441" t="str">
            <v>m</v>
          </cell>
          <cell r="D441">
            <v>267.5</v>
          </cell>
          <cell r="E441">
            <v>2.68</v>
          </cell>
          <cell r="F441">
            <v>270</v>
          </cell>
        </row>
        <row r="442">
          <cell r="A442">
            <v>2138</v>
          </cell>
          <cell r="B442" t="str">
            <v>75mm (2 1/2") Type 600 PVC pipes</v>
          </cell>
          <cell r="C442" t="str">
            <v>m</v>
          </cell>
          <cell r="D442">
            <v>686.25</v>
          </cell>
          <cell r="E442">
            <v>6.86</v>
          </cell>
          <cell r="F442">
            <v>693</v>
          </cell>
        </row>
        <row r="443">
          <cell r="A443">
            <v>2139</v>
          </cell>
          <cell r="B443" t="str">
            <v>75mm (2 1/2") Type 400 PVC pipes</v>
          </cell>
          <cell r="C443" t="str">
            <v>m</v>
          </cell>
          <cell r="D443">
            <v>435</v>
          </cell>
          <cell r="E443">
            <v>4.3499999999999996</v>
          </cell>
          <cell r="F443">
            <v>439.5</v>
          </cell>
        </row>
        <row r="444">
          <cell r="A444">
            <v>2140</v>
          </cell>
          <cell r="B444" t="str">
            <v>90mm (3") Type 600 PVC pipes</v>
          </cell>
          <cell r="C444" t="str">
            <v>m</v>
          </cell>
          <cell r="D444">
            <v>905.83</v>
          </cell>
          <cell r="E444">
            <v>9.06</v>
          </cell>
          <cell r="F444">
            <v>915</v>
          </cell>
        </row>
        <row r="445">
          <cell r="A445">
            <v>2141</v>
          </cell>
          <cell r="B445" t="str">
            <v>90mm (3") Type 400 PVC pipes</v>
          </cell>
          <cell r="C445" t="str">
            <v>m</v>
          </cell>
          <cell r="D445">
            <v>597.5</v>
          </cell>
          <cell r="E445">
            <v>5.98</v>
          </cell>
          <cell r="F445">
            <v>603.5</v>
          </cell>
        </row>
        <row r="446">
          <cell r="A446">
            <v>2142</v>
          </cell>
          <cell r="B446" t="str">
            <v>110mm (4") Type 600 PVC pipes</v>
          </cell>
          <cell r="C446" t="str">
            <v>m</v>
          </cell>
          <cell r="D446">
            <v>1325</v>
          </cell>
          <cell r="E446">
            <v>13.25</v>
          </cell>
          <cell r="F446">
            <v>1338.5</v>
          </cell>
        </row>
        <row r="447">
          <cell r="A447">
            <v>2143</v>
          </cell>
          <cell r="B447" t="str">
            <v>110mm (4") Type 400 PVC pipes</v>
          </cell>
          <cell r="C447" t="str">
            <v>m</v>
          </cell>
          <cell r="D447">
            <v>629.16</v>
          </cell>
          <cell r="E447">
            <v>6.29</v>
          </cell>
          <cell r="F447">
            <v>635.5</v>
          </cell>
        </row>
        <row r="448">
          <cell r="A448">
            <v>2144</v>
          </cell>
          <cell r="B448" t="str">
            <v>12mm (1/2")  angle valve - Chromium Plated</v>
          </cell>
          <cell r="C448" t="str">
            <v>Nr</v>
          </cell>
          <cell r="D448">
            <v>950</v>
          </cell>
          <cell r="E448">
            <v>9.5</v>
          </cell>
          <cell r="F448">
            <v>959.5</v>
          </cell>
        </row>
        <row r="449">
          <cell r="A449">
            <v>2145</v>
          </cell>
          <cell r="B449" t="str">
            <v xml:space="preserve">12mm (1/2") flexible horse (450mm) </v>
          </cell>
          <cell r="C449" t="str">
            <v>Nr</v>
          </cell>
          <cell r="D449">
            <v>200</v>
          </cell>
          <cell r="E449">
            <v>2</v>
          </cell>
          <cell r="F449">
            <v>202</v>
          </cell>
        </row>
        <row r="450">
          <cell r="B450" t="str">
            <v>Sanitary Fittings</v>
          </cell>
        </row>
        <row r="451">
          <cell r="A451">
            <v>2201</v>
          </cell>
          <cell r="B451" t="str">
            <v>Kitchen sink with single bowl and single drain board</v>
          </cell>
          <cell r="C451" t="str">
            <v>Nr</v>
          </cell>
          <cell r="D451">
            <v>2750</v>
          </cell>
          <cell r="E451">
            <v>27.5</v>
          </cell>
          <cell r="F451">
            <v>2777.5</v>
          </cell>
        </row>
        <row r="452">
          <cell r="A452">
            <v>2202</v>
          </cell>
          <cell r="B452" t="str">
            <v>Kitchen sink with single bowl and double drain board</v>
          </cell>
          <cell r="C452" t="str">
            <v>Nr</v>
          </cell>
          <cell r="D452">
            <v>3150</v>
          </cell>
          <cell r="E452">
            <v>31.5</v>
          </cell>
          <cell r="F452">
            <v>3181.5</v>
          </cell>
        </row>
        <row r="453">
          <cell r="A453">
            <v>2203</v>
          </cell>
          <cell r="B453" t="str">
            <v>Kitchen sink with double bowl and double drain board</v>
          </cell>
          <cell r="C453" t="str">
            <v>Nr</v>
          </cell>
          <cell r="D453">
            <v>5500</v>
          </cell>
          <cell r="E453">
            <v>55</v>
          </cell>
          <cell r="F453">
            <v>5555</v>
          </cell>
        </row>
        <row r="454">
          <cell r="A454">
            <v>2204</v>
          </cell>
          <cell r="B454" t="str">
            <v>Heavy quality chromium plated swan tap</v>
          </cell>
          <cell r="C454" t="str">
            <v>Nr</v>
          </cell>
          <cell r="D454">
            <v>775</v>
          </cell>
          <cell r="E454">
            <v>7.75</v>
          </cell>
          <cell r="F454">
            <v>783</v>
          </cell>
        </row>
        <row r="455">
          <cell r="A455">
            <v>2205</v>
          </cell>
          <cell r="B455" t="str">
            <v>Tee Iron brackets</v>
          </cell>
          <cell r="C455" t="str">
            <v>Nr</v>
          </cell>
          <cell r="D455">
            <v>100</v>
          </cell>
          <cell r="E455">
            <v>1</v>
          </cell>
          <cell r="F455">
            <v>101</v>
          </cell>
        </row>
        <row r="456">
          <cell r="A456">
            <v>2206</v>
          </cell>
          <cell r="B456" t="str">
            <v>Ceramic wash basin (LCL)</v>
          </cell>
          <cell r="C456" t="str">
            <v>Nr</v>
          </cell>
          <cell r="D456">
            <v>2800</v>
          </cell>
          <cell r="E456">
            <v>28</v>
          </cell>
          <cell r="F456">
            <v>2828</v>
          </cell>
        </row>
        <row r="457">
          <cell r="A457">
            <v>2207</v>
          </cell>
          <cell r="B457" t="str">
            <v>Ceramic wash basin - Pedestal (LCL)</v>
          </cell>
          <cell r="C457" t="str">
            <v>Nr</v>
          </cell>
          <cell r="D457">
            <v>3900</v>
          </cell>
          <cell r="E457">
            <v>39</v>
          </cell>
          <cell r="F457">
            <v>3939</v>
          </cell>
        </row>
        <row r="458">
          <cell r="A458">
            <v>2208</v>
          </cell>
          <cell r="B458" t="str">
            <v>Ceramic wash basin - Pedestal (Ideal, American,British)</v>
          </cell>
          <cell r="C458" t="str">
            <v>Nr</v>
          </cell>
          <cell r="D458">
            <v>14000</v>
          </cell>
          <cell r="E458">
            <v>140</v>
          </cell>
          <cell r="F458">
            <v>14140</v>
          </cell>
        </row>
        <row r="459">
          <cell r="A459">
            <v>2209</v>
          </cell>
          <cell r="B459" t="str">
            <v>Heavy quality chromium plated pillar tap</v>
          </cell>
          <cell r="C459" t="str">
            <v>Nr</v>
          </cell>
          <cell r="D459">
            <v>1600</v>
          </cell>
          <cell r="E459">
            <v>16</v>
          </cell>
          <cell r="F459">
            <v>1616</v>
          </cell>
        </row>
        <row r="460">
          <cell r="A460">
            <v>2210</v>
          </cell>
          <cell r="B460" t="str">
            <v>Ceramic squatting pan with trap and ceramic foot rests</v>
          </cell>
          <cell r="C460" t="str">
            <v>Nr</v>
          </cell>
          <cell r="D460">
            <v>549</v>
          </cell>
          <cell r="E460">
            <v>5.49</v>
          </cell>
          <cell r="F460">
            <v>554.5</v>
          </cell>
        </row>
        <row r="461">
          <cell r="A461">
            <v>2211</v>
          </cell>
          <cell r="B461" t="str">
            <v>Square type ceramic squatting pan with foot rests and trap</v>
          </cell>
          <cell r="C461" t="str">
            <v>Nr</v>
          </cell>
          <cell r="D461">
            <v>925</v>
          </cell>
          <cell r="E461">
            <v>9.25</v>
          </cell>
          <cell r="F461">
            <v>934.5</v>
          </cell>
        </row>
        <row r="462">
          <cell r="A462">
            <v>2212</v>
          </cell>
          <cell r="B462" t="str">
            <v>9 liters capacity high level ceramic cistern</v>
          </cell>
          <cell r="C462" t="str">
            <v>Nr</v>
          </cell>
          <cell r="D462">
            <v>2500</v>
          </cell>
          <cell r="E462">
            <v>25</v>
          </cell>
          <cell r="F462">
            <v>2525</v>
          </cell>
        </row>
        <row r="463">
          <cell r="A463">
            <v>2213</v>
          </cell>
          <cell r="B463" t="str">
            <v>9 liters capacity high level PVC cistern</v>
          </cell>
          <cell r="C463" t="str">
            <v>Nr</v>
          </cell>
          <cell r="D463">
            <v>1900</v>
          </cell>
          <cell r="E463">
            <v>19</v>
          </cell>
          <cell r="F463">
            <v>1919</v>
          </cell>
        </row>
        <row r="464">
          <cell r="A464">
            <v>2214</v>
          </cell>
          <cell r="B464" t="str">
            <v>9 liters capacity low level ceramic cistern</v>
          </cell>
          <cell r="C464" t="str">
            <v>Nr</v>
          </cell>
          <cell r="D464">
            <v>2350</v>
          </cell>
          <cell r="E464">
            <v>23.5</v>
          </cell>
          <cell r="F464">
            <v>2373.5</v>
          </cell>
        </row>
        <row r="465">
          <cell r="A465">
            <v>2215</v>
          </cell>
          <cell r="B465" t="str">
            <v>9 liters capacity low level PVC cistern</v>
          </cell>
          <cell r="C465" t="str">
            <v>Nr</v>
          </cell>
          <cell r="D465">
            <v>1900</v>
          </cell>
          <cell r="E465">
            <v>19</v>
          </cell>
          <cell r="F465">
            <v>1919</v>
          </cell>
        </row>
        <row r="466">
          <cell r="A466">
            <v>2216</v>
          </cell>
          <cell r="B466" t="str">
            <v xml:space="preserve">Low level ceramic water closet (LCL) </v>
          </cell>
          <cell r="C466" t="str">
            <v>Nr</v>
          </cell>
          <cell r="D466">
            <v>4500</v>
          </cell>
          <cell r="E466">
            <v>45</v>
          </cell>
          <cell r="F466">
            <v>4545</v>
          </cell>
        </row>
        <row r="467">
          <cell r="A467">
            <v>2217</v>
          </cell>
          <cell r="B467" t="str">
            <v xml:space="preserve">Closed couple ceramic water closet (British) </v>
          </cell>
          <cell r="C467" t="str">
            <v>Nr</v>
          </cell>
          <cell r="D467">
            <v>17500</v>
          </cell>
          <cell r="E467">
            <v>175</v>
          </cell>
          <cell r="F467">
            <v>17675</v>
          </cell>
        </row>
        <row r="468">
          <cell r="A468">
            <v>2218</v>
          </cell>
          <cell r="B468" t="str">
            <v>Bowl type urinal</v>
          </cell>
          <cell r="C468" t="str">
            <v>Nr</v>
          </cell>
          <cell r="D468">
            <v>1380</v>
          </cell>
          <cell r="E468">
            <v>13.8</v>
          </cell>
          <cell r="F468">
            <v>1394</v>
          </cell>
        </row>
        <row r="469">
          <cell r="A469">
            <v>2219</v>
          </cell>
          <cell r="B469" t="str">
            <v>40mm Bottle Trap</v>
          </cell>
          <cell r="C469" t="str">
            <v>Nr</v>
          </cell>
          <cell r="D469">
            <v>213</v>
          </cell>
          <cell r="E469">
            <v>2.13</v>
          </cell>
          <cell r="F469">
            <v>215.13</v>
          </cell>
        </row>
        <row r="470">
          <cell r="A470">
            <v>2220</v>
          </cell>
          <cell r="B470" t="str">
            <v>Bidet shower</v>
          </cell>
          <cell r="C470" t="str">
            <v>Nr</v>
          </cell>
          <cell r="D470">
            <v>1450</v>
          </cell>
          <cell r="E470">
            <v>14.5</v>
          </cell>
          <cell r="F470">
            <v>1464.5</v>
          </cell>
        </row>
        <row r="471">
          <cell r="A471">
            <v>2221</v>
          </cell>
          <cell r="B471" t="str">
            <v>PVC seat cover</v>
          </cell>
          <cell r="C471" t="str">
            <v>Nr</v>
          </cell>
          <cell r="D471">
            <v>500</v>
          </cell>
          <cell r="E471">
            <v>5</v>
          </cell>
          <cell r="F471">
            <v>505</v>
          </cell>
        </row>
        <row r="472">
          <cell r="A472">
            <v>2222</v>
          </cell>
          <cell r="B472" t="str">
            <v>Bathroom mirror</v>
          </cell>
          <cell r="C472" t="str">
            <v>Nr</v>
          </cell>
          <cell r="D472">
            <v>750</v>
          </cell>
          <cell r="E472">
            <v>7.5</v>
          </cell>
          <cell r="F472">
            <v>757.5</v>
          </cell>
        </row>
        <row r="473">
          <cell r="A473">
            <v>2223</v>
          </cell>
          <cell r="B473" t="str">
            <v>Chromium Plated Soap Tray</v>
          </cell>
          <cell r="C473" t="str">
            <v>Nr</v>
          </cell>
          <cell r="D473">
            <v>250</v>
          </cell>
          <cell r="E473">
            <v>2.5</v>
          </cell>
          <cell r="F473">
            <v>252.5</v>
          </cell>
        </row>
        <row r="474">
          <cell r="A474">
            <v>2224</v>
          </cell>
          <cell r="B474" t="str">
            <v>Ceramic Soap Tray</v>
          </cell>
          <cell r="C474" t="str">
            <v>Nr</v>
          </cell>
          <cell r="D474">
            <v>300</v>
          </cell>
          <cell r="E474">
            <v>3</v>
          </cell>
          <cell r="F474">
            <v>303</v>
          </cell>
        </row>
        <row r="475">
          <cell r="A475">
            <v>2225</v>
          </cell>
          <cell r="B475" t="str">
            <v>Chromium Plated Tooth brush holder</v>
          </cell>
          <cell r="C475" t="str">
            <v>Nr</v>
          </cell>
          <cell r="D475">
            <v>350</v>
          </cell>
          <cell r="E475">
            <v>3.5</v>
          </cell>
          <cell r="F475">
            <v>353.5</v>
          </cell>
        </row>
        <row r="476">
          <cell r="A476">
            <v>2226</v>
          </cell>
          <cell r="B476" t="str">
            <v>Ceramic Tooth brush holder</v>
          </cell>
          <cell r="C476" t="str">
            <v>Nr</v>
          </cell>
          <cell r="D476">
            <v>400</v>
          </cell>
          <cell r="E476">
            <v>4</v>
          </cell>
          <cell r="F476">
            <v>404</v>
          </cell>
        </row>
        <row r="477">
          <cell r="A477">
            <v>2227</v>
          </cell>
          <cell r="B477" t="str">
            <v>Chromium Plated 150mm dia. Shower Rose</v>
          </cell>
          <cell r="C477" t="str">
            <v>Nr</v>
          </cell>
          <cell r="D477">
            <v>1095</v>
          </cell>
          <cell r="E477">
            <v>10.95</v>
          </cell>
          <cell r="F477">
            <v>1105.95</v>
          </cell>
        </row>
        <row r="478">
          <cell r="A478">
            <v>2228</v>
          </cell>
          <cell r="B478" t="str">
            <v>PVC 150mm dia. Shower Rose</v>
          </cell>
          <cell r="C478" t="str">
            <v>Nr</v>
          </cell>
          <cell r="D478">
            <v>140</v>
          </cell>
          <cell r="E478">
            <v>1.4</v>
          </cell>
          <cell r="F478">
            <v>141.4</v>
          </cell>
        </row>
        <row r="479">
          <cell r="A479">
            <v>2229</v>
          </cell>
          <cell r="B479" t="str">
            <v>Chromium Plated toilet paper holder</v>
          </cell>
          <cell r="C479" t="str">
            <v>Nr</v>
          </cell>
          <cell r="D479">
            <v>475</v>
          </cell>
          <cell r="E479">
            <v>4.75</v>
          </cell>
          <cell r="F479">
            <v>479.75</v>
          </cell>
        </row>
        <row r="480">
          <cell r="A480">
            <v>2230</v>
          </cell>
          <cell r="B480" t="str">
            <v>Ceremic toilet paper holder</v>
          </cell>
          <cell r="C480" t="str">
            <v>Nr</v>
          </cell>
          <cell r="D480">
            <v>400</v>
          </cell>
          <cell r="E480">
            <v>4</v>
          </cell>
          <cell r="F480">
            <v>404</v>
          </cell>
        </row>
        <row r="481">
          <cell r="A481">
            <v>2231</v>
          </cell>
          <cell r="B481" t="str">
            <v>Chromium Plated towel rail</v>
          </cell>
          <cell r="C481" t="str">
            <v>Nr</v>
          </cell>
          <cell r="D481">
            <v>450</v>
          </cell>
          <cell r="E481">
            <v>4.5</v>
          </cell>
          <cell r="F481">
            <v>454.5</v>
          </cell>
        </row>
        <row r="482">
          <cell r="A482">
            <v>2232</v>
          </cell>
          <cell r="B482" t="str">
            <v>Ceremic towel rail</v>
          </cell>
          <cell r="C482" t="str">
            <v>Nr</v>
          </cell>
          <cell r="D482">
            <v>600</v>
          </cell>
          <cell r="E482">
            <v>6</v>
          </cell>
          <cell r="F482">
            <v>606</v>
          </cell>
        </row>
        <row r="483">
          <cell r="A483">
            <v>2233</v>
          </cell>
          <cell r="B483" t="str">
            <v>Chromium Plated conceal valve for shower</v>
          </cell>
          <cell r="C483" t="str">
            <v>Nr</v>
          </cell>
          <cell r="D483">
            <v>1300</v>
          </cell>
          <cell r="E483">
            <v>13</v>
          </cell>
          <cell r="F483">
            <v>1313</v>
          </cell>
        </row>
        <row r="484">
          <cell r="B484" t="str">
            <v>Roof Plumber</v>
          </cell>
          <cell r="F484">
            <v>0</v>
          </cell>
        </row>
        <row r="485">
          <cell r="A485">
            <v>2301</v>
          </cell>
          <cell r="B485" t="str">
            <v>PVC eave gutters</v>
          </cell>
          <cell r="C485" t="str">
            <v>m</v>
          </cell>
          <cell r="D485">
            <v>137.5</v>
          </cell>
          <cell r="E485">
            <v>1.38</v>
          </cell>
          <cell r="F485">
            <v>139</v>
          </cell>
        </row>
        <row r="486">
          <cell r="A486">
            <v>2302</v>
          </cell>
          <cell r="B486" t="str">
            <v>End cap</v>
          </cell>
          <cell r="C486" t="str">
            <v>Nr</v>
          </cell>
          <cell r="D486">
            <v>72</v>
          </cell>
          <cell r="E486">
            <v>0.72</v>
          </cell>
          <cell r="F486">
            <v>72.5</v>
          </cell>
        </row>
        <row r="487">
          <cell r="A487">
            <v>2303</v>
          </cell>
          <cell r="B487" t="str">
            <v>Joint</v>
          </cell>
          <cell r="C487" t="str">
            <v>m</v>
          </cell>
          <cell r="D487">
            <v>85</v>
          </cell>
          <cell r="E487">
            <v>0.85</v>
          </cell>
          <cell r="F487">
            <v>86</v>
          </cell>
        </row>
        <row r="488">
          <cell r="A488">
            <v>2304</v>
          </cell>
          <cell r="B488" t="str">
            <v>Gutter joiner</v>
          </cell>
          <cell r="C488" t="str">
            <v>Nr</v>
          </cell>
          <cell r="D488">
            <v>95</v>
          </cell>
          <cell r="E488">
            <v>0.95</v>
          </cell>
          <cell r="F488">
            <v>96</v>
          </cell>
        </row>
        <row r="489">
          <cell r="A489">
            <v>2305</v>
          </cell>
          <cell r="B489" t="str">
            <v>Gutter brackets</v>
          </cell>
          <cell r="C489" t="str">
            <v>Nr</v>
          </cell>
          <cell r="D489">
            <v>36</v>
          </cell>
          <cell r="E489">
            <v>0.36</v>
          </cell>
          <cell r="F489">
            <v>36.5</v>
          </cell>
        </row>
        <row r="490">
          <cell r="A490">
            <v>2306</v>
          </cell>
          <cell r="B490" t="str">
            <v>Running head</v>
          </cell>
          <cell r="C490" t="str">
            <v>Nr</v>
          </cell>
          <cell r="D490">
            <v>200</v>
          </cell>
          <cell r="E490">
            <v>2</v>
          </cell>
          <cell r="F490">
            <v>202</v>
          </cell>
        </row>
        <row r="491">
          <cell r="A491">
            <v>2307</v>
          </cell>
          <cell r="B491" t="str">
            <v>87.5 mm dia. PVC down pipes</v>
          </cell>
          <cell r="C491" t="str">
            <v>m</v>
          </cell>
          <cell r="D491">
            <v>137</v>
          </cell>
          <cell r="E491">
            <v>1.37</v>
          </cell>
          <cell r="F491">
            <v>138.5</v>
          </cell>
        </row>
        <row r="492">
          <cell r="A492">
            <v>2308</v>
          </cell>
          <cell r="B492" t="str">
            <v>87.5 mm dia. PVC socket</v>
          </cell>
          <cell r="C492" t="str">
            <v>Nr</v>
          </cell>
          <cell r="D492">
            <v>62</v>
          </cell>
          <cell r="E492">
            <v>0.62</v>
          </cell>
          <cell r="F492">
            <v>62.5</v>
          </cell>
        </row>
        <row r="493">
          <cell r="A493">
            <v>2309</v>
          </cell>
          <cell r="B493" t="str">
            <v>87.5 mm dia. PVC elbows</v>
          </cell>
          <cell r="C493" t="str">
            <v>Nr</v>
          </cell>
          <cell r="D493">
            <v>90</v>
          </cell>
          <cell r="E493">
            <v>0.9</v>
          </cell>
          <cell r="F493">
            <v>91</v>
          </cell>
        </row>
        <row r="494">
          <cell r="A494">
            <v>2310</v>
          </cell>
          <cell r="B494" t="str">
            <v>Clips</v>
          </cell>
          <cell r="C494" t="str">
            <v>Nr</v>
          </cell>
          <cell r="D494">
            <v>18</v>
          </cell>
          <cell r="E494">
            <v>0.18</v>
          </cell>
          <cell r="F494">
            <v>18</v>
          </cell>
        </row>
        <row r="495">
          <cell r="A495">
            <v>2311</v>
          </cell>
          <cell r="B495" t="str">
            <v>200mmx200x87.5mm PVC gutter box</v>
          </cell>
          <cell r="C495" t="str">
            <v>Nr</v>
          </cell>
          <cell r="D495">
            <v>250</v>
          </cell>
          <cell r="E495">
            <v>2.5</v>
          </cell>
          <cell r="F495">
            <v>252.5</v>
          </cell>
        </row>
        <row r="496">
          <cell r="A496">
            <v>2312</v>
          </cell>
          <cell r="B496" t="str">
            <v>Zink Aluminium rainwater eave gutters</v>
          </cell>
          <cell r="C496" t="str">
            <v>m</v>
          </cell>
          <cell r="D496">
            <v>525</v>
          </cell>
          <cell r="E496">
            <v>5.25</v>
          </cell>
          <cell r="F496">
            <v>530.5</v>
          </cell>
        </row>
        <row r="497">
          <cell r="A497">
            <v>2313</v>
          </cell>
          <cell r="B497" t="str">
            <v>Stop end and plate</v>
          </cell>
          <cell r="C497" t="str">
            <v>Nr</v>
          </cell>
          <cell r="D497">
            <v>140</v>
          </cell>
          <cell r="E497">
            <v>1.4</v>
          </cell>
          <cell r="F497">
            <v>141.5</v>
          </cell>
        </row>
        <row r="498">
          <cell r="A498">
            <v>2314</v>
          </cell>
          <cell r="B498" t="str">
            <v>Steel brackets</v>
          </cell>
          <cell r="C498" t="str">
            <v>Nr</v>
          </cell>
          <cell r="D498">
            <v>50</v>
          </cell>
          <cell r="E498">
            <v>0.5</v>
          </cell>
          <cell r="F498">
            <v>50.5</v>
          </cell>
        </row>
        <row r="499">
          <cell r="A499">
            <v>2315</v>
          </cell>
          <cell r="B499" t="str">
            <v>100x100mm Zn-alum down pipes</v>
          </cell>
          <cell r="C499" t="str">
            <v>m</v>
          </cell>
          <cell r="D499">
            <v>524</v>
          </cell>
          <cell r="E499">
            <v>5.24</v>
          </cell>
          <cell r="F499">
            <v>529</v>
          </cell>
        </row>
        <row r="500">
          <cell r="A500">
            <v>2316</v>
          </cell>
          <cell r="B500" t="str">
            <v>150x150mm Zn-alum down pipes</v>
          </cell>
          <cell r="C500" t="str">
            <v>m</v>
          </cell>
          <cell r="D500">
            <v>838</v>
          </cell>
          <cell r="E500">
            <v>8.3800000000000008</v>
          </cell>
          <cell r="F500">
            <v>846.5</v>
          </cell>
        </row>
        <row r="501">
          <cell r="A501">
            <v>2317</v>
          </cell>
          <cell r="B501" t="str">
            <v>Nozzles</v>
          </cell>
          <cell r="C501" t="str">
            <v>Nr</v>
          </cell>
          <cell r="D501">
            <v>754</v>
          </cell>
          <cell r="E501">
            <v>7.54</v>
          </cell>
          <cell r="F501">
            <v>761.5</v>
          </cell>
        </row>
        <row r="502">
          <cell r="A502">
            <v>2318</v>
          </cell>
          <cell r="B502" t="str">
            <v>Offsets</v>
          </cell>
          <cell r="C502" t="str">
            <v>Nr</v>
          </cell>
          <cell r="D502">
            <v>1635</v>
          </cell>
          <cell r="E502">
            <v>16.350000000000001</v>
          </cell>
          <cell r="F502">
            <v>1651.5</v>
          </cell>
        </row>
        <row r="503">
          <cell r="A503">
            <v>2319</v>
          </cell>
          <cell r="B503" t="str">
            <v>Shoes</v>
          </cell>
          <cell r="C503" t="str">
            <v>Nr</v>
          </cell>
          <cell r="D503">
            <v>624</v>
          </cell>
          <cell r="E503">
            <v>6.24</v>
          </cell>
          <cell r="F503">
            <v>630</v>
          </cell>
        </row>
        <row r="504">
          <cell r="A504">
            <v>2320</v>
          </cell>
          <cell r="B504" t="str">
            <v>Clips</v>
          </cell>
          <cell r="C504" t="str">
            <v>Nr</v>
          </cell>
          <cell r="D504">
            <v>9</v>
          </cell>
          <cell r="E504">
            <v>0.09</v>
          </cell>
          <cell r="F504">
            <v>9</v>
          </cell>
        </row>
        <row r="505">
          <cell r="A505">
            <v>2321</v>
          </cell>
          <cell r="B505" t="str">
            <v>300x300mm gutter boxes in Zink Alum color coated metal sheets</v>
          </cell>
          <cell r="C505" t="str">
            <v>Nr</v>
          </cell>
          <cell r="D505">
            <v>1142</v>
          </cell>
          <cell r="E505">
            <v>11.42</v>
          </cell>
          <cell r="F505">
            <v>1153.5</v>
          </cell>
        </row>
        <row r="506">
          <cell r="A506">
            <v>2322</v>
          </cell>
          <cell r="B506" t="str">
            <v>25x25mm N/A Alluminium</v>
          </cell>
          <cell r="C506" t="str">
            <v>m</v>
          </cell>
          <cell r="E506">
            <v>0</v>
          </cell>
        </row>
        <row r="507">
          <cell r="B507" t="str">
            <v>Tinker</v>
          </cell>
        </row>
        <row r="508">
          <cell r="A508">
            <v>2401</v>
          </cell>
          <cell r="B508" t="str">
            <v>18 B.W.G. sheets</v>
          </cell>
          <cell r="C508" t="str">
            <v>m2</v>
          </cell>
          <cell r="D508">
            <v>1177</v>
          </cell>
          <cell r="E508">
            <v>11.77</v>
          </cell>
          <cell r="F508">
            <v>1189</v>
          </cell>
        </row>
        <row r="509">
          <cell r="B509" t="str">
            <v>Drain Layer</v>
          </cell>
        </row>
        <row r="510">
          <cell r="A510">
            <v>2501</v>
          </cell>
          <cell r="B510" t="str">
            <v>Copper wire dome</v>
          </cell>
          <cell r="C510" t="str">
            <v>Nr</v>
          </cell>
          <cell r="D510">
            <v>250</v>
          </cell>
          <cell r="E510">
            <v>2.5</v>
          </cell>
          <cell r="F510">
            <v>252.5</v>
          </cell>
        </row>
        <row r="511">
          <cell r="A511">
            <v>2502</v>
          </cell>
          <cell r="B511" t="str">
            <v>Drainage gully and grate  PVC</v>
          </cell>
          <cell r="C511" t="str">
            <v>Nr</v>
          </cell>
          <cell r="D511">
            <v>130</v>
          </cell>
          <cell r="E511">
            <v>1.3</v>
          </cell>
          <cell r="F511">
            <v>131.5</v>
          </cell>
        </row>
        <row r="512">
          <cell r="A512">
            <v>2503</v>
          </cell>
          <cell r="B512" t="str">
            <v>40mm 4-way PVC floor trap</v>
          </cell>
          <cell r="C512" t="str">
            <v>Nr</v>
          </cell>
          <cell r="D512">
            <v>300</v>
          </cell>
          <cell r="E512">
            <v>3</v>
          </cell>
          <cell r="F512">
            <v>303</v>
          </cell>
        </row>
        <row r="513">
          <cell r="B513" t="str">
            <v>Painter</v>
          </cell>
        </row>
        <row r="514">
          <cell r="A514">
            <v>2601</v>
          </cell>
          <cell r="B514" t="str">
            <v>Lime</v>
          </cell>
          <cell r="C514" t="str">
            <v>kg</v>
          </cell>
          <cell r="D514">
            <v>20</v>
          </cell>
          <cell r="E514">
            <v>0.2</v>
          </cell>
          <cell r="F514">
            <v>20.5</v>
          </cell>
        </row>
        <row r="515">
          <cell r="A515">
            <v>2602</v>
          </cell>
          <cell r="B515" t="str">
            <v>Glue</v>
          </cell>
          <cell r="C515" t="str">
            <v>kg</v>
          </cell>
          <cell r="D515">
            <v>80</v>
          </cell>
          <cell r="E515">
            <v>0.8</v>
          </cell>
          <cell r="F515">
            <v>81</v>
          </cell>
        </row>
        <row r="516">
          <cell r="A516">
            <v>2603</v>
          </cell>
          <cell r="B516" t="str">
            <v>Yellow ochre</v>
          </cell>
          <cell r="C516" t="str">
            <v>kg</v>
          </cell>
          <cell r="D516">
            <v>60</v>
          </cell>
          <cell r="E516">
            <v>0.6</v>
          </cell>
          <cell r="F516">
            <v>60.5</v>
          </cell>
        </row>
        <row r="517">
          <cell r="A517">
            <v>2604</v>
          </cell>
          <cell r="B517" t="str">
            <v>Snowcem</v>
          </cell>
          <cell r="C517" t="str">
            <v>kg</v>
          </cell>
          <cell r="D517">
            <v>80</v>
          </cell>
          <cell r="E517">
            <v>0.8</v>
          </cell>
          <cell r="F517">
            <v>81</v>
          </cell>
        </row>
        <row r="518">
          <cell r="A518">
            <v>2605</v>
          </cell>
          <cell r="B518" t="str">
            <v>Wall primer</v>
          </cell>
          <cell r="C518" t="str">
            <v>l</v>
          </cell>
          <cell r="D518">
            <v>320</v>
          </cell>
          <cell r="E518">
            <v>3.2</v>
          </cell>
          <cell r="F518">
            <v>323</v>
          </cell>
        </row>
        <row r="519">
          <cell r="A519">
            <v>2606</v>
          </cell>
          <cell r="B519" t="str">
            <v>Emulsion paint</v>
          </cell>
          <cell r="C519" t="str">
            <v>l</v>
          </cell>
          <cell r="D519">
            <v>645</v>
          </cell>
          <cell r="E519">
            <v>6.45</v>
          </cell>
          <cell r="F519">
            <v>651.5</v>
          </cell>
        </row>
        <row r="520">
          <cell r="A520">
            <v>2607</v>
          </cell>
          <cell r="B520" t="str">
            <v>Weather shield paint</v>
          </cell>
          <cell r="C520" t="str">
            <v>l</v>
          </cell>
          <cell r="D520">
            <v>838</v>
          </cell>
          <cell r="E520">
            <v>8.3800000000000008</v>
          </cell>
          <cell r="F520">
            <v>846.5</v>
          </cell>
        </row>
        <row r="521">
          <cell r="A521">
            <v>2608</v>
          </cell>
          <cell r="B521" t="str">
            <v>Enamel paint</v>
          </cell>
          <cell r="C521" t="str">
            <v>l</v>
          </cell>
          <cell r="D521">
            <v>740</v>
          </cell>
          <cell r="E521">
            <v>7.4</v>
          </cell>
          <cell r="F521">
            <v>747.5</v>
          </cell>
        </row>
        <row r="522">
          <cell r="A522">
            <v>2609</v>
          </cell>
          <cell r="B522" t="str">
            <v>Anticorrosive paint</v>
          </cell>
          <cell r="C522" t="str">
            <v>l</v>
          </cell>
          <cell r="D522">
            <v>510</v>
          </cell>
          <cell r="E522">
            <v>5.0999999999999996</v>
          </cell>
          <cell r="F522">
            <v>515</v>
          </cell>
        </row>
        <row r="523">
          <cell r="A523">
            <v>2610</v>
          </cell>
          <cell r="B523" t="str">
            <v>Floor paint</v>
          </cell>
          <cell r="C523" t="str">
            <v>l</v>
          </cell>
          <cell r="D523">
            <v>780</v>
          </cell>
          <cell r="E523">
            <v>7.8</v>
          </cell>
          <cell r="F523">
            <v>788</v>
          </cell>
        </row>
        <row r="524">
          <cell r="A524">
            <v>2611</v>
          </cell>
          <cell r="B524" t="str">
            <v>Floor polish</v>
          </cell>
          <cell r="C524" t="str">
            <v>kg</v>
          </cell>
          <cell r="D524">
            <v>650</v>
          </cell>
          <cell r="E524">
            <v>6.5</v>
          </cell>
          <cell r="F524">
            <v>656.5</v>
          </cell>
        </row>
        <row r="525">
          <cell r="A525">
            <v>2612</v>
          </cell>
          <cell r="B525" t="str">
            <v>Wood primer</v>
          </cell>
          <cell r="C525" t="str">
            <v>l</v>
          </cell>
          <cell r="D525">
            <v>720</v>
          </cell>
          <cell r="E525">
            <v>7.2</v>
          </cell>
          <cell r="F525">
            <v>727</v>
          </cell>
        </row>
        <row r="526">
          <cell r="A526">
            <v>2613</v>
          </cell>
          <cell r="B526" t="str">
            <v>Polyurethane varnish</v>
          </cell>
          <cell r="C526" t="str">
            <v>l</v>
          </cell>
          <cell r="D526">
            <v>750</v>
          </cell>
          <cell r="E526">
            <v>7.5</v>
          </cell>
          <cell r="F526">
            <v>757.5</v>
          </cell>
        </row>
        <row r="527">
          <cell r="B527" t="str">
            <v>Electrical Installation</v>
          </cell>
        </row>
        <row r="528">
          <cell r="A528">
            <v>2701</v>
          </cell>
          <cell r="B528" t="str">
            <v>1/1.13 mm Cu\PVC\PVC ( 1 sq.mm)</v>
          </cell>
          <cell r="C528" t="str">
            <v>m</v>
          </cell>
          <cell r="D528">
            <v>18.5</v>
          </cell>
          <cell r="E528">
            <v>0.19</v>
          </cell>
          <cell r="F528">
            <v>18.5</v>
          </cell>
        </row>
        <row r="529">
          <cell r="A529">
            <v>2702</v>
          </cell>
          <cell r="B529" t="str">
            <v>7/0.67 mm Cu\PVC ( 2.5 sq.mm)</v>
          </cell>
          <cell r="C529" t="str">
            <v>m</v>
          </cell>
          <cell r="D529">
            <v>61.5</v>
          </cell>
          <cell r="E529">
            <v>0.62</v>
          </cell>
          <cell r="F529">
            <v>62</v>
          </cell>
        </row>
        <row r="530">
          <cell r="A530">
            <v>2703</v>
          </cell>
          <cell r="B530" t="str">
            <v>7/0.53mm Cu\PVC\PVC(T)-1.5sq.mm</v>
          </cell>
          <cell r="C530" t="str">
            <v>m</v>
          </cell>
          <cell r="D530">
            <v>79.2</v>
          </cell>
          <cell r="E530">
            <v>0.79</v>
          </cell>
          <cell r="F530">
            <v>80</v>
          </cell>
        </row>
        <row r="531">
          <cell r="A531">
            <v>2704</v>
          </cell>
          <cell r="B531" t="str">
            <v>7/0.67mm Cu\PVC\PVC(T)-2.5sq.mm</v>
          </cell>
          <cell r="C531" t="str">
            <v>m</v>
          </cell>
          <cell r="D531">
            <v>115.4</v>
          </cell>
          <cell r="E531">
            <v>1.1499999999999999</v>
          </cell>
          <cell r="F531">
            <v>116.5</v>
          </cell>
        </row>
        <row r="532">
          <cell r="A532">
            <v>2705</v>
          </cell>
          <cell r="B532" t="str">
            <v>7/1.04mm Cu\PVC\PVC(T)-6sq.mm</v>
          </cell>
          <cell r="C532" t="str">
            <v>m</v>
          </cell>
          <cell r="D532">
            <v>249.3</v>
          </cell>
          <cell r="E532">
            <v>2.4900000000000002</v>
          </cell>
          <cell r="F532">
            <v>252</v>
          </cell>
        </row>
        <row r="533">
          <cell r="A533">
            <v>2706</v>
          </cell>
          <cell r="B533" t="str">
            <v>Holder</v>
          </cell>
          <cell r="C533" t="str">
            <v>Nr</v>
          </cell>
          <cell r="D533">
            <v>55</v>
          </cell>
          <cell r="E533">
            <v>0.55000000000000004</v>
          </cell>
          <cell r="F533">
            <v>55.5</v>
          </cell>
        </row>
        <row r="534">
          <cell r="A534">
            <v>2707</v>
          </cell>
          <cell r="B534" t="str">
            <v>Sun box</v>
          </cell>
          <cell r="C534" t="str">
            <v>Nr</v>
          </cell>
          <cell r="D534">
            <v>35</v>
          </cell>
          <cell r="E534">
            <v>0.35</v>
          </cell>
          <cell r="F534">
            <v>35.5</v>
          </cell>
        </row>
        <row r="535">
          <cell r="A535">
            <v>2708</v>
          </cell>
          <cell r="B535" t="str">
            <v>Switch</v>
          </cell>
          <cell r="C535" t="str">
            <v>Nr</v>
          </cell>
          <cell r="D535">
            <v>35</v>
          </cell>
          <cell r="E535">
            <v>0.35</v>
          </cell>
          <cell r="F535">
            <v>35.5</v>
          </cell>
        </row>
        <row r="536">
          <cell r="A536">
            <v>2709</v>
          </cell>
          <cell r="B536" t="str">
            <v>PVC conduit 1"</v>
          </cell>
          <cell r="C536" t="str">
            <v>m</v>
          </cell>
          <cell r="D536">
            <v>33.5</v>
          </cell>
          <cell r="E536">
            <v>0.34</v>
          </cell>
          <cell r="F536">
            <v>34</v>
          </cell>
        </row>
        <row r="537">
          <cell r="A537">
            <v>2710</v>
          </cell>
          <cell r="B537" t="str">
            <v>5A socket outlet</v>
          </cell>
          <cell r="C537" t="str">
            <v>Nr</v>
          </cell>
          <cell r="D537">
            <v>312</v>
          </cell>
          <cell r="E537">
            <v>3.12</v>
          </cell>
          <cell r="F537">
            <v>315</v>
          </cell>
        </row>
        <row r="538">
          <cell r="A538">
            <v>2711</v>
          </cell>
          <cell r="B538" t="str">
            <v>13A socket outlet</v>
          </cell>
          <cell r="C538" t="str">
            <v>Nr</v>
          </cell>
          <cell r="D538">
            <v>330</v>
          </cell>
          <cell r="E538">
            <v>3.3</v>
          </cell>
          <cell r="F538">
            <v>333.5</v>
          </cell>
        </row>
        <row r="539">
          <cell r="A539">
            <v>2712</v>
          </cell>
          <cell r="B539" t="str">
            <v>15A socket outlet</v>
          </cell>
          <cell r="C539" t="str">
            <v>Nr</v>
          </cell>
          <cell r="D539">
            <v>383</v>
          </cell>
          <cell r="E539">
            <v>3.83</v>
          </cell>
          <cell r="F539">
            <v>387</v>
          </cell>
        </row>
        <row r="540">
          <cell r="A540">
            <v>2713</v>
          </cell>
          <cell r="B540" t="str">
            <v>Ceiling rose</v>
          </cell>
          <cell r="C540" t="str">
            <v>Nr</v>
          </cell>
          <cell r="D540">
            <v>85</v>
          </cell>
          <cell r="E540">
            <v>0.85</v>
          </cell>
          <cell r="F540">
            <v>86</v>
          </cell>
        </row>
        <row r="541">
          <cell r="A541">
            <v>2714</v>
          </cell>
          <cell r="B541" t="str">
            <v>Round block</v>
          </cell>
          <cell r="C541" t="str">
            <v>Nr</v>
          </cell>
          <cell r="D541">
            <v>15</v>
          </cell>
          <cell r="E541">
            <v>0.15</v>
          </cell>
          <cell r="F541">
            <v>15</v>
          </cell>
        </row>
        <row r="542">
          <cell r="A542">
            <v>2715</v>
          </cell>
          <cell r="B542" t="str">
            <v>Fan hook</v>
          </cell>
          <cell r="C542" t="str">
            <v>Nr</v>
          </cell>
          <cell r="D542">
            <v>175</v>
          </cell>
          <cell r="E542">
            <v>1.75</v>
          </cell>
          <cell r="F542">
            <v>177</v>
          </cell>
        </row>
        <row r="543">
          <cell r="A543">
            <v>2716</v>
          </cell>
          <cell r="B543" t="str">
            <v>Pendent lamp</v>
          </cell>
          <cell r="C543" t="str">
            <v>Nr</v>
          </cell>
          <cell r="D543">
            <v>60</v>
          </cell>
          <cell r="E543">
            <v>0.6</v>
          </cell>
          <cell r="F543">
            <v>60.5</v>
          </cell>
        </row>
        <row r="544">
          <cell r="A544">
            <v>2717</v>
          </cell>
          <cell r="B544" t="str">
            <v>Weather proofed angle batten lamp</v>
          </cell>
          <cell r="C544" t="str">
            <v>Nr</v>
          </cell>
          <cell r="D544">
            <v>1350</v>
          </cell>
          <cell r="E544">
            <v>13.5</v>
          </cell>
          <cell r="F544">
            <v>1363.5</v>
          </cell>
        </row>
        <row r="545">
          <cell r="A545">
            <v>2718</v>
          </cell>
          <cell r="B545" t="str">
            <v>Wall bracket lamp</v>
          </cell>
          <cell r="C545" t="str">
            <v>Nr</v>
          </cell>
          <cell r="D545">
            <v>850</v>
          </cell>
          <cell r="E545">
            <v>8.5</v>
          </cell>
          <cell r="F545">
            <v>858.5</v>
          </cell>
        </row>
        <row r="546">
          <cell r="A546">
            <v>2719</v>
          </cell>
          <cell r="B546" t="str">
            <v>1200 mm, 40W single fluorescent lamp</v>
          </cell>
          <cell r="C546" t="str">
            <v>Nr</v>
          </cell>
          <cell r="D546">
            <v>975</v>
          </cell>
          <cell r="E546">
            <v>9.75</v>
          </cell>
          <cell r="F546">
            <v>985</v>
          </cell>
        </row>
        <row r="547">
          <cell r="A547">
            <v>2720</v>
          </cell>
          <cell r="B547" t="str">
            <v>1200 mm, 40W double fluorescent lamp</v>
          </cell>
          <cell r="C547" t="str">
            <v>Nr</v>
          </cell>
          <cell r="D547">
            <v>1900</v>
          </cell>
          <cell r="E547">
            <v>19</v>
          </cell>
          <cell r="F547">
            <v>1919</v>
          </cell>
        </row>
        <row r="548">
          <cell r="A548">
            <v>2721</v>
          </cell>
          <cell r="B548" t="str">
            <v>600x300 mm fully parabolic reflective type fluorescent lamp (2 tube)</v>
          </cell>
          <cell r="C548" t="str">
            <v>Nr</v>
          </cell>
          <cell r="D548">
            <v>3450</v>
          </cell>
          <cell r="E548">
            <v>34.5</v>
          </cell>
          <cell r="F548">
            <v>3484.5</v>
          </cell>
        </row>
        <row r="549">
          <cell r="A549">
            <v>2722</v>
          </cell>
          <cell r="B549" t="str">
            <v>1200x300 mm fully parabolic reflective type fluorescent lamp (2 tube)</v>
          </cell>
          <cell r="C549" t="str">
            <v>Nr</v>
          </cell>
          <cell r="D549">
            <v>3850</v>
          </cell>
          <cell r="E549">
            <v>38.5</v>
          </cell>
          <cell r="F549">
            <v>3888.5</v>
          </cell>
        </row>
        <row r="550">
          <cell r="A550">
            <v>2723</v>
          </cell>
          <cell r="B550" t="str">
            <v>600x600 mm fully parabolic reflective type fluorescent lamp (3 tube)</v>
          </cell>
          <cell r="C550" t="str">
            <v>Nr</v>
          </cell>
          <cell r="D550">
            <v>3950</v>
          </cell>
          <cell r="E550">
            <v>39.5</v>
          </cell>
          <cell r="F550">
            <v>3989.5</v>
          </cell>
        </row>
        <row r="551">
          <cell r="A551">
            <v>2724</v>
          </cell>
          <cell r="B551" t="str">
            <v>1200x600 mm fully parabolic reflective type fluorescent lamp (3 tube)</v>
          </cell>
          <cell r="C551" t="str">
            <v>Nr</v>
          </cell>
          <cell r="D551">
            <v>4750</v>
          </cell>
          <cell r="E551">
            <v>47.5</v>
          </cell>
          <cell r="F551">
            <v>4797.5</v>
          </cell>
        </row>
        <row r="552">
          <cell r="A552">
            <v>2725</v>
          </cell>
          <cell r="B552" t="str">
            <v>1200mm sweep ceiling fan</v>
          </cell>
          <cell r="C552" t="str">
            <v>Nr</v>
          </cell>
          <cell r="D552">
            <v>5950</v>
          </cell>
          <cell r="E552">
            <v>59.5</v>
          </cell>
          <cell r="F552">
            <v>6009.5</v>
          </cell>
        </row>
        <row r="553">
          <cell r="A553">
            <v>2726</v>
          </cell>
          <cell r="B553" t="str">
            <v>300x300mm exhaust fan</v>
          </cell>
          <cell r="C553" t="str">
            <v>Nr</v>
          </cell>
          <cell r="D553">
            <v>4250</v>
          </cell>
          <cell r="E553">
            <v>42.5</v>
          </cell>
          <cell r="F553">
            <v>4292.5</v>
          </cell>
        </row>
        <row r="554">
          <cell r="A554">
            <v>2727</v>
          </cell>
          <cell r="B554" t="str">
            <v>Wall mounted fan</v>
          </cell>
          <cell r="C554" t="str">
            <v>Nr</v>
          </cell>
          <cell r="D554">
            <v>6250</v>
          </cell>
          <cell r="E554">
            <v>62.5</v>
          </cell>
          <cell r="F554">
            <v>6312.5</v>
          </cell>
        </row>
        <row r="555">
          <cell r="A555">
            <v>2728</v>
          </cell>
          <cell r="B555" t="str">
            <v>40 Amp single phase main switch</v>
          </cell>
          <cell r="C555" t="str">
            <v>Nr</v>
          </cell>
          <cell r="D555">
            <v>736</v>
          </cell>
          <cell r="E555">
            <v>7.36</v>
          </cell>
          <cell r="F555">
            <v>743.5</v>
          </cell>
        </row>
        <row r="556">
          <cell r="A556">
            <v>2729</v>
          </cell>
          <cell r="B556" t="str">
            <v>60 Amp single phase main switch</v>
          </cell>
          <cell r="C556" t="str">
            <v>Nr</v>
          </cell>
          <cell r="D556">
            <v>871</v>
          </cell>
          <cell r="E556">
            <v>8.7100000000000009</v>
          </cell>
          <cell r="F556">
            <v>879.5</v>
          </cell>
        </row>
        <row r="557">
          <cell r="A557">
            <v>2730</v>
          </cell>
          <cell r="B557" t="str">
            <v>40 Amp Circuit breaker</v>
          </cell>
          <cell r="C557" t="str">
            <v>Nr</v>
          </cell>
          <cell r="D557">
            <v>395</v>
          </cell>
          <cell r="E557">
            <v>3.95</v>
          </cell>
          <cell r="F557">
            <v>399</v>
          </cell>
        </row>
        <row r="558">
          <cell r="A558">
            <v>2731</v>
          </cell>
          <cell r="B558" t="str">
            <v>Distribution board with cover</v>
          </cell>
          <cell r="C558" t="str">
            <v>Nr</v>
          </cell>
          <cell r="D558">
            <v>1450</v>
          </cell>
          <cell r="E558">
            <v>14.5</v>
          </cell>
          <cell r="F558">
            <v>1464.5</v>
          </cell>
        </row>
        <row r="559">
          <cell r="A559">
            <v>2732</v>
          </cell>
          <cell r="B559" t="str">
            <v>40 Amp three phase main switch</v>
          </cell>
          <cell r="C559" t="str">
            <v>Nr</v>
          </cell>
          <cell r="D559">
            <v>1224</v>
          </cell>
          <cell r="E559">
            <v>12.24</v>
          </cell>
          <cell r="F559">
            <v>1236</v>
          </cell>
        </row>
        <row r="560">
          <cell r="A560">
            <v>2733</v>
          </cell>
          <cell r="B560" t="str">
            <v>60 Amp three phase main switch</v>
          </cell>
          <cell r="C560" t="str">
            <v>Nr</v>
          </cell>
          <cell r="D560">
            <v>1324</v>
          </cell>
          <cell r="E560">
            <v>13.24</v>
          </cell>
          <cell r="F560">
            <v>1337</v>
          </cell>
        </row>
        <row r="561">
          <cell r="A561">
            <v>2734</v>
          </cell>
          <cell r="B561" t="str">
            <v>40 Amp single phase RCCB (Trip switch)</v>
          </cell>
          <cell r="C561" t="str">
            <v>Nr</v>
          </cell>
          <cell r="D561">
            <v>2677</v>
          </cell>
          <cell r="E561">
            <v>26.77</v>
          </cell>
          <cell r="F561">
            <v>2704</v>
          </cell>
        </row>
        <row r="562">
          <cell r="A562">
            <v>2735</v>
          </cell>
          <cell r="B562" t="str">
            <v>60 Amp single phase RCCB (Trip switch)</v>
          </cell>
          <cell r="C562" t="str">
            <v>Nr</v>
          </cell>
          <cell r="D562">
            <v>2712</v>
          </cell>
          <cell r="E562">
            <v>27.12</v>
          </cell>
          <cell r="F562">
            <v>2739</v>
          </cell>
        </row>
        <row r="563">
          <cell r="A563">
            <v>2736</v>
          </cell>
          <cell r="B563" t="str">
            <v>40 Amp three phase RCCB (Trip switch)</v>
          </cell>
          <cell r="C563" t="str">
            <v>Nr</v>
          </cell>
          <cell r="D563">
            <v>3706</v>
          </cell>
          <cell r="E563">
            <v>37.06</v>
          </cell>
          <cell r="F563">
            <v>3743</v>
          </cell>
        </row>
        <row r="564">
          <cell r="A564">
            <v>2737</v>
          </cell>
          <cell r="B564" t="str">
            <v>60 Amp three phase RCCB (Trip switch)</v>
          </cell>
          <cell r="C564" t="str">
            <v>Nr</v>
          </cell>
          <cell r="D564">
            <v>3912</v>
          </cell>
          <cell r="E564">
            <v>39.119999999999997</v>
          </cell>
          <cell r="F564">
            <v>3951</v>
          </cell>
        </row>
        <row r="565">
          <cell r="A565">
            <v>2738</v>
          </cell>
          <cell r="B565" t="str">
            <v>Electrical Bell</v>
          </cell>
          <cell r="C565" t="str">
            <v>Nr</v>
          </cell>
          <cell r="D565">
            <v>500</v>
          </cell>
          <cell r="E565">
            <v>5</v>
          </cell>
          <cell r="F565">
            <v>505</v>
          </cell>
        </row>
        <row r="566">
          <cell r="A566">
            <v>2739</v>
          </cell>
          <cell r="B566" t="str">
            <v>GI earth electrode</v>
          </cell>
          <cell r="C566" t="str">
            <v>Nr</v>
          </cell>
          <cell r="D566">
            <v>990</v>
          </cell>
          <cell r="E566">
            <v>9.9</v>
          </cell>
          <cell r="F566">
            <v>1000</v>
          </cell>
        </row>
        <row r="567">
          <cell r="A567">
            <v>2740</v>
          </cell>
          <cell r="B567" t="str">
            <v>50x50x5.8 mm angle Iron</v>
          </cell>
          <cell r="C567" t="str">
            <v>m</v>
          </cell>
          <cell r="D567">
            <v>467</v>
          </cell>
          <cell r="E567">
            <v>4.67</v>
          </cell>
          <cell r="F567">
            <v>471.5</v>
          </cell>
        </row>
        <row r="568">
          <cell r="A568">
            <v>2741</v>
          </cell>
          <cell r="B568" t="str">
            <v>60 Amp Circuit breaker</v>
          </cell>
          <cell r="C568" t="str">
            <v>Nr</v>
          </cell>
          <cell r="D568">
            <v>395</v>
          </cell>
          <cell r="E568">
            <v>3.95</v>
          </cell>
          <cell r="F568">
            <v>399</v>
          </cell>
        </row>
        <row r="569">
          <cell r="B569" t="str">
            <v>Miscellaneous Work</v>
          </cell>
        </row>
        <row r="570">
          <cell r="A570">
            <v>2801</v>
          </cell>
          <cell r="B570" t="str">
            <v>PVC coated gauge 10 chain link mesh</v>
          </cell>
          <cell r="C570" t="str">
            <v>m2</v>
          </cell>
          <cell r="D570">
            <v>538</v>
          </cell>
          <cell r="E570">
            <v>5.38</v>
          </cell>
          <cell r="F570">
            <v>543.5</v>
          </cell>
        </row>
        <row r="571">
          <cell r="A571">
            <v>2802</v>
          </cell>
          <cell r="B571" t="str">
            <v>2" GI pipes (2mm)</v>
          </cell>
          <cell r="C571" t="str">
            <v>m</v>
          </cell>
          <cell r="D571">
            <v>542</v>
          </cell>
          <cell r="E571">
            <v>5.42</v>
          </cell>
          <cell r="F571">
            <v>547.5</v>
          </cell>
        </row>
        <row r="572">
          <cell r="A572">
            <v>2803</v>
          </cell>
          <cell r="B572" t="str">
            <v>1 1/2" GI pipes (2mm)</v>
          </cell>
          <cell r="C572" t="str">
            <v>m</v>
          </cell>
          <cell r="D572">
            <v>459</v>
          </cell>
          <cell r="E572">
            <v>4.59</v>
          </cell>
          <cell r="F572">
            <v>463.5</v>
          </cell>
        </row>
        <row r="573">
          <cell r="A573">
            <v>2804</v>
          </cell>
          <cell r="B573" t="str">
            <v>1"  GI pipes (2mm)</v>
          </cell>
          <cell r="C573" t="str">
            <v>m</v>
          </cell>
          <cell r="D573">
            <v>367</v>
          </cell>
          <cell r="E573">
            <v>3.67</v>
          </cell>
          <cell r="F573">
            <v>370.5</v>
          </cell>
        </row>
        <row r="574">
          <cell r="A574">
            <v>2805</v>
          </cell>
          <cell r="B574" t="str">
            <v>Barbed wire</v>
          </cell>
          <cell r="C574" t="str">
            <v>m</v>
          </cell>
          <cell r="D574">
            <v>25.35</v>
          </cell>
          <cell r="E574">
            <v>0.25</v>
          </cell>
          <cell r="F574">
            <v>25.6</v>
          </cell>
        </row>
        <row r="575">
          <cell r="A575">
            <v>2806</v>
          </cell>
          <cell r="B575" t="str">
            <v>Hooks and washers</v>
          </cell>
          <cell r="C575" t="str">
            <v>Nr</v>
          </cell>
          <cell r="D575">
            <v>10.5</v>
          </cell>
          <cell r="E575">
            <v>0.11</v>
          </cell>
          <cell r="F575">
            <v>10.5</v>
          </cell>
        </row>
        <row r="576">
          <cell r="A576">
            <v>2807</v>
          </cell>
          <cell r="B576" t="str">
            <v>Concrete fence posts 6'-0"</v>
          </cell>
          <cell r="C576" t="str">
            <v>Nr</v>
          </cell>
          <cell r="D576">
            <v>930</v>
          </cell>
          <cell r="E576">
            <v>9.3000000000000007</v>
          </cell>
          <cell r="F576">
            <v>939.5</v>
          </cell>
        </row>
        <row r="577">
          <cell r="A577">
            <v>2808</v>
          </cell>
          <cell r="B577" t="str">
            <v>Concrete fence posts 6'-6"</v>
          </cell>
          <cell r="C577" t="str">
            <v>Nr</v>
          </cell>
          <cell r="D577">
            <v>1010</v>
          </cell>
          <cell r="E577">
            <v>10.1</v>
          </cell>
          <cell r="F577">
            <v>1020</v>
          </cell>
        </row>
        <row r="578">
          <cell r="A578">
            <v>2809</v>
          </cell>
          <cell r="B578" t="str">
            <v>Concrete fence posts 7'-0"</v>
          </cell>
          <cell r="C578" t="str">
            <v>Nr</v>
          </cell>
          <cell r="D578">
            <v>1100</v>
          </cell>
          <cell r="E578">
            <v>11</v>
          </cell>
          <cell r="F578">
            <v>1111</v>
          </cell>
        </row>
        <row r="579">
          <cell r="A579">
            <v>2810</v>
          </cell>
          <cell r="B579" t="str">
            <v>Concrete fence posts 8'-0"</v>
          </cell>
          <cell r="C579" t="str">
            <v>Nr</v>
          </cell>
          <cell r="D579">
            <v>1240</v>
          </cell>
          <cell r="E579">
            <v>12.4</v>
          </cell>
          <cell r="F579">
            <v>1252.5</v>
          </cell>
        </row>
        <row r="580">
          <cell r="A580">
            <v>2811</v>
          </cell>
          <cell r="B580" t="str">
            <v>Concrete fence posts 10'-6"</v>
          </cell>
          <cell r="C580" t="str">
            <v>Nr</v>
          </cell>
          <cell r="D580">
            <v>2850</v>
          </cell>
          <cell r="E580">
            <v>28.5</v>
          </cell>
          <cell r="F580">
            <v>2878.5</v>
          </cell>
        </row>
        <row r="581">
          <cell r="A581">
            <v>2812</v>
          </cell>
          <cell r="B581" t="str">
            <v>Concrete fence supporting posts for corner posts</v>
          </cell>
          <cell r="C581" t="str">
            <v>Nr</v>
          </cell>
          <cell r="D581">
            <v>1250</v>
          </cell>
          <cell r="E581">
            <v>12.5</v>
          </cell>
          <cell r="F581">
            <v>1262.5</v>
          </cell>
        </row>
        <row r="582">
          <cell r="A582">
            <v>2813</v>
          </cell>
          <cell r="B582" t="str">
            <v>2" GI pipes (1.8mm)</v>
          </cell>
          <cell r="C582" t="str">
            <v>m</v>
          </cell>
          <cell r="D582">
            <v>492</v>
          </cell>
          <cell r="E582">
            <v>4.92</v>
          </cell>
          <cell r="F582">
            <v>497</v>
          </cell>
        </row>
        <row r="583">
          <cell r="A583">
            <v>2814</v>
          </cell>
          <cell r="B583" t="str">
            <v>2" GI pipes (1.5mm)</v>
          </cell>
          <cell r="C583" t="str">
            <v>m</v>
          </cell>
          <cell r="D583">
            <v>459</v>
          </cell>
          <cell r="E583">
            <v>4.59</v>
          </cell>
          <cell r="F583">
            <v>463.5</v>
          </cell>
        </row>
        <row r="584">
          <cell r="A584">
            <v>2815</v>
          </cell>
          <cell r="B584" t="str">
            <v>1 1/2" GI pipes (1.8mm)</v>
          </cell>
          <cell r="C584" t="str">
            <v>m</v>
          </cell>
          <cell r="D584">
            <v>434</v>
          </cell>
          <cell r="E584">
            <v>4.34</v>
          </cell>
          <cell r="F584">
            <v>438.5</v>
          </cell>
        </row>
        <row r="585">
          <cell r="A585">
            <v>2816</v>
          </cell>
          <cell r="B585" t="str">
            <v>1 1/2" GI pipes (1.5mm)</v>
          </cell>
          <cell r="C585" t="str">
            <v>m</v>
          </cell>
          <cell r="D585">
            <v>359</v>
          </cell>
          <cell r="E585">
            <v>3.59</v>
          </cell>
          <cell r="F585">
            <v>362.5</v>
          </cell>
        </row>
        <row r="586">
          <cell r="A586">
            <v>2817</v>
          </cell>
          <cell r="B586" t="str">
            <v>1 1/4" GI pipes (2mm)</v>
          </cell>
          <cell r="C586" t="str">
            <v>m</v>
          </cell>
          <cell r="D586">
            <v>409</v>
          </cell>
          <cell r="E586">
            <v>4.09</v>
          </cell>
          <cell r="F586">
            <v>413</v>
          </cell>
        </row>
        <row r="587">
          <cell r="A587">
            <v>2818</v>
          </cell>
          <cell r="B587" t="str">
            <v>1 1/4" GI pipes (1.8mm)</v>
          </cell>
          <cell r="C587" t="str">
            <v>m</v>
          </cell>
          <cell r="D587">
            <v>359</v>
          </cell>
          <cell r="E587">
            <v>3.59</v>
          </cell>
          <cell r="F587">
            <v>362.5</v>
          </cell>
        </row>
        <row r="588">
          <cell r="A588">
            <v>2819</v>
          </cell>
          <cell r="B588" t="str">
            <v>1 1/4" GI pipes (1.5mm)</v>
          </cell>
          <cell r="C588" t="str">
            <v>m</v>
          </cell>
          <cell r="D588">
            <v>267</v>
          </cell>
          <cell r="E588">
            <v>2.67</v>
          </cell>
          <cell r="F588">
            <v>269.5</v>
          </cell>
        </row>
        <row r="589">
          <cell r="A589">
            <v>2820</v>
          </cell>
          <cell r="B589" t="str">
            <v>1 " GI pipes (1.8mm)</v>
          </cell>
          <cell r="C589" t="str">
            <v>m</v>
          </cell>
          <cell r="D589">
            <v>292</v>
          </cell>
          <cell r="E589">
            <v>2.92</v>
          </cell>
          <cell r="F589">
            <v>295</v>
          </cell>
        </row>
        <row r="590">
          <cell r="A590">
            <v>2821</v>
          </cell>
          <cell r="B590" t="str">
            <v>1 " GI pipes (1.5mm)</v>
          </cell>
          <cell r="C590" t="str">
            <v>m</v>
          </cell>
          <cell r="D590">
            <v>234</v>
          </cell>
          <cell r="E590">
            <v>2.34</v>
          </cell>
          <cell r="F590">
            <v>236.5</v>
          </cell>
        </row>
        <row r="591">
          <cell r="A591">
            <v>2822</v>
          </cell>
          <cell r="B591" t="str">
            <v>12mm thick MDF board</v>
          </cell>
          <cell r="C591" t="str">
            <v>m2</v>
          </cell>
          <cell r="D591">
            <v>718</v>
          </cell>
          <cell r="E591">
            <v>7.18</v>
          </cell>
          <cell r="F591">
            <v>725</v>
          </cell>
        </row>
        <row r="592">
          <cell r="A592">
            <v>2823</v>
          </cell>
          <cell r="B592" t="str">
            <v>12 mm thick regiform board</v>
          </cell>
          <cell r="C592" t="str">
            <v>m2</v>
          </cell>
          <cell r="D592">
            <v>131</v>
          </cell>
          <cell r="E592">
            <v>1.31</v>
          </cell>
          <cell r="F592">
            <v>132.5</v>
          </cell>
        </row>
        <row r="593">
          <cell r="A593">
            <v>2824</v>
          </cell>
          <cell r="B593" t="str">
            <v>Velvet cloth</v>
          </cell>
          <cell r="C593" t="str">
            <v>m2</v>
          </cell>
          <cell r="D593">
            <v>150</v>
          </cell>
          <cell r="E593">
            <v>1.5</v>
          </cell>
          <cell r="F593">
            <v>151.5</v>
          </cell>
        </row>
        <row r="597">
          <cell r="A597" t="str">
            <v xml:space="preserve">Prepared and Checked by B.S.R. Preparation Committee </v>
          </cell>
        </row>
        <row r="599">
          <cell r="A599" t="str">
            <v>1.</v>
          </cell>
          <cell r="B599" t="str">
            <v>Chairman : Eng. P. S. S. Vithanage, Chief Engineer (Buildings)</v>
          </cell>
        </row>
        <row r="601">
          <cell r="A601" t="str">
            <v>2</v>
          </cell>
          <cell r="B601" t="str">
            <v>Member 1 : Eng H.M Jayarathna, Chief Engineer (Buildings)</v>
          </cell>
        </row>
        <row r="603">
          <cell r="A603" t="str">
            <v>3</v>
          </cell>
          <cell r="B603" t="str">
            <v>Member 2 : Eng H.M Dharmarathna, Engineer</v>
          </cell>
        </row>
        <row r="605">
          <cell r="A605" t="str">
            <v>4</v>
          </cell>
          <cell r="B605" t="str">
            <v>Member 3 : Eng. D.M.R. Dhanapala, Engineer</v>
          </cell>
        </row>
        <row r="609">
          <cell r="A609" t="str">
            <v>Recommended by :</v>
          </cell>
        </row>
        <row r="612">
          <cell r="B612" t="str">
            <v>……………………………….</v>
          </cell>
        </row>
        <row r="613">
          <cell r="B613" t="str">
            <v>Eng. D. M. K. S. Dissanayake</v>
          </cell>
        </row>
        <row r="614">
          <cell r="B614" t="str">
            <v>Provincial Director ( Buildings)</v>
          </cell>
        </row>
        <row r="616">
          <cell r="A616" t="str">
            <v>Approved by:</v>
          </cell>
        </row>
        <row r="619">
          <cell r="B619" t="str">
            <v>………………………………….</v>
          </cell>
        </row>
        <row r="620">
          <cell r="B620" t="str">
            <v>Eng. M.L.C. Fernandu</v>
          </cell>
        </row>
        <row r="621">
          <cell r="B621" t="str">
            <v>Deputy Chief Secretary ( Engineering Services)</v>
          </cell>
        </row>
      </sheetData>
      <sheetData sheetId="4"/>
      <sheetData sheetId="5"/>
      <sheetData sheetId="6"/>
      <sheetData sheetId="7"/>
      <sheetData sheetId="8"/>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1"/>
      <sheetName val="B-2"/>
      <sheetName val="S M B-2"/>
      <sheetName val="B-3"/>
      <sheetName val="S M B-3"/>
      <sheetName val="B-4 PS"/>
      <sheetName val="Main summary"/>
      <sheetName val="TDS Summary"/>
      <sheetName val="TDS Finishes"/>
      <sheetName val="Querry"/>
      <sheetName val="B-3.2 EB"/>
    </sheetNames>
    <sheetDataSet>
      <sheetData sheetId="0"/>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_page"/>
      <sheetName val="sec__1"/>
      <sheetName val="sec__2"/>
      <sheetName val="sec__3"/>
      <sheetName val="Scope_of_works"/>
      <sheetName val="sec__4"/>
      <sheetName val="Valuation"/>
      <sheetName val="sec__5"/>
      <sheetName val="RateBrkdwn_"/>
      <sheetName val="Measurement_sheet"/>
      <sheetName val="sec__6"/>
      <sheetName val="sec_7"/>
      <sheetName val="sec_8"/>
      <sheetName val="sec__9"/>
      <sheetName val="cover page"/>
      <sheetName val="sec. 1"/>
      <sheetName val="sec. 2"/>
      <sheetName val="sec. 3"/>
      <sheetName val="Scope of works"/>
      <sheetName val="sec. 4"/>
      <sheetName val="sec. 5"/>
      <sheetName val="RateBrkdwn "/>
      <sheetName val="Measurement sheet"/>
      <sheetName val="sec. 6"/>
      <sheetName val="sec.7"/>
      <sheetName val="sec.8"/>
      <sheetName val="sec. 9"/>
      <sheetName val="cover_page1"/>
      <sheetName val="sec__11"/>
      <sheetName val="sec__21"/>
      <sheetName val="sec__31"/>
      <sheetName val="Scope_of_works1"/>
      <sheetName val="sec__41"/>
      <sheetName val="sec__51"/>
      <sheetName val="RateBrkdwn_1"/>
      <sheetName val="Measurement_sheet1"/>
      <sheetName val="sec__61"/>
      <sheetName val="sec_71"/>
      <sheetName val="sec_81"/>
      <sheetName val="sec__91"/>
      <sheetName val="cover_page2"/>
      <sheetName val="sec__12"/>
      <sheetName val="sec__22"/>
      <sheetName val="sec__32"/>
      <sheetName val="Scope_of_works2"/>
      <sheetName val="sec__42"/>
      <sheetName val="sec__52"/>
      <sheetName val="RateBrkdwn_2"/>
      <sheetName val="Measurement_sheet2"/>
      <sheetName val="sec__62"/>
      <sheetName val="sec_72"/>
      <sheetName val="sec_82"/>
      <sheetName val="sec__92"/>
      <sheetName val="cover_page3"/>
      <sheetName val="sec__13"/>
      <sheetName val="sec__23"/>
      <sheetName val="sec__33"/>
      <sheetName val="Scope_of_works3"/>
      <sheetName val="sec__43"/>
      <sheetName val="sec__53"/>
      <sheetName val="RateBrkdwn_3"/>
      <sheetName val="Measurement_sheet3"/>
      <sheetName val="sec__63"/>
      <sheetName val="sec_73"/>
      <sheetName val="sec_83"/>
      <sheetName val="sec__93"/>
    </sheetNames>
    <sheetDataSet>
      <sheetData sheetId="0">
        <row r="13">
          <cell r="E13" t="str">
            <v>&lt;Package No&gt; - &lt;Package Name&gt;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row r="13">
          <cell r="E13" t="str">
            <v>&lt;Package No&gt; - &lt;Package Name&gt;</v>
          </cell>
        </row>
        <row r="24">
          <cell r="E24" t="str">
            <v>VARIATION No. ???</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row r="13">
          <cell r="E13" t="str">
            <v>&lt;Package No&gt; - &lt;Package Name&gt;</v>
          </cell>
        </row>
      </sheetData>
      <sheetData sheetId="28"/>
      <sheetData sheetId="29"/>
      <sheetData sheetId="30"/>
      <sheetData sheetId="31"/>
      <sheetData sheetId="32"/>
      <sheetData sheetId="33"/>
      <sheetData sheetId="34"/>
      <sheetData sheetId="35"/>
      <sheetData sheetId="36"/>
      <sheetData sheetId="37"/>
      <sheetData sheetId="38"/>
      <sheetData sheetId="39"/>
      <sheetData sheetId="40">
        <row r="13">
          <cell r="E13" t="str">
            <v>&lt;Package No&gt; - &lt;Package Name&gt;</v>
          </cell>
        </row>
      </sheetData>
      <sheetData sheetId="41"/>
      <sheetData sheetId="42"/>
      <sheetData sheetId="43"/>
      <sheetData sheetId="44"/>
      <sheetData sheetId="45"/>
      <sheetData sheetId="46"/>
      <sheetData sheetId="47"/>
      <sheetData sheetId="48"/>
      <sheetData sheetId="49"/>
      <sheetData sheetId="50"/>
      <sheetData sheetId="51"/>
      <sheetData sheetId="52"/>
      <sheetData sheetId="53">
        <row r="13">
          <cell r="E13" t="str">
            <v>&lt;Package No&gt; - &lt;Package Name&gt;</v>
          </cell>
        </row>
      </sheetData>
      <sheetData sheetId="54"/>
      <sheetData sheetId="55"/>
      <sheetData sheetId="56"/>
      <sheetData sheetId="57"/>
      <sheetData sheetId="58"/>
      <sheetData sheetId="59"/>
      <sheetData sheetId="60"/>
      <sheetData sheetId="61"/>
      <sheetData sheetId="62"/>
      <sheetData sheetId="63"/>
      <sheetData sheetId="64"/>
      <sheetData sheetId="65"/>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gama"/>
      <sheetName val="Tangalle_hos"/>
      <sheetName val="Tangalle hos"/>
      <sheetName val="Tangalle_hos1"/>
      <sheetName val="Tangalle_hos2"/>
      <sheetName val="Tangalle_hos3"/>
    </sheetNames>
    <sheetDataSet>
      <sheetData sheetId="0"/>
      <sheetData sheetId="1"/>
      <sheetData sheetId="2" refreshError="1"/>
      <sheetData sheetId="3"/>
      <sheetData sheetId="4"/>
      <sheetData sheetId="5"/>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1"/>
      <sheetName val="B-2"/>
      <sheetName val="S M B-2"/>
      <sheetName val="B-3"/>
      <sheetName val="S M B-3"/>
      <sheetName val="B-4 PS"/>
      <sheetName val="Main summary"/>
      <sheetName val="TDS Summary"/>
      <sheetName val="TDS Finishes"/>
      <sheetName val="Querry"/>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1 "/>
      <sheetName val="B-2"/>
      <sheetName val="B 3"/>
      <sheetName val="B-4"/>
      <sheetName val="S M B-4"/>
      <sheetName val="B-5"/>
      <sheetName val="S M B-5"/>
      <sheetName val="B-6"/>
      <sheetName val="B-7"/>
      <sheetName val="B-8"/>
      <sheetName val="DWS"/>
      <sheetName val="Main sum"/>
      <sheetName val="S M B-5 (2)"/>
      <sheetName val="Add 01"/>
      <sheetName val="Main sum 2"/>
      <sheetName val="Main sum 3"/>
      <sheetName val="B-3"/>
    </sheetNames>
    <sheetDataSet>
      <sheetData sheetId="0"/>
      <sheetData sheetId="1" refreshError="1">
        <row r="1">
          <cell r="J1">
            <v>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ONT (2)"/>
      <sheetName val="fRONT"/>
      <sheetName val="B-1"/>
      <sheetName val="B-2"/>
      <sheetName val="B-3.1 EB"/>
      <sheetName val="3.1 Sum"/>
      <sheetName val="B-3.2 EB"/>
      <sheetName val="B-3.2 Sum"/>
      <sheetName val="B-4.1 NB"/>
      <sheetName val="B-4.1 Sum"/>
      <sheetName val="B-4.2 NB"/>
      <sheetName val="B-4.2 Sum"/>
      <sheetName val="5-PS"/>
      <sheetName val="Main summary"/>
      <sheetName val="floor area"/>
      <sheetName val="ratio"/>
      <sheetName val="Sheet1"/>
      <sheetName val="FitOutConfCentr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ont"/>
      <sheetName val="grnd summry- tender"/>
      <sheetName val="summary"/>
      <sheetName val="Main sum"/>
      <sheetName val="prelims"/>
      <sheetName val="exca"/>
      <sheetName val="concrete"/>
      <sheetName val="masnry"/>
      <sheetName val="floring"/>
      <sheetName val="plastering"/>
      <sheetName val="tile"/>
      <sheetName val="paint"/>
      <sheetName val="plumbing "/>
      <sheetName val="electicle "/>
      <sheetName val="metal "/>
      <sheetName val="waterprof"/>
      <sheetName val="Pool"/>
      <sheetName val="Pantry"/>
      <sheetName val="Rate Breakdowns"/>
      <sheetName val="roof"/>
      <sheetName val="mis"/>
      <sheetName val="Material"/>
      <sheetName val="m shet Miss premila"/>
      <sheetName val="Sheet7"/>
      <sheetName val="Sheet4"/>
      <sheetName val="Sheet5"/>
      <sheetName val="rf"/>
      <sheetName val="Minuwangoda Final"/>
      <sheetName val="Timber doors"/>
      <sheetName val="steel work"/>
      <sheetName val="Sheet6"/>
      <sheetName val="BOQ-Electrical System"/>
      <sheetName val="electicle"/>
      <sheetName val="Wattala - (6)"/>
      <sheetName val="machncle"/>
      <sheetName val="fire"/>
      <sheetName val="misalenous"/>
      <sheetName val="L.toilet"/>
      <sheetName val="lps"/>
      <sheetName val="cctv"/>
      <sheetName val="TS"/>
      <sheetName val="retaining wall"/>
      <sheetName val="Sheet3"/>
      <sheetName val="Sheet2"/>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10">
          <cell r="D10">
            <v>2100</v>
          </cell>
        </row>
        <row r="13">
          <cell r="E13">
            <v>23500</v>
          </cell>
        </row>
        <row r="17">
          <cell r="E17">
            <v>13500</v>
          </cell>
        </row>
        <row r="20">
          <cell r="E20">
            <v>14500</v>
          </cell>
        </row>
        <row r="23">
          <cell r="E23">
            <v>8000</v>
          </cell>
        </row>
        <row r="24">
          <cell r="E24">
            <v>17000</v>
          </cell>
        </row>
        <row r="30">
          <cell r="D30">
            <v>365000</v>
          </cell>
        </row>
        <row r="41">
          <cell r="E41">
            <v>345</v>
          </cell>
        </row>
        <row r="63">
          <cell r="E63">
            <v>650</v>
          </cell>
        </row>
        <row r="74">
          <cell r="E74">
            <v>29000</v>
          </cell>
        </row>
        <row r="107">
          <cell r="E107">
            <v>18</v>
          </cell>
        </row>
        <row r="108">
          <cell r="E108">
            <v>38</v>
          </cell>
        </row>
        <row r="111">
          <cell r="D111">
            <v>156</v>
          </cell>
        </row>
        <row r="112">
          <cell r="D112">
            <v>231</v>
          </cell>
        </row>
        <row r="115">
          <cell r="D115">
            <v>109</v>
          </cell>
        </row>
        <row r="116">
          <cell r="D116">
            <v>168</v>
          </cell>
        </row>
        <row r="137">
          <cell r="E137">
            <v>1800</v>
          </cell>
        </row>
        <row r="138">
          <cell r="E138">
            <v>280</v>
          </cell>
        </row>
        <row r="147">
          <cell r="E147">
            <v>69</v>
          </cell>
        </row>
        <row r="149">
          <cell r="E149">
            <v>641.04999999999995</v>
          </cell>
        </row>
        <row r="154">
          <cell r="E154">
            <v>2370.1999999999998</v>
          </cell>
        </row>
        <row r="158">
          <cell r="E158">
            <v>345</v>
          </cell>
        </row>
        <row r="161">
          <cell r="E161">
            <v>1600</v>
          </cell>
        </row>
        <row r="162">
          <cell r="E162">
            <v>260</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E SUMMARY"/>
      <sheetName val="Sub Contractor"/>
      <sheetName val="Material"/>
      <sheetName val="Excavation R"/>
      <sheetName val="Readymix Concrete R"/>
      <sheetName val="In Situ Concrete R"/>
      <sheetName val="Reinforcement R"/>
      <sheetName val="Masonary R"/>
      <sheetName val="Waterproofing R"/>
      <sheetName val="Floor Finishing R"/>
      <sheetName val="Plastering R"/>
      <sheetName val="Painting R"/>
      <sheetName val="Vanity R"/>
      <sheetName val="Interiar R"/>
    </sheetNames>
    <sheetDataSet>
      <sheetData sheetId="0"/>
      <sheetData sheetId="1"/>
      <sheetData sheetId="2">
        <row r="555">
          <cell r="D555"/>
        </row>
        <row r="705">
          <cell r="D705"/>
        </row>
        <row r="767">
          <cell r="D767"/>
        </row>
        <row r="779">
          <cell r="D779"/>
        </row>
        <row r="792">
          <cell r="D792"/>
        </row>
        <row r="812">
          <cell r="D812"/>
        </row>
        <row r="844">
          <cell r="D844"/>
        </row>
      </sheetData>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M32"/>
  <sheetViews>
    <sheetView view="pageBreakPreview" zoomScaleSheetLayoutView="100" workbookViewId="0">
      <selection activeCell="P8" sqref="P8"/>
    </sheetView>
  </sheetViews>
  <sheetFormatPr defaultColWidth="9" defaultRowHeight="13.2" x14ac:dyDescent="0.25"/>
  <cols>
    <col min="1" max="1" width="16.109375" style="142" customWidth="1"/>
    <col min="2" max="2" width="41.6640625" style="142" customWidth="1"/>
    <col min="3" max="3" width="10.5546875" style="142" customWidth="1"/>
    <col min="4" max="4" width="7.44140625" style="181" customWidth="1"/>
    <col min="5" max="5" width="4.6640625" style="142" customWidth="1"/>
    <col min="6" max="6" width="22" style="142" customWidth="1"/>
    <col min="7" max="7" width="3.6640625" style="182" customWidth="1"/>
    <col min="8" max="8" width="1.6640625" style="142" customWidth="1"/>
    <col min="9" max="12" width="9" style="142"/>
    <col min="13" max="13" width="14.77734375" style="253" bestFit="1" customWidth="1"/>
    <col min="14" max="16384" width="9" style="142"/>
  </cols>
  <sheetData>
    <row r="1" spans="1:13" ht="27" customHeight="1" x14ac:dyDescent="0.25"/>
    <row r="2" spans="1:13" ht="24.75" customHeight="1" x14ac:dyDescent="0.25"/>
    <row r="3" spans="1:13" ht="20.399999999999999" x14ac:dyDescent="0.35">
      <c r="A3" s="183"/>
      <c r="B3" s="183"/>
      <c r="C3" s="183"/>
      <c r="D3" s="183"/>
      <c r="E3" s="183"/>
      <c r="F3" s="183"/>
      <c r="G3" s="183"/>
      <c r="H3" s="183"/>
      <c r="I3" s="183"/>
    </row>
    <row r="4" spans="1:13" ht="20.399999999999999" x14ac:dyDescent="0.35">
      <c r="A4" s="184"/>
      <c r="B4" s="184"/>
      <c r="C4" s="184"/>
      <c r="D4" s="184"/>
      <c r="E4" s="184"/>
      <c r="F4" s="184"/>
      <c r="G4" s="184"/>
      <c r="H4" s="184"/>
      <c r="I4" s="183"/>
    </row>
    <row r="5" spans="1:13" ht="27.6" x14ac:dyDescent="0.25">
      <c r="A5" s="1415" t="s">
        <v>743</v>
      </c>
      <c r="B5" s="1415"/>
      <c r="C5" s="1415"/>
      <c r="D5" s="1415"/>
      <c r="E5" s="1415"/>
      <c r="F5" s="1415"/>
      <c r="G5" s="1415"/>
      <c r="H5" s="188"/>
      <c r="I5" s="188"/>
    </row>
    <row r="6" spans="1:13" ht="20.399999999999999" x14ac:dyDescent="0.35">
      <c r="A6" s="184"/>
      <c r="B6" s="184"/>
      <c r="C6" s="184"/>
      <c r="D6" s="184"/>
      <c r="E6" s="184"/>
      <c r="F6" s="184"/>
      <c r="G6" s="184"/>
      <c r="H6" s="184"/>
      <c r="I6" s="183"/>
    </row>
    <row r="7" spans="1:13" ht="20.399999999999999" x14ac:dyDescent="0.35">
      <c r="A7" s="184"/>
      <c r="B7" s="184"/>
      <c r="D7" s="184"/>
      <c r="E7" s="184"/>
      <c r="F7" s="184"/>
      <c r="G7" s="184"/>
      <c r="H7" s="184"/>
      <c r="I7" s="183"/>
    </row>
    <row r="8" spans="1:13" ht="20.25" customHeight="1" x14ac:dyDescent="0.25"/>
    <row r="9" spans="1:13" s="185" customFormat="1" ht="89.4" customHeight="1" x14ac:dyDescent="0.35">
      <c r="A9" s="1416" t="s">
        <v>1033</v>
      </c>
      <c r="B9" s="1416"/>
      <c r="C9" s="1416"/>
      <c r="D9" s="1416"/>
      <c r="E9" s="1416"/>
      <c r="F9" s="1416"/>
      <c r="G9" s="1416"/>
      <c r="H9" s="226"/>
      <c r="M9" s="254"/>
    </row>
    <row r="10" spans="1:13" s="186" customFormat="1" ht="18" x14ac:dyDescent="0.35">
      <c r="M10" s="255"/>
    </row>
    <row r="11" spans="1:13" s="186" customFormat="1" ht="15.6" customHeight="1" x14ac:dyDescent="0.35">
      <c r="A11" s="183"/>
      <c r="B11" s="183"/>
      <c r="C11" s="183"/>
      <c r="D11" s="183"/>
      <c r="E11" s="183"/>
      <c r="F11" s="183"/>
      <c r="G11" s="183"/>
      <c r="H11" s="183"/>
      <c r="M11" s="255"/>
    </row>
    <row r="12" spans="1:13" ht="16.5" customHeight="1" x14ac:dyDescent="0.25"/>
    <row r="13" spans="1:13" ht="20.399999999999999" x14ac:dyDescent="0.35">
      <c r="A13" s="250"/>
      <c r="B13" s="250"/>
      <c r="C13" s="250"/>
      <c r="D13" s="250"/>
      <c r="E13" s="250"/>
      <c r="F13" s="250"/>
      <c r="G13" s="250"/>
      <c r="H13" s="250"/>
      <c r="I13" s="183"/>
    </row>
    <row r="14" spans="1:13" x14ac:dyDescent="0.25">
      <c r="D14" s="142"/>
      <c r="G14" s="142"/>
    </row>
    <row r="32" spans="11:11" x14ac:dyDescent="0.25">
      <c r="K32" s="187"/>
    </row>
  </sheetData>
  <mergeCells count="2">
    <mergeCell ref="A5:G5"/>
    <mergeCell ref="A9:G9"/>
  </mergeCells>
  <printOptions horizontalCentered="1" verticalCentered="1"/>
  <pageMargins left="0.74803149606299213" right="0.43307086614173229" top="0.98425196850393704" bottom="0.98425196850393704" header="0.55118110236220474" footer="0.31496062992125984"/>
  <pageSetup paperSize="9" scale="86"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D33"/>
  <sheetViews>
    <sheetView view="pageBreakPreview" zoomScale="85" zoomScaleNormal="85" zoomScaleSheetLayoutView="85" workbookViewId="0">
      <selection activeCell="F8" sqref="F8"/>
    </sheetView>
  </sheetViews>
  <sheetFormatPr defaultColWidth="9.21875" defaultRowHeight="15.6" x14ac:dyDescent="0.25"/>
  <cols>
    <col min="1" max="1" width="8.21875" style="60" customWidth="1"/>
    <col min="2" max="2" width="61.21875" style="61" customWidth="1"/>
    <col min="3" max="3" width="19.44140625" style="62" customWidth="1"/>
    <col min="4" max="4" width="12.33203125" style="43" bestFit="1" customWidth="1"/>
    <col min="5" max="5" width="13.88671875" style="43" bestFit="1" customWidth="1"/>
    <col min="6" max="6" width="10" style="43" bestFit="1" customWidth="1"/>
    <col min="7" max="7" width="13.88671875" style="43" bestFit="1" customWidth="1"/>
    <col min="8" max="9" width="15" style="43" bestFit="1" customWidth="1"/>
    <col min="10" max="10" width="13.88671875" style="43" bestFit="1" customWidth="1"/>
    <col min="11" max="16384" width="9.21875" style="43"/>
  </cols>
  <sheetData>
    <row r="1" spans="1:4" x14ac:dyDescent="0.25">
      <c r="A1" s="63"/>
      <c r="B1" s="64"/>
      <c r="C1" s="294"/>
    </row>
    <row r="2" spans="1:4" x14ac:dyDescent="0.3">
      <c r="A2" s="1417" t="s">
        <v>27</v>
      </c>
      <c r="B2" s="1418"/>
      <c r="C2" s="1419"/>
    </row>
    <row r="3" spans="1:4" ht="16.2" thickBot="1" x14ac:dyDescent="0.35">
      <c r="A3" s="71"/>
      <c r="B3" s="72"/>
      <c r="C3" s="297"/>
    </row>
    <row r="4" spans="1:4" ht="16.2" thickBot="1" x14ac:dyDescent="0.35">
      <c r="A4" s="69" t="s">
        <v>0</v>
      </c>
      <c r="B4" s="70" t="s">
        <v>1</v>
      </c>
      <c r="C4" s="298" t="s">
        <v>5</v>
      </c>
    </row>
    <row r="5" spans="1:4" x14ac:dyDescent="0.3">
      <c r="A5" s="65"/>
      <c r="B5" s="66"/>
      <c r="C5" s="299"/>
    </row>
    <row r="6" spans="1:4" x14ac:dyDescent="0.3">
      <c r="A6" s="292" t="s">
        <v>518</v>
      </c>
      <c r="B6" s="293" t="s">
        <v>231</v>
      </c>
      <c r="C6" s="46">
        <f>+prelims!I120</f>
        <v>405000</v>
      </c>
    </row>
    <row r="7" spans="1:4" ht="18" customHeight="1" x14ac:dyDescent="0.3">
      <c r="A7" s="44" t="s">
        <v>35</v>
      </c>
      <c r="B7" s="45" t="str">
        <f>exca!B2</f>
        <v>B - EXCAVATION &amp; EARTH WORK</v>
      </c>
      <c r="C7" s="46">
        <f>exca!H44</f>
        <v>1396040</v>
      </c>
      <c r="D7" s="43">
        <v>0.75</v>
      </c>
    </row>
    <row r="8" spans="1:4" ht="18" customHeight="1" x14ac:dyDescent="0.3">
      <c r="A8" s="44" t="s">
        <v>158</v>
      </c>
      <c r="B8" s="45" t="str">
        <f>concrete!B2</f>
        <v>C - CONCRETE</v>
      </c>
      <c r="C8" s="46">
        <f>concrete!H187</f>
        <v>27693390</v>
      </c>
      <c r="D8" s="43">
        <v>0.75</v>
      </c>
    </row>
    <row r="9" spans="1:4" ht="18" customHeight="1" x14ac:dyDescent="0.3">
      <c r="A9" s="47" t="s">
        <v>160</v>
      </c>
      <c r="B9" s="50" t="str">
        <f>masnry!B2</f>
        <v>F - MASONRY WORKS</v>
      </c>
      <c r="C9" s="46">
        <f>masnry!H30</f>
        <v>7755790</v>
      </c>
      <c r="D9" s="43">
        <v>0.75</v>
      </c>
    </row>
    <row r="10" spans="1:4" ht="18" customHeight="1" x14ac:dyDescent="0.3">
      <c r="A10" s="47" t="s">
        <v>161</v>
      </c>
      <c r="B10" s="50" t="str">
        <f>floring!B2</f>
        <v>J - FLOORING WORK</v>
      </c>
      <c r="C10" s="46">
        <f>floring!H11</f>
        <v>273380</v>
      </c>
      <c r="D10" s="43">
        <v>0.75</v>
      </c>
    </row>
    <row r="11" spans="1:4" ht="18" customHeight="1" x14ac:dyDescent="0.3">
      <c r="A11" s="47" t="s">
        <v>162</v>
      </c>
      <c r="B11" s="50" t="str">
        <f>waterprof!B2</f>
        <v>E - WATER PROOFING WORK</v>
      </c>
      <c r="C11" s="46">
        <f>+waterprof!H38</f>
        <v>1519290</v>
      </c>
      <c r="D11" s="43">
        <v>0.75</v>
      </c>
    </row>
    <row r="12" spans="1:4" ht="18" customHeight="1" x14ac:dyDescent="0.3">
      <c r="A12" s="47" t="s">
        <v>163</v>
      </c>
      <c r="B12" s="50" t="str">
        <f>plastering!B2</f>
        <v>K  -  PLASTERING WORK</v>
      </c>
      <c r="C12" s="46">
        <f>plastering!H39</f>
        <v>3622140</v>
      </c>
      <c r="D12" s="43">
        <v>0.75</v>
      </c>
    </row>
    <row r="13" spans="1:4" ht="18" customHeight="1" x14ac:dyDescent="0.3">
      <c r="A13" s="47" t="s">
        <v>164</v>
      </c>
      <c r="B13" s="50" t="str">
        <f>tile!B2</f>
        <v>L -TILING WORK</v>
      </c>
      <c r="C13" s="46">
        <f>+tile!H115</f>
        <v>16408650</v>
      </c>
      <c r="D13" s="43">
        <v>0.85</v>
      </c>
    </row>
    <row r="14" spans="1:4" x14ac:dyDescent="0.3">
      <c r="A14" s="47" t="s">
        <v>165</v>
      </c>
      <c r="B14" s="50" t="str">
        <f>paint!B2</f>
        <v>M  -  COLOUR WASHING, PAINTING &amp; POLISHING</v>
      </c>
      <c r="C14" s="46">
        <f>paint!H26</f>
        <v>2793270</v>
      </c>
      <c r="D14" s="43">
        <v>0.75</v>
      </c>
    </row>
    <row r="15" spans="1:4" x14ac:dyDescent="0.3">
      <c r="A15" s="47" t="s">
        <v>166</v>
      </c>
      <c r="B15" s="50" t="str">
        <f>plumbing!B2</f>
        <v>S  -  PLUMBING AND DRAINAGE WORK</v>
      </c>
      <c r="C15" s="46">
        <f>plumbing!H129</f>
        <v>4426560</v>
      </c>
      <c r="D15" s="43">
        <v>0.75</v>
      </c>
    </row>
    <row r="16" spans="1:4" x14ac:dyDescent="0.3">
      <c r="A16" s="47" t="s">
        <v>168</v>
      </c>
      <c r="B16" s="50" t="str">
        <f>'electicle '!B2</f>
        <v>V - ELECTRICAL INSTALLATION.</v>
      </c>
      <c r="C16" s="46">
        <f>'electicle '!H236</f>
        <v>5143870</v>
      </c>
      <c r="D16" s="43">
        <v>0.75</v>
      </c>
    </row>
    <row r="17" spans="1:4" x14ac:dyDescent="0.3">
      <c r="A17" s="47" t="s">
        <v>167</v>
      </c>
      <c r="B17" s="50" t="str">
        <f>metal!B2</f>
        <v>W - METAL WORK</v>
      </c>
      <c r="C17" s="46">
        <f>metal!H131</f>
        <v>17065250</v>
      </c>
      <c r="D17" s="43">
        <v>0.85</v>
      </c>
    </row>
    <row r="18" spans="1:4" x14ac:dyDescent="0.3">
      <c r="A18" s="47"/>
      <c r="B18" s="50"/>
      <c r="C18" s="46"/>
    </row>
    <row r="19" spans="1:4" ht="16.2" thickBot="1" x14ac:dyDescent="0.35">
      <c r="A19" s="47"/>
      <c r="B19" s="50"/>
      <c r="C19" s="46"/>
    </row>
    <row r="20" spans="1:4" ht="16.2" thickBot="1" x14ac:dyDescent="0.3">
      <c r="A20" s="67"/>
      <c r="B20" s="68" t="s">
        <v>11</v>
      </c>
      <c r="C20" s="295">
        <f>SUM(C6:C19)</f>
        <v>88502630</v>
      </c>
    </row>
    <row r="21" spans="1:4" x14ac:dyDescent="0.3">
      <c r="A21" s="58"/>
      <c r="B21" s="59"/>
      <c r="C21" s="296">
        <f>SUM(C7:C17)</f>
        <v>88097630</v>
      </c>
    </row>
    <row r="22" spans="1:4" x14ac:dyDescent="0.3">
      <c r="A22" s="58"/>
      <c r="B22" s="59"/>
      <c r="C22" s="296">
        <f>+C21/5560</f>
        <v>15844.897482014389</v>
      </c>
    </row>
    <row r="23" spans="1:4" x14ac:dyDescent="0.3">
      <c r="A23" s="58"/>
      <c r="B23" s="59"/>
      <c r="C23" s="296"/>
    </row>
    <row r="24" spans="1:4" x14ac:dyDescent="0.3">
      <c r="A24" s="58"/>
      <c r="B24" s="59"/>
      <c r="C24" s="296"/>
    </row>
    <row r="25" spans="1:4" x14ac:dyDescent="0.3">
      <c r="A25" s="58"/>
      <c r="B25" s="59"/>
      <c r="C25" s="296"/>
    </row>
    <row r="26" spans="1:4" x14ac:dyDescent="0.3">
      <c r="A26" s="58"/>
      <c r="B26" s="59"/>
      <c r="C26" s="296"/>
    </row>
    <row r="27" spans="1:4" x14ac:dyDescent="0.3">
      <c r="A27" s="58"/>
      <c r="B27" s="59"/>
      <c r="C27" s="296"/>
    </row>
    <row r="28" spans="1:4" x14ac:dyDescent="0.3">
      <c r="A28" s="58"/>
      <c r="B28" s="59"/>
      <c r="C28" s="296"/>
    </row>
    <row r="29" spans="1:4" x14ac:dyDescent="0.3">
      <c r="A29" s="58"/>
      <c r="B29" s="59"/>
      <c r="C29" s="296"/>
    </row>
    <row r="30" spans="1:4" x14ac:dyDescent="0.3">
      <c r="A30" s="58"/>
      <c r="B30" s="59"/>
      <c r="C30" s="296"/>
    </row>
    <row r="31" spans="1:4" x14ac:dyDescent="0.3">
      <c r="A31" s="58"/>
      <c r="B31" s="59"/>
      <c r="C31" s="296"/>
    </row>
    <row r="32" spans="1:4" x14ac:dyDescent="0.3">
      <c r="A32" s="58"/>
      <c r="B32" s="59"/>
      <c r="C32" s="296"/>
    </row>
    <row r="33" spans="1:3" x14ac:dyDescent="0.3">
      <c r="A33" s="58"/>
      <c r="B33" s="59"/>
      <c r="C33" s="296"/>
    </row>
  </sheetData>
  <mergeCells count="1">
    <mergeCell ref="A2:C2"/>
  </mergeCells>
  <pageMargins left="0.5" right="0.5" top="0.25" bottom="0.25" header="0.5" footer="0.5"/>
  <pageSetup orientation="portrait" r:id="rId1"/>
  <headerFooter alignWithMargins="0">
    <oddFooter>&amp;C&amp;P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J121"/>
  <sheetViews>
    <sheetView view="pageBreakPreview" topLeftCell="A98" zoomScale="99" zoomScaleNormal="85" zoomScaleSheetLayoutView="99" workbookViewId="0">
      <selection activeCell="B116" sqref="B116"/>
    </sheetView>
  </sheetViews>
  <sheetFormatPr defaultColWidth="9.21875" defaultRowHeight="13.8" x14ac:dyDescent="0.25"/>
  <cols>
    <col min="1" max="1" width="7.21875" style="136" customWidth="1"/>
    <col min="2" max="2" width="47" style="6" customWidth="1"/>
    <col min="3" max="3" width="9.33203125" style="7" customWidth="1"/>
    <col min="4" max="4" width="5.5546875" style="8" customWidth="1"/>
    <col min="5" max="5" width="5.6640625" style="7" customWidth="1"/>
    <col min="6" max="6" width="11.5546875" style="1224" customWidth="1"/>
    <col min="7" max="7" width="7.33203125" style="1209" customWidth="1"/>
    <col min="8" max="8" width="14" style="34" bestFit="1" customWidth="1"/>
    <col min="9" max="9" width="14" style="8" bestFit="1" customWidth="1"/>
    <col min="10" max="10" width="11.77734375" style="4" bestFit="1" customWidth="1"/>
    <col min="11" max="11" width="13.88671875" style="4" bestFit="1" customWidth="1"/>
    <col min="12" max="12" width="16.44140625" style="4" bestFit="1" customWidth="1"/>
    <col min="13" max="13" width="12.77734375" style="4" bestFit="1" customWidth="1"/>
    <col min="14" max="14" width="14" style="4" bestFit="1" customWidth="1"/>
    <col min="15" max="15" width="13" style="4" bestFit="1" customWidth="1"/>
    <col min="16" max="16" width="11.77734375" style="4" bestFit="1" customWidth="1"/>
    <col min="17" max="16384" width="9.21875" style="4"/>
  </cols>
  <sheetData>
    <row r="1" spans="1:10" s="3" customFormat="1" ht="42" thickBot="1" x14ac:dyDescent="0.3">
      <c r="A1" s="753" t="s">
        <v>0</v>
      </c>
      <c r="B1" s="754" t="s">
        <v>1</v>
      </c>
      <c r="C1" s="755" t="s">
        <v>517</v>
      </c>
      <c r="D1" s="578" t="s">
        <v>2</v>
      </c>
      <c r="E1" s="579" t="s">
        <v>3</v>
      </c>
      <c r="F1" s="1219" t="s">
        <v>1238</v>
      </c>
      <c r="G1" s="1197" t="s">
        <v>1239</v>
      </c>
      <c r="H1" s="756" t="s">
        <v>4</v>
      </c>
      <c r="I1" s="581" t="s">
        <v>5</v>
      </c>
      <c r="J1" s="3">
        <v>1</v>
      </c>
    </row>
    <row r="2" spans="1:10" s="3" customFormat="1" x14ac:dyDescent="0.25">
      <c r="A2" s="618"/>
      <c r="B2" s="77" t="s">
        <v>6</v>
      </c>
      <c r="C2" s="172"/>
      <c r="D2" s="78"/>
      <c r="E2" s="79"/>
      <c r="F2" s="1220"/>
      <c r="G2" s="1203"/>
      <c r="H2" s="80"/>
      <c r="I2" s="619"/>
    </row>
    <row r="3" spans="1:10" s="3" customFormat="1" x14ac:dyDescent="0.25">
      <c r="A3" s="620" t="s">
        <v>7</v>
      </c>
      <c r="B3" s="81" t="s">
        <v>231</v>
      </c>
      <c r="C3" s="173"/>
      <c r="D3" s="14"/>
      <c r="E3" s="82"/>
      <c r="F3" s="1218"/>
      <c r="G3" s="1204"/>
      <c r="H3" s="31"/>
      <c r="I3" s="15"/>
    </row>
    <row r="4" spans="1:10" s="3" customFormat="1" x14ac:dyDescent="0.25">
      <c r="A4" s="621"/>
      <c r="B4" s="83"/>
      <c r="C4" s="82"/>
      <c r="D4" s="14"/>
      <c r="E4" s="82"/>
      <c r="F4" s="1218"/>
      <c r="G4" s="1204"/>
      <c r="H4" s="31"/>
      <c r="I4" s="15"/>
    </row>
    <row r="5" spans="1:10" s="3" customFormat="1" ht="69" x14ac:dyDescent="0.25">
      <c r="A5" s="621"/>
      <c r="B5" s="83" t="s">
        <v>9</v>
      </c>
      <c r="C5" s="82"/>
      <c r="D5" s="14"/>
      <c r="E5" s="82"/>
      <c r="F5" s="1218"/>
      <c r="G5" s="1204"/>
      <c r="H5" s="31"/>
      <c r="I5" s="15"/>
    </row>
    <row r="6" spans="1:10" s="3" customFormat="1" x14ac:dyDescent="0.25">
      <c r="A6" s="621"/>
      <c r="B6" s="83"/>
      <c r="C6" s="82"/>
      <c r="D6" s="14"/>
      <c r="E6" s="82"/>
      <c r="F6" s="1218"/>
      <c r="G6" s="1204"/>
      <c r="H6" s="31"/>
      <c r="I6" s="15"/>
    </row>
    <row r="7" spans="1:10" s="3" customFormat="1" ht="55.2" x14ac:dyDescent="0.25">
      <c r="A7" s="621"/>
      <c r="B7" s="83" t="s">
        <v>320</v>
      </c>
      <c r="C7" s="82"/>
      <c r="D7" s="14"/>
      <c r="E7" s="82"/>
      <c r="F7" s="1218"/>
      <c r="G7" s="1204"/>
      <c r="H7" s="31"/>
      <c r="I7" s="15"/>
    </row>
    <row r="8" spans="1:10" s="3" customFormat="1" x14ac:dyDescent="0.25">
      <c r="A8" s="621"/>
      <c r="B8" s="83"/>
      <c r="C8" s="82"/>
      <c r="D8" s="14"/>
      <c r="E8" s="82"/>
      <c r="F8" s="1218"/>
      <c r="G8" s="1204"/>
      <c r="H8" s="31"/>
      <c r="I8" s="15"/>
    </row>
    <row r="9" spans="1:10" s="3" customFormat="1" ht="55.2" x14ac:dyDescent="0.25">
      <c r="A9" s="621"/>
      <c r="B9" s="138" t="s">
        <v>321</v>
      </c>
      <c r="C9" s="174"/>
      <c r="D9" s="14"/>
      <c r="E9" s="82"/>
      <c r="F9" s="1218"/>
      <c r="G9" s="1204"/>
      <c r="H9" s="31"/>
      <c r="I9" s="15"/>
    </row>
    <row r="10" spans="1:10" s="3" customFormat="1" x14ac:dyDescent="0.25">
      <c r="A10" s="621"/>
      <c r="B10" s="137"/>
      <c r="C10" s="175"/>
      <c r="D10" s="14"/>
      <c r="E10" s="82"/>
      <c r="F10" s="1218"/>
      <c r="G10" s="1204"/>
      <c r="H10" s="31"/>
      <c r="I10" s="15"/>
    </row>
    <row r="11" spans="1:10" s="3" customFormat="1" x14ac:dyDescent="0.25">
      <c r="A11" s="621"/>
      <c r="B11" s="171" t="s">
        <v>519</v>
      </c>
      <c r="C11" s="176"/>
      <c r="D11" s="14"/>
      <c r="E11" s="82"/>
      <c r="F11" s="1218"/>
      <c r="G11" s="1204"/>
      <c r="H11" s="31"/>
      <c r="I11" s="15"/>
    </row>
    <row r="12" spans="1:10" s="3" customFormat="1" x14ac:dyDescent="0.25">
      <c r="A12" s="621"/>
      <c r="B12" s="170" t="s">
        <v>520</v>
      </c>
      <c r="C12" s="37"/>
      <c r="D12" s="14"/>
      <c r="E12" s="82"/>
      <c r="F12" s="1218"/>
      <c r="G12" s="1204"/>
      <c r="H12" s="31"/>
      <c r="I12" s="15"/>
    </row>
    <row r="13" spans="1:10" s="3" customFormat="1" x14ac:dyDescent="0.25">
      <c r="A13" s="621"/>
      <c r="B13" s="170" t="s">
        <v>503</v>
      </c>
      <c r="C13" s="37"/>
      <c r="D13" s="14"/>
      <c r="E13" s="82"/>
      <c r="F13" s="1218"/>
      <c r="G13" s="1204"/>
      <c r="H13" s="31"/>
      <c r="I13" s="15"/>
    </row>
    <row r="14" spans="1:10" s="3" customFormat="1" x14ac:dyDescent="0.25">
      <c r="A14" s="621"/>
      <c r="B14" s="170" t="s">
        <v>504</v>
      </c>
      <c r="C14" s="37"/>
      <c r="D14" s="14"/>
      <c r="E14" s="82"/>
      <c r="F14" s="1218"/>
      <c r="G14" s="1204"/>
      <c r="H14" s="31"/>
      <c r="I14" s="15"/>
    </row>
    <row r="15" spans="1:10" s="3" customFormat="1" x14ac:dyDescent="0.25">
      <c r="A15" s="621"/>
      <c r="B15" s="170" t="s">
        <v>505</v>
      </c>
      <c r="C15" s="37"/>
      <c r="D15" s="14"/>
      <c r="E15" s="82"/>
      <c r="F15" s="1218"/>
      <c r="G15" s="1204"/>
      <c r="H15" s="31"/>
      <c r="I15" s="15"/>
    </row>
    <row r="16" spans="1:10" s="3" customFormat="1" x14ac:dyDescent="0.25">
      <c r="A16" s="621"/>
      <c r="B16" s="137"/>
      <c r="C16" s="175"/>
      <c r="D16" s="14"/>
      <c r="E16" s="82"/>
      <c r="F16" s="1218"/>
      <c r="G16" s="1204"/>
      <c r="H16" s="31"/>
      <c r="I16" s="15"/>
    </row>
    <row r="17" spans="1:9" s="3" customFormat="1" x14ac:dyDescent="0.25">
      <c r="A17" s="621"/>
      <c r="B17" s="170" t="s">
        <v>521</v>
      </c>
      <c r="C17" s="37"/>
      <c r="D17" s="14"/>
      <c r="E17" s="82"/>
      <c r="F17" s="1218"/>
      <c r="G17" s="1204"/>
      <c r="H17" s="31"/>
      <c r="I17" s="15"/>
    </row>
    <row r="18" spans="1:9" s="3" customFormat="1" x14ac:dyDescent="0.25">
      <c r="A18" s="621"/>
      <c r="B18" s="170" t="s">
        <v>506</v>
      </c>
      <c r="C18" s="37"/>
      <c r="D18" s="14"/>
      <c r="E18" s="82"/>
      <c r="F18" s="1218"/>
      <c r="G18" s="1204"/>
      <c r="H18" s="31"/>
      <c r="I18" s="15"/>
    </row>
    <row r="19" spans="1:9" s="3" customFormat="1" x14ac:dyDescent="0.25">
      <c r="A19" s="621"/>
      <c r="B19" s="170"/>
      <c r="C19" s="37"/>
      <c r="D19" s="14"/>
      <c r="E19" s="82"/>
      <c r="F19" s="1218"/>
      <c r="G19" s="1204"/>
      <c r="H19" s="31"/>
      <c r="I19" s="15"/>
    </row>
    <row r="20" spans="1:9" s="3" customFormat="1" x14ac:dyDescent="0.25">
      <c r="A20" s="621"/>
      <c r="B20" s="170" t="s">
        <v>522</v>
      </c>
      <c r="C20" s="37"/>
      <c r="D20" s="14"/>
      <c r="E20" s="82"/>
      <c r="F20" s="1218"/>
      <c r="G20" s="1204"/>
      <c r="H20" s="31"/>
      <c r="I20" s="15"/>
    </row>
    <row r="21" spans="1:9" s="3" customFormat="1" x14ac:dyDescent="0.25">
      <c r="A21" s="621"/>
      <c r="B21" s="170" t="s">
        <v>507</v>
      </c>
      <c r="C21" s="37"/>
      <c r="D21" s="14"/>
      <c r="E21" s="82"/>
      <c r="F21" s="1218"/>
      <c r="G21" s="1204"/>
      <c r="H21" s="31"/>
      <c r="I21" s="15"/>
    </row>
    <row r="22" spans="1:9" s="3" customFormat="1" x14ac:dyDescent="0.25">
      <c r="A22" s="621"/>
      <c r="B22" s="170" t="s">
        <v>508</v>
      </c>
      <c r="C22" s="37"/>
      <c r="D22" s="14"/>
      <c r="E22" s="82"/>
      <c r="F22" s="1218"/>
      <c r="G22" s="1204"/>
      <c r="H22" s="31"/>
      <c r="I22" s="15"/>
    </row>
    <row r="23" spans="1:9" s="3" customFormat="1" x14ac:dyDescent="0.25">
      <c r="A23" s="621"/>
      <c r="B23" s="170" t="s">
        <v>509</v>
      </c>
      <c r="C23" s="37"/>
      <c r="D23" s="14"/>
      <c r="E23" s="82"/>
      <c r="F23" s="1218"/>
      <c r="G23" s="1204"/>
      <c r="H23" s="31"/>
      <c r="I23" s="15"/>
    </row>
    <row r="24" spans="1:9" s="3" customFormat="1" x14ac:dyDescent="0.25">
      <c r="A24" s="621"/>
      <c r="B24" s="170"/>
      <c r="C24" s="37"/>
      <c r="D24" s="14"/>
      <c r="E24" s="82"/>
      <c r="F24" s="1218"/>
      <c r="G24" s="1204"/>
      <c r="H24" s="31"/>
      <c r="I24" s="15"/>
    </row>
    <row r="25" spans="1:9" s="3" customFormat="1" x14ac:dyDescent="0.25">
      <c r="A25" s="621"/>
      <c r="B25" s="170" t="s">
        <v>563</v>
      </c>
      <c r="C25" s="37"/>
      <c r="D25" s="14"/>
      <c r="E25" s="82"/>
      <c r="F25" s="1218"/>
      <c r="G25" s="1204"/>
      <c r="H25" s="31"/>
      <c r="I25" s="15"/>
    </row>
    <row r="26" spans="1:9" s="3" customFormat="1" x14ac:dyDescent="0.25">
      <c r="A26" s="621"/>
      <c r="B26" s="170"/>
      <c r="C26" s="37"/>
      <c r="D26" s="14"/>
      <c r="E26" s="82"/>
      <c r="F26" s="1218"/>
      <c r="G26" s="1204"/>
      <c r="H26" s="31"/>
      <c r="I26" s="15"/>
    </row>
    <row r="27" spans="1:9" s="3" customFormat="1" x14ac:dyDescent="0.25">
      <c r="A27" s="621"/>
      <c r="B27" s="170" t="s">
        <v>513</v>
      </c>
      <c r="C27" s="37"/>
      <c r="D27" s="14"/>
      <c r="E27" s="82"/>
      <c r="F27" s="1218"/>
      <c r="G27" s="1204"/>
      <c r="H27" s="31"/>
      <c r="I27" s="15"/>
    </row>
    <row r="28" spans="1:9" s="3" customFormat="1" x14ac:dyDescent="0.25">
      <c r="A28" s="621"/>
      <c r="B28" s="170"/>
      <c r="C28" s="37"/>
      <c r="D28" s="14"/>
      <c r="E28" s="82"/>
      <c r="F28" s="1218"/>
      <c r="G28" s="1204"/>
      <c r="H28" s="31"/>
      <c r="I28" s="15"/>
    </row>
    <row r="29" spans="1:9" s="3" customFormat="1" x14ac:dyDescent="0.25">
      <c r="A29" s="621"/>
      <c r="B29" s="170" t="s">
        <v>514</v>
      </c>
      <c r="C29" s="37"/>
      <c r="D29" s="14"/>
      <c r="E29" s="82"/>
      <c r="F29" s="1218"/>
      <c r="G29" s="1204"/>
      <c r="H29" s="31"/>
      <c r="I29" s="15"/>
    </row>
    <row r="30" spans="1:9" s="3" customFormat="1" x14ac:dyDescent="0.25">
      <c r="A30" s="621"/>
      <c r="B30" s="170" t="s">
        <v>510</v>
      </c>
      <c r="C30" s="37"/>
      <c r="D30" s="14"/>
      <c r="E30" s="82"/>
      <c r="F30" s="1218"/>
      <c r="G30" s="1204"/>
      <c r="H30" s="31"/>
      <c r="I30" s="15"/>
    </row>
    <row r="31" spans="1:9" s="3" customFormat="1" x14ac:dyDescent="0.25">
      <c r="A31" s="621"/>
      <c r="B31" s="170" t="s">
        <v>511</v>
      </c>
      <c r="C31" s="37"/>
      <c r="D31" s="14"/>
      <c r="E31" s="82"/>
      <c r="F31" s="1218"/>
      <c r="G31" s="1204"/>
      <c r="H31" s="31"/>
      <c r="I31" s="15"/>
    </row>
    <row r="32" spans="1:9" s="3" customFormat="1" x14ac:dyDescent="0.25">
      <c r="A32" s="621"/>
      <c r="B32" s="170" t="s">
        <v>512</v>
      </c>
      <c r="C32" s="37"/>
      <c r="D32" s="14"/>
      <c r="E32" s="82"/>
      <c r="F32" s="1218"/>
      <c r="G32" s="1204"/>
      <c r="H32" s="31"/>
      <c r="I32" s="15"/>
    </row>
    <row r="33" spans="1:9" s="3" customFormat="1" x14ac:dyDescent="0.25">
      <c r="A33" s="621"/>
      <c r="B33" s="170"/>
      <c r="C33" s="37"/>
      <c r="D33" s="14"/>
      <c r="E33" s="82"/>
      <c r="F33" s="1218"/>
      <c r="G33" s="1204"/>
      <c r="H33" s="31"/>
      <c r="I33" s="15"/>
    </row>
    <row r="34" spans="1:9" s="3" customFormat="1" x14ac:dyDescent="0.25">
      <c r="A34" s="621"/>
      <c r="B34" s="170" t="s">
        <v>515</v>
      </c>
      <c r="C34" s="37"/>
      <c r="D34" s="14"/>
      <c r="E34" s="82"/>
      <c r="F34" s="1218"/>
      <c r="G34" s="1204"/>
      <c r="H34" s="31"/>
      <c r="I34" s="15"/>
    </row>
    <row r="35" spans="1:9" s="3" customFormat="1" x14ac:dyDescent="0.25">
      <c r="A35" s="621"/>
      <c r="B35" s="170"/>
      <c r="C35" s="37"/>
      <c r="D35" s="14"/>
      <c r="E35" s="82"/>
      <c r="F35" s="1218"/>
      <c r="G35" s="1204"/>
      <c r="H35" s="31"/>
      <c r="I35" s="15"/>
    </row>
    <row r="36" spans="1:9" s="3" customFormat="1" ht="52.8" x14ac:dyDescent="0.25">
      <c r="A36" s="621"/>
      <c r="B36" s="1217" t="s">
        <v>516</v>
      </c>
      <c r="C36" s="177"/>
      <c r="D36" s="14"/>
      <c r="E36" s="82"/>
      <c r="F36" s="1218"/>
      <c r="G36" s="1204"/>
      <c r="H36" s="31"/>
      <c r="I36" s="15"/>
    </row>
    <row r="37" spans="1:9" s="3" customFormat="1" x14ac:dyDescent="0.25">
      <c r="A37" s="621"/>
      <c r="B37" s="137"/>
      <c r="C37" s="175"/>
      <c r="D37" s="14"/>
      <c r="E37" s="82"/>
      <c r="F37" s="1218"/>
      <c r="G37" s="1204"/>
      <c r="H37" s="31"/>
      <c r="I37" s="15"/>
    </row>
    <row r="38" spans="1:9" s="3" customFormat="1" x14ac:dyDescent="0.25">
      <c r="A38" s="620">
        <v>1</v>
      </c>
      <c r="B38" s="81" t="s">
        <v>294</v>
      </c>
      <c r="C38" s="173"/>
      <c r="D38" s="19"/>
      <c r="E38" s="74"/>
      <c r="F38" s="1218"/>
      <c r="G38" s="1204"/>
      <c r="H38" s="32"/>
      <c r="I38" s="18"/>
    </row>
    <row r="39" spans="1:9" s="3" customFormat="1" x14ac:dyDescent="0.25">
      <c r="A39" s="621"/>
      <c r="B39" s="81"/>
      <c r="C39" s="173"/>
      <c r="D39" s="19"/>
      <c r="E39" s="74"/>
      <c r="F39" s="1218"/>
      <c r="G39" s="1204"/>
      <c r="H39" s="32"/>
      <c r="I39" s="18"/>
    </row>
    <row r="40" spans="1:9" s="3" customFormat="1" x14ac:dyDescent="0.25">
      <c r="A40" s="621">
        <f>A38+0.01</f>
        <v>1.01</v>
      </c>
      <c r="B40" s="131" t="s">
        <v>295</v>
      </c>
      <c r="C40" s="178" t="s">
        <v>518</v>
      </c>
      <c r="D40" s="19">
        <v>1</v>
      </c>
      <c r="E40" s="74" t="s">
        <v>10</v>
      </c>
      <c r="F40" s="1218"/>
      <c r="G40" s="1182"/>
      <c r="H40" s="1183"/>
      <c r="I40" s="1210" t="s">
        <v>1246</v>
      </c>
    </row>
    <row r="41" spans="1:9" s="3" customFormat="1" x14ac:dyDescent="0.25">
      <c r="A41" s="621"/>
      <c r="B41" s="131"/>
      <c r="C41" s="178"/>
      <c r="D41" s="19"/>
      <c r="E41" s="74"/>
      <c r="F41" s="1218"/>
      <c r="G41" s="1204"/>
      <c r="H41" s="32"/>
      <c r="I41" s="18"/>
    </row>
    <row r="42" spans="1:9" s="3" customFormat="1" x14ac:dyDescent="0.25">
      <c r="A42" s="621">
        <f>A40+0.01</f>
        <v>1.02</v>
      </c>
      <c r="B42" s="131" t="s">
        <v>296</v>
      </c>
      <c r="C42" s="178" t="s">
        <v>518</v>
      </c>
      <c r="D42" s="19">
        <v>1</v>
      </c>
      <c r="E42" s="74" t="s">
        <v>10</v>
      </c>
      <c r="F42" s="1218"/>
      <c r="G42" s="1204"/>
      <c r="H42" s="32"/>
      <c r="I42" s="1210" t="s">
        <v>1246</v>
      </c>
    </row>
    <row r="43" spans="1:9" s="3" customFormat="1" ht="14.4" thickBot="1" x14ac:dyDescent="0.3">
      <c r="A43" s="622"/>
      <c r="B43" s="623"/>
      <c r="C43" s="624"/>
      <c r="D43" s="20"/>
      <c r="E43" s="625"/>
      <c r="F43" s="1221"/>
      <c r="G43" s="1205"/>
      <c r="H43" s="33"/>
      <c r="I43" s="21"/>
    </row>
    <row r="44" spans="1:9" s="3" customFormat="1" ht="61.2" customHeight="1" x14ac:dyDescent="0.25">
      <c r="A44" s="1211">
        <f>A42+0.01</f>
        <v>1.03</v>
      </c>
      <c r="B44" s="1212" t="s">
        <v>329</v>
      </c>
      <c r="C44" s="1213" t="s">
        <v>518</v>
      </c>
      <c r="D44" s="1214">
        <v>1</v>
      </c>
      <c r="E44" s="1198" t="s">
        <v>10</v>
      </c>
      <c r="F44" s="1220"/>
      <c r="G44" s="1203"/>
      <c r="H44" s="1215"/>
      <c r="I44" s="1216" t="s">
        <v>1246</v>
      </c>
    </row>
    <row r="45" spans="1:9" s="3" customFormat="1" x14ac:dyDescent="0.25">
      <c r="A45" s="621"/>
      <c r="B45" s="131"/>
      <c r="C45" s="178"/>
      <c r="D45" s="19"/>
      <c r="E45" s="74"/>
      <c r="F45" s="1218"/>
      <c r="G45" s="1204"/>
      <c r="H45" s="32"/>
      <c r="I45" s="18"/>
    </row>
    <row r="46" spans="1:9" s="3" customFormat="1" x14ac:dyDescent="0.25">
      <c r="A46" s="621"/>
      <c r="B46" s="131" t="s">
        <v>297</v>
      </c>
      <c r="C46" s="178"/>
      <c r="D46" s="19"/>
      <c r="E46" s="74"/>
      <c r="F46" s="1218"/>
      <c r="G46" s="1204"/>
      <c r="H46" s="32"/>
      <c r="I46" s="18"/>
    </row>
    <row r="47" spans="1:9" s="3" customFormat="1" x14ac:dyDescent="0.25">
      <c r="A47" s="621"/>
      <c r="B47" s="131"/>
      <c r="C47" s="178"/>
      <c r="D47" s="19"/>
      <c r="E47" s="74"/>
      <c r="F47" s="1218"/>
      <c r="G47" s="1204"/>
      <c r="H47" s="32"/>
      <c r="I47" s="18"/>
    </row>
    <row r="48" spans="1:9" s="3" customFormat="1" ht="41.4" x14ac:dyDescent="0.25">
      <c r="A48" s="621"/>
      <c r="B48" s="86" t="s">
        <v>298</v>
      </c>
      <c r="C48" s="179"/>
      <c r="D48" s="19"/>
      <c r="E48" s="74"/>
      <c r="F48" s="1218"/>
      <c r="G48" s="1204"/>
      <c r="H48" s="32"/>
      <c r="I48" s="18"/>
    </row>
    <row r="49" spans="1:9" s="3" customFormat="1" x14ac:dyDescent="0.25">
      <c r="A49" s="621"/>
      <c r="B49" s="86"/>
      <c r="C49" s="179"/>
      <c r="D49" s="19"/>
      <c r="E49" s="74"/>
      <c r="F49" s="1218"/>
      <c r="G49" s="1204"/>
      <c r="H49" s="32"/>
      <c r="I49" s="18"/>
    </row>
    <row r="50" spans="1:9" s="3" customFormat="1" ht="41.4" x14ac:dyDescent="0.25">
      <c r="A50" s="621"/>
      <c r="B50" s="86" t="s">
        <v>299</v>
      </c>
      <c r="C50" s="179"/>
      <c r="D50" s="19"/>
      <c r="E50" s="74"/>
      <c r="F50" s="1218"/>
      <c r="G50" s="1204"/>
      <c r="H50" s="32"/>
      <c r="I50" s="18"/>
    </row>
    <row r="51" spans="1:9" s="3" customFormat="1" x14ac:dyDescent="0.25">
      <c r="A51" s="621"/>
      <c r="B51" s="86"/>
      <c r="C51" s="179"/>
      <c r="D51" s="19"/>
      <c r="E51" s="74"/>
      <c r="F51" s="1218"/>
      <c r="G51" s="1204"/>
      <c r="H51" s="32"/>
      <c r="I51" s="18"/>
    </row>
    <row r="52" spans="1:9" s="3" customFormat="1" ht="27.6" x14ac:dyDescent="0.25">
      <c r="A52" s="621"/>
      <c r="B52" s="86" t="s">
        <v>300</v>
      </c>
      <c r="C52" s="179"/>
      <c r="D52" s="19"/>
      <c r="E52" s="74"/>
      <c r="F52" s="1218"/>
      <c r="G52" s="1204"/>
      <c r="H52" s="32"/>
      <c r="I52" s="18"/>
    </row>
    <row r="53" spans="1:9" s="3" customFormat="1" x14ac:dyDescent="0.25">
      <c r="A53" s="621"/>
      <c r="B53" s="86"/>
      <c r="C53" s="179"/>
      <c r="D53" s="19"/>
      <c r="E53" s="74"/>
      <c r="F53" s="1218"/>
      <c r="G53" s="1204"/>
      <c r="H53" s="32"/>
      <c r="I53" s="18"/>
    </row>
    <row r="54" spans="1:9" s="3" customFormat="1" ht="27.6" x14ac:dyDescent="0.25">
      <c r="A54" s="621"/>
      <c r="B54" s="86" t="s">
        <v>301</v>
      </c>
      <c r="C54" s="179"/>
      <c r="D54" s="19"/>
      <c r="E54" s="74"/>
      <c r="F54" s="1218"/>
      <c r="G54" s="1204"/>
      <c r="H54" s="32"/>
      <c r="I54" s="18"/>
    </row>
    <row r="55" spans="1:9" s="3" customFormat="1" x14ac:dyDescent="0.25">
      <c r="A55" s="621"/>
      <c r="B55" s="86"/>
      <c r="C55" s="179"/>
      <c r="D55" s="19"/>
      <c r="E55" s="74"/>
      <c r="F55" s="1218"/>
      <c r="G55" s="1204"/>
      <c r="H55" s="32"/>
      <c r="I55" s="18"/>
    </row>
    <row r="56" spans="1:9" s="3" customFormat="1" ht="46.2" customHeight="1" x14ac:dyDescent="0.25">
      <c r="A56" s="621"/>
      <c r="B56" s="86" t="s">
        <v>302</v>
      </c>
      <c r="C56" s="179"/>
      <c r="D56" s="19"/>
      <c r="E56" s="74"/>
      <c r="F56" s="1218"/>
      <c r="G56" s="1204"/>
      <c r="H56" s="32"/>
      <c r="I56" s="18"/>
    </row>
    <row r="57" spans="1:9" s="3" customFormat="1" x14ac:dyDescent="0.25">
      <c r="A57" s="621"/>
      <c r="B57" s="86"/>
      <c r="C57" s="179"/>
      <c r="D57" s="19"/>
      <c r="E57" s="74"/>
      <c r="F57" s="1218"/>
      <c r="G57" s="1204"/>
      <c r="H57" s="32"/>
      <c r="I57" s="18"/>
    </row>
    <row r="58" spans="1:9" s="3" customFormat="1" ht="29.4" customHeight="1" x14ac:dyDescent="0.25">
      <c r="A58" s="621"/>
      <c r="B58" s="86" t="s">
        <v>303</v>
      </c>
      <c r="C58" s="179"/>
      <c r="D58" s="19"/>
      <c r="E58" s="74"/>
      <c r="F58" s="1218"/>
      <c r="G58" s="1204"/>
      <c r="H58" s="32"/>
      <c r="I58" s="18"/>
    </row>
    <row r="59" spans="1:9" s="3" customFormat="1" x14ac:dyDescent="0.25">
      <c r="A59" s="621"/>
      <c r="B59" s="86"/>
      <c r="C59" s="179"/>
      <c r="D59" s="19"/>
      <c r="E59" s="74"/>
      <c r="F59" s="1218"/>
      <c r="G59" s="1204"/>
      <c r="H59" s="32"/>
      <c r="I59" s="18"/>
    </row>
    <row r="60" spans="1:9" s="3" customFormat="1" ht="43.8" customHeight="1" x14ac:dyDescent="0.25">
      <c r="A60" s="621"/>
      <c r="B60" s="86" t="s">
        <v>304</v>
      </c>
      <c r="C60" s="179"/>
      <c r="D60" s="19"/>
      <c r="E60" s="74"/>
      <c r="F60" s="1218"/>
      <c r="G60" s="1204"/>
      <c r="H60" s="32"/>
      <c r="I60" s="18"/>
    </row>
    <row r="61" spans="1:9" s="3" customFormat="1" x14ac:dyDescent="0.25">
      <c r="A61" s="621"/>
      <c r="B61" s="86"/>
      <c r="C61" s="179"/>
      <c r="D61" s="19"/>
      <c r="E61" s="74"/>
      <c r="F61" s="1218"/>
      <c r="G61" s="1204"/>
      <c r="H61" s="32"/>
      <c r="I61" s="18"/>
    </row>
    <row r="62" spans="1:9" s="3" customFormat="1" ht="102" customHeight="1" x14ac:dyDescent="0.25">
      <c r="A62" s="621"/>
      <c r="B62" s="86" t="s">
        <v>305</v>
      </c>
      <c r="C62" s="179"/>
      <c r="D62" s="19"/>
      <c r="E62" s="74"/>
      <c r="F62" s="1218"/>
      <c r="G62" s="1204"/>
      <c r="H62" s="32"/>
      <c r="I62" s="18"/>
    </row>
    <row r="63" spans="1:9" s="3" customFormat="1" x14ac:dyDescent="0.25">
      <c r="A63" s="621"/>
      <c r="B63" s="86"/>
      <c r="C63" s="179"/>
      <c r="D63" s="19"/>
      <c r="E63" s="74"/>
      <c r="F63" s="1218"/>
      <c r="G63" s="1204"/>
      <c r="H63" s="32"/>
      <c r="I63" s="18"/>
    </row>
    <row r="64" spans="1:9" s="3" customFormat="1" ht="27.6" x14ac:dyDescent="0.25">
      <c r="A64" s="1200">
        <f>A44+0.01</f>
        <v>1.04</v>
      </c>
      <c r="B64" s="405" t="s">
        <v>330</v>
      </c>
      <c r="C64" s="174" t="s">
        <v>518</v>
      </c>
      <c r="D64" s="1201">
        <v>1</v>
      </c>
      <c r="E64" s="358" t="s">
        <v>10</v>
      </c>
      <c r="F64" s="1218"/>
      <c r="G64" s="1204"/>
      <c r="H64" s="714"/>
      <c r="I64" s="1216" t="s">
        <v>1246</v>
      </c>
    </row>
    <row r="65" spans="1:10" s="3" customFormat="1" x14ac:dyDescent="0.25">
      <c r="A65" s="621"/>
      <c r="B65" s="86"/>
      <c r="C65" s="179"/>
      <c r="D65" s="19"/>
      <c r="E65" s="74"/>
      <c r="F65" s="1218"/>
      <c r="G65" s="1204"/>
      <c r="H65" s="32"/>
      <c r="I65" s="18"/>
    </row>
    <row r="66" spans="1:10" s="3" customFormat="1" x14ac:dyDescent="0.25">
      <c r="A66" s="621"/>
      <c r="B66" s="86" t="s">
        <v>306</v>
      </c>
      <c r="C66" s="179"/>
      <c r="D66" s="19"/>
      <c r="E66" s="74"/>
      <c r="F66" s="1218"/>
      <c r="G66" s="1204"/>
      <c r="H66" s="32"/>
      <c r="I66" s="18"/>
    </row>
    <row r="67" spans="1:10" s="3" customFormat="1" ht="27.6" x14ac:dyDescent="0.25">
      <c r="A67" s="621"/>
      <c r="B67" s="86" t="s">
        <v>307</v>
      </c>
      <c r="C67" s="179"/>
      <c r="D67" s="19"/>
      <c r="E67" s="74"/>
      <c r="F67" s="1218"/>
      <c r="G67" s="1204"/>
      <c r="H67" s="32"/>
      <c r="I67" s="18"/>
    </row>
    <row r="68" spans="1:10" s="3" customFormat="1" ht="27.6" x14ac:dyDescent="0.25">
      <c r="A68" s="621"/>
      <c r="B68" s="86" t="s">
        <v>494</v>
      </c>
      <c r="C68" s="179"/>
      <c r="D68" s="19"/>
      <c r="E68" s="74"/>
      <c r="F68" s="1218"/>
      <c r="G68" s="1204"/>
      <c r="H68" s="32"/>
      <c r="I68" s="18"/>
    </row>
    <row r="69" spans="1:10" s="3" customFormat="1" x14ac:dyDescent="0.25">
      <c r="A69" s="621"/>
      <c r="B69" s="86"/>
      <c r="C69" s="179"/>
      <c r="D69" s="19"/>
      <c r="E69" s="74"/>
      <c r="F69" s="1218"/>
      <c r="G69" s="1204"/>
      <c r="H69" s="32"/>
      <c r="I69" s="18"/>
    </row>
    <row r="70" spans="1:10" s="3" customFormat="1" hidden="1" x14ac:dyDescent="0.25">
      <c r="A70" s="631">
        <v>2</v>
      </c>
      <c r="B70" s="290" t="s">
        <v>308</v>
      </c>
      <c r="C70" s="291"/>
      <c r="D70" s="192"/>
      <c r="E70" s="193"/>
      <c r="F70" s="1222"/>
      <c r="G70" s="1206"/>
      <c r="H70" s="194"/>
      <c r="I70" s="632"/>
    </row>
    <row r="71" spans="1:10" s="3" customFormat="1" hidden="1" x14ac:dyDescent="0.25">
      <c r="A71" s="621"/>
      <c r="B71" s="86"/>
      <c r="C71" s="179"/>
      <c r="D71" s="19"/>
      <c r="E71" s="74"/>
      <c r="F71" s="1218"/>
      <c r="G71" s="1204"/>
      <c r="H71" s="32"/>
      <c r="I71" s="18"/>
    </row>
    <row r="72" spans="1:10" s="3" customFormat="1" ht="87" hidden="1" customHeight="1" x14ac:dyDescent="0.25">
      <c r="A72" s="621">
        <f>A70+0.01</f>
        <v>2.0099999999999998</v>
      </c>
      <c r="B72" s="86" t="s">
        <v>601</v>
      </c>
      <c r="C72" s="179" t="s">
        <v>158</v>
      </c>
      <c r="D72" s="19">
        <v>1</v>
      </c>
      <c r="E72" s="74" t="s">
        <v>10</v>
      </c>
      <c r="F72" s="1218"/>
      <c r="G72" s="1204"/>
      <c r="H72" s="32"/>
      <c r="I72" s="18"/>
      <c r="J72" s="626"/>
    </row>
    <row r="73" spans="1:10" s="3" customFormat="1" ht="18" hidden="1" customHeight="1" x14ac:dyDescent="0.25">
      <c r="A73" s="621"/>
      <c r="B73" s="86" t="s">
        <v>309</v>
      </c>
      <c r="C73" s="179"/>
      <c r="D73" s="19"/>
      <c r="E73" s="74"/>
      <c r="F73" s="1218"/>
      <c r="G73" s="1204"/>
      <c r="H73" s="32"/>
      <c r="I73" s="18"/>
    </row>
    <row r="74" spans="1:10" s="3" customFormat="1" ht="27.6" hidden="1" x14ac:dyDescent="0.25">
      <c r="A74" s="621"/>
      <c r="B74" s="86" t="s">
        <v>580</v>
      </c>
      <c r="C74" s="179"/>
      <c r="D74" s="19"/>
      <c r="E74" s="74"/>
      <c r="F74" s="1218"/>
      <c r="G74" s="1204"/>
      <c r="H74" s="32"/>
      <c r="I74" s="18"/>
    </row>
    <row r="75" spans="1:10" s="3" customFormat="1" ht="27.6" hidden="1" x14ac:dyDescent="0.25">
      <c r="A75" s="621"/>
      <c r="B75" s="86" t="s">
        <v>581</v>
      </c>
      <c r="C75" s="179"/>
      <c r="D75" s="19"/>
      <c r="E75" s="74"/>
      <c r="F75" s="1218"/>
      <c r="G75" s="1204"/>
      <c r="H75" s="32"/>
      <c r="I75" s="18"/>
    </row>
    <row r="76" spans="1:10" s="3" customFormat="1" ht="27.6" hidden="1" x14ac:dyDescent="0.25">
      <c r="A76" s="621"/>
      <c r="B76" s="86" t="s">
        <v>599</v>
      </c>
      <c r="C76" s="179"/>
      <c r="D76" s="19"/>
      <c r="E76" s="74"/>
      <c r="F76" s="1218"/>
      <c r="G76" s="1204"/>
      <c r="H76" s="32"/>
      <c r="I76" s="18"/>
    </row>
    <row r="77" spans="1:10" s="3" customFormat="1" hidden="1" x14ac:dyDescent="0.25">
      <c r="A77" s="621"/>
      <c r="B77" s="86" t="s">
        <v>554</v>
      </c>
      <c r="C77" s="179"/>
      <c r="D77" s="19"/>
      <c r="E77" s="74"/>
      <c r="F77" s="1218"/>
      <c r="G77" s="1204"/>
      <c r="H77" s="32"/>
      <c r="I77" s="18"/>
    </row>
    <row r="78" spans="1:10" s="3" customFormat="1" ht="27.6" hidden="1" x14ac:dyDescent="0.25">
      <c r="A78" s="621"/>
      <c r="B78" s="86" t="s">
        <v>582</v>
      </c>
      <c r="C78" s="179"/>
      <c r="D78" s="19"/>
      <c r="E78" s="74"/>
      <c r="F78" s="1218"/>
      <c r="G78" s="1204"/>
      <c r="H78" s="32"/>
      <c r="I78" s="18"/>
    </row>
    <row r="79" spans="1:10" s="3" customFormat="1" hidden="1" x14ac:dyDescent="0.25">
      <c r="A79" s="621"/>
      <c r="B79" s="86" t="s">
        <v>597</v>
      </c>
      <c r="C79" s="179"/>
      <c r="D79" s="19"/>
      <c r="E79" s="74"/>
      <c r="F79" s="1218"/>
      <c r="G79" s="1204"/>
      <c r="H79" s="32"/>
      <c r="I79" s="18"/>
    </row>
    <row r="80" spans="1:10" s="3" customFormat="1" hidden="1" x14ac:dyDescent="0.25">
      <c r="A80" s="621"/>
      <c r="B80" s="86" t="s">
        <v>598</v>
      </c>
      <c r="C80" s="179"/>
      <c r="D80" s="19"/>
      <c r="E80" s="74"/>
      <c r="F80" s="1218"/>
      <c r="G80" s="1204"/>
      <c r="H80" s="32"/>
      <c r="I80" s="18"/>
    </row>
    <row r="81" spans="1:9" s="3" customFormat="1" hidden="1" x14ac:dyDescent="0.25">
      <c r="A81" s="621"/>
      <c r="B81" s="86" t="s">
        <v>605</v>
      </c>
      <c r="C81" s="179"/>
      <c r="D81" s="19"/>
      <c r="E81" s="74"/>
      <c r="F81" s="1218"/>
      <c r="G81" s="1204"/>
      <c r="H81" s="32"/>
      <c r="I81" s="18"/>
    </row>
    <row r="82" spans="1:9" s="3" customFormat="1" hidden="1" x14ac:dyDescent="0.25">
      <c r="A82" s="621"/>
      <c r="B82" s="86"/>
      <c r="C82" s="179"/>
      <c r="D82" s="19"/>
      <c r="E82" s="74"/>
      <c r="F82" s="1218"/>
      <c r="G82" s="1204"/>
      <c r="H82" s="32"/>
      <c r="I82" s="18"/>
    </row>
    <row r="83" spans="1:9" s="3" customFormat="1" x14ac:dyDescent="0.25">
      <c r="A83" s="620">
        <v>2</v>
      </c>
      <c r="B83" s="132" t="s">
        <v>310</v>
      </c>
      <c r="C83" s="180"/>
      <c r="D83" s="19"/>
      <c r="E83" s="74"/>
      <c r="F83" s="1218"/>
      <c r="G83" s="1204"/>
      <c r="H83" s="32"/>
      <c r="I83" s="18"/>
    </row>
    <row r="84" spans="1:9" s="3" customFormat="1" x14ac:dyDescent="0.25">
      <c r="A84" s="621"/>
      <c r="B84" s="86"/>
      <c r="C84" s="179"/>
      <c r="D84" s="19"/>
      <c r="E84" s="74"/>
      <c r="F84" s="1218"/>
      <c r="G84" s="1204"/>
      <c r="H84" s="32"/>
      <c r="I84" s="18"/>
    </row>
    <row r="85" spans="1:9" s="3" customFormat="1" ht="101.4" customHeight="1" x14ac:dyDescent="0.25">
      <c r="A85" s="1200">
        <f>A83+0.01</f>
        <v>2.0099999999999998</v>
      </c>
      <c r="B85" s="405" t="s">
        <v>741</v>
      </c>
      <c r="C85" s="174" t="s">
        <v>158</v>
      </c>
      <c r="D85" s="1201">
        <v>1</v>
      </c>
      <c r="E85" s="358" t="s">
        <v>10</v>
      </c>
      <c r="F85" s="1218">
        <v>180000</v>
      </c>
      <c r="G85" s="1182">
        <f>+$J$1</f>
        <v>1</v>
      </c>
      <c r="H85" s="1183">
        <f>ROUNDUP(F85/G85,-1)</f>
        <v>180000</v>
      </c>
      <c r="I85" s="1184">
        <f>+H85*D85</f>
        <v>180000</v>
      </c>
    </row>
    <row r="86" spans="1:9" s="3" customFormat="1" x14ac:dyDescent="0.25">
      <c r="A86" s="621"/>
      <c r="B86" s="86"/>
      <c r="C86" s="179"/>
      <c r="D86" s="19"/>
      <c r="E86" s="74"/>
      <c r="F86" s="1218"/>
      <c r="G86" s="1204"/>
      <c r="H86" s="32"/>
      <c r="I86" s="18"/>
    </row>
    <row r="87" spans="1:9" s="3" customFormat="1" ht="14.4" thickBot="1" x14ac:dyDescent="0.3">
      <c r="A87" s="622"/>
      <c r="B87" s="633"/>
      <c r="C87" s="634"/>
      <c r="D87" s="20"/>
      <c r="E87" s="625"/>
      <c r="F87" s="1221"/>
      <c r="G87" s="1205"/>
      <c r="H87" s="33"/>
      <c r="I87" s="21"/>
    </row>
    <row r="88" spans="1:9" s="3" customFormat="1" ht="42" hidden="1" thickBot="1" x14ac:dyDescent="0.3">
      <c r="A88" s="135" t="e">
        <f>#REF!+0.01</f>
        <v>#REF!</v>
      </c>
      <c r="B88" s="86" t="s">
        <v>556</v>
      </c>
      <c r="C88" s="179" t="s">
        <v>158</v>
      </c>
      <c r="D88" s="19">
        <v>1</v>
      </c>
      <c r="E88" s="74" t="s">
        <v>10</v>
      </c>
      <c r="F88" s="1218"/>
      <c r="G88" s="1204"/>
      <c r="H88" s="32"/>
      <c r="I88" s="84"/>
    </row>
    <row r="89" spans="1:9" s="3" customFormat="1" ht="14.4" hidden="1" thickBot="1" x14ac:dyDescent="0.3">
      <c r="A89" s="134">
        <v>3</v>
      </c>
      <c r="B89" s="132" t="s">
        <v>311</v>
      </c>
      <c r="C89" s="180"/>
      <c r="D89" s="19"/>
      <c r="E89" s="74"/>
      <c r="F89" s="1218"/>
      <c r="G89" s="1204"/>
      <c r="H89" s="32"/>
      <c r="I89" s="84"/>
    </row>
    <row r="90" spans="1:9" s="3" customFormat="1" ht="14.4" hidden="1" thickBot="1" x14ac:dyDescent="0.3">
      <c r="A90" s="135"/>
      <c r="B90" s="86"/>
      <c r="C90" s="179"/>
      <c r="D90" s="19"/>
      <c r="E90" s="74"/>
      <c r="F90" s="1218"/>
      <c r="G90" s="1204"/>
      <c r="H90" s="32"/>
      <c r="I90" s="84"/>
    </row>
    <row r="91" spans="1:9" s="3" customFormat="1" ht="42" hidden="1" thickBot="1" x14ac:dyDescent="0.3">
      <c r="A91" s="135">
        <f>A89+0.01</f>
        <v>3.01</v>
      </c>
      <c r="B91" s="133" t="s">
        <v>312</v>
      </c>
      <c r="C91" s="179" t="s">
        <v>159</v>
      </c>
      <c r="D91" s="19">
        <v>1</v>
      </c>
      <c r="E91" s="74" t="s">
        <v>10</v>
      </c>
      <c r="F91" s="1218"/>
      <c r="G91" s="1204"/>
      <c r="H91" s="32"/>
      <c r="I91" s="84"/>
    </row>
    <row r="92" spans="1:9" s="3" customFormat="1" ht="14.4" hidden="1" thickBot="1" x14ac:dyDescent="0.3">
      <c r="A92" s="135"/>
      <c r="B92" s="86" t="s">
        <v>619</v>
      </c>
      <c r="C92" s="179"/>
      <c r="D92" s="19"/>
      <c r="E92" s="74"/>
      <c r="F92" s="1218"/>
      <c r="G92" s="1204"/>
      <c r="H92" s="32"/>
      <c r="I92" s="84"/>
    </row>
    <row r="93" spans="1:9" s="3" customFormat="1" ht="28.2" hidden="1" thickBot="1" x14ac:dyDescent="0.3">
      <c r="A93" s="135"/>
      <c r="B93" s="86" t="s">
        <v>594</v>
      </c>
      <c r="C93" s="179"/>
      <c r="D93" s="19"/>
      <c r="E93" s="74"/>
      <c r="F93" s="1218"/>
      <c r="G93" s="1204"/>
      <c r="H93" s="32"/>
      <c r="I93" s="84"/>
    </row>
    <row r="94" spans="1:9" s="3" customFormat="1" ht="28.2" hidden="1" thickBot="1" x14ac:dyDescent="0.3">
      <c r="A94" s="135"/>
      <c r="B94" s="86" t="s">
        <v>595</v>
      </c>
      <c r="C94" s="179"/>
      <c r="D94" s="19"/>
      <c r="E94" s="74"/>
      <c r="F94" s="1218"/>
      <c r="G94" s="1204"/>
      <c r="H94" s="32"/>
      <c r="I94" s="84"/>
    </row>
    <row r="95" spans="1:9" s="3" customFormat="1" ht="28.2" hidden="1" thickBot="1" x14ac:dyDescent="0.3">
      <c r="A95" s="135"/>
      <c r="B95" s="86" t="s">
        <v>596</v>
      </c>
      <c r="C95" s="179"/>
      <c r="D95" s="19"/>
      <c r="E95" s="74"/>
      <c r="F95" s="1218"/>
      <c r="G95" s="1204"/>
      <c r="H95" s="32"/>
      <c r="I95" s="84"/>
    </row>
    <row r="96" spans="1:9" s="3" customFormat="1" ht="14.4" hidden="1" thickBot="1" x14ac:dyDescent="0.3">
      <c r="A96" s="135"/>
      <c r="B96" s="86" t="s">
        <v>555</v>
      </c>
      <c r="C96" s="179"/>
      <c r="D96" s="19"/>
      <c r="E96" s="74"/>
      <c r="F96" s="1218"/>
      <c r="G96" s="1204"/>
      <c r="H96" s="32"/>
      <c r="I96" s="84"/>
    </row>
    <row r="97" spans="1:9" s="3" customFormat="1" ht="14.4" hidden="1" thickBot="1" x14ac:dyDescent="0.3">
      <c r="A97" s="135"/>
      <c r="B97" s="86"/>
      <c r="C97" s="179"/>
      <c r="D97" s="19"/>
      <c r="E97" s="74"/>
      <c r="F97" s="1218"/>
      <c r="G97" s="1204"/>
      <c r="H97" s="32"/>
      <c r="I97" s="84"/>
    </row>
    <row r="98" spans="1:9" s="3" customFormat="1" x14ac:dyDescent="0.25">
      <c r="A98" s="635">
        <v>3</v>
      </c>
      <c r="B98" s="636" t="s">
        <v>313</v>
      </c>
      <c r="C98" s="637"/>
      <c r="D98" s="627"/>
      <c r="E98" s="628"/>
      <c r="F98" s="1220"/>
      <c r="G98" s="1203"/>
      <c r="H98" s="629"/>
      <c r="I98" s="630"/>
    </row>
    <row r="99" spans="1:9" s="3" customFormat="1" x14ac:dyDescent="0.25">
      <c r="A99" s="620"/>
      <c r="B99" s="132"/>
      <c r="C99" s="180"/>
      <c r="D99" s="19"/>
      <c r="E99" s="74"/>
      <c r="F99" s="1218"/>
      <c r="G99" s="1204"/>
      <c r="H99" s="32"/>
      <c r="I99" s="18"/>
    </row>
    <row r="100" spans="1:9" s="3" customFormat="1" ht="92.4" customHeight="1" x14ac:dyDescent="0.25">
      <c r="A100" s="1200">
        <f>A98+0.01</f>
        <v>3.01</v>
      </c>
      <c r="B100" s="405" t="s">
        <v>585</v>
      </c>
      <c r="C100" s="174" t="s">
        <v>161</v>
      </c>
      <c r="D100" s="1201">
        <v>1</v>
      </c>
      <c r="E100" s="358" t="s">
        <v>10</v>
      </c>
      <c r="F100" s="1218">
        <v>75000</v>
      </c>
      <c r="G100" s="1182">
        <f>+$J$1</f>
        <v>1</v>
      </c>
      <c r="H100" s="1183">
        <f>ROUNDUP(F100/G100,-1)</f>
        <v>75000</v>
      </c>
      <c r="I100" s="1184">
        <f>+H100*D100</f>
        <v>75000</v>
      </c>
    </row>
    <row r="101" spans="1:9" s="3" customFormat="1" x14ac:dyDescent="0.25">
      <c r="A101" s="621"/>
      <c r="B101" s="86"/>
      <c r="C101" s="179"/>
      <c r="D101" s="19"/>
      <c r="E101" s="74"/>
      <c r="F101" s="1218"/>
      <c r="G101" s="1204"/>
      <c r="H101" s="32"/>
      <c r="I101" s="18"/>
    </row>
    <row r="102" spans="1:9" s="3" customFormat="1" x14ac:dyDescent="0.25">
      <c r="A102" s="620">
        <v>4</v>
      </c>
      <c r="B102" s="132" t="s">
        <v>314</v>
      </c>
      <c r="C102" s="180"/>
      <c r="D102" s="19"/>
      <c r="E102" s="74"/>
      <c r="F102" s="1218"/>
      <c r="G102" s="1204"/>
      <c r="H102" s="32"/>
      <c r="I102" s="18"/>
    </row>
    <row r="103" spans="1:9" s="3" customFormat="1" x14ac:dyDescent="0.25">
      <c r="A103" s="621"/>
      <c r="B103" s="132"/>
      <c r="C103" s="180"/>
      <c r="D103" s="19"/>
      <c r="E103" s="74"/>
      <c r="F103" s="1218"/>
      <c r="G103" s="1204"/>
      <c r="H103" s="32"/>
      <c r="I103" s="18"/>
    </row>
    <row r="104" spans="1:9" s="3" customFormat="1" ht="55.2" x14ac:dyDescent="0.25">
      <c r="A104" s="1200">
        <f>A102+0.01</f>
        <v>4.01</v>
      </c>
      <c r="B104" s="359" t="s">
        <v>629</v>
      </c>
      <c r="C104" s="174" t="s">
        <v>159</v>
      </c>
      <c r="D104" s="1201">
        <v>1</v>
      </c>
      <c r="E104" s="358" t="s">
        <v>10</v>
      </c>
      <c r="F104" s="1218"/>
      <c r="G104" s="1182"/>
      <c r="H104" s="1183"/>
      <c r="I104" s="1210" t="s">
        <v>1246</v>
      </c>
    </row>
    <row r="105" spans="1:9" s="3" customFormat="1" x14ac:dyDescent="0.25">
      <c r="A105" s="621"/>
      <c r="B105" s="281" t="s">
        <v>586</v>
      </c>
      <c r="C105" s="179"/>
      <c r="D105" s="19"/>
      <c r="E105" s="74"/>
      <c r="F105" s="1218"/>
      <c r="G105" s="1204"/>
      <c r="H105" s="32"/>
      <c r="I105" s="18"/>
    </row>
    <row r="106" spans="1:9" s="3" customFormat="1" x14ac:dyDescent="0.25">
      <c r="A106" s="621"/>
      <c r="B106" s="281" t="s">
        <v>587</v>
      </c>
      <c r="C106" s="179"/>
      <c r="D106" s="19"/>
      <c r="E106" s="74"/>
      <c r="F106" s="1218"/>
      <c r="G106" s="1204"/>
      <c r="H106" s="32"/>
      <c r="I106" s="18"/>
    </row>
    <row r="107" spans="1:9" s="3" customFormat="1" x14ac:dyDescent="0.25">
      <c r="A107" s="621"/>
      <c r="B107" s="281" t="s">
        <v>627</v>
      </c>
      <c r="C107" s="179"/>
      <c r="D107" s="19"/>
      <c r="E107" s="74"/>
      <c r="F107" s="1218"/>
      <c r="G107" s="1204"/>
      <c r="H107" s="32"/>
      <c r="I107" s="18"/>
    </row>
    <row r="108" spans="1:9" s="3" customFormat="1" x14ac:dyDescent="0.25">
      <c r="A108" s="621"/>
      <c r="B108" s="281"/>
      <c r="C108" s="179"/>
      <c r="D108" s="19"/>
      <c r="E108" s="74"/>
      <c r="F108" s="1218"/>
      <c r="G108" s="1204"/>
      <c r="H108" s="32"/>
      <c r="I108" s="18"/>
    </row>
    <row r="109" spans="1:9" s="3" customFormat="1" x14ac:dyDescent="0.25">
      <c r="A109" s="620">
        <v>5</v>
      </c>
      <c r="B109" s="81" t="s">
        <v>315</v>
      </c>
      <c r="C109" s="173"/>
      <c r="D109" s="19"/>
      <c r="E109" s="74"/>
      <c r="F109" s="1218"/>
      <c r="G109" s="1204"/>
      <c r="H109" s="32"/>
      <c r="I109" s="18"/>
    </row>
    <row r="110" spans="1:9" s="3" customFormat="1" x14ac:dyDescent="0.25">
      <c r="A110" s="621"/>
      <c r="B110" s="131"/>
      <c r="C110" s="178"/>
      <c r="D110" s="19"/>
      <c r="E110" s="74"/>
      <c r="F110" s="1218"/>
      <c r="G110" s="1204"/>
      <c r="H110" s="32"/>
      <c r="I110" s="18"/>
    </row>
    <row r="111" spans="1:9" s="3" customFormat="1" ht="55.2" x14ac:dyDescent="0.25">
      <c r="A111" s="1200">
        <f>A109+0.01</f>
        <v>5.01</v>
      </c>
      <c r="B111" s="138" t="s">
        <v>316</v>
      </c>
      <c r="C111" s="174" t="s">
        <v>159</v>
      </c>
      <c r="D111" s="1201">
        <v>1</v>
      </c>
      <c r="E111" s="358" t="s">
        <v>10</v>
      </c>
      <c r="F111" s="1218">
        <v>150000</v>
      </c>
      <c r="G111" s="1182">
        <f>+$J$1</f>
        <v>1</v>
      </c>
      <c r="H111" s="1183">
        <f>ROUNDUP(F111/G111,-1)</f>
        <v>150000</v>
      </c>
      <c r="I111" s="1184">
        <f>+H111*D111</f>
        <v>150000</v>
      </c>
    </row>
    <row r="112" spans="1:9" s="3" customFormat="1" x14ac:dyDescent="0.25">
      <c r="A112" s="620">
        <v>6</v>
      </c>
      <c r="B112" s="81" t="s">
        <v>317</v>
      </c>
      <c r="C112" s="173"/>
      <c r="D112" s="19"/>
      <c r="E112" s="74"/>
      <c r="F112" s="1218"/>
      <c r="G112" s="1204"/>
      <c r="H112" s="32"/>
      <c r="I112" s="18"/>
    </row>
    <row r="113" spans="1:9" s="3" customFormat="1" x14ac:dyDescent="0.25">
      <c r="A113" s="621"/>
      <c r="B113" s="131"/>
      <c r="C113" s="178"/>
      <c r="D113" s="19"/>
      <c r="E113" s="74"/>
      <c r="F113" s="1218"/>
      <c r="G113" s="1204"/>
      <c r="H113" s="32"/>
      <c r="I113" s="18"/>
    </row>
    <row r="114" spans="1:9" s="3" customFormat="1" ht="57" customHeight="1" x14ac:dyDescent="0.25">
      <c r="A114" s="1200">
        <f>A112+0.01</f>
        <v>6.01</v>
      </c>
      <c r="B114" s="405" t="s">
        <v>318</v>
      </c>
      <c r="C114" s="174" t="s">
        <v>159</v>
      </c>
      <c r="D114" s="1201">
        <v>1</v>
      </c>
      <c r="E114" s="358" t="s">
        <v>10</v>
      </c>
      <c r="F114" s="1218"/>
      <c r="G114" s="1182"/>
      <c r="H114" s="1183"/>
      <c r="I114" s="1202" t="s">
        <v>1245</v>
      </c>
    </row>
    <row r="115" spans="1:9" s="3" customFormat="1" x14ac:dyDescent="0.25">
      <c r="A115" s="621"/>
      <c r="B115" s="131"/>
      <c r="C115" s="178"/>
      <c r="D115" s="19"/>
      <c r="E115" s="74"/>
      <c r="F115" s="1218"/>
      <c r="G115" s="1204"/>
      <c r="H115" s="32"/>
      <c r="I115" s="18"/>
    </row>
    <row r="116" spans="1:9" s="3" customFormat="1" ht="59.4" customHeight="1" x14ac:dyDescent="0.25">
      <c r="A116" s="1200">
        <f>A114+0.01</f>
        <v>6.02</v>
      </c>
      <c r="B116" s="405" t="s">
        <v>319</v>
      </c>
      <c r="C116" s="174" t="s">
        <v>159</v>
      </c>
      <c r="D116" s="1201">
        <v>1</v>
      </c>
      <c r="E116" s="358" t="s">
        <v>10</v>
      </c>
      <c r="F116" s="1218"/>
      <c r="G116" s="1182"/>
      <c r="H116" s="1183"/>
      <c r="I116" s="1202" t="s">
        <v>1245</v>
      </c>
    </row>
    <row r="117" spans="1:9" s="3" customFormat="1" x14ac:dyDescent="0.25">
      <c r="A117" s="621"/>
      <c r="B117" s="131"/>
      <c r="C117" s="178"/>
      <c r="D117" s="19"/>
      <c r="E117" s="74"/>
      <c r="F117" s="1218"/>
      <c r="G117" s="1204"/>
      <c r="H117" s="32"/>
      <c r="I117" s="18"/>
    </row>
    <row r="118" spans="1:9" s="3" customFormat="1" ht="96.6" x14ac:dyDescent="0.25">
      <c r="A118" s="621">
        <f>A116+0.01</f>
        <v>6.0299999999999994</v>
      </c>
      <c r="B118" s="86" t="s">
        <v>583</v>
      </c>
      <c r="C118" s="179" t="s">
        <v>160</v>
      </c>
      <c r="D118" s="19">
        <v>1</v>
      </c>
      <c r="E118" s="74" t="s">
        <v>10</v>
      </c>
      <c r="F118" s="1218"/>
      <c r="G118" s="1182"/>
      <c r="H118" s="1183"/>
      <c r="I118" s="1202" t="s">
        <v>1245</v>
      </c>
    </row>
    <row r="119" spans="1:9" s="3" customFormat="1" ht="14.4" thickBot="1" x14ac:dyDescent="0.3">
      <c r="A119" s="621"/>
      <c r="B119" s="85"/>
      <c r="C119" s="179"/>
      <c r="D119" s="19"/>
      <c r="E119" s="74"/>
      <c r="F119" s="1218"/>
      <c r="G119" s="1204"/>
      <c r="H119" s="32"/>
      <c r="I119" s="18"/>
    </row>
    <row r="120" spans="1:9" s="3" customFormat="1" ht="28.2" thickBot="1" x14ac:dyDescent="0.3">
      <c r="A120" s="1225"/>
      <c r="B120" s="1226" t="s">
        <v>233</v>
      </c>
      <c r="C120" s="1227"/>
      <c r="D120" s="1228"/>
      <c r="E120" s="1199"/>
      <c r="F120" s="1223"/>
      <c r="G120" s="1207"/>
      <c r="H120" s="1229"/>
      <c r="I120" s="1230">
        <f>SUM(I3:I119)</f>
        <v>405000</v>
      </c>
    </row>
    <row r="121" spans="1:9" x14ac:dyDescent="0.25">
      <c r="B121" s="17"/>
      <c r="C121" s="16"/>
      <c r="D121" s="27"/>
      <c r="E121" s="16"/>
      <c r="G121" s="1208"/>
      <c r="H121" s="35"/>
      <c r="I121" s="16"/>
    </row>
  </sheetData>
  <pageMargins left="0.5" right="0.5" top="0.25" bottom="0.25" header="0.5" footer="0.5"/>
  <pageSetup scale="77" orientation="portrait" r:id="rId1"/>
  <headerFooter alignWithMargins="0">
    <oddFooter>&amp;C&amp;P</oddFooter>
  </headerFooter>
  <rowBreaks count="2" manualBreakCount="2">
    <brk id="50" max="8" man="1"/>
    <brk id="111"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F0"/>
  </sheetPr>
  <dimension ref="A1:I38"/>
  <sheetViews>
    <sheetView view="pageBreakPreview" zoomScaleNormal="85" zoomScaleSheetLayoutView="100" workbookViewId="0">
      <pane ySplit="1" topLeftCell="A28" activePane="bottomLeft" state="frozen"/>
      <selection activeCell="L14" sqref="L14:O28"/>
      <selection pane="bottomLeft" activeCell="E1" sqref="E1:F1048576"/>
    </sheetView>
  </sheetViews>
  <sheetFormatPr defaultColWidth="9.21875" defaultRowHeight="13.8" x14ac:dyDescent="0.25"/>
  <cols>
    <col min="1" max="1" width="8.21875" style="7" customWidth="1"/>
    <col min="2" max="2" width="52.33203125" style="6" customWidth="1"/>
    <col min="3" max="3" width="9.109375" style="8" customWidth="1"/>
    <col min="4" max="4" width="5.44140625" style="7" bestFit="1" customWidth="1"/>
    <col min="5" max="5" width="8.44140625" style="1181" customWidth="1"/>
    <col min="6" max="6" width="7.21875" style="1181" bestFit="1" customWidth="1"/>
    <col min="7" max="7" width="10.44140625" style="34" bestFit="1" customWidth="1"/>
    <col min="8" max="8" width="11.6640625" style="8" bestFit="1" customWidth="1"/>
    <col min="9" max="9" width="9.21875" style="4"/>
    <col min="10" max="10" width="26.88671875" style="4" customWidth="1"/>
    <col min="11" max="11" width="10" style="4" bestFit="1" customWidth="1"/>
    <col min="12" max="12" width="11" style="4" bestFit="1" customWidth="1"/>
    <col min="13" max="14" width="12.88671875" style="4" bestFit="1" customWidth="1"/>
    <col min="15" max="15" width="10.33203125" style="4" bestFit="1" customWidth="1"/>
    <col min="16" max="16384" width="9.21875" style="4"/>
  </cols>
  <sheetData>
    <row r="1" spans="1:9" s="3" customFormat="1" ht="14.4" thickBot="1" x14ac:dyDescent="0.3">
      <c r="A1" s="9" t="s">
        <v>0</v>
      </c>
      <c r="B1" s="10" t="s">
        <v>1</v>
      </c>
      <c r="C1" s="11" t="s">
        <v>2</v>
      </c>
      <c r="D1" s="12" t="s">
        <v>3</v>
      </c>
      <c r="E1" s="1176" t="s">
        <v>1238</v>
      </c>
      <c r="F1" s="1176" t="s">
        <v>1239</v>
      </c>
      <c r="G1" s="30" t="s">
        <v>4</v>
      </c>
      <c r="H1" s="13" t="s">
        <v>5</v>
      </c>
      <c r="I1" s="3">
        <f>+summary!D11</f>
        <v>0.75</v>
      </c>
    </row>
    <row r="2" spans="1:9" x14ac:dyDescent="0.25">
      <c r="A2" s="547"/>
      <c r="B2" s="196" t="s">
        <v>236</v>
      </c>
      <c r="C2" s="197"/>
      <c r="D2" s="116"/>
      <c r="E2" s="1177"/>
      <c r="F2" s="1177"/>
      <c r="G2" s="117"/>
      <c r="H2" s="540"/>
    </row>
    <row r="3" spans="1:9" x14ac:dyDescent="0.25">
      <c r="A3" s="542"/>
      <c r="B3" s="122"/>
      <c r="C3" s="96"/>
      <c r="D3" s="36"/>
      <c r="E3" s="1178"/>
      <c r="F3" s="1178"/>
      <c r="G3" s="75"/>
      <c r="H3" s="541"/>
    </row>
    <row r="4" spans="1:9" ht="27.6" customHeight="1" x14ac:dyDescent="0.25">
      <c r="A4" s="542"/>
      <c r="B4" s="219" t="s">
        <v>1035</v>
      </c>
      <c r="C4" s="96"/>
      <c r="D4" s="36"/>
      <c r="E4" s="1178"/>
      <c r="F4" s="1178"/>
      <c r="G4" s="75"/>
      <c r="H4" s="541"/>
    </row>
    <row r="5" spans="1:9" x14ac:dyDescent="0.25">
      <c r="A5" s="542"/>
      <c r="B5" s="122"/>
      <c r="C5" s="96"/>
      <c r="D5" s="36"/>
      <c r="E5" s="1178"/>
      <c r="F5" s="1178"/>
      <c r="G5" s="75"/>
      <c r="H5" s="541"/>
    </row>
    <row r="6" spans="1:9" ht="27.6" x14ac:dyDescent="0.25">
      <c r="A6" s="542"/>
      <c r="B6" s="122" t="s">
        <v>346</v>
      </c>
      <c r="C6" s="96"/>
      <c r="D6" s="36"/>
      <c r="E6" s="1178"/>
      <c r="F6" s="1178"/>
      <c r="G6" s="75"/>
      <c r="H6" s="541"/>
    </row>
    <row r="7" spans="1:9" x14ac:dyDescent="0.25">
      <c r="A7" s="542"/>
      <c r="B7" s="122"/>
      <c r="C7" s="96"/>
      <c r="D7" s="36"/>
      <c r="E7" s="1178"/>
      <c r="F7" s="1178"/>
      <c r="G7" s="75"/>
      <c r="H7" s="541"/>
    </row>
    <row r="8" spans="1:9" ht="113.4" customHeight="1" x14ac:dyDescent="0.25">
      <c r="A8" s="542"/>
      <c r="B8" s="219" t="s">
        <v>198</v>
      </c>
      <c r="C8" s="96"/>
      <c r="D8" s="36"/>
      <c r="E8" s="1178"/>
      <c r="F8" s="1178"/>
      <c r="G8" s="75"/>
      <c r="H8" s="541"/>
    </row>
    <row r="9" spans="1:9" x14ac:dyDescent="0.25">
      <c r="A9" s="542"/>
      <c r="B9" s="122" t="s">
        <v>199</v>
      </c>
      <c r="C9" s="96"/>
      <c r="D9" s="36"/>
      <c r="E9" s="1178"/>
      <c r="F9" s="1178"/>
      <c r="G9" s="75"/>
      <c r="H9" s="541"/>
    </row>
    <row r="10" spans="1:9" x14ac:dyDescent="0.25">
      <c r="A10" s="542"/>
      <c r="B10" s="122"/>
      <c r="C10" s="96"/>
      <c r="D10" s="36"/>
      <c r="E10" s="1178"/>
      <c r="F10" s="1178"/>
      <c r="G10" s="75"/>
      <c r="H10" s="541"/>
    </row>
    <row r="11" spans="1:9" ht="47.4" customHeight="1" x14ac:dyDescent="0.25">
      <c r="A11" s="542"/>
      <c r="B11" s="283" t="s">
        <v>459</v>
      </c>
      <c r="C11" s="96"/>
      <c r="D11" s="36"/>
      <c r="E11" s="1178"/>
      <c r="F11" s="1178"/>
      <c r="G11" s="75"/>
      <c r="H11" s="541"/>
    </row>
    <row r="12" spans="1:9" x14ac:dyDescent="0.25">
      <c r="A12" s="542"/>
      <c r="B12" s="122"/>
      <c r="C12" s="96"/>
      <c r="D12" s="36"/>
      <c r="E12" s="1178"/>
      <c r="F12" s="1178"/>
      <c r="G12" s="75"/>
      <c r="H12" s="541"/>
    </row>
    <row r="13" spans="1:9" ht="118.8" customHeight="1" x14ac:dyDescent="0.25">
      <c r="A13" s="542"/>
      <c r="B13" s="122" t="s">
        <v>576</v>
      </c>
      <c r="C13" s="96"/>
      <c r="D13" s="36"/>
      <c r="E13" s="1178"/>
      <c r="F13" s="1178"/>
      <c r="G13" s="75"/>
      <c r="H13" s="541"/>
    </row>
    <row r="14" spans="1:9" x14ac:dyDescent="0.25">
      <c r="A14" s="542"/>
      <c r="B14" s="122"/>
      <c r="C14" s="96"/>
      <c r="D14" s="36"/>
      <c r="E14" s="1178"/>
      <c r="F14" s="1178"/>
      <c r="G14" s="75"/>
      <c r="H14" s="541"/>
    </row>
    <row r="15" spans="1:9" ht="27.6" x14ac:dyDescent="0.25">
      <c r="A15" s="542"/>
      <c r="B15" s="122" t="s">
        <v>460</v>
      </c>
      <c r="C15" s="96"/>
      <c r="D15" s="36"/>
      <c r="E15" s="1178"/>
      <c r="F15" s="1178"/>
      <c r="G15" s="75"/>
      <c r="H15" s="541"/>
    </row>
    <row r="16" spans="1:9" x14ac:dyDescent="0.25">
      <c r="A16" s="542"/>
      <c r="B16" s="122"/>
      <c r="C16" s="96"/>
      <c r="D16" s="36"/>
      <c r="E16" s="1178"/>
      <c r="F16" s="1178"/>
      <c r="G16" s="75"/>
      <c r="H16" s="541"/>
    </row>
    <row r="17" spans="1:8" ht="85.8" customHeight="1" x14ac:dyDescent="0.25">
      <c r="A17" s="542"/>
      <c r="B17" s="122" t="s">
        <v>620</v>
      </c>
      <c r="C17" s="96"/>
      <c r="D17" s="36"/>
      <c r="E17" s="1178"/>
      <c r="F17" s="1178"/>
      <c r="G17" s="75"/>
      <c r="H17" s="541"/>
    </row>
    <row r="18" spans="1:8" ht="14.4" thickBot="1" x14ac:dyDescent="0.3">
      <c r="A18" s="545"/>
      <c r="B18" s="221"/>
      <c r="C18" s="199"/>
      <c r="D18" s="200"/>
      <c r="E18" s="1179"/>
      <c r="F18" s="1179"/>
      <c r="G18" s="201"/>
      <c r="H18" s="546"/>
    </row>
    <row r="19" spans="1:8" ht="48" customHeight="1" x14ac:dyDescent="0.25">
      <c r="A19" s="547" t="s">
        <v>237</v>
      </c>
      <c r="B19" s="584" t="s">
        <v>200</v>
      </c>
      <c r="C19" s="197"/>
      <c r="D19" s="116"/>
      <c r="E19" s="1177"/>
      <c r="F19" s="1177"/>
      <c r="G19" s="117"/>
      <c r="H19" s="540"/>
    </row>
    <row r="20" spans="1:8" ht="123.6" customHeight="1" x14ac:dyDescent="0.25">
      <c r="A20" s="542"/>
      <c r="B20" s="95" t="s">
        <v>756</v>
      </c>
      <c r="C20" s="96"/>
      <c r="D20" s="36"/>
      <c r="E20" s="1178"/>
      <c r="F20" s="1178"/>
      <c r="G20" s="36"/>
      <c r="H20" s="541"/>
    </row>
    <row r="21" spans="1:8" x14ac:dyDescent="0.25">
      <c r="A21" s="542" t="s">
        <v>238</v>
      </c>
      <c r="B21" s="95" t="s">
        <v>201</v>
      </c>
      <c r="C21" s="96">
        <f>'m shet Mr Ratheshon'!N103</f>
        <v>32</v>
      </c>
      <c r="D21" s="36" t="s">
        <v>635</v>
      </c>
      <c r="E21" s="1178">
        <f>+RBD!F943</f>
        <v>3467.0430000000001</v>
      </c>
      <c r="F21" s="1182">
        <f>+$I$1</f>
        <v>0.75</v>
      </c>
      <c r="G21" s="1183">
        <f>ROUNDUP(E21/F21,-1)</f>
        <v>4630</v>
      </c>
      <c r="H21" s="1184">
        <f>+G21*C21</f>
        <v>148160</v>
      </c>
    </row>
    <row r="22" spans="1:8" x14ac:dyDescent="0.25">
      <c r="A22" s="542" t="s">
        <v>239</v>
      </c>
      <c r="B22" s="95" t="s">
        <v>202</v>
      </c>
      <c r="C22" s="96">
        <f>'m shet Mr Ratheshon'!N106</f>
        <v>38</v>
      </c>
      <c r="D22" s="36" t="s">
        <v>635</v>
      </c>
      <c r="E22" s="1178">
        <f>+E21*1.02</f>
        <v>3536.3838600000004</v>
      </c>
      <c r="F22" s="1182">
        <f t="shared" ref="F22:F23" si="0">+$I$1</f>
        <v>0.75</v>
      </c>
      <c r="G22" s="1183">
        <f t="shared" ref="G22:G23" si="1">ROUNDUP(E22/F22,-1)</f>
        <v>4720</v>
      </c>
      <c r="H22" s="1184">
        <f>+G22*C22</f>
        <v>179360</v>
      </c>
    </row>
    <row r="23" spans="1:8" x14ac:dyDescent="0.25">
      <c r="A23" s="542" t="s">
        <v>631</v>
      </c>
      <c r="B23" s="95" t="s">
        <v>779</v>
      </c>
      <c r="C23" s="96">
        <f>'m shet Mr Ratheshon'!N112</f>
        <v>25</v>
      </c>
      <c r="D23" s="36" t="s">
        <v>635</v>
      </c>
      <c r="E23" s="1178">
        <f>+'RBD Material'!H38*10.76</f>
        <v>4788.2</v>
      </c>
      <c r="F23" s="1182">
        <f t="shared" si="0"/>
        <v>0.75</v>
      </c>
      <c r="G23" s="1183">
        <f t="shared" si="1"/>
        <v>6390</v>
      </c>
      <c r="H23" s="1184">
        <f t="shared" ref="H23" si="2">+G23*C23</f>
        <v>159750</v>
      </c>
    </row>
    <row r="24" spans="1:8" hidden="1" x14ac:dyDescent="0.25">
      <c r="A24" s="542" t="s">
        <v>632</v>
      </c>
      <c r="B24" s="95" t="s">
        <v>748</v>
      </c>
      <c r="C24" s="96"/>
      <c r="D24" s="36" t="s">
        <v>635</v>
      </c>
      <c r="E24" s="1178"/>
      <c r="F24" s="1178"/>
      <c r="G24" s="75"/>
      <c r="H24" s="541"/>
    </row>
    <row r="25" spans="1:8" x14ac:dyDescent="0.25">
      <c r="A25" s="542"/>
      <c r="B25" s="95"/>
      <c r="C25" s="96"/>
      <c r="D25" s="36"/>
      <c r="E25" s="1178"/>
      <c r="F25" s="1178"/>
      <c r="G25" s="75"/>
      <c r="H25" s="541"/>
    </row>
    <row r="26" spans="1:8" ht="44.4" customHeight="1" x14ac:dyDescent="0.25">
      <c r="A26" s="542" t="s">
        <v>240</v>
      </c>
      <c r="B26" s="95" t="s">
        <v>347</v>
      </c>
      <c r="C26" s="96"/>
      <c r="D26" s="36"/>
      <c r="E26" s="1178"/>
      <c r="F26" s="1178"/>
      <c r="G26" s="75"/>
      <c r="H26" s="541"/>
    </row>
    <row r="27" spans="1:8" x14ac:dyDescent="0.25">
      <c r="A27" s="542"/>
      <c r="B27" s="95"/>
      <c r="C27" s="96"/>
      <c r="D27" s="36"/>
      <c r="E27" s="1178"/>
      <c r="F27" s="1178"/>
      <c r="G27" s="75"/>
      <c r="H27" s="541"/>
    </row>
    <row r="28" spans="1:8" ht="124.2" x14ac:dyDescent="0.25">
      <c r="A28" s="542"/>
      <c r="B28" s="120" t="s">
        <v>1244</v>
      </c>
      <c r="C28" s="96"/>
      <c r="D28" s="36"/>
      <c r="E28" s="1178"/>
      <c r="F28" s="1178"/>
      <c r="G28" s="75"/>
      <c r="H28" s="541"/>
    </row>
    <row r="29" spans="1:8" x14ac:dyDescent="0.25">
      <c r="A29" s="542" t="s">
        <v>241</v>
      </c>
      <c r="B29" s="95" t="s">
        <v>201</v>
      </c>
      <c r="C29" s="96">
        <f>'m shet Mr Ratheshon'!N116</f>
        <v>11</v>
      </c>
      <c r="D29" s="36" t="s">
        <v>635</v>
      </c>
      <c r="E29" s="1178">
        <f>+E21</f>
        <v>3467.0430000000001</v>
      </c>
      <c r="F29" s="1182">
        <f t="shared" ref="F29:F31" si="3">+$I$1</f>
        <v>0.75</v>
      </c>
      <c r="G29" s="1183">
        <f t="shared" ref="G29" si="4">ROUNDUP(E29/F29,-1)</f>
        <v>4630</v>
      </c>
      <c r="H29" s="1184">
        <f>+G29*C29</f>
        <v>50930</v>
      </c>
    </row>
    <row r="30" spans="1:8" x14ac:dyDescent="0.25">
      <c r="A30" s="542" t="s">
        <v>242</v>
      </c>
      <c r="B30" s="95" t="s">
        <v>202</v>
      </c>
      <c r="C30" s="96">
        <f>'m shet Mr Ratheshon'!N123</f>
        <v>63</v>
      </c>
      <c r="D30" s="36" t="s">
        <v>635</v>
      </c>
      <c r="E30" s="1178">
        <f>+E29*1.02</f>
        <v>3536.3838600000004</v>
      </c>
      <c r="F30" s="1182">
        <f t="shared" si="3"/>
        <v>0.75</v>
      </c>
      <c r="G30" s="1183">
        <f t="shared" ref="G30:G31" si="5">ROUNDUP(E30/F30,-1)</f>
        <v>4720</v>
      </c>
      <c r="H30" s="1184">
        <f t="shared" ref="H30:H31" si="6">+G30*C30</f>
        <v>297360</v>
      </c>
    </row>
    <row r="31" spans="1:8" x14ac:dyDescent="0.25">
      <c r="A31" s="542" t="s">
        <v>636</v>
      </c>
      <c r="B31" s="95" t="s">
        <v>780</v>
      </c>
      <c r="C31" s="96">
        <f>'m shet Mr Ratheshon'!N127</f>
        <v>107</v>
      </c>
      <c r="D31" s="36" t="s">
        <v>635</v>
      </c>
      <c r="E31" s="1178">
        <f>+E23</f>
        <v>4788.2</v>
      </c>
      <c r="F31" s="1182">
        <f t="shared" si="3"/>
        <v>0.75</v>
      </c>
      <c r="G31" s="1183">
        <f t="shared" si="5"/>
        <v>6390</v>
      </c>
      <c r="H31" s="1184">
        <f t="shared" si="6"/>
        <v>683730</v>
      </c>
    </row>
    <row r="32" spans="1:8" hidden="1" x14ac:dyDescent="0.25">
      <c r="A32" s="542" t="s">
        <v>637</v>
      </c>
      <c r="B32" s="95" t="s">
        <v>751</v>
      </c>
      <c r="C32" s="96">
        <f>'m shet Mr Ratheshon'!N454</f>
        <v>0</v>
      </c>
      <c r="D32" s="36" t="s">
        <v>635</v>
      </c>
      <c r="E32" s="1178"/>
      <c r="F32" s="1178"/>
      <c r="G32" s="75"/>
      <c r="H32" s="541"/>
    </row>
    <row r="33" spans="1:8" ht="82.8" hidden="1" x14ac:dyDescent="0.25">
      <c r="A33" s="542" t="s">
        <v>638</v>
      </c>
      <c r="B33" s="95" t="s">
        <v>575</v>
      </c>
      <c r="C33" s="96"/>
      <c r="D33" s="36"/>
      <c r="E33" s="1178"/>
      <c r="F33" s="1178"/>
      <c r="G33" s="75"/>
      <c r="H33" s="541"/>
    </row>
    <row r="34" spans="1:8" hidden="1" x14ac:dyDescent="0.25">
      <c r="A34" s="542" t="s">
        <v>782</v>
      </c>
      <c r="B34" s="95" t="s">
        <v>634</v>
      </c>
      <c r="C34" s="96"/>
      <c r="D34" s="36" t="s">
        <v>635</v>
      </c>
      <c r="E34" s="1178"/>
      <c r="F34" s="1178"/>
      <c r="G34" s="75"/>
      <c r="H34" s="541"/>
    </row>
    <row r="35" spans="1:8" hidden="1" x14ac:dyDescent="0.25">
      <c r="A35" s="542" t="s">
        <v>783</v>
      </c>
      <c r="B35" s="95" t="s">
        <v>573</v>
      </c>
      <c r="C35" s="96"/>
      <c r="D35" s="36" t="s">
        <v>635</v>
      </c>
      <c r="E35" s="1178"/>
      <c r="F35" s="1178"/>
      <c r="G35" s="75"/>
      <c r="H35" s="541"/>
    </row>
    <row r="36" spans="1:8" hidden="1" x14ac:dyDescent="0.25">
      <c r="A36" s="542" t="s">
        <v>784</v>
      </c>
      <c r="B36" s="95" t="s">
        <v>639</v>
      </c>
      <c r="C36" s="96">
        <f>'m shet Mr Ratheshon'!N585</f>
        <v>0</v>
      </c>
      <c r="D36" s="36" t="s">
        <v>635</v>
      </c>
      <c r="E36" s="1178"/>
      <c r="F36" s="1178"/>
      <c r="G36" s="75"/>
      <c r="H36" s="541"/>
    </row>
    <row r="37" spans="1:8" ht="14.4" thickBot="1" x14ac:dyDescent="0.3">
      <c r="A37" s="545"/>
      <c r="B37" s="198"/>
      <c r="C37" s="199"/>
      <c r="D37" s="200"/>
      <c r="E37" s="1179"/>
      <c r="F37" s="1179"/>
      <c r="G37" s="201"/>
      <c r="H37" s="546"/>
    </row>
    <row r="38" spans="1:8" s="3" customFormat="1" ht="31.8" customHeight="1" thickBot="1" x14ac:dyDescent="0.3">
      <c r="A38" s="105"/>
      <c r="B38" s="552" t="s">
        <v>222</v>
      </c>
      <c r="C38" s="106"/>
      <c r="D38" s="107"/>
      <c r="E38" s="1180"/>
      <c r="F38" s="1180"/>
      <c r="G38" s="108"/>
      <c r="H38" s="655">
        <f>SUM(H19:H37)</f>
        <v>1519290</v>
      </c>
    </row>
  </sheetData>
  <pageMargins left="0.5" right="0.5" top="0.25" bottom="0.25" header="0.5" footer="0.5"/>
  <pageSetup orientation="portrait" r:id="rId1"/>
  <headerFooter alignWithMargins="0">
    <oddFooter>&amp;C&amp;P</oddFooter>
  </headerFooter>
  <rowBreaks count="1" manualBreakCount="1">
    <brk id="18" max="7"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1:S187"/>
  <sheetViews>
    <sheetView view="pageBreakPreview" topLeftCell="A190" zoomScaleNormal="85" zoomScaleSheetLayoutView="100" workbookViewId="0">
      <selection activeCell="E26" sqref="E26"/>
    </sheetView>
  </sheetViews>
  <sheetFormatPr defaultColWidth="9.21875" defaultRowHeight="13.8" x14ac:dyDescent="0.25"/>
  <cols>
    <col min="1" max="1" width="5.88671875" style="7" bestFit="1" customWidth="1"/>
    <col min="2" max="2" width="46.6640625" style="4" customWidth="1"/>
    <col min="3" max="3" width="8.88671875" style="8" customWidth="1"/>
    <col min="4" max="4" width="5.77734375" style="7" bestFit="1" customWidth="1"/>
    <col min="5" max="5" width="9.33203125" style="1181" customWidth="1"/>
    <col min="6" max="6" width="7.21875" style="1181" bestFit="1" customWidth="1"/>
    <col min="7" max="7" width="10.44140625" style="34" bestFit="1" customWidth="1"/>
    <col min="8" max="8" width="12.6640625" style="8" bestFit="1" customWidth="1"/>
    <col min="9" max="9" width="10.109375" style="4" bestFit="1" customWidth="1"/>
    <col min="10" max="12" width="10.109375" style="4" customWidth="1"/>
    <col min="13" max="13" width="12.44140625" style="4" bestFit="1" customWidth="1"/>
    <col min="14" max="14" width="10" style="4" bestFit="1" customWidth="1"/>
    <col min="15" max="15" width="11" style="4" bestFit="1" customWidth="1"/>
    <col min="16" max="17" width="12.88671875" style="4" bestFit="1" customWidth="1"/>
    <col min="18" max="18" width="10.33203125" style="4" bestFit="1" customWidth="1"/>
    <col min="19" max="16384" width="9.21875" style="4"/>
  </cols>
  <sheetData>
    <row r="1" spans="1:17" s="3" customFormat="1" ht="14.4" thickBot="1" x14ac:dyDescent="0.3">
      <c r="A1" s="9" t="s">
        <v>0</v>
      </c>
      <c r="B1" s="640" t="s">
        <v>1</v>
      </c>
      <c r="C1" s="11" t="s">
        <v>2</v>
      </c>
      <c r="D1" s="638" t="s">
        <v>3</v>
      </c>
      <c r="E1" s="1176" t="s">
        <v>1238</v>
      </c>
      <c r="F1" s="1176" t="s">
        <v>1239</v>
      </c>
      <c r="G1" s="30" t="s">
        <v>4</v>
      </c>
      <c r="H1" s="13" t="s">
        <v>5</v>
      </c>
      <c r="I1" s="3">
        <f>+summary!D8</f>
        <v>0.75</v>
      </c>
    </row>
    <row r="2" spans="1:17" s="3" customFormat="1" x14ac:dyDescent="0.25">
      <c r="A2" s="149"/>
      <c r="B2" s="161" t="s">
        <v>232</v>
      </c>
      <c r="C2" s="92"/>
      <c r="D2" s="36"/>
      <c r="E2" s="1178"/>
      <c r="F2" s="1178"/>
      <c r="G2" s="75"/>
      <c r="H2" s="541"/>
    </row>
    <row r="3" spans="1:17" s="3" customFormat="1" ht="20.100000000000001" customHeight="1" x14ac:dyDescent="0.25">
      <c r="A3" s="149"/>
      <c r="B3" s="161" t="s">
        <v>55</v>
      </c>
      <c r="C3" s="92"/>
      <c r="D3" s="36"/>
      <c r="E3" s="1178"/>
      <c r="F3" s="1178"/>
      <c r="G3" s="75"/>
      <c r="H3" s="541"/>
    </row>
    <row r="4" spans="1:17" s="3" customFormat="1" x14ac:dyDescent="0.25">
      <c r="A4" s="149"/>
      <c r="B4" s="145" t="s">
        <v>243</v>
      </c>
      <c r="C4" s="92"/>
      <c r="D4" s="36"/>
      <c r="E4" s="1178"/>
      <c r="F4" s="1178"/>
      <c r="G4" s="75"/>
      <c r="H4" s="541"/>
    </row>
    <row r="5" spans="1:17" s="3" customFormat="1" x14ac:dyDescent="0.25">
      <c r="A5" s="149"/>
      <c r="B5" s="145"/>
      <c r="C5" s="92"/>
      <c r="D5" s="36"/>
      <c r="E5" s="1178"/>
      <c r="F5" s="1178"/>
      <c r="G5" s="75"/>
      <c r="H5" s="541"/>
    </row>
    <row r="6" spans="1:17" s="3" customFormat="1" ht="27.6" x14ac:dyDescent="0.25">
      <c r="A6" s="149"/>
      <c r="B6" s="129" t="s">
        <v>331</v>
      </c>
      <c r="C6" s="92"/>
      <c r="D6" s="36"/>
      <c r="E6" s="1178"/>
      <c r="F6" s="1178"/>
      <c r="G6" s="75"/>
      <c r="H6" s="541"/>
    </row>
    <row r="7" spans="1:17" s="3" customFormat="1" x14ac:dyDescent="0.25">
      <c r="A7" s="149"/>
      <c r="B7" s="161"/>
      <c r="C7" s="92"/>
      <c r="D7" s="36"/>
      <c r="E7" s="1178"/>
      <c r="F7" s="1178"/>
      <c r="G7" s="75"/>
      <c r="H7" s="541"/>
    </row>
    <row r="8" spans="1:17" s="3" customFormat="1" ht="27.6" x14ac:dyDescent="0.25">
      <c r="A8" s="149"/>
      <c r="B8" s="129" t="s">
        <v>624</v>
      </c>
      <c r="C8" s="92"/>
      <c r="D8" s="36"/>
      <c r="E8" s="1178"/>
      <c r="F8" s="1178"/>
      <c r="G8" s="75"/>
      <c r="H8" s="541"/>
    </row>
    <row r="9" spans="1:17" s="3" customFormat="1" x14ac:dyDescent="0.25">
      <c r="A9" s="149"/>
      <c r="B9" s="161"/>
      <c r="C9" s="92"/>
      <c r="D9" s="36"/>
      <c r="E9" s="1178"/>
      <c r="F9" s="1178"/>
      <c r="G9" s="75"/>
      <c r="H9" s="541"/>
    </row>
    <row r="10" spans="1:17" s="3" customFormat="1" ht="55.2" x14ac:dyDescent="0.25">
      <c r="A10" s="149"/>
      <c r="B10" s="129" t="s">
        <v>244</v>
      </c>
      <c r="C10" s="92"/>
      <c r="D10" s="36"/>
      <c r="E10" s="1178"/>
      <c r="F10" s="1178"/>
      <c r="G10" s="75"/>
      <c r="H10" s="541"/>
      <c r="Q10" s="3">
        <f>H74+H169</f>
        <v>936220</v>
      </c>
    </row>
    <row r="11" spans="1:17" s="3" customFormat="1" x14ac:dyDescent="0.25">
      <c r="A11" s="149"/>
      <c r="B11" s="161"/>
      <c r="C11" s="92"/>
      <c r="D11" s="36"/>
      <c r="E11" s="1178"/>
      <c r="F11" s="1178"/>
      <c r="G11" s="75"/>
      <c r="H11" s="541"/>
    </row>
    <row r="12" spans="1:17" s="3" customFormat="1" ht="27.6" x14ac:dyDescent="0.25">
      <c r="A12" s="149"/>
      <c r="B12" s="129" t="s">
        <v>245</v>
      </c>
      <c r="C12" s="92"/>
      <c r="D12" s="36"/>
      <c r="E12" s="1178"/>
      <c r="F12" s="1178"/>
      <c r="G12" s="75"/>
      <c r="H12" s="541"/>
    </row>
    <row r="13" spans="1:17" s="3" customFormat="1" x14ac:dyDescent="0.25">
      <c r="A13" s="149"/>
      <c r="B13" s="129"/>
      <c r="C13" s="92"/>
      <c r="D13" s="36"/>
      <c r="E13" s="1178"/>
      <c r="F13" s="1178"/>
      <c r="G13" s="75"/>
      <c r="H13" s="541"/>
    </row>
    <row r="14" spans="1:17" s="3" customFormat="1" ht="27.6" x14ac:dyDescent="0.25">
      <c r="A14" s="149"/>
      <c r="B14" s="129" t="s">
        <v>332</v>
      </c>
      <c r="C14" s="92"/>
      <c r="D14" s="36"/>
      <c r="E14" s="1178"/>
      <c r="F14" s="1178"/>
      <c r="G14" s="75"/>
      <c r="H14" s="541"/>
    </row>
    <row r="15" spans="1:17" s="3" customFormat="1" x14ac:dyDescent="0.25">
      <c r="A15" s="149"/>
      <c r="B15" s="129"/>
      <c r="C15" s="92"/>
      <c r="D15" s="36"/>
      <c r="E15" s="1178"/>
      <c r="F15" s="1178"/>
      <c r="G15" s="75"/>
      <c r="H15" s="541"/>
    </row>
    <row r="16" spans="1:17" s="3" customFormat="1" ht="27.6" x14ac:dyDescent="0.25">
      <c r="A16" s="149"/>
      <c r="B16" s="129" t="s">
        <v>333</v>
      </c>
      <c r="C16" s="92"/>
      <c r="D16" s="36"/>
      <c r="E16" s="1178"/>
      <c r="F16" s="1178"/>
      <c r="G16" s="75"/>
      <c r="H16" s="541"/>
    </row>
    <row r="17" spans="1:13" s="3" customFormat="1" x14ac:dyDescent="0.25">
      <c r="A17" s="149"/>
      <c r="B17" s="129"/>
      <c r="C17" s="92"/>
      <c r="D17" s="36"/>
      <c r="E17" s="1178"/>
      <c r="F17" s="1178"/>
      <c r="G17" s="75"/>
      <c r="H17" s="541"/>
    </row>
    <row r="18" spans="1:13" s="3" customFormat="1" ht="41.4" x14ac:dyDescent="0.25">
      <c r="A18" s="149"/>
      <c r="B18" s="129" t="s">
        <v>334</v>
      </c>
      <c r="C18" s="92"/>
      <c r="D18" s="36"/>
      <c r="E18" s="1178"/>
      <c r="F18" s="1178"/>
      <c r="G18" s="75"/>
      <c r="H18" s="541"/>
    </row>
    <row r="19" spans="1:13" s="3" customFormat="1" x14ac:dyDescent="0.25">
      <c r="A19" s="149"/>
      <c r="B19" s="129"/>
      <c r="C19" s="92"/>
      <c r="D19" s="36"/>
      <c r="E19" s="1178"/>
      <c r="F19" s="1178"/>
      <c r="G19" s="75"/>
      <c r="H19" s="541"/>
    </row>
    <row r="20" spans="1:13" s="3" customFormat="1" ht="27.6" x14ac:dyDescent="0.25">
      <c r="A20" s="149"/>
      <c r="B20" s="129" t="s">
        <v>335</v>
      </c>
      <c r="C20" s="92"/>
      <c r="D20" s="36"/>
      <c r="E20" s="1178"/>
      <c r="F20" s="1178"/>
      <c r="G20" s="75"/>
      <c r="H20" s="541"/>
    </row>
    <row r="21" spans="1:13" s="3" customFormat="1" ht="55.05" customHeight="1" x14ac:dyDescent="0.25">
      <c r="A21" s="149"/>
      <c r="B21" s="162" t="s">
        <v>56</v>
      </c>
      <c r="C21" s="99"/>
      <c r="D21" s="36"/>
      <c r="E21" s="1178"/>
      <c r="F21" s="1178"/>
      <c r="G21" s="75"/>
      <c r="H21" s="541"/>
    </row>
    <row r="22" spans="1:13" s="3" customFormat="1" x14ac:dyDescent="0.25">
      <c r="A22" s="149"/>
      <c r="B22" s="161" t="s">
        <v>107</v>
      </c>
      <c r="C22" s="99"/>
      <c r="D22" s="36"/>
      <c r="E22" s="1178"/>
      <c r="F22" s="1178"/>
      <c r="G22" s="75"/>
      <c r="H22" s="541"/>
    </row>
    <row r="23" spans="1:13" s="3" customFormat="1" ht="27.6" x14ac:dyDescent="0.25">
      <c r="A23" s="149"/>
      <c r="B23" s="161" t="s">
        <v>335</v>
      </c>
      <c r="C23" s="92"/>
      <c r="D23" s="36"/>
      <c r="E23" s="1178"/>
      <c r="F23" s="1178"/>
      <c r="G23" s="75"/>
      <c r="H23" s="541"/>
    </row>
    <row r="24" spans="1:13" s="3" customFormat="1" x14ac:dyDescent="0.25">
      <c r="A24" s="149"/>
      <c r="B24" s="161"/>
      <c r="C24" s="92"/>
      <c r="D24" s="36"/>
      <c r="E24" s="1178"/>
      <c r="F24" s="1178"/>
      <c r="G24" s="75"/>
      <c r="H24" s="541"/>
    </row>
    <row r="25" spans="1:13" s="3" customFormat="1" ht="54" customHeight="1" x14ac:dyDescent="0.25">
      <c r="A25" s="149" t="s">
        <v>113</v>
      </c>
      <c r="B25" s="129" t="s">
        <v>1241</v>
      </c>
      <c r="C25" s="101">
        <v>147</v>
      </c>
      <c r="D25" s="87" t="s">
        <v>577</v>
      </c>
      <c r="E25" s="1188">
        <f>+RBD!H116</f>
        <v>1331.7385865724384</v>
      </c>
      <c r="F25" s="1182">
        <f>+$I$1</f>
        <v>0.75</v>
      </c>
      <c r="G25" s="1183">
        <f>ROUNDUP(E25/F25,-1)</f>
        <v>1780</v>
      </c>
      <c r="H25" s="1184">
        <f>+G25*C25</f>
        <v>261660</v>
      </c>
    </row>
    <row r="26" spans="1:13" x14ac:dyDescent="0.25">
      <c r="A26" s="542"/>
      <c r="B26" s="160"/>
      <c r="C26" s="96"/>
      <c r="D26" s="36"/>
      <c r="E26" s="1178"/>
      <c r="F26" s="1178"/>
      <c r="G26" s="75"/>
      <c r="H26" s="541"/>
      <c r="M26" s="3"/>
    </row>
    <row r="27" spans="1:13" s="3" customFormat="1" x14ac:dyDescent="0.25">
      <c r="A27" s="149"/>
      <c r="B27" s="161" t="s">
        <v>59</v>
      </c>
      <c r="C27" s="92"/>
      <c r="D27" s="36"/>
      <c r="E27" s="1178"/>
      <c r="F27" s="1178"/>
      <c r="G27" s="75"/>
      <c r="H27" s="541"/>
    </row>
    <row r="28" spans="1:13" s="3" customFormat="1" x14ac:dyDescent="0.25">
      <c r="A28" s="149"/>
      <c r="B28" s="161"/>
      <c r="C28" s="92"/>
      <c r="D28" s="36"/>
      <c r="E28" s="1178"/>
      <c r="F28" s="1178"/>
      <c r="G28" s="75"/>
      <c r="H28" s="541"/>
    </row>
    <row r="29" spans="1:13" s="3" customFormat="1" ht="27.6" x14ac:dyDescent="0.25">
      <c r="A29" s="149"/>
      <c r="B29" s="129" t="s">
        <v>339</v>
      </c>
      <c r="C29" s="92"/>
      <c r="D29" s="36"/>
      <c r="E29" s="1178"/>
      <c r="F29" s="1178"/>
      <c r="G29" s="75"/>
      <c r="H29" s="541"/>
    </row>
    <row r="30" spans="1:13" s="3" customFormat="1" x14ac:dyDescent="0.25">
      <c r="A30" s="149"/>
      <c r="B30" s="161"/>
      <c r="C30" s="92"/>
      <c r="D30" s="36"/>
      <c r="E30" s="1178"/>
      <c r="F30" s="1178"/>
      <c r="G30" s="75"/>
      <c r="H30" s="541"/>
    </row>
    <row r="31" spans="1:13" s="3" customFormat="1" ht="72" customHeight="1" thickBot="1" x14ac:dyDescent="0.3">
      <c r="A31" s="561"/>
      <c r="B31" s="641" t="s">
        <v>1240</v>
      </c>
      <c r="C31" s="642"/>
      <c r="D31" s="200"/>
      <c r="E31" s="1179"/>
      <c r="F31" s="1179"/>
      <c r="G31" s="201"/>
      <c r="H31" s="546"/>
    </row>
    <row r="32" spans="1:13" s="3" customFormat="1" x14ac:dyDescent="0.25">
      <c r="A32" s="148"/>
      <c r="B32" s="643" t="s">
        <v>246</v>
      </c>
      <c r="C32" s="121"/>
      <c r="D32" s="116"/>
      <c r="E32" s="1177"/>
      <c r="F32" s="1177"/>
      <c r="G32" s="117"/>
      <c r="H32" s="540"/>
    </row>
    <row r="33" spans="1:8" s="3" customFormat="1" x14ac:dyDescent="0.25">
      <c r="A33" s="149"/>
      <c r="B33" s="145"/>
      <c r="C33" s="92"/>
      <c r="D33" s="36"/>
      <c r="E33" s="1178"/>
      <c r="F33" s="1178"/>
      <c r="G33" s="75"/>
      <c r="H33" s="541"/>
    </row>
    <row r="34" spans="1:8" s="3" customFormat="1" ht="69" x14ac:dyDescent="0.25">
      <c r="A34" s="149"/>
      <c r="B34" s="129" t="s">
        <v>276</v>
      </c>
      <c r="C34" s="92"/>
      <c r="D34" s="36"/>
      <c r="E34" s="1178"/>
      <c r="F34" s="1178"/>
      <c r="G34" s="75"/>
      <c r="H34" s="541"/>
    </row>
    <row r="35" spans="1:8" s="3" customFormat="1" x14ac:dyDescent="0.25">
      <c r="A35" s="149"/>
      <c r="B35" s="161"/>
      <c r="C35" s="92"/>
      <c r="D35" s="36"/>
      <c r="E35" s="1178"/>
      <c r="F35" s="1178"/>
      <c r="G35" s="75"/>
      <c r="H35" s="541"/>
    </row>
    <row r="36" spans="1:8" s="3" customFormat="1" ht="41.4" x14ac:dyDescent="0.25">
      <c r="A36" s="149"/>
      <c r="B36" s="129" t="s">
        <v>277</v>
      </c>
      <c r="C36" s="92"/>
      <c r="D36" s="36"/>
      <c r="E36" s="1178"/>
      <c r="F36" s="1178"/>
      <c r="G36" s="75"/>
      <c r="H36" s="541"/>
    </row>
    <row r="37" spans="1:8" s="3" customFormat="1" x14ac:dyDescent="0.25">
      <c r="A37" s="149"/>
      <c r="B37" s="161"/>
      <c r="C37" s="92"/>
      <c r="D37" s="36"/>
      <c r="E37" s="1178"/>
      <c r="F37" s="1178"/>
      <c r="G37" s="75"/>
      <c r="H37" s="541"/>
    </row>
    <row r="38" spans="1:8" s="3" customFormat="1" ht="43.2" customHeight="1" x14ac:dyDescent="0.25">
      <c r="A38" s="149"/>
      <c r="B38" s="160" t="s">
        <v>278</v>
      </c>
      <c r="C38" s="92"/>
      <c r="D38" s="36"/>
      <c r="E38" s="1178"/>
      <c r="F38" s="1178"/>
      <c r="G38" s="75"/>
      <c r="H38" s="541"/>
    </row>
    <row r="39" spans="1:8" s="3" customFormat="1" x14ac:dyDescent="0.25">
      <c r="A39" s="149"/>
      <c r="B39" s="129"/>
      <c r="C39" s="92"/>
      <c r="D39" s="36"/>
      <c r="E39" s="1178"/>
      <c r="F39" s="1178"/>
      <c r="G39" s="75"/>
      <c r="H39" s="541"/>
    </row>
    <row r="40" spans="1:8" s="3" customFormat="1" x14ac:dyDescent="0.25">
      <c r="A40" s="149"/>
      <c r="B40" s="129" t="s">
        <v>247</v>
      </c>
      <c r="C40" s="92"/>
      <c r="D40" s="36"/>
      <c r="E40" s="1178"/>
      <c r="F40" s="1178"/>
      <c r="G40" s="75"/>
      <c r="H40" s="541"/>
    </row>
    <row r="41" spans="1:8" s="3" customFormat="1" x14ac:dyDescent="0.25">
      <c r="A41" s="149"/>
      <c r="B41" s="129"/>
      <c r="C41" s="92"/>
      <c r="D41" s="36"/>
      <c r="E41" s="1178"/>
      <c r="F41" s="1178"/>
      <c r="G41" s="75"/>
      <c r="H41" s="541"/>
    </row>
    <row r="42" spans="1:8" s="3" customFormat="1" ht="88.2" customHeight="1" x14ac:dyDescent="0.25">
      <c r="A42" s="149"/>
      <c r="B42" s="129" t="s">
        <v>279</v>
      </c>
      <c r="C42" s="92"/>
      <c r="D42" s="36"/>
      <c r="E42" s="1178"/>
      <c r="F42" s="1178"/>
      <c r="G42" s="75"/>
      <c r="H42" s="541"/>
    </row>
    <row r="43" spans="1:8" s="3" customFormat="1" x14ac:dyDescent="0.25">
      <c r="A43" s="149"/>
      <c r="B43" s="129"/>
      <c r="C43" s="92"/>
      <c r="D43" s="36"/>
      <c r="E43" s="1178"/>
      <c r="F43" s="1178"/>
      <c r="G43" s="75"/>
      <c r="H43" s="541"/>
    </row>
    <row r="44" spans="1:8" s="3" customFormat="1" ht="140.4" customHeight="1" x14ac:dyDescent="0.25">
      <c r="A44" s="149"/>
      <c r="B44" s="129" t="s">
        <v>280</v>
      </c>
      <c r="C44" s="92"/>
      <c r="D44" s="36"/>
      <c r="E44" s="1178"/>
      <c r="F44" s="1178"/>
      <c r="G44" s="75"/>
      <c r="H44" s="541"/>
    </row>
    <row r="45" spans="1:8" s="3" customFormat="1" x14ac:dyDescent="0.25">
      <c r="A45" s="149"/>
      <c r="B45" s="129"/>
      <c r="C45" s="92"/>
      <c r="D45" s="36"/>
      <c r="E45" s="1178"/>
      <c r="F45" s="1178"/>
      <c r="G45" s="75"/>
      <c r="H45" s="541"/>
    </row>
    <row r="46" spans="1:8" s="3" customFormat="1" ht="87.6" customHeight="1" x14ac:dyDescent="0.25">
      <c r="A46" s="149"/>
      <c r="B46" s="129" t="s">
        <v>281</v>
      </c>
      <c r="C46" s="92"/>
      <c r="D46" s="36"/>
      <c r="E46" s="1178"/>
      <c r="F46" s="1178"/>
      <c r="G46" s="75"/>
      <c r="H46" s="541"/>
    </row>
    <row r="47" spans="1:8" s="3" customFormat="1" x14ac:dyDescent="0.25">
      <c r="A47" s="149"/>
      <c r="B47" s="129"/>
      <c r="C47" s="92"/>
      <c r="D47" s="36"/>
      <c r="E47" s="1178"/>
      <c r="F47" s="1178"/>
      <c r="G47" s="75"/>
      <c r="H47" s="541"/>
    </row>
    <row r="48" spans="1:8" s="3" customFormat="1" x14ac:dyDescent="0.25">
      <c r="A48" s="149"/>
      <c r="B48" s="129" t="s">
        <v>248</v>
      </c>
      <c r="C48" s="92"/>
      <c r="D48" s="36"/>
      <c r="E48" s="1178"/>
      <c r="F48" s="1178"/>
      <c r="G48" s="75"/>
      <c r="H48" s="541"/>
    </row>
    <row r="49" spans="1:8" s="3" customFormat="1" x14ac:dyDescent="0.25">
      <c r="A49" s="149"/>
      <c r="B49" s="129"/>
      <c r="C49" s="92"/>
      <c r="D49" s="36"/>
      <c r="E49" s="1178"/>
      <c r="F49" s="1178"/>
      <c r="G49" s="75"/>
      <c r="H49" s="541"/>
    </row>
    <row r="50" spans="1:8" s="3" customFormat="1" ht="27.6" x14ac:dyDescent="0.25">
      <c r="A50" s="149"/>
      <c r="B50" s="129" t="s">
        <v>282</v>
      </c>
      <c r="C50" s="92"/>
      <c r="D50" s="36"/>
      <c r="E50" s="1178"/>
      <c r="F50" s="1178"/>
      <c r="G50" s="75"/>
      <c r="H50" s="541"/>
    </row>
    <row r="51" spans="1:8" s="3" customFormat="1" ht="14.4" thickBot="1" x14ac:dyDescent="0.3">
      <c r="A51" s="561"/>
      <c r="B51" s="644"/>
      <c r="C51" s="642"/>
      <c r="D51" s="200"/>
      <c r="E51" s="1179"/>
      <c r="F51" s="1179"/>
      <c r="G51" s="201"/>
      <c r="H51" s="546"/>
    </row>
    <row r="52" spans="1:8" s="3" customFormat="1" ht="85.8" customHeight="1" x14ac:dyDescent="0.25">
      <c r="A52" s="148"/>
      <c r="B52" s="645" t="s">
        <v>283</v>
      </c>
      <c r="C52" s="121"/>
      <c r="D52" s="116"/>
      <c r="E52" s="1177"/>
      <c r="F52" s="1177"/>
      <c r="G52" s="117"/>
      <c r="H52" s="540"/>
    </row>
    <row r="53" spans="1:8" s="3" customFormat="1" x14ac:dyDescent="0.25">
      <c r="A53" s="149"/>
      <c r="B53" s="129"/>
      <c r="C53" s="92"/>
      <c r="D53" s="36"/>
      <c r="E53" s="1178"/>
      <c r="F53" s="1178"/>
      <c r="G53" s="75"/>
      <c r="H53" s="541"/>
    </row>
    <row r="54" spans="1:8" s="3" customFormat="1" ht="41.4" x14ac:dyDescent="0.25">
      <c r="A54" s="149"/>
      <c r="B54" s="129" t="s">
        <v>249</v>
      </c>
      <c r="C54" s="92"/>
      <c r="D54" s="36"/>
      <c r="E54" s="1178"/>
      <c r="F54" s="1178"/>
      <c r="G54" s="75"/>
      <c r="H54" s="541"/>
    </row>
    <row r="55" spans="1:8" s="3" customFormat="1" x14ac:dyDescent="0.25">
      <c r="A55" s="149"/>
      <c r="B55" s="129" t="s">
        <v>250</v>
      </c>
      <c r="C55" s="92"/>
      <c r="D55" s="36"/>
      <c r="E55" s="1178"/>
      <c r="F55" s="1178"/>
      <c r="G55" s="75"/>
      <c r="H55" s="541"/>
    </row>
    <row r="56" spans="1:8" s="3" customFormat="1" x14ac:dyDescent="0.25">
      <c r="A56" s="149"/>
      <c r="B56" s="129" t="s">
        <v>251</v>
      </c>
      <c r="C56" s="92"/>
      <c r="D56" s="36"/>
      <c r="E56" s="1178"/>
      <c r="F56" s="1178"/>
      <c r="G56" s="75"/>
      <c r="H56" s="541"/>
    </row>
    <row r="57" spans="1:8" s="3" customFormat="1" ht="41.4" x14ac:dyDescent="0.25">
      <c r="A57" s="149"/>
      <c r="B57" s="129" t="s">
        <v>252</v>
      </c>
      <c r="C57" s="92"/>
      <c r="D57" s="36"/>
      <c r="E57" s="1178"/>
      <c r="F57" s="1178"/>
      <c r="G57" s="75"/>
      <c r="H57" s="541"/>
    </row>
    <row r="58" spans="1:8" s="3" customFormat="1" ht="41.4" x14ac:dyDescent="0.25">
      <c r="A58" s="149"/>
      <c r="B58" s="129" t="s">
        <v>337</v>
      </c>
      <c r="C58" s="92"/>
      <c r="D58" s="36"/>
      <c r="E58" s="1178"/>
      <c r="F58" s="1178"/>
      <c r="G58" s="75"/>
      <c r="H58" s="541"/>
    </row>
    <row r="59" spans="1:8" s="3" customFormat="1" ht="55.2" x14ac:dyDescent="0.25">
      <c r="A59" s="149"/>
      <c r="B59" s="129" t="s">
        <v>338</v>
      </c>
      <c r="C59" s="92"/>
      <c r="D59" s="36"/>
      <c r="E59" s="1178"/>
      <c r="F59" s="1178"/>
      <c r="G59" s="75"/>
      <c r="H59" s="541"/>
    </row>
    <row r="60" spans="1:8" s="3" customFormat="1" x14ac:dyDescent="0.25">
      <c r="A60" s="149"/>
      <c r="B60" s="129" t="s">
        <v>253</v>
      </c>
      <c r="C60" s="92"/>
      <c r="D60" s="36"/>
      <c r="E60" s="1178"/>
      <c r="F60" s="1178"/>
      <c r="G60" s="75"/>
      <c r="H60" s="541"/>
    </row>
    <row r="61" spans="1:8" s="3" customFormat="1" x14ac:dyDescent="0.25">
      <c r="A61" s="149"/>
      <c r="B61" s="129" t="s">
        <v>254</v>
      </c>
      <c r="C61" s="92"/>
      <c r="D61" s="36"/>
      <c r="E61" s="1178"/>
      <c r="F61" s="1178"/>
      <c r="G61" s="75"/>
      <c r="H61" s="541"/>
    </row>
    <row r="62" spans="1:8" s="3" customFormat="1" x14ac:dyDescent="0.25">
      <c r="A62" s="149"/>
      <c r="B62" s="129" t="s">
        <v>255</v>
      </c>
      <c r="C62" s="92"/>
      <c r="D62" s="36"/>
      <c r="E62" s="1178"/>
      <c r="F62" s="1178"/>
      <c r="G62" s="75"/>
      <c r="H62" s="541"/>
    </row>
    <row r="63" spans="1:8" s="3" customFormat="1" ht="41.4" x14ac:dyDescent="0.25">
      <c r="A63" s="149"/>
      <c r="B63" s="129" t="s">
        <v>256</v>
      </c>
      <c r="C63" s="92"/>
      <c r="D63" s="36"/>
      <c r="E63" s="1178"/>
      <c r="F63" s="1178"/>
      <c r="G63" s="75"/>
      <c r="H63" s="541"/>
    </row>
    <row r="64" spans="1:8" s="3" customFormat="1" x14ac:dyDescent="0.25">
      <c r="A64" s="149"/>
      <c r="B64" s="129" t="s">
        <v>257</v>
      </c>
      <c r="C64" s="92"/>
      <c r="D64" s="36"/>
      <c r="E64" s="1178"/>
      <c r="F64" s="1178"/>
      <c r="G64" s="75"/>
      <c r="H64" s="541"/>
    </row>
    <row r="65" spans="1:13" s="3" customFormat="1" ht="41.4" x14ac:dyDescent="0.25">
      <c r="A65" s="149"/>
      <c r="B65" s="129" t="s">
        <v>284</v>
      </c>
      <c r="C65" s="92"/>
      <c r="D65" s="36"/>
      <c r="E65" s="1178"/>
      <c r="F65" s="1178"/>
      <c r="G65" s="75"/>
      <c r="H65" s="541"/>
    </row>
    <row r="66" spans="1:13" s="3" customFormat="1" ht="41.4" x14ac:dyDescent="0.25">
      <c r="A66" s="149"/>
      <c r="B66" s="129" t="s">
        <v>285</v>
      </c>
      <c r="C66" s="92"/>
      <c r="D66" s="36"/>
      <c r="E66" s="1178"/>
      <c r="F66" s="1178"/>
      <c r="G66" s="75"/>
      <c r="H66" s="541"/>
    </row>
    <row r="67" spans="1:13" s="3" customFormat="1" ht="55.2" x14ac:dyDescent="0.25">
      <c r="A67" s="149"/>
      <c r="B67" s="129" t="s">
        <v>286</v>
      </c>
      <c r="C67" s="92"/>
      <c r="D67" s="36"/>
      <c r="E67" s="1178"/>
      <c r="F67" s="1178"/>
      <c r="G67" s="75"/>
      <c r="H67" s="541"/>
    </row>
    <row r="68" spans="1:13" s="3" customFormat="1" x14ac:dyDescent="0.25">
      <c r="A68" s="149"/>
      <c r="B68" s="129"/>
      <c r="C68" s="92"/>
      <c r="D68" s="36"/>
      <c r="E68" s="1178"/>
      <c r="F68" s="1178"/>
      <c r="G68" s="75"/>
      <c r="H68" s="541"/>
    </row>
    <row r="69" spans="1:13" s="3" customFormat="1" ht="27.6" x14ac:dyDescent="0.25">
      <c r="A69" s="149"/>
      <c r="B69" s="129" t="s">
        <v>258</v>
      </c>
      <c r="C69" s="92"/>
      <c r="D69" s="36"/>
      <c r="E69" s="1178"/>
      <c r="F69" s="1178"/>
      <c r="G69" s="75"/>
      <c r="H69" s="541"/>
    </row>
    <row r="70" spans="1:13" s="3" customFormat="1" ht="27.6" x14ac:dyDescent="0.25">
      <c r="A70" s="149"/>
      <c r="B70" s="129" t="s">
        <v>287</v>
      </c>
      <c r="C70" s="92"/>
      <c r="D70" s="36"/>
      <c r="E70" s="1178"/>
      <c r="F70" s="1178"/>
      <c r="G70" s="75"/>
      <c r="H70" s="541"/>
    </row>
    <row r="71" spans="1:13" s="3" customFormat="1" ht="69" x14ac:dyDescent="0.25">
      <c r="A71" s="149"/>
      <c r="B71" s="129" t="s">
        <v>288</v>
      </c>
      <c r="C71" s="92"/>
      <c r="D71" s="36"/>
      <c r="E71" s="1178"/>
      <c r="F71" s="1178"/>
      <c r="G71" s="75"/>
      <c r="H71" s="541"/>
    </row>
    <row r="72" spans="1:13" s="3" customFormat="1" ht="14.4" thickBot="1" x14ac:dyDescent="0.3">
      <c r="A72" s="561"/>
      <c r="B72" s="646"/>
      <c r="C72" s="642"/>
      <c r="D72" s="200"/>
      <c r="E72" s="1179"/>
      <c r="F72" s="1179"/>
      <c r="G72" s="201"/>
      <c r="H72" s="546"/>
    </row>
    <row r="73" spans="1:13" s="3" customFormat="1" ht="69" x14ac:dyDescent="0.25">
      <c r="A73" s="547" t="s">
        <v>57</v>
      </c>
      <c r="B73" s="647" t="s">
        <v>526</v>
      </c>
      <c r="C73" s="121"/>
      <c r="D73" s="116"/>
      <c r="E73" s="1177"/>
      <c r="F73" s="1177"/>
      <c r="G73" s="117"/>
      <c r="H73" s="540"/>
    </row>
    <row r="74" spans="1:13" s="3" customFormat="1" ht="16.8" x14ac:dyDescent="0.25">
      <c r="A74" s="149" t="s">
        <v>114</v>
      </c>
      <c r="B74" s="129" t="s">
        <v>655</v>
      </c>
      <c r="C74" s="716">
        <v>16</v>
      </c>
      <c r="D74" s="717" t="s">
        <v>607</v>
      </c>
      <c r="E74" s="1185">
        <f>+RBD!F204</f>
        <v>33871.93971731449</v>
      </c>
      <c r="F74" s="1182">
        <f>+$I$1</f>
        <v>0.75</v>
      </c>
      <c r="G74" s="1183">
        <f>ROUNDUP(E74/F74,-1)</f>
        <v>45170</v>
      </c>
      <c r="H74" s="1184">
        <f>+G74*C74</f>
        <v>722720</v>
      </c>
    </row>
    <row r="75" spans="1:13" s="3" customFormat="1" ht="16.8" x14ac:dyDescent="0.25">
      <c r="A75" s="149" t="s">
        <v>115</v>
      </c>
      <c r="B75" s="129" t="s">
        <v>32</v>
      </c>
      <c r="C75" s="716">
        <v>2</v>
      </c>
      <c r="D75" s="717" t="s">
        <v>607</v>
      </c>
      <c r="E75" s="1185">
        <f>+E74*1.1</f>
        <v>37259.133689045942</v>
      </c>
      <c r="F75" s="1182">
        <f t="shared" ref="F75:F77" si="0">+$I$1</f>
        <v>0.75</v>
      </c>
      <c r="G75" s="1183">
        <f t="shared" ref="G75:G77" si="1">ROUNDUP(E75/F75,-1)</f>
        <v>49680</v>
      </c>
      <c r="H75" s="1184">
        <f t="shared" ref="H75:H77" si="2">+G75*C75</f>
        <v>99360</v>
      </c>
    </row>
    <row r="76" spans="1:13" s="3" customFormat="1" ht="16.8" x14ac:dyDescent="0.25">
      <c r="A76" s="149" t="s">
        <v>116</v>
      </c>
      <c r="B76" s="129" t="s">
        <v>564</v>
      </c>
      <c r="C76" s="716">
        <v>13</v>
      </c>
      <c r="D76" s="717" t="s">
        <v>607</v>
      </c>
      <c r="E76" s="1185">
        <f>+E74</f>
        <v>33871.93971731449</v>
      </c>
      <c r="F76" s="1182">
        <f t="shared" si="0"/>
        <v>0.75</v>
      </c>
      <c r="G76" s="1183">
        <f t="shared" si="1"/>
        <v>45170</v>
      </c>
      <c r="H76" s="1184">
        <f t="shared" si="2"/>
        <v>587210</v>
      </c>
    </row>
    <row r="77" spans="1:13" s="3" customFormat="1" ht="16.8" x14ac:dyDescent="0.25">
      <c r="A77" s="149" t="s">
        <v>117</v>
      </c>
      <c r="B77" s="129" t="s">
        <v>342</v>
      </c>
      <c r="C77" s="716">
        <v>1.5</v>
      </c>
      <c r="D77" s="717" t="s">
        <v>607</v>
      </c>
      <c r="E77" s="1185">
        <f>+E74*1.15</f>
        <v>38952.730674911661</v>
      </c>
      <c r="F77" s="1182">
        <f t="shared" si="0"/>
        <v>0.75</v>
      </c>
      <c r="G77" s="1183">
        <f t="shared" si="1"/>
        <v>51940</v>
      </c>
      <c r="H77" s="1184">
        <f t="shared" si="2"/>
        <v>77910</v>
      </c>
    </row>
    <row r="78" spans="1:13" s="3" customFormat="1" x14ac:dyDescent="0.25">
      <c r="A78" s="149"/>
      <c r="B78" s="129"/>
      <c r="C78" s="101"/>
      <c r="D78" s="36"/>
      <c r="E78" s="1178"/>
      <c r="F78" s="1178"/>
      <c r="G78" s="75"/>
      <c r="H78" s="541"/>
    </row>
    <row r="79" spans="1:13" s="3" customFormat="1" ht="83.4" customHeight="1" x14ac:dyDescent="0.25">
      <c r="A79" s="542" t="s">
        <v>118</v>
      </c>
      <c r="B79" s="160" t="s">
        <v>625</v>
      </c>
      <c r="C79" s="96"/>
      <c r="D79" s="36"/>
      <c r="E79" s="1178"/>
      <c r="F79" s="1178"/>
      <c r="G79" s="75"/>
      <c r="H79" s="541"/>
    </row>
    <row r="80" spans="1:13" s="3" customFormat="1" ht="16.8" x14ac:dyDescent="0.25">
      <c r="A80" s="149" t="s">
        <v>119</v>
      </c>
      <c r="B80" s="163" t="s">
        <v>873</v>
      </c>
      <c r="C80" s="716">
        <v>25</v>
      </c>
      <c r="D80" s="717" t="s">
        <v>607</v>
      </c>
      <c r="E80" s="1185">
        <f>+RBD!F160</f>
        <v>30459.22685512367</v>
      </c>
      <c r="F80" s="1182">
        <f>+$I$1</f>
        <v>0.75</v>
      </c>
      <c r="G80" s="1183">
        <f>ROUNDUP(E80/F80,-1)</f>
        <v>40620</v>
      </c>
      <c r="H80" s="1184">
        <f>+G80*C80</f>
        <v>1015500</v>
      </c>
      <c r="M80" s="128"/>
    </row>
    <row r="81" spans="1:8" s="3" customFormat="1" x14ac:dyDescent="0.25">
      <c r="A81" s="149"/>
      <c r="B81" s="129"/>
      <c r="C81" s="96"/>
      <c r="D81" s="36"/>
      <c r="E81" s="1178"/>
      <c r="F81" s="1178"/>
      <c r="G81" s="75"/>
      <c r="H81" s="541"/>
    </row>
    <row r="82" spans="1:8" s="3" customFormat="1" x14ac:dyDescent="0.25">
      <c r="A82" s="542"/>
      <c r="B82" s="164" t="s">
        <v>12</v>
      </c>
      <c r="C82" s="96"/>
      <c r="D82" s="36"/>
      <c r="E82" s="1178"/>
      <c r="F82" s="1178"/>
      <c r="G82" s="75"/>
      <c r="H82" s="541"/>
    </row>
    <row r="83" spans="1:8" s="3" customFormat="1" x14ac:dyDescent="0.25">
      <c r="A83" s="542"/>
      <c r="B83" s="164"/>
      <c r="C83" s="96"/>
      <c r="D83" s="36"/>
      <c r="E83" s="1178"/>
      <c r="F83" s="1178"/>
      <c r="G83" s="75"/>
      <c r="H83" s="541"/>
    </row>
    <row r="84" spans="1:8" s="3" customFormat="1" ht="84.6" customHeight="1" x14ac:dyDescent="0.25">
      <c r="A84" s="542" t="s">
        <v>58</v>
      </c>
      <c r="B84" s="160" t="s">
        <v>565</v>
      </c>
      <c r="C84" s="96"/>
      <c r="D84" s="36"/>
      <c r="E84" s="1178"/>
      <c r="F84" s="1178"/>
      <c r="G84" s="75"/>
      <c r="H84" s="541"/>
    </row>
    <row r="85" spans="1:8" s="3" customFormat="1" ht="28.8" customHeight="1" x14ac:dyDescent="0.25">
      <c r="A85" s="149" t="s">
        <v>120</v>
      </c>
      <c r="B85" s="129" t="s">
        <v>13</v>
      </c>
      <c r="C85" s="101">
        <v>7</v>
      </c>
      <c r="D85" s="87" t="s">
        <v>607</v>
      </c>
      <c r="E85" s="1188">
        <f>+E75</f>
        <v>37259.133689045942</v>
      </c>
      <c r="F85" s="1182">
        <f t="shared" ref="F85:F89" si="3">+$I$1</f>
        <v>0.75</v>
      </c>
      <c r="G85" s="1183">
        <f t="shared" ref="G85:G89" si="4">ROUNDUP(E85/F85,-1)</f>
        <v>49680</v>
      </c>
      <c r="H85" s="1184">
        <f t="shared" ref="H85:H89" si="5">+G85*C85</f>
        <v>347760</v>
      </c>
    </row>
    <row r="86" spans="1:8" s="3" customFormat="1" x14ac:dyDescent="0.25">
      <c r="A86" s="149"/>
      <c r="B86" s="160"/>
      <c r="C86" s="716"/>
      <c r="D86" s="717"/>
      <c r="E86" s="1185"/>
      <c r="F86" s="1182"/>
      <c r="G86" s="1183"/>
      <c r="H86" s="1184"/>
    </row>
    <row r="87" spans="1:8" s="3" customFormat="1" ht="28.8" customHeight="1" x14ac:dyDescent="0.25">
      <c r="A87" s="149" t="s">
        <v>122</v>
      </c>
      <c r="B87" s="129" t="s">
        <v>566</v>
      </c>
      <c r="C87" s="101">
        <v>6</v>
      </c>
      <c r="D87" s="87" t="s">
        <v>607</v>
      </c>
      <c r="E87" s="1188">
        <f>+E85*1.05</f>
        <v>39122.090373498242</v>
      </c>
      <c r="F87" s="1182">
        <f t="shared" si="3"/>
        <v>0.75</v>
      </c>
      <c r="G87" s="1183">
        <f t="shared" si="4"/>
        <v>52170</v>
      </c>
      <c r="H87" s="1184">
        <f t="shared" si="5"/>
        <v>313020</v>
      </c>
    </row>
    <row r="88" spans="1:8" s="3" customFormat="1" x14ac:dyDescent="0.25">
      <c r="A88" s="149"/>
      <c r="B88" s="129"/>
      <c r="C88" s="716"/>
      <c r="D88" s="717"/>
      <c r="E88" s="1185"/>
      <c r="F88" s="1182"/>
      <c r="G88" s="1183"/>
      <c r="H88" s="1184"/>
    </row>
    <row r="89" spans="1:8" s="3" customFormat="1" ht="28.8" customHeight="1" x14ac:dyDescent="0.25">
      <c r="A89" s="149" t="s">
        <v>121</v>
      </c>
      <c r="B89" s="129" t="s">
        <v>771</v>
      </c>
      <c r="C89" s="101">
        <v>3</v>
      </c>
      <c r="D89" s="87" t="s">
        <v>607</v>
      </c>
      <c r="E89" s="1188">
        <f>+E85*1.1</f>
        <v>40985.047057950542</v>
      </c>
      <c r="F89" s="1182">
        <f t="shared" si="3"/>
        <v>0.75</v>
      </c>
      <c r="G89" s="1183">
        <f t="shared" si="4"/>
        <v>54650</v>
      </c>
      <c r="H89" s="1184">
        <f t="shared" si="5"/>
        <v>163950</v>
      </c>
    </row>
    <row r="90" spans="1:8" s="3" customFormat="1" x14ac:dyDescent="0.25">
      <c r="A90" s="149"/>
      <c r="B90" s="161" t="s">
        <v>61</v>
      </c>
      <c r="C90" s="92"/>
      <c r="D90" s="36"/>
      <c r="E90" s="1178"/>
      <c r="F90" s="1178"/>
      <c r="G90" s="75"/>
      <c r="H90" s="541"/>
    </row>
    <row r="91" spans="1:8" s="3" customFormat="1" x14ac:dyDescent="0.25">
      <c r="A91" s="149"/>
      <c r="B91" s="129" t="s">
        <v>259</v>
      </c>
      <c r="C91" s="92"/>
      <c r="D91" s="36"/>
      <c r="E91" s="1178"/>
      <c r="F91" s="1178"/>
      <c r="G91" s="75"/>
      <c r="H91" s="541"/>
    </row>
    <row r="92" spans="1:8" s="3" customFormat="1" ht="18.600000000000001" customHeight="1" x14ac:dyDescent="0.25">
      <c r="A92" s="149"/>
      <c r="B92" s="160" t="s">
        <v>260</v>
      </c>
      <c r="C92" s="92"/>
      <c r="D92" s="36"/>
      <c r="E92" s="1178"/>
      <c r="F92" s="1178"/>
      <c r="G92" s="75"/>
      <c r="H92" s="541"/>
    </row>
    <row r="93" spans="1:8" s="3" customFormat="1" ht="16.8" x14ac:dyDescent="0.25">
      <c r="A93" s="149"/>
      <c r="B93" s="129" t="s">
        <v>328</v>
      </c>
      <c r="C93" s="92"/>
      <c r="D93" s="36"/>
      <c r="E93" s="1178"/>
      <c r="F93" s="1178"/>
      <c r="G93" s="130"/>
      <c r="H93" s="541"/>
    </row>
    <row r="94" spans="1:8" s="3" customFormat="1" ht="27.6" x14ac:dyDescent="0.25">
      <c r="A94" s="149"/>
      <c r="B94" s="129" t="s">
        <v>261</v>
      </c>
      <c r="C94" s="92"/>
      <c r="D94" s="36"/>
      <c r="E94" s="1178"/>
      <c r="F94" s="1178"/>
      <c r="G94" s="75"/>
      <c r="H94" s="541"/>
    </row>
    <row r="95" spans="1:8" s="3" customFormat="1" x14ac:dyDescent="0.25">
      <c r="A95" s="149"/>
      <c r="B95" s="129" t="s">
        <v>262</v>
      </c>
      <c r="C95" s="92"/>
      <c r="D95" s="36"/>
      <c r="E95" s="1178"/>
      <c r="F95" s="1178"/>
      <c r="G95" s="75"/>
      <c r="H95" s="541"/>
    </row>
    <row r="96" spans="1:8" s="3" customFormat="1" ht="27.6" x14ac:dyDescent="0.25">
      <c r="A96" s="149"/>
      <c r="B96" s="129" t="s">
        <v>264</v>
      </c>
      <c r="C96" s="92"/>
      <c r="D96" s="36"/>
      <c r="E96" s="1178"/>
      <c r="F96" s="1178"/>
      <c r="G96" s="75"/>
      <c r="H96" s="541"/>
    </row>
    <row r="97" spans="1:19" s="3" customFormat="1" x14ac:dyDescent="0.25">
      <c r="A97" s="149"/>
      <c r="B97" s="129" t="s">
        <v>263</v>
      </c>
      <c r="C97" s="92"/>
      <c r="D97" s="36"/>
      <c r="E97" s="1178"/>
      <c r="F97" s="1178"/>
      <c r="G97" s="75"/>
      <c r="H97" s="541"/>
    </row>
    <row r="98" spans="1:19" s="3" customFormat="1" ht="41.4" x14ac:dyDescent="0.25">
      <c r="A98" s="149"/>
      <c r="B98" s="129" t="s">
        <v>289</v>
      </c>
      <c r="C98" s="92"/>
      <c r="D98" s="36"/>
      <c r="E98" s="1178"/>
      <c r="F98" s="1178"/>
      <c r="G98" s="75"/>
      <c r="H98" s="541"/>
    </row>
    <row r="99" spans="1:19" s="3" customFormat="1" x14ac:dyDescent="0.25">
      <c r="A99" s="149"/>
      <c r="B99" s="129" t="s">
        <v>265</v>
      </c>
      <c r="C99" s="92"/>
      <c r="D99" s="36"/>
      <c r="E99" s="1178"/>
      <c r="F99" s="1178"/>
      <c r="G99" s="75"/>
      <c r="H99" s="541"/>
    </row>
    <row r="100" spans="1:19" s="3" customFormat="1" ht="27.6" x14ac:dyDescent="0.25">
      <c r="A100" s="149"/>
      <c r="B100" s="129" t="s">
        <v>266</v>
      </c>
      <c r="C100" s="92"/>
      <c r="D100" s="36"/>
      <c r="E100" s="1178"/>
      <c r="F100" s="1178"/>
      <c r="G100" s="75"/>
      <c r="H100" s="541"/>
    </row>
    <row r="101" spans="1:19" s="3" customFormat="1" ht="27.6" x14ac:dyDescent="0.25">
      <c r="A101" s="149"/>
      <c r="B101" s="129" t="s">
        <v>290</v>
      </c>
      <c r="C101" s="92"/>
      <c r="D101" s="36"/>
      <c r="E101" s="1178"/>
      <c r="F101" s="1178"/>
      <c r="G101" s="75"/>
      <c r="H101" s="541"/>
    </row>
    <row r="102" spans="1:19" s="3" customFormat="1" ht="41.4" x14ac:dyDescent="0.25">
      <c r="A102" s="149"/>
      <c r="B102" s="129" t="s">
        <v>291</v>
      </c>
      <c r="C102" s="92"/>
      <c r="D102" s="36"/>
      <c r="E102" s="1178"/>
      <c r="F102" s="1178"/>
      <c r="G102" s="75"/>
      <c r="H102" s="541"/>
    </row>
    <row r="103" spans="1:19" s="3" customFormat="1" ht="14.4" thickBot="1" x14ac:dyDescent="0.3">
      <c r="A103" s="561"/>
      <c r="B103" s="644" t="s">
        <v>267</v>
      </c>
      <c r="C103" s="642"/>
      <c r="D103" s="200"/>
      <c r="E103" s="1179"/>
      <c r="F103" s="1179"/>
      <c r="G103" s="201"/>
      <c r="H103" s="546"/>
    </row>
    <row r="104" spans="1:19" s="3" customFormat="1" ht="30.6" x14ac:dyDescent="0.25">
      <c r="A104" s="148"/>
      <c r="B104" s="647" t="s">
        <v>292</v>
      </c>
      <c r="C104" s="121"/>
      <c r="D104" s="116"/>
      <c r="E104" s="1177"/>
      <c r="F104" s="1177"/>
      <c r="G104" s="117"/>
      <c r="H104" s="540"/>
    </row>
    <row r="105" spans="1:19" s="3" customFormat="1" x14ac:dyDescent="0.25">
      <c r="A105" s="149"/>
      <c r="B105" s="129" t="s">
        <v>497</v>
      </c>
      <c r="C105" s="92"/>
      <c r="D105" s="36"/>
      <c r="E105" s="1178"/>
      <c r="F105" s="1178"/>
      <c r="G105" s="75"/>
      <c r="H105" s="541"/>
    </row>
    <row r="106" spans="1:19" s="3" customFormat="1" x14ac:dyDescent="0.25">
      <c r="A106" s="149"/>
      <c r="B106" s="129"/>
      <c r="C106" s="92"/>
      <c r="D106" s="36"/>
      <c r="E106" s="1178"/>
      <c r="F106" s="1178"/>
      <c r="G106" s="75"/>
      <c r="H106" s="541"/>
    </row>
    <row r="107" spans="1:19" ht="69" x14ac:dyDescent="0.25">
      <c r="A107" s="542" t="s">
        <v>123</v>
      </c>
      <c r="B107" s="160" t="s">
        <v>496</v>
      </c>
      <c r="C107" s="96"/>
      <c r="D107" s="36"/>
      <c r="E107" s="1178"/>
      <c r="F107" s="1178"/>
      <c r="G107" s="75"/>
      <c r="H107" s="541"/>
      <c r="Q107" s="4">
        <f>32294/30</f>
        <v>1076.4666666666667</v>
      </c>
    </row>
    <row r="108" spans="1:19" s="3" customFormat="1" x14ac:dyDescent="0.25">
      <c r="A108" s="149" t="s">
        <v>124</v>
      </c>
      <c r="B108" s="129" t="s">
        <v>15</v>
      </c>
      <c r="C108" s="101">
        <v>15</v>
      </c>
      <c r="D108" s="36" t="s">
        <v>62</v>
      </c>
      <c r="E108" s="1178">
        <f>+RBD!F160</f>
        <v>30459.22685512367</v>
      </c>
      <c r="F108" s="1182">
        <f t="shared" ref="F108:F110" si="6">+$I$1</f>
        <v>0.75</v>
      </c>
      <c r="G108" s="1183">
        <f t="shared" ref="G108:G110" si="7">ROUNDUP(E108/F108,-1)</f>
        <v>40620</v>
      </c>
      <c r="H108" s="1184">
        <f t="shared" ref="H108:H110" si="8">+G108*C108</f>
        <v>609300</v>
      </c>
      <c r="Q108" s="3" t="e">
        <f>+P108/M108</f>
        <v>#DIV/0!</v>
      </c>
    </row>
    <row r="109" spans="1:19" s="302" customFormat="1" x14ac:dyDescent="0.25">
      <c r="A109" s="149" t="s">
        <v>125</v>
      </c>
      <c r="B109" s="508" t="s">
        <v>16</v>
      </c>
      <c r="C109" s="509">
        <v>14</v>
      </c>
      <c r="D109" s="165" t="s">
        <v>62</v>
      </c>
      <c r="E109" s="1178">
        <f>+E108*1.05</f>
        <v>31982.188197879856</v>
      </c>
      <c r="F109" s="1182">
        <f t="shared" si="6"/>
        <v>0.75</v>
      </c>
      <c r="G109" s="1183">
        <f t="shared" si="7"/>
        <v>42650</v>
      </c>
      <c r="H109" s="1184">
        <f t="shared" si="8"/>
        <v>597100</v>
      </c>
      <c r="Q109" s="302" t="e">
        <f>+P109/M109</f>
        <v>#DIV/0!</v>
      </c>
      <c r="R109" s="302">
        <f>10.7+5.9</f>
        <v>16.600000000000001</v>
      </c>
      <c r="S109" s="302">
        <f>R109*0.55*0.3</f>
        <v>2.7390000000000003</v>
      </c>
    </row>
    <row r="110" spans="1:19" s="302" customFormat="1" x14ac:dyDescent="0.25">
      <c r="A110" s="149" t="s">
        <v>126</v>
      </c>
      <c r="B110" s="508" t="s">
        <v>802</v>
      </c>
      <c r="C110" s="509">
        <v>8</v>
      </c>
      <c r="D110" s="165" t="s">
        <v>62</v>
      </c>
      <c r="E110" s="1178">
        <f>+E108*1.1</f>
        <v>33505.149540636041</v>
      </c>
      <c r="F110" s="1182">
        <f t="shared" si="6"/>
        <v>0.75</v>
      </c>
      <c r="G110" s="1183">
        <f t="shared" si="7"/>
        <v>44680</v>
      </c>
      <c r="H110" s="1184">
        <f t="shared" si="8"/>
        <v>357440</v>
      </c>
    </row>
    <row r="111" spans="1:19" s="302" customFormat="1" x14ac:dyDescent="0.25">
      <c r="A111" s="568"/>
      <c r="B111" s="508"/>
      <c r="C111" s="509"/>
      <c r="D111" s="165"/>
      <c r="E111" s="1178"/>
      <c r="F111" s="1178"/>
      <c r="G111" s="167"/>
      <c r="H111" s="544"/>
    </row>
    <row r="112" spans="1:19" s="3" customFormat="1" x14ac:dyDescent="0.25">
      <c r="A112" s="149" t="s">
        <v>126</v>
      </c>
      <c r="B112" s="129" t="s">
        <v>17</v>
      </c>
      <c r="C112" s="101">
        <v>31</v>
      </c>
      <c r="D112" s="36" t="s">
        <v>62</v>
      </c>
      <c r="E112" s="1178">
        <f>+E108</f>
        <v>30459.22685512367</v>
      </c>
      <c r="F112" s="1182">
        <f t="shared" ref="F112:F114" si="9">+$I$1</f>
        <v>0.75</v>
      </c>
      <c r="G112" s="1183">
        <f t="shared" ref="G112:G114" si="10">ROUNDUP(E112/F112,-1)</f>
        <v>40620</v>
      </c>
      <c r="H112" s="1184">
        <f t="shared" ref="H112:H114" si="11">+G112*C112</f>
        <v>1259220</v>
      </c>
    </row>
    <row r="113" spans="1:8" s="3" customFormat="1" x14ac:dyDescent="0.25">
      <c r="A113" s="149" t="s">
        <v>127</v>
      </c>
      <c r="B113" s="129" t="s">
        <v>18</v>
      </c>
      <c r="C113" s="101">
        <v>30</v>
      </c>
      <c r="D113" s="36" t="s">
        <v>62</v>
      </c>
      <c r="E113" s="1178">
        <f>+E109</f>
        <v>31982.188197879856</v>
      </c>
      <c r="F113" s="1182">
        <f t="shared" si="9"/>
        <v>0.75</v>
      </c>
      <c r="G113" s="1183">
        <f t="shared" si="10"/>
        <v>42650</v>
      </c>
      <c r="H113" s="1184">
        <f t="shared" si="11"/>
        <v>1279500</v>
      </c>
    </row>
    <row r="114" spans="1:8" s="3" customFormat="1" x14ac:dyDescent="0.25">
      <c r="A114" s="149" t="s">
        <v>128</v>
      </c>
      <c r="B114" s="129" t="s">
        <v>803</v>
      </c>
      <c r="C114" s="101">
        <v>8</v>
      </c>
      <c r="D114" s="36" t="s">
        <v>62</v>
      </c>
      <c r="E114" s="1178">
        <f>+E110</f>
        <v>33505.149540636041</v>
      </c>
      <c r="F114" s="1182">
        <f t="shared" si="9"/>
        <v>0.75</v>
      </c>
      <c r="G114" s="1183">
        <f t="shared" si="10"/>
        <v>44680</v>
      </c>
      <c r="H114" s="1184">
        <f t="shared" si="11"/>
        <v>357440</v>
      </c>
    </row>
    <row r="115" spans="1:8" s="3" customFormat="1" x14ac:dyDescent="0.25">
      <c r="A115" s="149"/>
      <c r="B115" s="129"/>
      <c r="C115" s="101"/>
      <c r="D115" s="36"/>
      <c r="E115" s="1178"/>
      <c r="F115" s="1178"/>
      <c r="G115" s="75"/>
      <c r="H115" s="541"/>
    </row>
    <row r="116" spans="1:8" s="5" customFormat="1" x14ac:dyDescent="0.25">
      <c r="A116" s="639"/>
      <c r="B116" s="161" t="s">
        <v>63</v>
      </c>
      <c r="C116" s="92"/>
      <c r="D116" s="110"/>
      <c r="E116" s="1186"/>
      <c r="F116" s="1186"/>
      <c r="G116" s="111"/>
      <c r="H116" s="648"/>
    </row>
    <row r="117" spans="1:8" s="5" customFormat="1" ht="20.100000000000001" customHeight="1" x14ac:dyDescent="0.25">
      <c r="A117" s="639"/>
      <c r="B117" s="161" t="s">
        <v>64</v>
      </c>
      <c r="C117" s="92"/>
      <c r="D117" s="110"/>
      <c r="E117" s="1186"/>
      <c r="F117" s="1186"/>
      <c r="G117" s="111"/>
      <c r="H117" s="648"/>
    </row>
    <row r="118" spans="1:8" s="5" customFormat="1" ht="69" x14ac:dyDescent="0.25">
      <c r="A118" s="639"/>
      <c r="B118" s="129" t="s">
        <v>268</v>
      </c>
      <c r="C118" s="92"/>
      <c r="D118" s="110"/>
      <c r="E118" s="1186"/>
      <c r="F118" s="1186"/>
      <c r="G118" s="111"/>
      <c r="H118" s="648"/>
    </row>
    <row r="119" spans="1:8" s="5" customFormat="1" ht="82.8" x14ac:dyDescent="0.25">
      <c r="A119" s="639"/>
      <c r="B119" s="129" t="s">
        <v>272</v>
      </c>
      <c r="C119" s="92"/>
      <c r="D119" s="110"/>
      <c r="E119" s="1186"/>
      <c r="F119" s="1186"/>
      <c r="G119" s="111"/>
      <c r="H119" s="648"/>
    </row>
    <row r="120" spans="1:8" s="5" customFormat="1" ht="41.4" x14ac:dyDescent="0.25">
      <c r="A120" s="639"/>
      <c r="B120" s="129" t="s">
        <v>271</v>
      </c>
      <c r="C120" s="92"/>
      <c r="D120" s="110"/>
      <c r="E120" s="1186"/>
      <c r="F120" s="1186"/>
      <c r="G120" s="111"/>
      <c r="H120" s="648"/>
    </row>
    <row r="121" spans="1:8" s="5" customFormat="1" ht="55.2" x14ac:dyDescent="0.25">
      <c r="A121" s="639"/>
      <c r="B121" s="129" t="s">
        <v>269</v>
      </c>
      <c r="C121" s="92"/>
      <c r="D121" s="110"/>
      <c r="E121" s="1186"/>
      <c r="F121" s="1186"/>
      <c r="G121" s="111"/>
      <c r="H121" s="648"/>
    </row>
    <row r="122" spans="1:8" s="5" customFormat="1" ht="27.6" x14ac:dyDescent="0.25">
      <c r="A122" s="639"/>
      <c r="B122" s="129" t="s">
        <v>270</v>
      </c>
      <c r="C122" s="92"/>
      <c r="D122" s="110"/>
      <c r="E122" s="1186"/>
      <c r="F122" s="1186"/>
      <c r="G122" s="111"/>
      <c r="H122" s="648"/>
    </row>
    <row r="123" spans="1:8" s="5" customFormat="1" ht="55.2" x14ac:dyDescent="0.25">
      <c r="A123" s="639"/>
      <c r="B123" s="129" t="s">
        <v>273</v>
      </c>
      <c r="C123" s="92"/>
      <c r="D123" s="110"/>
      <c r="E123" s="1186"/>
      <c r="F123" s="1186"/>
      <c r="G123" s="111"/>
      <c r="H123" s="648"/>
    </row>
    <row r="124" spans="1:8" s="5" customFormat="1" ht="27.6" x14ac:dyDescent="0.25">
      <c r="A124" s="639"/>
      <c r="B124" s="129" t="s">
        <v>274</v>
      </c>
      <c r="C124" s="92"/>
      <c r="D124" s="110"/>
      <c r="E124" s="1186"/>
      <c r="F124" s="1186"/>
      <c r="G124" s="111"/>
      <c r="H124" s="648"/>
    </row>
    <row r="125" spans="1:8" s="5" customFormat="1" ht="106.8" customHeight="1" x14ac:dyDescent="0.25">
      <c r="A125" s="639"/>
      <c r="B125" s="129" t="s">
        <v>275</v>
      </c>
      <c r="C125" s="92"/>
      <c r="D125" s="110"/>
      <c r="E125" s="1186"/>
      <c r="F125" s="1186"/>
      <c r="G125" s="111"/>
      <c r="H125" s="648"/>
    </row>
    <row r="126" spans="1:8" s="5" customFormat="1" ht="14.4" thickBot="1" x14ac:dyDescent="0.3">
      <c r="A126" s="649"/>
      <c r="B126" s="646"/>
      <c r="C126" s="642"/>
      <c r="D126" s="650"/>
      <c r="E126" s="1187"/>
      <c r="F126" s="1187"/>
      <c r="G126" s="651"/>
      <c r="H126" s="652"/>
    </row>
    <row r="127" spans="1:8" s="5" customFormat="1" ht="69" x14ac:dyDescent="0.25">
      <c r="A127" s="149" t="s">
        <v>65</v>
      </c>
      <c r="B127" s="129" t="s">
        <v>502</v>
      </c>
      <c r="C127" s="99"/>
      <c r="D127" s="110"/>
      <c r="E127" s="1186"/>
      <c r="F127" s="1186"/>
      <c r="G127" s="111"/>
      <c r="H127" s="648"/>
    </row>
    <row r="128" spans="1:8" s="5" customFormat="1" x14ac:dyDescent="0.25">
      <c r="A128" s="149"/>
      <c r="B128" s="129"/>
      <c r="C128" s="99"/>
      <c r="D128" s="110"/>
      <c r="E128" s="1186"/>
      <c r="F128" s="1186"/>
      <c r="G128" s="111"/>
      <c r="H128" s="648"/>
    </row>
    <row r="129" spans="1:13" s="5" customFormat="1" ht="69" x14ac:dyDescent="0.25">
      <c r="A129" s="149" t="s">
        <v>66</v>
      </c>
      <c r="B129" s="129" t="s">
        <v>67</v>
      </c>
      <c r="C129" s="99"/>
      <c r="D129" s="110"/>
      <c r="E129" s="1186"/>
      <c r="F129" s="1186"/>
      <c r="G129" s="111"/>
      <c r="H129" s="648"/>
    </row>
    <row r="130" spans="1:13" s="5" customFormat="1" x14ac:dyDescent="0.25">
      <c r="A130" s="149"/>
      <c r="B130" s="129"/>
      <c r="C130" s="99"/>
      <c r="D130" s="110"/>
      <c r="E130" s="1186"/>
      <c r="F130" s="1186"/>
      <c r="G130" s="111"/>
      <c r="H130" s="648"/>
    </row>
    <row r="131" spans="1:13" s="5" customFormat="1" ht="41.4" x14ac:dyDescent="0.25">
      <c r="A131" s="149" t="s">
        <v>68</v>
      </c>
      <c r="B131" s="129" t="s">
        <v>69</v>
      </c>
      <c r="C131" s="99"/>
      <c r="D131" s="110"/>
      <c r="E131" s="1186"/>
      <c r="F131" s="1186"/>
      <c r="G131" s="111"/>
      <c r="H131" s="648"/>
    </row>
    <row r="132" spans="1:13" s="5" customFormat="1" x14ac:dyDescent="0.25">
      <c r="A132" s="639"/>
      <c r="B132" s="162"/>
      <c r="C132" s="99"/>
      <c r="D132" s="110"/>
      <c r="E132" s="1186"/>
      <c r="F132" s="1186"/>
      <c r="G132" s="111"/>
      <c r="H132" s="648"/>
    </row>
    <row r="133" spans="1:13" s="5" customFormat="1" x14ac:dyDescent="0.25">
      <c r="A133" s="639"/>
      <c r="B133" s="162" t="s">
        <v>108</v>
      </c>
      <c r="C133" s="99"/>
      <c r="D133" s="110"/>
      <c r="E133" s="1186"/>
      <c r="F133" s="1186"/>
      <c r="G133" s="111"/>
      <c r="H133" s="648"/>
    </row>
    <row r="134" spans="1:13" ht="30.6" customHeight="1" x14ac:dyDescent="0.25">
      <c r="A134" s="542" t="s">
        <v>70</v>
      </c>
      <c r="B134" s="160" t="s">
        <v>293</v>
      </c>
      <c r="C134" s="96"/>
      <c r="D134" s="36"/>
      <c r="E134" s="1178"/>
      <c r="F134" s="1178"/>
      <c r="G134" s="75"/>
      <c r="H134" s="541"/>
      <c r="I134" s="3"/>
      <c r="J134" s="3"/>
      <c r="K134" s="3"/>
      <c r="L134" s="3"/>
      <c r="M134" s="3"/>
    </row>
    <row r="135" spans="1:13" x14ac:dyDescent="0.25">
      <c r="A135" s="542"/>
      <c r="B135" s="160"/>
      <c r="C135" s="96"/>
      <c r="D135" s="36"/>
      <c r="E135" s="1178"/>
      <c r="F135" s="1178"/>
      <c r="G135" s="75"/>
      <c r="H135" s="541"/>
      <c r="I135" s="3"/>
      <c r="J135" s="3"/>
      <c r="K135" s="3"/>
      <c r="L135" s="3"/>
      <c r="M135" s="3"/>
    </row>
    <row r="136" spans="1:13" ht="14.4" customHeight="1" x14ac:dyDescent="0.25">
      <c r="A136" s="542" t="s">
        <v>129</v>
      </c>
      <c r="B136" s="160" t="s">
        <v>769</v>
      </c>
      <c r="C136" s="96">
        <v>8</v>
      </c>
      <c r="D136" s="36" t="s">
        <v>577</v>
      </c>
      <c r="E136" s="1178">
        <v>2650</v>
      </c>
      <c r="F136" s="1182">
        <f>+$I$1</f>
        <v>0.75</v>
      </c>
      <c r="G136" s="1183">
        <f>ROUNDUP(E136/F136,-1)</f>
        <v>3540</v>
      </c>
      <c r="H136" s="1184">
        <f>+G136*C136</f>
        <v>28320</v>
      </c>
      <c r="I136" s="3"/>
      <c r="J136" s="3"/>
      <c r="K136" s="3"/>
      <c r="L136" s="3"/>
      <c r="M136" s="3"/>
    </row>
    <row r="137" spans="1:13" x14ac:dyDescent="0.25">
      <c r="A137" s="542"/>
      <c r="B137" s="160"/>
      <c r="C137" s="96"/>
      <c r="D137" s="36"/>
      <c r="E137" s="1178"/>
      <c r="F137" s="1178"/>
      <c r="G137" s="75"/>
      <c r="H137" s="541"/>
      <c r="I137" s="3"/>
      <c r="J137" s="3"/>
      <c r="K137" s="3"/>
      <c r="L137" s="3"/>
      <c r="M137" s="3"/>
    </row>
    <row r="138" spans="1:13" ht="43.8" customHeight="1" x14ac:dyDescent="0.25">
      <c r="A138" s="542" t="s">
        <v>71</v>
      </c>
      <c r="B138" s="160" t="s">
        <v>72</v>
      </c>
      <c r="C138" s="96"/>
      <c r="D138" s="36"/>
      <c r="E138" s="1178"/>
      <c r="F138" s="1178"/>
      <c r="G138" s="75"/>
      <c r="H138" s="541"/>
    </row>
    <row r="139" spans="1:13" x14ac:dyDescent="0.25">
      <c r="A139" s="542"/>
      <c r="B139" s="160" t="s">
        <v>495</v>
      </c>
      <c r="C139" s="96">
        <v>108</v>
      </c>
      <c r="D139" s="36" t="s">
        <v>577</v>
      </c>
      <c r="E139" s="1178">
        <v>2100</v>
      </c>
      <c r="F139" s="1182">
        <f t="shared" ref="F139:F141" si="12">+$I$1</f>
        <v>0.75</v>
      </c>
      <c r="G139" s="1183">
        <f t="shared" ref="G139:G141" si="13">ROUNDUP(E139/F139,-1)</f>
        <v>2800</v>
      </c>
      <c r="H139" s="1184">
        <f t="shared" ref="H139:H141" si="14">+G139*C139</f>
        <v>302400</v>
      </c>
    </row>
    <row r="140" spans="1:13" x14ac:dyDescent="0.25">
      <c r="A140" s="542"/>
      <c r="B140" s="160" t="s">
        <v>656</v>
      </c>
      <c r="C140" s="96">
        <v>43</v>
      </c>
      <c r="D140" s="36" t="s">
        <v>577</v>
      </c>
      <c r="E140" s="1178">
        <v>2100</v>
      </c>
      <c r="F140" s="1182">
        <f t="shared" si="12"/>
        <v>0.75</v>
      </c>
      <c r="G140" s="1183">
        <f t="shared" si="13"/>
        <v>2800</v>
      </c>
      <c r="H140" s="1184">
        <f t="shared" si="14"/>
        <v>120400</v>
      </c>
    </row>
    <row r="141" spans="1:13" x14ac:dyDescent="0.25">
      <c r="A141" s="542"/>
      <c r="B141" s="160" t="s">
        <v>765</v>
      </c>
      <c r="C141" s="96">
        <v>21</v>
      </c>
      <c r="D141" s="36" t="s">
        <v>577</v>
      </c>
      <c r="E141" s="1178">
        <v>2250</v>
      </c>
      <c r="F141" s="1182">
        <f t="shared" si="12"/>
        <v>0.75</v>
      </c>
      <c r="G141" s="1183">
        <f t="shared" si="13"/>
        <v>3000</v>
      </c>
      <c r="H141" s="1184">
        <f t="shared" si="14"/>
        <v>63000</v>
      </c>
    </row>
    <row r="142" spans="1:13" s="735" customFormat="1" x14ac:dyDescent="0.25">
      <c r="A142" s="730"/>
      <c r="B142" s="731"/>
      <c r="C142" s="732"/>
      <c r="D142" s="733"/>
      <c r="E142" s="1178"/>
      <c r="F142" s="1178"/>
      <c r="G142" s="75"/>
      <c r="H142" s="734"/>
    </row>
    <row r="143" spans="1:13" ht="28.8" customHeight="1" x14ac:dyDescent="0.25">
      <c r="A143" s="542" t="s">
        <v>73</v>
      </c>
      <c r="B143" s="160" t="s">
        <v>485</v>
      </c>
      <c r="C143" s="96"/>
      <c r="D143" s="36"/>
      <c r="E143" s="1178"/>
      <c r="F143" s="1178"/>
      <c r="G143" s="75"/>
      <c r="H143" s="541"/>
    </row>
    <row r="144" spans="1:13" x14ac:dyDescent="0.25">
      <c r="A144" s="542"/>
      <c r="B144" s="160"/>
      <c r="C144" s="96"/>
      <c r="D144" s="36"/>
      <c r="E144" s="1178"/>
      <c r="F144" s="1178"/>
      <c r="G144" s="75"/>
      <c r="H144" s="541"/>
    </row>
    <row r="145" spans="1:19" s="3" customFormat="1" ht="29.4" customHeight="1" x14ac:dyDescent="0.25">
      <c r="A145" s="149" t="s">
        <v>131</v>
      </c>
      <c r="B145" s="129" t="s">
        <v>600</v>
      </c>
      <c r="C145" s="101">
        <v>98</v>
      </c>
      <c r="D145" s="87" t="s">
        <v>577</v>
      </c>
      <c r="E145" s="1188">
        <v>2350</v>
      </c>
      <c r="F145" s="1182">
        <f>+$I$1</f>
        <v>0.75</v>
      </c>
      <c r="G145" s="1183">
        <f>ROUNDUP(E145/F145,-1)</f>
        <v>3140</v>
      </c>
      <c r="H145" s="1184">
        <f>+G145*C145</f>
        <v>307720</v>
      </c>
    </row>
    <row r="146" spans="1:19" x14ac:dyDescent="0.25">
      <c r="A146" s="542"/>
      <c r="B146" s="160"/>
      <c r="C146" s="96"/>
      <c r="D146" s="36"/>
      <c r="E146" s="1178"/>
      <c r="F146" s="1178"/>
      <c r="G146" s="75"/>
      <c r="H146" s="541"/>
    </row>
    <row r="147" spans="1:19" s="3" customFormat="1" ht="29.4" customHeight="1" x14ac:dyDescent="0.25">
      <c r="A147" s="149" t="s">
        <v>132</v>
      </c>
      <c r="B147" s="129" t="s">
        <v>14</v>
      </c>
      <c r="C147" s="101">
        <v>87</v>
      </c>
      <c r="D147" s="87" t="s">
        <v>577</v>
      </c>
      <c r="E147" s="1188">
        <f>+E145*1.05</f>
        <v>2467.5</v>
      </c>
      <c r="F147" s="1182">
        <f>+$I$1</f>
        <v>0.75</v>
      </c>
      <c r="G147" s="1183">
        <f>ROUNDUP(E147/F147,-1)</f>
        <v>3290</v>
      </c>
      <c r="H147" s="1184">
        <f>+G147*C147</f>
        <v>286230</v>
      </c>
    </row>
    <row r="148" spans="1:19" x14ac:dyDescent="0.25">
      <c r="A148" s="542"/>
      <c r="B148" s="160"/>
      <c r="C148" s="96"/>
      <c r="D148" s="36"/>
      <c r="E148" s="1178"/>
      <c r="F148" s="1178"/>
      <c r="G148" s="75"/>
      <c r="H148" s="541"/>
    </row>
    <row r="149" spans="1:19" s="3" customFormat="1" ht="29.4" customHeight="1" x14ac:dyDescent="0.25">
      <c r="A149" s="149" t="s">
        <v>133</v>
      </c>
      <c r="B149" s="129" t="s">
        <v>770</v>
      </c>
      <c r="C149" s="101">
        <v>44</v>
      </c>
      <c r="D149" s="87" t="s">
        <v>577</v>
      </c>
      <c r="E149" s="1188">
        <f>+E145*1.1</f>
        <v>2585</v>
      </c>
      <c r="F149" s="1182">
        <f>+$I$1</f>
        <v>0.75</v>
      </c>
      <c r="G149" s="1183">
        <f>ROUNDUP(E149/F149,-1)</f>
        <v>3450</v>
      </c>
      <c r="H149" s="1184">
        <f>+G149*C149</f>
        <v>151800</v>
      </c>
    </row>
    <row r="150" spans="1:19" x14ac:dyDescent="0.25">
      <c r="A150" s="542"/>
      <c r="B150" s="160"/>
      <c r="C150" s="96"/>
      <c r="D150" s="36"/>
      <c r="E150" s="1178"/>
      <c r="F150" s="1178"/>
      <c r="G150" s="75"/>
      <c r="H150" s="541"/>
    </row>
    <row r="151" spans="1:19" ht="41.4" x14ac:dyDescent="0.25">
      <c r="A151" s="542" t="s">
        <v>130</v>
      </c>
      <c r="B151" s="160" t="s">
        <v>567</v>
      </c>
      <c r="C151" s="96"/>
      <c r="D151" s="36"/>
      <c r="E151" s="1178"/>
      <c r="F151" s="1178"/>
      <c r="G151" s="75"/>
      <c r="H151" s="541"/>
    </row>
    <row r="152" spans="1:19" x14ac:dyDescent="0.25">
      <c r="A152" s="542" t="s">
        <v>134</v>
      </c>
      <c r="B152" s="160" t="s">
        <v>569</v>
      </c>
      <c r="C152" s="96">
        <v>237</v>
      </c>
      <c r="D152" s="36" t="s">
        <v>577</v>
      </c>
      <c r="E152" s="1178">
        <v>2250</v>
      </c>
      <c r="F152" s="1182">
        <f t="shared" ref="F152:F154" si="15">+$I$1</f>
        <v>0.75</v>
      </c>
      <c r="G152" s="1183">
        <f t="shared" ref="G152:G154" si="16">ROUNDUP(E152/F152,-1)</f>
        <v>3000</v>
      </c>
      <c r="H152" s="1184">
        <f t="shared" ref="H152:H154" si="17">+G152*C152</f>
        <v>711000</v>
      </c>
    </row>
    <row r="153" spans="1:19" x14ac:dyDescent="0.25">
      <c r="A153" s="542" t="s">
        <v>135</v>
      </c>
      <c r="B153" s="160" t="s">
        <v>570</v>
      </c>
      <c r="C153" s="96">
        <v>227</v>
      </c>
      <c r="D153" s="36" t="s">
        <v>577</v>
      </c>
      <c r="E153" s="1178">
        <f>+E152*1.05</f>
        <v>2362.5</v>
      </c>
      <c r="F153" s="1182">
        <f t="shared" si="15"/>
        <v>0.75</v>
      </c>
      <c r="G153" s="1183">
        <f t="shared" si="16"/>
        <v>3150</v>
      </c>
      <c r="H153" s="1184">
        <f t="shared" si="17"/>
        <v>715050</v>
      </c>
    </row>
    <row r="154" spans="1:19" x14ac:dyDescent="0.25">
      <c r="A154" s="542" t="s">
        <v>136</v>
      </c>
      <c r="B154" s="160" t="s">
        <v>804</v>
      </c>
      <c r="C154" s="96">
        <v>61</v>
      </c>
      <c r="D154" s="36" t="str">
        <f>D153</f>
        <v>Sqm</v>
      </c>
      <c r="E154" s="1178">
        <f>+E152*1.1</f>
        <v>2475</v>
      </c>
      <c r="F154" s="1182">
        <f t="shared" si="15"/>
        <v>0.75</v>
      </c>
      <c r="G154" s="1183">
        <f t="shared" si="16"/>
        <v>3300</v>
      </c>
      <c r="H154" s="1184">
        <f t="shared" si="17"/>
        <v>201300</v>
      </c>
    </row>
    <row r="155" spans="1:19" x14ac:dyDescent="0.25">
      <c r="A155" s="542"/>
      <c r="B155" s="160"/>
      <c r="C155" s="96"/>
      <c r="D155" s="36"/>
      <c r="E155" s="1178"/>
      <c r="F155" s="1178"/>
      <c r="G155" s="75"/>
      <c r="H155" s="541"/>
    </row>
    <row r="156" spans="1:19" ht="30" customHeight="1" x14ac:dyDescent="0.25">
      <c r="A156" s="542" t="s">
        <v>74</v>
      </c>
      <c r="B156" s="160" t="s">
        <v>568</v>
      </c>
      <c r="C156" s="96"/>
      <c r="D156" s="36"/>
      <c r="E156" s="1178"/>
      <c r="F156" s="1178"/>
      <c r="G156" s="75"/>
      <c r="H156" s="541"/>
    </row>
    <row r="157" spans="1:19" x14ac:dyDescent="0.25">
      <c r="A157" s="542" t="s">
        <v>137</v>
      </c>
      <c r="B157" s="160" t="s">
        <v>571</v>
      </c>
      <c r="C157" s="96">
        <v>130</v>
      </c>
      <c r="D157" s="36" t="s">
        <v>577</v>
      </c>
      <c r="E157" s="1178">
        <v>2550</v>
      </c>
      <c r="F157" s="1182">
        <f t="shared" ref="F157:F159" si="18">+$I$1</f>
        <v>0.75</v>
      </c>
      <c r="G157" s="1183">
        <f t="shared" ref="G157:G159" si="19">ROUNDUP(E157/F157,-1)</f>
        <v>3400</v>
      </c>
      <c r="H157" s="1184">
        <f t="shared" ref="H157:H159" si="20">+G157*C157</f>
        <v>442000</v>
      </c>
    </row>
    <row r="158" spans="1:19" s="168" customFormat="1" x14ac:dyDescent="0.25">
      <c r="A158" s="543" t="s">
        <v>138</v>
      </c>
      <c r="B158" s="507" t="s">
        <v>572</v>
      </c>
      <c r="C158" s="166">
        <v>118</v>
      </c>
      <c r="D158" s="165" t="s">
        <v>577</v>
      </c>
      <c r="E158" s="1178">
        <f>+E157*1.05</f>
        <v>2677.5</v>
      </c>
      <c r="F158" s="1182">
        <f t="shared" si="18"/>
        <v>0.75</v>
      </c>
      <c r="G158" s="1183">
        <f t="shared" si="19"/>
        <v>3570</v>
      </c>
      <c r="H158" s="1184">
        <f t="shared" si="20"/>
        <v>421260</v>
      </c>
      <c r="Q158" s="168">
        <f>11+0.9</f>
        <v>11.9</v>
      </c>
      <c r="R158" s="168">
        <f>0.55+0.55+0.3</f>
        <v>1.4000000000000001</v>
      </c>
      <c r="S158" s="168">
        <f>R158*Q158</f>
        <v>16.660000000000004</v>
      </c>
    </row>
    <row r="159" spans="1:19" s="168" customFormat="1" x14ac:dyDescent="0.25">
      <c r="A159" s="543" t="s">
        <v>139</v>
      </c>
      <c r="B159" s="160" t="s">
        <v>802</v>
      </c>
      <c r="C159" s="166">
        <v>68</v>
      </c>
      <c r="D159" s="165" t="str">
        <f>D158</f>
        <v>Sqm</v>
      </c>
      <c r="E159" s="1178">
        <f>+E157*1.1</f>
        <v>2805</v>
      </c>
      <c r="F159" s="1182">
        <f t="shared" si="18"/>
        <v>0.75</v>
      </c>
      <c r="G159" s="1183">
        <f t="shared" si="19"/>
        <v>3740</v>
      </c>
      <c r="H159" s="1184">
        <f t="shared" si="20"/>
        <v>254320</v>
      </c>
    </row>
    <row r="160" spans="1:19" s="168" customFormat="1" x14ac:dyDescent="0.25">
      <c r="A160" s="543"/>
      <c r="B160" s="507"/>
      <c r="C160" s="166"/>
      <c r="D160" s="165"/>
      <c r="E160" s="1178"/>
      <c r="F160" s="1178"/>
      <c r="G160" s="167"/>
      <c r="H160" s="544"/>
    </row>
    <row r="161" spans="1:8" s="168" customFormat="1" ht="14.4" thickBot="1" x14ac:dyDescent="0.3">
      <c r="A161" s="551"/>
      <c r="B161" s="689"/>
      <c r="C161" s="690"/>
      <c r="D161" s="691"/>
      <c r="E161" s="1179"/>
      <c r="F161" s="1179"/>
      <c r="G161" s="549"/>
      <c r="H161" s="550"/>
    </row>
    <row r="162" spans="1:8" s="3" customFormat="1" x14ac:dyDescent="0.25">
      <c r="A162" s="149"/>
      <c r="B162" s="161" t="s">
        <v>75</v>
      </c>
      <c r="C162" s="92"/>
      <c r="D162" s="36"/>
      <c r="E162" s="1178"/>
      <c r="F162" s="1178"/>
      <c r="G162" s="75"/>
      <c r="H162" s="541"/>
    </row>
    <row r="163" spans="1:8" s="3" customFormat="1" ht="109.2" customHeight="1" x14ac:dyDescent="0.25">
      <c r="A163" s="149"/>
      <c r="B163" s="162" t="s">
        <v>603</v>
      </c>
      <c r="C163" s="92"/>
      <c r="D163" s="36"/>
      <c r="E163" s="1178"/>
      <c r="F163" s="1178"/>
      <c r="G163" s="75"/>
      <c r="H163" s="541"/>
    </row>
    <row r="164" spans="1:8" s="3" customFormat="1" x14ac:dyDescent="0.25">
      <c r="A164" s="149"/>
      <c r="B164" s="162"/>
      <c r="C164" s="92"/>
      <c r="D164" s="36"/>
      <c r="E164" s="1178"/>
      <c r="F164" s="1178"/>
      <c r="G164" s="75"/>
      <c r="H164" s="541"/>
    </row>
    <row r="165" spans="1:8" ht="52.8" customHeight="1" x14ac:dyDescent="0.25">
      <c r="A165" s="542" t="s">
        <v>76</v>
      </c>
      <c r="B165" s="160" t="s">
        <v>608</v>
      </c>
      <c r="C165" s="96"/>
      <c r="D165" s="36"/>
      <c r="E165" s="1178"/>
      <c r="F165" s="1178"/>
      <c r="G165" s="75"/>
      <c r="H165" s="541"/>
    </row>
    <row r="166" spans="1:8" x14ac:dyDescent="0.25">
      <c r="A166" s="542" t="s">
        <v>140</v>
      </c>
      <c r="B166" s="160" t="s">
        <v>33</v>
      </c>
      <c r="C166" s="96">
        <v>1950</v>
      </c>
      <c r="D166" s="36" t="s">
        <v>37</v>
      </c>
      <c r="E166" s="1178">
        <f>+RBD!F57</f>
        <v>452.87509999999997</v>
      </c>
      <c r="F166" s="1182">
        <f t="shared" ref="F166:F170" si="21">+$I$1</f>
        <v>0.75</v>
      </c>
      <c r="G166" s="1183">
        <f t="shared" ref="G166:G170" si="22">ROUNDUP(E166/F166,-1)</f>
        <v>610</v>
      </c>
      <c r="H166" s="1184">
        <f t="shared" ref="H166:H170" si="23">+G166*C166</f>
        <v>1189500</v>
      </c>
    </row>
    <row r="167" spans="1:8" x14ac:dyDescent="0.25">
      <c r="A167" s="542" t="s">
        <v>610</v>
      </c>
      <c r="B167" s="160" t="s">
        <v>611</v>
      </c>
      <c r="C167" s="96">
        <v>1520</v>
      </c>
      <c r="D167" s="36" t="s">
        <v>37</v>
      </c>
      <c r="E167" s="1178">
        <f>+E166*1.1</f>
        <v>498.16261000000003</v>
      </c>
      <c r="F167" s="1182">
        <f t="shared" si="21"/>
        <v>0.75</v>
      </c>
      <c r="G167" s="1183">
        <f t="shared" si="22"/>
        <v>670</v>
      </c>
      <c r="H167" s="1184">
        <f t="shared" si="23"/>
        <v>1018400</v>
      </c>
    </row>
    <row r="168" spans="1:8" x14ac:dyDescent="0.25">
      <c r="A168" s="542" t="s">
        <v>613</v>
      </c>
      <c r="B168" s="160" t="s">
        <v>614</v>
      </c>
      <c r="C168" s="96">
        <v>2125</v>
      </c>
      <c r="D168" s="36" t="s">
        <v>37</v>
      </c>
      <c r="E168" s="1178">
        <f>+E166</f>
        <v>452.87509999999997</v>
      </c>
      <c r="F168" s="1182">
        <f t="shared" si="21"/>
        <v>0.75</v>
      </c>
      <c r="G168" s="1183">
        <f t="shared" si="22"/>
        <v>610</v>
      </c>
      <c r="H168" s="1184">
        <f t="shared" si="23"/>
        <v>1296250</v>
      </c>
    </row>
    <row r="169" spans="1:8" x14ac:dyDescent="0.25">
      <c r="A169" s="542" t="s">
        <v>657</v>
      </c>
      <c r="B169" s="160" t="s">
        <v>766</v>
      </c>
      <c r="C169" s="96">
        <v>350</v>
      </c>
      <c r="D169" s="36" t="s">
        <v>37</v>
      </c>
      <c r="E169" s="1178">
        <f>+E166</f>
        <v>452.87509999999997</v>
      </c>
      <c r="F169" s="1182">
        <f t="shared" si="21"/>
        <v>0.75</v>
      </c>
      <c r="G169" s="1183">
        <f t="shared" si="22"/>
        <v>610</v>
      </c>
      <c r="H169" s="1184">
        <f t="shared" si="23"/>
        <v>213500</v>
      </c>
    </row>
    <row r="170" spans="1:8" x14ac:dyDescent="0.25">
      <c r="A170" s="542" t="s">
        <v>658</v>
      </c>
      <c r="B170" s="160" t="s">
        <v>659</v>
      </c>
      <c r="C170" s="96">
        <v>225</v>
      </c>
      <c r="D170" s="36" t="s">
        <v>37</v>
      </c>
      <c r="E170" s="1178">
        <f>+E166*1.1</f>
        <v>498.16261000000003</v>
      </c>
      <c r="F170" s="1182">
        <f t="shared" si="21"/>
        <v>0.75</v>
      </c>
      <c r="G170" s="1183">
        <f t="shared" si="22"/>
        <v>670</v>
      </c>
      <c r="H170" s="1184">
        <f t="shared" si="23"/>
        <v>150750</v>
      </c>
    </row>
    <row r="171" spans="1:8" x14ac:dyDescent="0.25">
      <c r="A171" s="542"/>
      <c r="B171" s="160"/>
      <c r="C171" s="96"/>
      <c r="D171" s="36"/>
      <c r="E171" s="1178"/>
      <c r="F171" s="1178"/>
      <c r="G171" s="75"/>
      <c r="H171" s="541"/>
    </row>
    <row r="172" spans="1:8" ht="55.2" x14ac:dyDescent="0.25">
      <c r="A172" s="542" t="s">
        <v>77</v>
      </c>
      <c r="B172" s="160" t="s">
        <v>660</v>
      </c>
      <c r="C172" s="96"/>
      <c r="D172" s="36"/>
      <c r="E172" s="1178"/>
      <c r="F172" s="1178"/>
      <c r="G172" s="75"/>
      <c r="H172" s="541"/>
    </row>
    <row r="173" spans="1:8" x14ac:dyDescent="0.25">
      <c r="A173" s="542" t="s">
        <v>141</v>
      </c>
      <c r="B173" s="160" t="s">
        <v>32</v>
      </c>
      <c r="C173" s="96">
        <v>770</v>
      </c>
      <c r="D173" s="36" t="s">
        <v>37</v>
      </c>
      <c r="E173" s="1178">
        <f>+E166</f>
        <v>452.87509999999997</v>
      </c>
      <c r="F173" s="1182">
        <f t="shared" ref="F173:F175" si="24">+$I$1</f>
        <v>0.75</v>
      </c>
      <c r="G173" s="1183">
        <f t="shared" ref="G173:G175" si="25">ROUNDUP(E173/F173,-1)</f>
        <v>610</v>
      </c>
      <c r="H173" s="1184">
        <f t="shared" ref="H173:H175" si="26">+G173*C173</f>
        <v>469700</v>
      </c>
    </row>
    <row r="174" spans="1:8" x14ac:dyDescent="0.25">
      <c r="A174" s="542" t="s">
        <v>142</v>
      </c>
      <c r="B174" s="160" t="s">
        <v>109</v>
      </c>
      <c r="C174" s="96">
        <v>2625</v>
      </c>
      <c r="D174" s="36" t="s">
        <v>37</v>
      </c>
      <c r="E174" s="1178">
        <f>+E166</f>
        <v>452.87509999999997</v>
      </c>
      <c r="F174" s="1182">
        <f t="shared" si="24"/>
        <v>0.75</v>
      </c>
      <c r="G174" s="1183">
        <f t="shared" si="25"/>
        <v>610</v>
      </c>
      <c r="H174" s="1184">
        <f t="shared" si="26"/>
        <v>1601250</v>
      </c>
    </row>
    <row r="175" spans="1:8" x14ac:dyDescent="0.25">
      <c r="A175" s="542" t="s">
        <v>612</v>
      </c>
      <c r="B175" s="160" t="s">
        <v>662</v>
      </c>
      <c r="C175" s="96">
        <v>4650</v>
      </c>
      <c r="D175" s="36" t="s">
        <v>37</v>
      </c>
      <c r="E175" s="1178">
        <f>+E166</f>
        <v>452.87509999999997</v>
      </c>
      <c r="F175" s="1182">
        <f t="shared" si="24"/>
        <v>0.75</v>
      </c>
      <c r="G175" s="1183">
        <f t="shared" si="25"/>
        <v>610</v>
      </c>
      <c r="H175" s="1184">
        <f t="shared" si="26"/>
        <v>2836500</v>
      </c>
    </row>
    <row r="176" spans="1:8" x14ac:dyDescent="0.25">
      <c r="A176" s="542"/>
      <c r="B176" s="160"/>
      <c r="C176" s="96"/>
      <c r="D176" s="36"/>
      <c r="E176" s="1178"/>
      <c r="F176" s="1178"/>
      <c r="G176" s="75"/>
      <c r="H176" s="541"/>
    </row>
    <row r="177" spans="1:10" ht="55.2" x14ac:dyDescent="0.25">
      <c r="A177" s="542" t="s">
        <v>78</v>
      </c>
      <c r="B177" s="160" t="s">
        <v>609</v>
      </c>
      <c r="C177" s="96"/>
      <c r="D177" s="36"/>
      <c r="E177" s="1178"/>
      <c r="F177" s="1178"/>
      <c r="G177" s="75"/>
      <c r="H177" s="541"/>
    </row>
    <row r="178" spans="1:10" x14ac:dyDescent="0.25">
      <c r="A178" s="542" t="s">
        <v>143</v>
      </c>
      <c r="B178" s="160" t="s">
        <v>32</v>
      </c>
      <c r="C178" s="96">
        <v>660</v>
      </c>
      <c r="D178" s="36" t="s">
        <v>37</v>
      </c>
      <c r="E178" s="1178">
        <f>+E173*1.05</f>
        <v>475.51885499999997</v>
      </c>
      <c r="F178" s="1182">
        <f t="shared" ref="F178:F180" si="27">+$I$1</f>
        <v>0.75</v>
      </c>
      <c r="G178" s="1183">
        <f t="shared" ref="G178:G180" si="28">ROUNDUP(E178/F178,-1)</f>
        <v>640</v>
      </c>
      <c r="H178" s="1184">
        <f t="shared" ref="H178:H180" si="29">+G178*C178</f>
        <v>422400</v>
      </c>
    </row>
    <row r="179" spans="1:10" s="168" customFormat="1" x14ac:dyDescent="0.25">
      <c r="A179" s="543" t="s">
        <v>144</v>
      </c>
      <c r="B179" s="507" t="s">
        <v>109</v>
      </c>
      <c r="C179" s="96">
        <v>2450</v>
      </c>
      <c r="D179" s="165" t="s">
        <v>37</v>
      </c>
      <c r="E179" s="1178">
        <f>+E173*1.05</f>
        <v>475.51885499999997</v>
      </c>
      <c r="F179" s="1182">
        <f t="shared" si="27"/>
        <v>0.75</v>
      </c>
      <c r="G179" s="1183">
        <f t="shared" si="28"/>
        <v>640</v>
      </c>
      <c r="H179" s="1184">
        <f t="shared" si="29"/>
        <v>1568000</v>
      </c>
      <c r="J179" s="4"/>
    </row>
    <row r="180" spans="1:10" x14ac:dyDescent="0.25">
      <c r="A180" s="542" t="s">
        <v>615</v>
      </c>
      <c r="B180" s="160" t="s">
        <v>614</v>
      </c>
      <c r="C180" s="96">
        <v>4500</v>
      </c>
      <c r="D180" s="36" t="s">
        <v>37</v>
      </c>
      <c r="E180" s="1178">
        <f>+E173*1.05</f>
        <v>475.51885499999997</v>
      </c>
      <c r="F180" s="1182">
        <f t="shared" si="27"/>
        <v>0.75</v>
      </c>
      <c r="G180" s="1183">
        <f t="shared" si="28"/>
        <v>640</v>
      </c>
      <c r="H180" s="1184">
        <f t="shared" si="29"/>
        <v>2880000</v>
      </c>
    </row>
    <row r="181" spans="1:10" x14ac:dyDescent="0.25">
      <c r="A181" s="542"/>
      <c r="B181" s="160"/>
      <c r="C181" s="96"/>
      <c r="D181" s="36"/>
      <c r="E181" s="1178"/>
      <c r="F181" s="1178"/>
      <c r="G181" s="75"/>
      <c r="H181" s="541"/>
    </row>
    <row r="182" spans="1:10" ht="55.2" x14ac:dyDescent="0.25">
      <c r="A182" s="542" t="s">
        <v>78</v>
      </c>
      <c r="B182" s="160" t="s">
        <v>661</v>
      </c>
      <c r="C182" s="96"/>
      <c r="D182" s="36"/>
      <c r="E182" s="1178"/>
      <c r="F182" s="1178"/>
      <c r="G182" s="75"/>
      <c r="H182" s="541"/>
    </row>
    <row r="183" spans="1:10" x14ac:dyDescent="0.25">
      <c r="A183" s="542" t="s">
        <v>143</v>
      </c>
      <c r="B183" s="160" t="s">
        <v>32</v>
      </c>
      <c r="C183" s="96">
        <v>375</v>
      </c>
      <c r="D183" s="36" t="s">
        <v>37</v>
      </c>
      <c r="E183" s="1178">
        <f>+E173*1.1</f>
        <v>498.16261000000003</v>
      </c>
      <c r="F183" s="1182">
        <f t="shared" ref="F183:F185" si="30">+$I$1</f>
        <v>0.75</v>
      </c>
      <c r="G183" s="1183">
        <f t="shared" ref="G183:G185" si="31">ROUNDUP(E183/F183,-1)</f>
        <v>670</v>
      </c>
      <c r="H183" s="1184">
        <f t="shared" ref="H183:H185" si="32">+G183*C183</f>
        <v>251250</v>
      </c>
    </row>
    <row r="184" spans="1:10" x14ac:dyDescent="0.25">
      <c r="A184" s="542" t="s">
        <v>144</v>
      </c>
      <c r="B184" s="160" t="s">
        <v>109</v>
      </c>
      <c r="C184" s="96">
        <v>1400</v>
      </c>
      <c r="D184" s="36" t="s">
        <v>37</v>
      </c>
      <c r="E184" s="1178">
        <f>+E173*1.1</f>
        <v>498.16261000000003</v>
      </c>
      <c r="F184" s="1182">
        <f t="shared" si="30"/>
        <v>0.75</v>
      </c>
      <c r="G184" s="1183">
        <f t="shared" si="31"/>
        <v>670</v>
      </c>
      <c r="H184" s="1184">
        <f t="shared" si="32"/>
        <v>938000</v>
      </c>
    </row>
    <row r="185" spans="1:10" x14ac:dyDescent="0.25">
      <c r="A185" s="542" t="s">
        <v>615</v>
      </c>
      <c r="B185" s="160" t="s">
        <v>614</v>
      </c>
      <c r="C185" s="96">
        <v>1200</v>
      </c>
      <c r="D185" s="36" t="str">
        <f>D184</f>
        <v>Kg</v>
      </c>
      <c r="E185" s="1178">
        <f>+E173*1.1</f>
        <v>498.16261000000003</v>
      </c>
      <c r="F185" s="1182">
        <f t="shared" si="30"/>
        <v>0.75</v>
      </c>
      <c r="G185" s="1183">
        <f t="shared" si="31"/>
        <v>670</v>
      </c>
      <c r="H185" s="1184">
        <f t="shared" si="32"/>
        <v>804000</v>
      </c>
    </row>
    <row r="186" spans="1:10" ht="14.4" thickBot="1" x14ac:dyDescent="0.3">
      <c r="A186" s="542"/>
      <c r="B186" s="160"/>
      <c r="C186" s="96"/>
      <c r="D186" s="36"/>
      <c r="E186" s="1178"/>
      <c r="F186" s="1178"/>
      <c r="G186" s="75"/>
      <c r="H186" s="541"/>
    </row>
    <row r="187" spans="1:10" s="3" customFormat="1" ht="28.2" thickBot="1" x14ac:dyDescent="0.3">
      <c r="A187" s="105"/>
      <c r="B187" s="653" t="s">
        <v>218</v>
      </c>
      <c r="C187" s="106"/>
      <c r="D187" s="107"/>
      <c r="E187" s="1180"/>
      <c r="F187" s="1180"/>
      <c r="G187" s="108"/>
      <c r="H187" s="109">
        <f>SUM(H3:H186)</f>
        <v>27693390</v>
      </c>
    </row>
  </sheetData>
  <pageMargins left="0.85" right="0.5" top="0.25" bottom="0.25" header="0.5" footer="0.5"/>
  <pageSetup orientation="portrait" r:id="rId1"/>
  <headerFooter alignWithMargins="0">
    <oddFooter>&amp;C&amp;P</oddFooter>
  </headerFooter>
  <rowBreaks count="4" manualBreakCount="4">
    <brk id="32" max="7" man="1"/>
    <brk id="51" max="7" man="1"/>
    <brk id="72" max="7" man="1"/>
    <brk id="161" max="7"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657B5-ED24-468B-8D29-A02E3CB3550B}">
  <sheetPr>
    <tabColor rgb="FF00B0F0"/>
  </sheetPr>
  <dimension ref="A1:K1110"/>
  <sheetViews>
    <sheetView view="pageBreakPreview" topLeftCell="A505" zoomScale="130" zoomScaleNormal="100" zoomScaleSheetLayoutView="130" workbookViewId="0">
      <selection activeCell="E465" sqref="E465"/>
    </sheetView>
  </sheetViews>
  <sheetFormatPr defaultRowHeight="12" x14ac:dyDescent="0.25"/>
  <cols>
    <col min="1" max="1" width="10.88671875" style="1156" customWidth="1"/>
    <col min="2" max="2" width="27.6640625" style="891" customWidth="1"/>
    <col min="3" max="3" width="7.44140625" style="1156" customWidth="1"/>
    <col min="4" max="7" width="10.88671875" style="891" customWidth="1"/>
    <col min="8" max="16384" width="8.88671875" style="891"/>
  </cols>
  <sheetData>
    <row r="1" spans="1:7" s="757" customFormat="1" ht="11.4" x14ac:dyDescent="0.2">
      <c r="A1" s="1424" t="s">
        <v>1036</v>
      </c>
      <c r="B1" s="1424"/>
      <c r="C1" s="1424"/>
      <c r="D1" s="1424"/>
      <c r="E1" s="1424"/>
      <c r="F1" s="1424"/>
      <c r="G1" s="1424"/>
    </row>
    <row r="2" spans="1:7" s="759" customFormat="1" ht="10.199999999999999" x14ac:dyDescent="0.2">
      <c r="A2" s="758"/>
      <c r="B2" s="758"/>
      <c r="C2" s="758"/>
      <c r="D2" s="758"/>
      <c r="E2" s="758"/>
      <c r="F2" s="758"/>
      <c r="G2" s="758"/>
    </row>
    <row r="3" spans="1:7" s="759" customFormat="1" ht="10.199999999999999" x14ac:dyDescent="0.2">
      <c r="A3" s="758"/>
      <c r="B3" s="758"/>
      <c r="C3" s="758"/>
      <c r="D3" s="758"/>
      <c r="E3" s="758"/>
      <c r="F3" s="758"/>
      <c r="G3" s="758"/>
    </row>
    <row r="4" spans="1:7" s="759" customFormat="1" ht="10.199999999999999" x14ac:dyDescent="0.2">
      <c r="A4" s="1425" t="s">
        <v>1037</v>
      </c>
      <c r="B4" s="1425"/>
      <c r="C4" s="760"/>
      <c r="D4" s="761"/>
      <c r="E4" s="761"/>
      <c r="F4" s="761"/>
      <c r="G4" s="762"/>
    </row>
    <row r="5" spans="1:7" s="759" customFormat="1" ht="10.199999999999999" x14ac:dyDescent="0.2">
      <c r="A5" s="763"/>
      <c r="B5" s="764" t="s">
        <v>1038</v>
      </c>
      <c r="C5" s="764" t="s">
        <v>1039</v>
      </c>
      <c r="D5" s="764" t="s">
        <v>2</v>
      </c>
      <c r="E5" s="764" t="s">
        <v>1040</v>
      </c>
      <c r="F5" s="764" t="s">
        <v>5</v>
      </c>
      <c r="G5" s="762"/>
    </row>
    <row r="6" spans="1:7" s="769" customFormat="1" x14ac:dyDescent="0.25">
      <c r="A6" s="765"/>
      <c r="B6" s="765"/>
      <c r="C6" s="766"/>
      <c r="D6" s="767"/>
      <c r="E6" s="767"/>
      <c r="F6" s="767"/>
      <c r="G6" s="768"/>
    </row>
    <row r="7" spans="1:7" s="769" customFormat="1" x14ac:dyDescent="0.25">
      <c r="A7" s="765"/>
      <c r="B7" s="766" t="s">
        <v>1041</v>
      </c>
      <c r="C7" s="767" t="s">
        <v>1042</v>
      </c>
      <c r="D7" s="767">
        <v>1</v>
      </c>
      <c r="E7" s="767">
        <f>+'RBD Material'!D3*1000</f>
        <v>365000</v>
      </c>
      <c r="F7" s="767">
        <f>D7*E7</f>
        <v>365000</v>
      </c>
      <c r="G7" s="768"/>
    </row>
    <row r="8" spans="1:7" s="774" customFormat="1" ht="24" x14ac:dyDescent="0.25">
      <c r="A8" s="770"/>
      <c r="B8" s="771" t="s">
        <v>1043</v>
      </c>
      <c r="C8" s="772" t="s">
        <v>1044</v>
      </c>
      <c r="D8" s="772">
        <v>3</v>
      </c>
      <c r="E8" s="772">
        <v>375</v>
      </c>
      <c r="F8" s="772">
        <f t="shared" ref="F8:F9" si="0">D8*E8</f>
        <v>1125</v>
      </c>
      <c r="G8" s="773"/>
    </row>
    <row r="9" spans="1:7" s="769" customFormat="1" x14ac:dyDescent="0.25">
      <c r="A9" s="765"/>
      <c r="B9" s="766" t="s">
        <v>1045</v>
      </c>
      <c r="C9" s="767" t="s">
        <v>1046</v>
      </c>
      <c r="D9" s="767">
        <v>1</v>
      </c>
      <c r="E9" s="767">
        <v>6500</v>
      </c>
      <c r="F9" s="767">
        <f t="shared" si="0"/>
        <v>6500</v>
      </c>
      <c r="G9" s="768"/>
    </row>
    <row r="10" spans="1:7" s="769" customFormat="1" x14ac:dyDescent="0.25">
      <c r="A10" s="765"/>
      <c r="B10" s="765"/>
      <c r="C10" s="766"/>
      <c r="D10" s="767"/>
      <c r="E10" s="767"/>
      <c r="F10" s="767"/>
      <c r="G10" s="768"/>
    </row>
    <row r="11" spans="1:7" s="769" customFormat="1" x14ac:dyDescent="0.25">
      <c r="A11" s="765"/>
      <c r="B11" s="765"/>
      <c r="C11" s="766"/>
      <c r="D11" s="767"/>
      <c r="E11" s="767"/>
      <c r="F11" s="767"/>
      <c r="G11" s="768"/>
    </row>
    <row r="12" spans="1:7" s="769" customFormat="1" x14ac:dyDescent="0.25">
      <c r="A12" s="765"/>
      <c r="B12" s="765"/>
      <c r="C12" s="766"/>
      <c r="D12" s="767"/>
      <c r="E12" s="767"/>
      <c r="F12" s="767"/>
      <c r="G12" s="768"/>
    </row>
    <row r="13" spans="1:7" s="769" customFormat="1" x14ac:dyDescent="0.25">
      <c r="A13" s="1426" t="s">
        <v>1047</v>
      </c>
      <c r="B13" s="1427"/>
      <c r="C13" s="1427"/>
      <c r="D13" s="1427"/>
      <c r="E13" s="1428"/>
      <c r="F13" s="775">
        <f>SUM(F7:F12)</f>
        <v>372625</v>
      </c>
      <c r="G13" s="768"/>
    </row>
    <row r="14" spans="1:7" s="769" customFormat="1" ht="12.6" thickBot="1" x14ac:dyDescent="0.3">
      <c r="A14" s="1426" t="s">
        <v>1048</v>
      </c>
      <c r="B14" s="1427"/>
      <c r="C14" s="1427"/>
      <c r="D14" s="1427"/>
      <c r="E14" s="1428"/>
      <c r="F14" s="775">
        <f>F13/1000</f>
        <v>372.625</v>
      </c>
      <c r="G14" s="768"/>
    </row>
    <row r="15" spans="1:7" s="769" customFormat="1" x14ac:dyDescent="0.25">
      <c r="A15" s="776"/>
      <c r="B15" s="777" t="s">
        <v>1049</v>
      </c>
      <c r="C15" s="778"/>
      <c r="D15" s="777"/>
      <c r="E15" s="777"/>
      <c r="F15" s="777"/>
      <c r="G15" s="779"/>
    </row>
    <row r="16" spans="1:7" s="769" customFormat="1" x14ac:dyDescent="0.25">
      <c r="A16" s="780"/>
      <c r="B16" s="781" t="s">
        <v>1050</v>
      </c>
      <c r="C16" s="782"/>
      <c r="D16" s="781"/>
      <c r="E16" s="781"/>
      <c r="F16" s="781"/>
      <c r="G16" s="783"/>
    </row>
    <row r="17" spans="1:7" s="769" customFormat="1" x14ac:dyDescent="0.25">
      <c r="A17" s="780"/>
      <c r="B17" s="781" t="s">
        <v>1051</v>
      </c>
      <c r="C17" s="1429" t="s">
        <v>1052</v>
      </c>
      <c r="D17" s="1429"/>
      <c r="E17" s="1429"/>
      <c r="F17" s="781"/>
      <c r="G17" s="783"/>
    </row>
    <row r="18" spans="1:7" s="769" customFormat="1" x14ac:dyDescent="0.25">
      <c r="A18" s="780"/>
      <c r="B18" s="781" t="s">
        <v>1053</v>
      </c>
      <c r="C18" s="782">
        <v>500</v>
      </c>
      <c r="D18" s="781" t="s">
        <v>37</v>
      </c>
      <c r="E18" s="781"/>
      <c r="F18" s="781"/>
      <c r="G18" s="783"/>
    </row>
    <row r="19" spans="1:7" s="769" customFormat="1" x14ac:dyDescent="0.25">
      <c r="A19" s="780"/>
      <c r="B19" s="781" t="s">
        <v>1054</v>
      </c>
      <c r="C19" s="782"/>
      <c r="D19" s="781"/>
      <c r="E19" s="781"/>
      <c r="F19" s="781"/>
      <c r="G19" s="783"/>
    </row>
    <row r="20" spans="1:7" s="769" customFormat="1" x14ac:dyDescent="0.25">
      <c r="A20" s="780"/>
      <c r="B20" s="781"/>
      <c r="C20" s="782"/>
      <c r="D20" s="781"/>
      <c r="E20" s="781"/>
      <c r="F20" s="781"/>
      <c r="G20" s="783"/>
    </row>
    <row r="21" spans="1:7" s="787" customFormat="1" x14ac:dyDescent="0.25">
      <c r="A21" s="784" t="s">
        <v>1055</v>
      </c>
      <c r="B21" s="785" t="s">
        <v>1056</v>
      </c>
      <c r="C21" s="785" t="s">
        <v>3</v>
      </c>
      <c r="D21" s="785" t="s">
        <v>1057</v>
      </c>
      <c r="E21" s="785" t="s">
        <v>1058</v>
      </c>
      <c r="F21" s="785" t="s">
        <v>1059</v>
      </c>
      <c r="G21" s="786" t="s">
        <v>1060</v>
      </c>
    </row>
    <row r="22" spans="1:7" s="769" customFormat="1" x14ac:dyDescent="0.25">
      <c r="A22" s="788"/>
      <c r="B22" s="789"/>
      <c r="C22" s="790"/>
      <c r="D22" s="791"/>
      <c r="E22" s="791"/>
      <c r="F22" s="791"/>
      <c r="G22" s="792"/>
    </row>
    <row r="23" spans="1:7" s="769" customFormat="1" x14ac:dyDescent="0.25">
      <c r="A23" s="793" t="s">
        <v>1061</v>
      </c>
      <c r="B23" s="794" t="s">
        <v>1062</v>
      </c>
      <c r="C23" s="795" t="s">
        <v>37</v>
      </c>
      <c r="D23" s="796">
        <f>+C18</f>
        <v>500</v>
      </c>
      <c r="E23" s="796">
        <f>+'RBD Material'!H5</f>
        <v>30</v>
      </c>
      <c r="F23" s="796">
        <f>+E23*D23</f>
        <v>15000</v>
      </c>
      <c r="G23" s="797"/>
    </row>
    <row r="24" spans="1:7" s="769" customFormat="1" x14ac:dyDescent="0.25">
      <c r="A24" s="798"/>
      <c r="B24" s="799"/>
      <c r="C24" s="800"/>
      <c r="D24" s="801"/>
      <c r="E24" s="801"/>
      <c r="F24" s="801"/>
      <c r="G24" s="802"/>
    </row>
    <row r="25" spans="1:7" s="787" customFormat="1" x14ac:dyDescent="0.25">
      <c r="A25" s="784"/>
      <c r="B25" s="785" t="s">
        <v>1063</v>
      </c>
      <c r="C25" s="785"/>
      <c r="D25" s="803"/>
      <c r="E25" s="803"/>
      <c r="F25" s="803">
        <f>SUM(F23:F24)</f>
        <v>15000</v>
      </c>
      <c r="G25" s="786"/>
    </row>
    <row r="26" spans="1:7" s="769" customFormat="1" x14ac:dyDescent="0.25">
      <c r="A26" s="780"/>
      <c r="B26" s="781"/>
      <c r="C26" s="782"/>
      <c r="D26" s="781"/>
      <c r="E26" s="781"/>
      <c r="F26" s="781"/>
      <c r="G26" s="783"/>
    </row>
    <row r="27" spans="1:7" s="787" customFormat="1" x14ac:dyDescent="0.25">
      <c r="A27" s="784" t="s">
        <v>1055</v>
      </c>
      <c r="B27" s="785" t="s">
        <v>1064</v>
      </c>
      <c r="C27" s="785" t="s">
        <v>3</v>
      </c>
      <c r="D27" s="785" t="s">
        <v>1057</v>
      </c>
      <c r="E27" s="785" t="s">
        <v>1058</v>
      </c>
      <c r="F27" s="785" t="s">
        <v>1059</v>
      </c>
      <c r="G27" s="786"/>
    </row>
    <row r="28" spans="1:7" s="769" customFormat="1" x14ac:dyDescent="0.25">
      <c r="A28" s="788"/>
      <c r="B28" s="789"/>
      <c r="C28" s="790"/>
      <c r="D28" s="789"/>
      <c r="E28" s="789"/>
      <c r="F28" s="789"/>
      <c r="G28" s="792"/>
    </row>
    <row r="29" spans="1:7" s="769" customFormat="1" x14ac:dyDescent="0.25">
      <c r="A29" s="793"/>
      <c r="B29" s="794"/>
      <c r="C29" s="795"/>
      <c r="D29" s="796"/>
      <c r="E29" s="796"/>
      <c r="F29" s="796"/>
      <c r="G29" s="804"/>
    </row>
    <row r="30" spans="1:7" s="769" customFormat="1" x14ac:dyDescent="0.25">
      <c r="A30" s="793"/>
      <c r="B30" s="794"/>
      <c r="C30" s="795"/>
      <c r="D30" s="796"/>
      <c r="E30" s="796"/>
      <c r="F30" s="796"/>
      <c r="G30" s="804"/>
    </row>
    <row r="31" spans="1:7" s="769" customFormat="1" x14ac:dyDescent="0.25">
      <c r="A31" s="798" t="s">
        <v>1065</v>
      </c>
      <c r="B31" s="799"/>
      <c r="C31" s="800"/>
      <c r="D31" s="801"/>
      <c r="E31" s="801"/>
      <c r="F31" s="801"/>
      <c r="G31" s="805"/>
    </row>
    <row r="32" spans="1:7" s="787" customFormat="1" x14ac:dyDescent="0.25">
      <c r="A32" s="784"/>
      <c r="B32" s="785" t="s">
        <v>1066</v>
      </c>
      <c r="C32" s="785"/>
      <c r="D32" s="803"/>
      <c r="E32" s="803"/>
      <c r="F32" s="803"/>
      <c r="G32" s="806"/>
    </row>
    <row r="33" spans="1:7" s="769" customFormat="1" ht="12.6" customHeight="1" x14ac:dyDescent="0.25">
      <c r="A33" s="780"/>
      <c r="B33" s="781"/>
      <c r="C33" s="782"/>
      <c r="D33" s="781"/>
      <c r="E33" s="781"/>
      <c r="F33" s="781"/>
      <c r="G33" s="783"/>
    </row>
    <row r="34" spans="1:7" s="787" customFormat="1" x14ac:dyDescent="0.25">
      <c r="A34" s="784" t="s">
        <v>1055</v>
      </c>
      <c r="B34" s="785" t="s">
        <v>1067</v>
      </c>
      <c r="C34" s="785" t="s">
        <v>3</v>
      </c>
      <c r="D34" s="785" t="s">
        <v>1057</v>
      </c>
      <c r="E34" s="785" t="s">
        <v>1058</v>
      </c>
      <c r="F34" s="785" t="s">
        <v>1059</v>
      </c>
      <c r="G34" s="786"/>
    </row>
    <row r="35" spans="1:7" s="769" customFormat="1" x14ac:dyDescent="0.25">
      <c r="A35" s="788"/>
      <c r="B35" s="789"/>
      <c r="C35" s="790"/>
      <c r="D35" s="789"/>
      <c r="E35" s="789"/>
      <c r="F35" s="789"/>
      <c r="G35" s="792"/>
    </row>
    <row r="36" spans="1:7" s="769" customFormat="1" x14ac:dyDescent="0.25">
      <c r="A36" s="793" t="s">
        <v>1068</v>
      </c>
      <c r="B36" s="794" t="s">
        <v>1069</v>
      </c>
      <c r="C36" s="795" t="s">
        <v>37</v>
      </c>
      <c r="D36" s="796">
        <f>+C18</f>
        <v>500</v>
      </c>
      <c r="E36" s="796">
        <f>+F14</f>
        <v>372.625</v>
      </c>
      <c r="F36" s="796">
        <f>+E36*D36</f>
        <v>186312.5</v>
      </c>
      <c r="G36" s="797"/>
    </row>
    <row r="37" spans="1:7" s="769" customFormat="1" x14ac:dyDescent="0.25">
      <c r="A37" s="793" t="s">
        <v>1070</v>
      </c>
      <c r="B37" s="794" t="s">
        <v>1071</v>
      </c>
      <c r="C37" s="795" t="s">
        <v>1072</v>
      </c>
      <c r="D37" s="796"/>
      <c r="E37" s="796"/>
      <c r="F37" s="796">
        <f>+F36*4%</f>
        <v>7452.5</v>
      </c>
      <c r="G37" s="797"/>
    </row>
    <row r="38" spans="1:7" s="769" customFormat="1" x14ac:dyDescent="0.25">
      <c r="A38" s="793" t="s">
        <v>1073</v>
      </c>
      <c r="B38" s="794" t="s">
        <v>1074</v>
      </c>
      <c r="C38" s="795" t="s">
        <v>37</v>
      </c>
      <c r="D38" s="796">
        <f>+D36*0.02</f>
        <v>10</v>
      </c>
      <c r="E38" s="796">
        <f>+'RBD Material'!D4</f>
        <v>370</v>
      </c>
      <c r="F38" s="796">
        <f>+E38*D38</f>
        <v>3700</v>
      </c>
      <c r="G38" s="797"/>
    </row>
    <row r="39" spans="1:7" s="769" customFormat="1" ht="11.4" customHeight="1" x14ac:dyDescent="0.25">
      <c r="A39" s="798" t="s">
        <v>1065</v>
      </c>
      <c r="B39" s="799"/>
      <c r="C39" s="800"/>
      <c r="D39" s="801"/>
      <c r="E39" s="801"/>
      <c r="F39" s="801"/>
      <c r="G39" s="802"/>
    </row>
    <row r="40" spans="1:7" s="787" customFormat="1" x14ac:dyDescent="0.25">
      <c r="A40" s="784"/>
      <c r="B40" s="785" t="s">
        <v>1075</v>
      </c>
      <c r="C40" s="785"/>
      <c r="D40" s="803"/>
      <c r="E40" s="803"/>
      <c r="F40" s="803">
        <f>SUM(F35:F39)</f>
        <v>197465</v>
      </c>
      <c r="G40" s="786"/>
    </row>
    <row r="41" spans="1:7" s="769" customFormat="1" x14ac:dyDescent="0.25">
      <c r="A41" s="780"/>
      <c r="B41" s="781"/>
      <c r="C41" s="782"/>
      <c r="D41" s="781"/>
      <c r="E41" s="781"/>
      <c r="F41" s="781"/>
      <c r="G41" s="783"/>
    </row>
    <row r="42" spans="1:7" s="787" customFormat="1" x14ac:dyDescent="0.25">
      <c r="A42" s="784" t="s">
        <v>1055</v>
      </c>
      <c r="B42" s="785" t="s">
        <v>1076</v>
      </c>
      <c r="C42" s="785" t="s">
        <v>3</v>
      </c>
      <c r="D42" s="785" t="s">
        <v>1057</v>
      </c>
      <c r="E42" s="785" t="s">
        <v>1058</v>
      </c>
      <c r="F42" s="785" t="s">
        <v>1059</v>
      </c>
      <c r="G42" s="786"/>
    </row>
    <row r="43" spans="1:7" s="769" customFormat="1" x14ac:dyDescent="0.25">
      <c r="A43" s="788"/>
      <c r="B43" s="789"/>
      <c r="C43" s="790"/>
      <c r="D43" s="789"/>
      <c r="E43" s="789"/>
      <c r="F43" s="789"/>
      <c r="G43" s="792"/>
    </row>
    <row r="44" spans="1:7" s="769" customFormat="1" x14ac:dyDescent="0.25">
      <c r="A44" s="793">
        <v>4</v>
      </c>
      <c r="B44" s="794" t="s">
        <v>1077</v>
      </c>
      <c r="C44" s="795" t="s">
        <v>1078</v>
      </c>
      <c r="D44" s="807">
        <v>0.01</v>
      </c>
      <c r="E44" s="796">
        <f>+F25</f>
        <v>15000</v>
      </c>
      <c r="F44" s="796">
        <f t="shared" ref="F44:F45" si="1">+E44*D44</f>
        <v>150</v>
      </c>
      <c r="G44" s="797"/>
    </row>
    <row r="45" spans="1:7" s="769" customFormat="1" x14ac:dyDescent="0.25">
      <c r="A45" s="793">
        <v>5</v>
      </c>
      <c r="B45" s="794" t="s">
        <v>1079</v>
      </c>
      <c r="C45" s="795" t="s">
        <v>1078</v>
      </c>
      <c r="D45" s="807">
        <v>7.0000000000000007E-2</v>
      </c>
      <c r="E45" s="796">
        <f>+F40</f>
        <v>197465</v>
      </c>
      <c r="F45" s="796">
        <f t="shared" si="1"/>
        <v>13822.550000000001</v>
      </c>
      <c r="G45" s="797"/>
    </row>
    <row r="46" spans="1:7" s="769" customFormat="1" x14ac:dyDescent="0.25">
      <c r="A46" s="798" t="s">
        <v>1065</v>
      </c>
      <c r="B46" s="799"/>
      <c r="C46" s="800"/>
      <c r="D46" s="801"/>
      <c r="E46" s="801"/>
      <c r="F46" s="801"/>
      <c r="G46" s="802"/>
    </row>
    <row r="47" spans="1:7" s="787" customFormat="1" x14ac:dyDescent="0.25">
      <c r="A47" s="784"/>
      <c r="B47" s="785" t="s">
        <v>1080</v>
      </c>
      <c r="C47" s="785"/>
      <c r="D47" s="803"/>
      <c r="E47" s="803"/>
      <c r="F47" s="803">
        <f>SUM(F44:F46)</f>
        <v>13972.550000000001</v>
      </c>
      <c r="G47" s="786"/>
    </row>
    <row r="48" spans="1:7" s="769" customFormat="1" x14ac:dyDescent="0.25">
      <c r="A48" s="780"/>
      <c r="B48" s="781"/>
      <c r="C48" s="782"/>
      <c r="D48" s="781"/>
      <c r="E48" s="781"/>
      <c r="F48" s="781"/>
      <c r="G48" s="783"/>
    </row>
    <row r="49" spans="1:7" s="769" customFormat="1" ht="11.4" customHeight="1" x14ac:dyDescent="0.25">
      <c r="A49" s="808"/>
      <c r="B49" s="809" t="s">
        <v>1081</v>
      </c>
      <c r="C49" s="1420" t="s">
        <v>1082</v>
      </c>
      <c r="D49" s="1420"/>
      <c r="E49" s="809"/>
      <c r="F49" s="810">
        <f>+F47+F40+F32+F25</f>
        <v>226437.55</v>
      </c>
      <c r="G49" s="811"/>
    </row>
    <row r="50" spans="1:7" s="769" customFormat="1" x14ac:dyDescent="0.25">
      <c r="A50" s="780"/>
      <c r="B50" s="781"/>
      <c r="C50" s="782"/>
      <c r="D50" s="781"/>
      <c r="E50" s="781"/>
      <c r="F50" s="812"/>
      <c r="G50" s="783"/>
    </row>
    <row r="51" spans="1:7" s="769" customFormat="1" ht="11.4" customHeight="1" x14ac:dyDescent="0.25">
      <c r="A51" s="808"/>
      <c r="B51" s="809" t="s">
        <v>1083</v>
      </c>
      <c r="C51" s="1420">
        <v>0</v>
      </c>
      <c r="D51" s="1420" t="s">
        <v>1084</v>
      </c>
      <c r="E51" s="809"/>
      <c r="F51" s="810"/>
      <c r="G51" s="811"/>
    </row>
    <row r="52" spans="1:7" s="769" customFormat="1" x14ac:dyDescent="0.25">
      <c r="A52" s="780"/>
      <c r="B52" s="781"/>
      <c r="C52" s="782"/>
      <c r="D52" s="781"/>
      <c r="E52" s="781"/>
      <c r="F52" s="812"/>
      <c r="G52" s="783"/>
    </row>
    <row r="53" spans="1:7" s="769" customFormat="1" ht="11.4" customHeight="1" x14ac:dyDescent="0.25">
      <c r="A53" s="808"/>
      <c r="B53" s="809" t="s">
        <v>1085</v>
      </c>
      <c r="C53" s="1420" t="s">
        <v>1086</v>
      </c>
      <c r="D53" s="1420"/>
      <c r="E53" s="809"/>
      <c r="F53" s="810">
        <f>+F49+F51</f>
        <v>226437.55</v>
      </c>
      <c r="G53" s="811"/>
    </row>
    <row r="54" spans="1:7" s="769" customFormat="1" x14ac:dyDescent="0.25">
      <c r="A54" s="780"/>
      <c r="B54" s="781"/>
      <c r="C54" s="782"/>
      <c r="D54" s="781"/>
      <c r="E54" s="781"/>
      <c r="F54" s="812"/>
      <c r="G54" s="783"/>
    </row>
    <row r="55" spans="1:7" s="769" customFormat="1" ht="11.4" customHeight="1" x14ac:dyDescent="0.25">
      <c r="A55" s="808"/>
      <c r="B55" s="809" t="s">
        <v>1087</v>
      </c>
      <c r="C55" s="1420" t="s">
        <v>1088</v>
      </c>
      <c r="D55" s="1420">
        <v>10</v>
      </c>
      <c r="E55" s="809">
        <f>+C18</f>
        <v>500</v>
      </c>
      <c r="F55" s="810">
        <f>+F53/E55</f>
        <v>452.87509999999997</v>
      </c>
      <c r="G55" s="811"/>
    </row>
    <row r="56" spans="1:7" s="769" customFormat="1" x14ac:dyDescent="0.25">
      <c r="A56" s="780"/>
      <c r="B56" s="781"/>
      <c r="C56" s="782"/>
      <c r="D56" s="781"/>
      <c r="E56" s="781"/>
      <c r="F56" s="812"/>
      <c r="G56" s="783"/>
    </row>
    <row r="57" spans="1:7" s="769" customFormat="1" ht="11.4" customHeight="1" thickBot="1" x14ac:dyDescent="0.3">
      <c r="A57" s="813"/>
      <c r="B57" s="814" t="s">
        <v>1089</v>
      </c>
      <c r="C57" s="1421" t="s">
        <v>1090</v>
      </c>
      <c r="D57" s="1421"/>
      <c r="E57" s="814"/>
      <c r="F57" s="815">
        <f>+F55</f>
        <v>452.87509999999997</v>
      </c>
      <c r="G57" s="816"/>
    </row>
    <row r="58" spans="1:7" s="818" customFormat="1" x14ac:dyDescent="0.25">
      <c r="A58" s="817"/>
      <c r="C58" s="817"/>
    </row>
    <row r="59" spans="1:7" s="819" customFormat="1" ht="11.4" x14ac:dyDescent="0.2">
      <c r="A59" s="1422" t="s">
        <v>1091</v>
      </c>
      <c r="B59" s="1422"/>
      <c r="C59" s="1422"/>
      <c r="D59" s="1422"/>
      <c r="E59" s="1422"/>
      <c r="F59" s="1422"/>
      <c r="G59" s="1422"/>
    </row>
    <row r="60" spans="1:7" s="819" customFormat="1" ht="10.199999999999999" x14ac:dyDescent="0.2">
      <c r="A60" s="820"/>
      <c r="B60" s="820"/>
      <c r="C60" s="820"/>
      <c r="D60" s="820"/>
      <c r="E60" s="820"/>
      <c r="F60" s="820"/>
      <c r="G60" s="820"/>
    </row>
    <row r="61" spans="1:7" s="819" customFormat="1" ht="10.199999999999999" x14ac:dyDescent="0.2">
      <c r="A61" s="820"/>
      <c r="B61" s="820"/>
      <c r="C61" s="820"/>
      <c r="D61" s="820"/>
      <c r="E61" s="820"/>
      <c r="F61" s="820"/>
      <c r="G61" s="820"/>
    </row>
    <row r="62" spans="1:7" s="819" customFormat="1" ht="10.199999999999999" x14ac:dyDescent="0.2">
      <c r="A62" s="1423" t="s">
        <v>1092</v>
      </c>
      <c r="B62" s="1423"/>
      <c r="C62" s="821"/>
      <c r="D62" s="822"/>
      <c r="E62" s="822"/>
      <c r="F62" s="822"/>
      <c r="G62" s="823"/>
    </row>
    <row r="63" spans="1:7" s="819" customFormat="1" ht="10.199999999999999" x14ac:dyDescent="0.2">
      <c r="A63" s="824"/>
      <c r="B63" s="825" t="s">
        <v>1038</v>
      </c>
      <c r="C63" s="825" t="s">
        <v>1039</v>
      </c>
      <c r="D63" s="825" t="s">
        <v>2</v>
      </c>
      <c r="E63" s="825" t="s">
        <v>1040</v>
      </c>
      <c r="F63" s="825" t="s">
        <v>5</v>
      </c>
      <c r="G63" s="823"/>
    </row>
    <row r="64" spans="1:7" s="818" customFormat="1" x14ac:dyDescent="0.25">
      <c r="A64" s="826"/>
      <c r="B64" s="826"/>
      <c r="C64" s="827"/>
      <c r="D64" s="828"/>
      <c r="E64" s="828"/>
      <c r="F64" s="828"/>
      <c r="G64" s="829"/>
    </row>
    <row r="65" spans="1:7" s="818" customFormat="1" x14ac:dyDescent="0.25">
      <c r="A65" s="826"/>
      <c r="B65" s="827" t="s">
        <v>1093</v>
      </c>
      <c r="C65" s="828" t="s">
        <v>1094</v>
      </c>
      <c r="D65" s="828">
        <v>100</v>
      </c>
      <c r="E65" s="828">
        <f>+'RBD Material'!D5</f>
        <v>2200</v>
      </c>
      <c r="F65" s="828">
        <f>D65*E65</f>
        <v>220000</v>
      </c>
      <c r="G65" s="829"/>
    </row>
    <row r="66" spans="1:7" s="834" customFormat="1" x14ac:dyDescent="0.25">
      <c r="A66" s="830"/>
      <c r="B66" s="831" t="s">
        <v>1095</v>
      </c>
      <c r="C66" s="828" t="s">
        <v>1094</v>
      </c>
      <c r="D66" s="832">
        <f>+D65</f>
        <v>100</v>
      </c>
      <c r="E66" s="832">
        <v>30</v>
      </c>
      <c r="F66" s="832">
        <f t="shared" ref="F66:F67" si="2">D66*E66</f>
        <v>3000</v>
      </c>
      <c r="G66" s="833"/>
    </row>
    <row r="67" spans="1:7" s="818" customFormat="1" x14ac:dyDescent="0.25">
      <c r="A67" s="826"/>
      <c r="B67" s="827" t="s">
        <v>1045</v>
      </c>
      <c r="C67" s="828" t="s">
        <v>1096</v>
      </c>
      <c r="D67" s="828">
        <v>1</v>
      </c>
      <c r="E67" s="828">
        <v>9000</v>
      </c>
      <c r="F67" s="828">
        <f t="shared" si="2"/>
        <v>9000</v>
      </c>
      <c r="G67" s="829"/>
    </row>
    <row r="68" spans="1:7" s="818" customFormat="1" x14ac:dyDescent="0.25">
      <c r="A68" s="826"/>
      <c r="B68" s="826"/>
      <c r="C68" s="827"/>
      <c r="D68" s="828"/>
      <c r="E68" s="828"/>
      <c r="F68" s="828"/>
      <c r="G68" s="829"/>
    </row>
    <row r="69" spans="1:7" s="818" customFormat="1" x14ac:dyDescent="0.25">
      <c r="A69" s="826"/>
      <c r="B69" s="826"/>
      <c r="C69" s="827"/>
      <c r="D69" s="828"/>
      <c r="E69" s="828"/>
      <c r="F69" s="828"/>
      <c r="G69" s="829"/>
    </row>
    <row r="70" spans="1:7" s="818" customFormat="1" x14ac:dyDescent="0.25">
      <c r="A70" s="826"/>
      <c r="B70" s="826"/>
      <c r="C70" s="827"/>
      <c r="D70" s="828"/>
      <c r="E70" s="828"/>
      <c r="F70" s="828"/>
      <c r="G70" s="829"/>
    </row>
    <row r="71" spans="1:7" s="818" customFormat="1" x14ac:dyDescent="0.25">
      <c r="A71" s="1434" t="s">
        <v>1097</v>
      </c>
      <c r="B71" s="1435"/>
      <c r="C71" s="1435"/>
      <c r="D71" s="1435"/>
      <c r="E71" s="1436"/>
      <c r="F71" s="835">
        <f>SUM(F65:F70)</f>
        <v>232000</v>
      </c>
      <c r="G71" s="829"/>
    </row>
    <row r="72" spans="1:7" s="818" customFormat="1" ht="12.6" thickBot="1" x14ac:dyDescent="0.3">
      <c r="A72" s="1437" t="s">
        <v>1098</v>
      </c>
      <c r="B72" s="1438"/>
      <c r="C72" s="1438"/>
      <c r="D72" s="1438"/>
      <c r="E72" s="1439"/>
      <c r="F72" s="835">
        <f>+F71/D65</f>
        <v>2320</v>
      </c>
      <c r="G72" s="829"/>
    </row>
    <row r="73" spans="1:7" s="818" customFormat="1" x14ac:dyDescent="0.25">
      <c r="A73" s="836"/>
      <c r="B73" s="837" t="s">
        <v>1049</v>
      </c>
      <c r="C73" s="838"/>
      <c r="D73" s="837"/>
      <c r="E73" s="837"/>
      <c r="F73" s="837"/>
      <c r="G73" s="839"/>
    </row>
    <row r="74" spans="1:7" s="818" customFormat="1" x14ac:dyDescent="0.25">
      <c r="A74" s="840"/>
      <c r="B74" s="841" t="s">
        <v>1050</v>
      </c>
      <c r="C74" s="842"/>
      <c r="D74" s="841"/>
      <c r="E74" s="841"/>
      <c r="F74" s="841"/>
      <c r="G74" s="843"/>
    </row>
    <row r="75" spans="1:7" s="818" customFormat="1" x14ac:dyDescent="0.25">
      <c r="A75" s="840"/>
      <c r="B75" s="841" t="s">
        <v>1051</v>
      </c>
      <c r="C75" s="1432" t="s">
        <v>1099</v>
      </c>
      <c r="D75" s="1432"/>
      <c r="E75" s="1432"/>
      <c r="F75" s="841"/>
      <c r="G75" s="843"/>
    </row>
    <row r="76" spans="1:7" s="818" customFormat="1" x14ac:dyDescent="0.25">
      <c r="A76" s="840"/>
      <c r="B76" s="841" t="s">
        <v>1053</v>
      </c>
      <c r="C76" s="842">
        <v>5</v>
      </c>
      <c r="D76" s="841" t="s">
        <v>872</v>
      </c>
      <c r="E76" s="841"/>
      <c r="F76" s="841"/>
      <c r="G76" s="843"/>
    </row>
    <row r="77" spans="1:7" s="818" customFormat="1" x14ac:dyDescent="0.25">
      <c r="A77" s="840"/>
      <c r="B77" s="841" t="s">
        <v>1054</v>
      </c>
      <c r="C77" s="842"/>
      <c r="D77" s="841"/>
      <c r="E77" s="841"/>
      <c r="F77" s="841"/>
      <c r="G77" s="843"/>
    </row>
    <row r="78" spans="1:7" s="818" customFormat="1" x14ac:dyDescent="0.25">
      <c r="A78" s="840"/>
      <c r="B78" s="841"/>
      <c r="C78" s="842"/>
      <c r="D78" s="841"/>
      <c r="E78" s="841"/>
      <c r="F78" s="841"/>
      <c r="G78" s="843"/>
    </row>
    <row r="79" spans="1:7" s="817" customFormat="1" x14ac:dyDescent="0.25">
      <c r="A79" s="844" t="s">
        <v>1055</v>
      </c>
      <c r="B79" s="845" t="s">
        <v>1056</v>
      </c>
      <c r="C79" s="845" t="s">
        <v>3</v>
      </c>
      <c r="D79" s="845" t="s">
        <v>1057</v>
      </c>
      <c r="E79" s="845" t="s">
        <v>1058</v>
      </c>
      <c r="F79" s="845" t="s">
        <v>1059</v>
      </c>
      <c r="G79" s="846" t="s">
        <v>1060</v>
      </c>
    </row>
    <row r="80" spans="1:7" s="818" customFormat="1" x14ac:dyDescent="0.25">
      <c r="A80" s="847"/>
      <c r="B80" s="848"/>
      <c r="C80" s="849"/>
      <c r="D80" s="850"/>
      <c r="E80" s="850"/>
      <c r="F80" s="850"/>
      <c r="G80" s="851"/>
    </row>
    <row r="81" spans="1:7" s="834" customFormat="1" x14ac:dyDescent="0.25">
      <c r="A81" s="852" t="s">
        <v>1061</v>
      </c>
      <c r="B81" s="853" t="s">
        <v>1100</v>
      </c>
      <c r="C81" s="854" t="s">
        <v>872</v>
      </c>
      <c r="D81" s="855">
        <f>+C76</f>
        <v>5</v>
      </c>
      <c r="E81" s="855">
        <f>+'RBD Material'!H14</f>
        <v>3500</v>
      </c>
      <c r="F81" s="855">
        <f>+E81*D81</f>
        <v>17500</v>
      </c>
      <c r="G81" s="856"/>
    </row>
    <row r="82" spans="1:7" s="862" customFormat="1" ht="24" x14ac:dyDescent="0.25">
      <c r="A82" s="857" t="s">
        <v>1101</v>
      </c>
      <c r="B82" s="858" t="s">
        <v>1102</v>
      </c>
      <c r="C82" s="859" t="s">
        <v>872</v>
      </c>
      <c r="D82" s="860">
        <f>+C76</f>
        <v>5</v>
      </c>
      <c r="E82" s="860">
        <f>+'RBD Material'!H15</f>
        <v>1700</v>
      </c>
      <c r="F82" s="860">
        <f>+E82*D82</f>
        <v>8500</v>
      </c>
      <c r="G82" s="861"/>
    </row>
    <row r="83" spans="1:7" s="818" customFormat="1" x14ac:dyDescent="0.25">
      <c r="A83" s="863"/>
      <c r="B83" s="864"/>
      <c r="C83" s="865"/>
      <c r="D83" s="866"/>
      <c r="E83" s="866"/>
      <c r="F83" s="866"/>
      <c r="G83" s="867"/>
    </row>
    <row r="84" spans="1:7" s="817" customFormat="1" x14ac:dyDescent="0.25">
      <c r="A84" s="844"/>
      <c r="B84" s="845" t="s">
        <v>1063</v>
      </c>
      <c r="C84" s="845"/>
      <c r="D84" s="868"/>
      <c r="E84" s="868"/>
      <c r="F84" s="868">
        <f>SUM(F81:F83)</f>
        <v>26000</v>
      </c>
      <c r="G84" s="846"/>
    </row>
    <row r="85" spans="1:7" s="818" customFormat="1" x14ac:dyDescent="0.25">
      <c r="A85" s="840"/>
      <c r="B85" s="841"/>
      <c r="C85" s="842"/>
      <c r="D85" s="841"/>
      <c r="E85" s="841"/>
      <c r="F85" s="841"/>
      <c r="G85" s="843"/>
    </row>
    <row r="86" spans="1:7" s="817" customFormat="1" x14ac:dyDescent="0.25">
      <c r="A86" s="844" t="s">
        <v>1055</v>
      </c>
      <c r="B86" s="845" t="s">
        <v>1064</v>
      </c>
      <c r="C86" s="845" t="s">
        <v>3</v>
      </c>
      <c r="D86" s="845" t="s">
        <v>1057</v>
      </c>
      <c r="E86" s="845" t="s">
        <v>1058</v>
      </c>
      <c r="F86" s="845" t="s">
        <v>1059</v>
      </c>
      <c r="G86" s="846"/>
    </row>
    <row r="87" spans="1:7" s="818" customFormat="1" x14ac:dyDescent="0.25">
      <c r="A87" s="847"/>
      <c r="B87" s="848"/>
      <c r="C87" s="849"/>
      <c r="D87" s="848"/>
      <c r="E87" s="848"/>
      <c r="F87" s="848"/>
      <c r="G87" s="851"/>
    </row>
    <row r="88" spans="1:7" s="818" customFormat="1" x14ac:dyDescent="0.25">
      <c r="A88" s="869" t="s">
        <v>1103</v>
      </c>
      <c r="B88" s="870" t="s">
        <v>1104</v>
      </c>
      <c r="C88" s="871" t="s">
        <v>1105</v>
      </c>
      <c r="D88" s="872">
        <v>0.75</v>
      </c>
      <c r="E88" s="872">
        <f>+'RBD Material'!L3</f>
        <v>6000</v>
      </c>
      <c r="F88" s="855">
        <f t="shared" ref="F88:F89" si="3">+E88*D88</f>
        <v>4500</v>
      </c>
      <c r="G88" s="873"/>
    </row>
    <row r="89" spans="1:7" s="818" customFormat="1" x14ac:dyDescent="0.25">
      <c r="A89" s="869" t="s">
        <v>1106</v>
      </c>
      <c r="B89" s="870" t="s">
        <v>1107</v>
      </c>
      <c r="C89" s="871" t="s">
        <v>1105</v>
      </c>
      <c r="D89" s="872">
        <v>1</v>
      </c>
      <c r="E89" s="872">
        <f>+'RBD Material'!L4</f>
        <v>2400</v>
      </c>
      <c r="F89" s="855">
        <f t="shared" si="3"/>
        <v>2400</v>
      </c>
      <c r="G89" s="873"/>
    </row>
    <row r="90" spans="1:7" s="818" customFormat="1" x14ac:dyDescent="0.25">
      <c r="A90" s="863" t="s">
        <v>1065</v>
      </c>
      <c r="B90" s="864"/>
      <c r="C90" s="865"/>
      <c r="D90" s="866"/>
      <c r="E90" s="866"/>
      <c r="F90" s="866"/>
      <c r="G90" s="874"/>
    </row>
    <row r="91" spans="1:7" s="817" customFormat="1" x14ac:dyDescent="0.25">
      <c r="A91" s="844"/>
      <c r="B91" s="845" t="s">
        <v>1066</v>
      </c>
      <c r="C91" s="845"/>
      <c r="D91" s="868"/>
      <c r="E91" s="868"/>
      <c r="F91" s="868">
        <f>SUM(F88:F90)</f>
        <v>6900</v>
      </c>
      <c r="G91" s="875"/>
    </row>
    <row r="92" spans="1:7" s="818" customFormat="1" ht="12.6" customHeight="1" x14ac:dyDescent="0.25">
      <c r="A92" s="840"/>
      <c r="B92" s="841"/>
      <c r="C92" s="842"/>
      <c r="D92" s="841"/>
      <c r="E92" s="841"/>
      <c r="F92" s="841"/>
      <c r="G92" s="843"/>
    </row>
    <row r="93" spans="1:7" s="817" customFormat="1" x14ac:dyDescent="0.25">
      <c r="A93" s="844" t="s">
        <v>1055</v>
      </c>
      <c r="B93" s="845" t="s">
        <v>1067</v>
      </c>
      <c r="C93" s="845" t="s">
        <v>3</v>
      </c>
      <c r="D93" s="845" t="s">
        <v>1057</v>
      </c>
      <c r="E93" s="845" t="s">
        <v>1058</v>
      </c>
      <c r="F93" s="845" t="s">
        <v>1059</v>
      </c>
      <c r="G93" s="846"/>
    </row>
    <row r="94" spans="1:7" s="818" customFormat="1" x14ac:dyDescent="0.25">
      <c r="A94" s="847"/>
      <c r="B94" s="848"/>
      <c r="C94" s="849"/>
      <c r="D94" s="848"/>
      <c r="E94" s="848"/>
      <c r="F94" s="848"/>
      <c r="G94" s="851"/>
    </row>
    <row r="95" spans="1:7" s="818" customFormat="1" x14ac:dyDescent="0.25">
      <c r="A95" s="869" t="s">
        <v>1068</v>
      </c>
      <c r="B95" s="870" t="s">
        <v>1108</v>
      </c>
      <c r="C95" s="871" t="s">
        <v>1094</v>
      </c>
      <c r="D95" s="872">
        <f>+C76*4.3</f>
        <v>21.5</v>
      </c>
      <c r="E95" s="872">
        <f>+'RBD Material'!D6</f>
        <v>2320</v>
      </c>
      <c r="F95" s="872">
        <f>+E95*D95</f>
        <v>49880</v>
      </c>
      <c r="G95" s="876"/>
    </row>
    <row r="96" spans="1:7" s="818" customFormat="1" x14ac:dyDescent="0.25">
      <c r="A96" s="869" t="s">
        <v>1070</v>
      </c>
      <c r="B96" s="870" t="s">
        <v>1109</v>
      </c>
      <c r="C96" s="871" t="s">
        <v>1110</v>
      </c>
      <c r="D96" s="872">
        <f>+C76*0.53/2.83</f>
        <v>0.93639575971731459</v>
      </c>
      <c r="E96" s="872">
        <f>+'RBD Material'!D7</f>
        <v>24500</v>
      </c>
      <c r="F96" s="872">
        <f>+E96*D96</f>
        <v>22941.696113074209</v>
      </c>
      <c r="G96" s="876"/>
    </row>
    <row r="97" spans="1:7" s="818" customFormat="1" x14ac:dyDescent="0.25">
      <c r="A97" s="869" t="s">
        <v>1073</v>
      </c>
      <c r="B97" s="870" t="s">
        <v>1111</v>
      </c>
      <c r="C97" s="871" t="s">
        <v>1110</v>
      </c>
      <c r="D97" s="872">
        <f>C76*0.93/2.83</f>
        <v>1.6431095406360425</v>
      </c>
      <c r="E97" s="872">
        <f>+'RBD Material'!D8</f>
        <v>13500</v>
      </c>
      <c r="F97" s="872">
        <f>+E97*D97</f>
        <v>22181.978798586573</v>
      </c>
      <c r="G97" s="876"/>
    </row>
    <row r="98" spans="1:7" s="818" customFormat="1" ht="11.4" customHeight="1" x14ac:dyDescent="0.25">
      <c r="A98" s="863" t="s">
        <v>1065</v>
      </c>
      <c r="B98" s="864"/>
      <c r="C98" s="865"/>
      <c r="D98" s="866"/>
      <c r="E98" s="866"/>
      <c r="F98" s="866"/>
      <c r="G98" s="867"/>
    </row>
    <row r="99" spans="1:7" s="817" customFormat="1" x14ac:dyDescent="0.25">
      <c r="A99" s="844"/>
      <c r="B99" s="845" t="s">
        <v>1075</v>
      </c>
      <c r="C99" s="845"/>
      <c r="D99" s="868"/>
      <c r="E99" s="868"/>
      <c r="F99" s="868">
        <f>SUM(F94:F98)</f>
        <v>95003.674911660783</v>
      </c>
      <c r="G99" s="846"/>
    </row>
    <row r="100" spans="1:7" s="818" customFormat="1" x14ac:dyDescent="0.25">
      <c r="A100" s="840"/>
      <c r="B100" s="841"/>
      <c r="C100" s="842"/>
      <c r="D100" s="841"/>
      <c r="E100" s="841"/>
      <c r="F100" s="841"/>
      <c r="G100" s="843"/>
    </row>
    <row r="101" spans="1:7" s="817" customFormat="1" x14ac:dyDescent="0.25">
      <c r="A101" s="844" t="s">
        <v>1055</v>
      </c>
      <c r="B101" s="845" t="s">
        <v>1076</v>
      </c>
      <c r="C101" s="845" t="s">
        <v>3</v>
      </c>
      <c r="D101" s="845" t="s">
        <v>1057</v>
      </c>
      <c r="E101" s="845" t="s">
        <v>1058</v>
      </c>
      <c r="F101" s="845" t="s">
        <v>1059</v>
      </c>
      <c r="G101" s="846"/>
    </row>
    <row r="102" spans="1:7" s="818" customFormat="1" x14ac:dyDescent="0.25">
      <c r="A102" s="847"/>
      <c r="B102" s="848"/>
      <c r="C102" s="849"/>
      <c r="D102" s="848"/>
      <c r="E102" s="848"/>
      <c r="F102" s="848"/>
      <c r="G102" s="851"/>
    </row>
    <row r="103" spans="1:7" s="818" customFormat="1" x14ac:dyDescent="0.25">
      <c r="A103" s="869">
        <v>4</v>
      </c>
      <c r="B103" s="870" t="s">
        <v>1077</v>
      </c>
      <c r="C103" s="871" t="s">
        <v>1078</v>
      </c>
      <c r="D103" s="877">
        <v>0.02</v>
      </c>
      <c r="E103" s="872">
        <f>+F84</f>
        <v>26000</v>
      </c>
      <c r="F103" s="872">
        <f>+E103*D103</f>
        <v>520</v>
      </c>
      <c r="G103" s="876"/>
    </row>
    <row r="104" spans="1:7" s="818" customFormat="1" x14ac:dyDescent="0.25">
      <c r="A104" s="869">
        <v>5</v>
      </c>
      <c r="B104" s="870" t="s">
        <v>1079</v>
      </c>
      <c r="C104" s="871" t="s">
        <v>1078</v>
      </c>
      <c r="D104" s="877">
        <v>0.05</v>
      </c>
      <c r="E104" s="872">
        <f>+F99</f>
        <v>95003.674911660783</v>
      </c>
      <c r="F104" s="872">
        <f>+E104*D104</f>
        <v>4750.1837455830391</v>
      </c>
      <c r="G104" s="876"/>
    </row>
    <row r="105" spans="1:7" s="818" customFormat="1" x14ac:dyDescent="0.25">
      <c r="A105" s="863" t="s">
        <v>1065</v>
      </c>
      <c r="B105" s="864"/>
      <c r="C105" s="865"/>
      <c r="D105" s="866"/>
      <c r="E105" s="866"/>
      <c r="F105" s="866"/>
      <c r="G105" s="867"/>
    </row>
    <row r="106" spans="1:7" s="817" customFormat="1" x14ac:dyDescent="0.25">
      <c r="A106" s="844"/>
      <c r="B106" s="845" t="s">
        <v>1080</v>
      </c>
      <c r="C106" s="845"/>
      <c r="D106" s="868"/>
      <c r="E106" s="868"/>
      <c r="F106" s="868">
        <f>SUM(F103:F105)</f>
        <v>5270.1837455830391</v>
      </c>
      <c r="G106" s="846"/>
    </row>
    <row r="107" spans="1:7" s="818" customFormat="1" x14ac:dyDescent="0.25">
      <c r="A107" s="840"/>
      <c r="B107" s="841"/>
      <c r="C107" s="842"/>
      <c r="D107" s="841"/>
      <c r="E107" s="841"/>
      <c r="F107" s="841"/>
      <c r="G107" s="843"/>
    </row>
    <row r="108" spans="1:7" s="818" customFormat="1" ht="11.4" customHeight="1" x14ac:dyDescent="0.25">
      <c r="A108" s="878"/>
      <c r="B108" s="879" t="s">
        <v>1081</v>
      </c>
      <c r="C108" s="1433" t="s">
        <v>1082</v>
      </c>
      <c r="D108" s="1433"/>
      <c r="E108" s="879"/>
      <c r="F108" s="880">
        <f>+F106+F99+F91+F84</f>
        <v>133173.85865724384</v>
      </c>
      <c r="G108" s="881"/>
    </row>
    <row r="109" spans="1:7" s="818" customFormat="1" x14ac:dyDescent="0.25">
      <c r="A109" s="840"/>
      <c r="B109" s="841"/>
      <c r="C109" s="842"/>
      <c r="D109" s="841"/>
      <c r="E109" s="841"/>
      <c r="F109" s="882"/>
      <c r="G109" s="843"/>
    </row>
    <row r="110" spans="1:7" s="818" customFormat="1" ht="11.4" customHeight="1" x14ac:dyDescent="0.25">
      <c r="A110" s="878"/>
      <c r="B110" s="879" t="s">
        <v>1083</v>
      </c>
      <c r="C110" s="1433">
        <v>0</v>
      </c>
      <c r="D110" s="1433" t="s">
        <v>1084</v>
      </c>
      <c r="E110" s="879"/>
      <c r="F110" s="880"/>
      <c r="G110" s="881"/>
    </row>
    <row r="111" spans="1:7" s="818" customFormat="1" x14ac:dyDescent="0.25">
      <c r="A111" s="840"/>
      <c r="B111" s="841"/>
      <c r="C111" s="842"/>
      <c r="D111" s="841"/>
      <c r="E111" s="841"/>
      <c r="F111" s="882"/>
      <c r="G111" s="843"/>
    </row>
    <row r="112" spans="1:7" s="818" customFormat="1" ht="11.4" customHeight="1" x14ac:dyDescent="0.25">
      <c r="A112" s="878"/>
      <c r="B112" s="879" t="s">
        <v>1085</v>
      </c>
      <c r="C112" s="1433" t="s">
        <v>1086</v>
      </c>
      <c r="D112" s="1433"/>
      <c r="E112" s="879"/>
      <c r="F112" s="880">
        <f>+F108+F110</f>
        <v>133173.85865724384</v>
      </c>
      <c r="G112" s="881"/>
    </row>
    <row r="113" spans="1:8" s="818" customFormat="1" x14ac:dyDescent="0.25">
      <c r="A113" s="840"/>
      <c r="B113" s="841"/>
      <c r="C113" s="842"/>
      <c r="D113" s="841"/>
      <c r="E113" s="841"/>
      <c r="F113" s="882"/>
      <c r="G113" s="843"/>
    </row>
    <row r="114" spans="1:8" s="818" customFormat="1" ht="11.4" customHeight="1" x14ac:dyDescent="0.25">
      <c r="A114" s="878"/>
      <c r="B114" s="879" t="s">
        <v>1087</v>
      </c>
      <c r="C114" s="1430" t="s">
        <v>1112</v>
      </c>
      <c r="D114" s="1430">
        <v>10</v>
      </c>
      <c r="E114" s="883">
        <f>+C76</f>
        <v>5</v>
      </c>
      <c r="F114" s="880">
        <f>+F112/E114</f>
        <v>26634.771731448767</v>
      </c>
      <c r="G114" s="881"/>
    </row>
    <row r="115" spans="1:8" s="818" customFormat="1" x14ac:dyDescent="0.25">
      <c r="A115" s="840"/>
      <c r="B115" s="841"/>
      <c r="C115" s="884"/>
      <c r="D115" s="884"/>
      <c r="E115" s="885"/>
      <c r="F115" s="882"/>
      <c r="G115" s="843"/>
    </row>
    <row r="116" spans="1:8" s="818" customFormat="1" ht="11.4" customHeight="1" thickBot="1" x14ac:dyDescent="0.3">
      <c r="A116" s="886"/>
      <c r="B116" s="887" t="s">
        <v>1089</v>
      </c>
      <c r="C116" s="1431" t="s">
        <v>1113</v>
      </c>
      <c r="D116" s="1431"/>
      <c r="E116" s="888" t="str">
        <f>+D76</f>
        <v>m3</v>
      </c>
      <c r="F116" s="889">
        <f>+F114</f>
        <v>26634.771731448767</v>
      </c>
      <c r="G116" s="890"/>
      <c r="H116" s="1189">
        <f>0.05*F116</f>
        <v>1331.7385865724384</v>
      </c>
    </row>
    <row r="117" spans="1:8" x14ac:dyDescent="0.25">
      <c r="A117" s="836"/>
      <c r="B117" s="837" t="s">
        <v>1049</v>
      </c>
      <c r="C117" s="838"/>
      <c r="D117" s="837"/>
      <c r="E117" s="837"/>
      <c r="F117" s="837"/>
      <c r="G117" s="839"/>
    </row>
    <row r="118" spans="1:8" x14ac:dyDescent="0.25">
      <c r="A118" s="840"/>
      <c r="B118" s="841" t="s">
        <v>1050</v>
      </c>
      <c r="C118" s="842"/>
      <c r="D118" s="841"/>
      <c r="E118" s="841"/>
      <c r="F118" s="841"/>
      <c r="G118" s="843"/>
    </row>
    <row r="119" spans="1:8" x14ac:dyDescent="0.25">
      <c r="A119" s="840"/>
      <c r="B119" s="841" t="s">
        <v>1051</v>
      </c>
      <c r="C119" s="1432" t="s">
        <v>1114</v>
      </c>
      <c r="D119" s="1432"/>
      <c r="E119" s="1432"/>
      <c r="F119" s="841"/>
      <c r="G119" s="843"/>
    </row>
    <row r="120" spans="1:8" x14ac:dyDescent="0.25">
      <c r="A120" s="840"/>
      <c r="B120" s="841" t="s">
        <v>1053</v>
      </c>
      <c r="C120" s="842">
        <v>5</v>
      </c>
      <c r="D120" s="841" t="s">
        <v>872</v>
      </c>
      <c r="E120" s="841"/>
      <c r="F120" s="841"/>
      <c r="G120" s="843"/>
    </row>
    <row r="121" spans="1:8" x14ac:dyDescent="0.25">
      <c r="A121" s="840"/>
      <c r="B121" s="841" t="s">
        <v>1054</v>
      </c>
      <c r="C121" s="842"/>
      <c r="D121" s="841"/>
      <c r="E121" s="841"/>
      <c r="F121" s="841"/>
      <c r="G121" s="843"/>
    </row>
    <row r="122" spans="1:8" x14ac:dyDescent="0.25">
      <c r="A122" s="840"/>
      <c r="B122" s="841"/>
      <c r="C122" s="842"/>
      <c r="D122" s="841"/>
      <c r="E122" s="841"/>
      <c r="F122" s="841"/>
      <c r="G122" s="843"/>
    </row>
    <row r="123" spans="1:8" x14ac:dyDescent="0.25">
      <c r="A123" s="844" t="s">
        <v>1055</v>
      </c>
      <c r="B123" s="845" t="s">
        <v>1056</v>
      </c>
      <c r="C123" s="845" t="s">
        <v>3</v>
      </c>
      <c r="D123" s="845" t="s">
        <v>1057</v>
      </c>
      <c r="E123" s="845" t="s">
        <v>1058</v>
      </c>
      <c r="F123" s="845" t="s">
        <v>1059</v>
      </c>
      <c r="G123" s="846" t="s">
        <v>1060</v>
      </c>
    </row>
    <row r="124" spans="1:8" x14ac:dyDescent="0.25">
      <c r="A124" s="847"/>
      <c r="B124" s="848"/>
      <c r="C124" s="849"/>
      <c r="D124" s="850"/>
      <c r="E124" s="850"/>
      <c r="F124" s="850"/>
      <c r="G124" s="851"/>
    </row>
    <row r="125" spans="1:8" x14ac:dyDescent="0.25">
      <c r="A125" s="852" t="s">
        <v>1061</v>
      </c>
      <c r="B125" s="853" t="s">
        <v>1100</v>
      </c>
      <c r="C125" s="854" t="s">
        <v>872</v>
      </c>
      <c r="D125" s="855">
        <f>+C120</f>
        <v>5</v>
      </c>
      <c r="E125" s="855">
        <f>+'RBD Material'!H14</f>
        <v>3500</v>
      </c>
      <c r="F125" s="855">
        <f>+E125*D125</f>
        <v>17500</v>
      </c>
      <c r="G125" s="856"/>
    </row>
    <row r="126" spans="1:8" ht="24" x14ac:dyDescent="0.25">
      <c r="A126" s="852" t="s">
        <v>1101</v>
      </c>
      <c r="B126" s="858" t="s">
        <v>1102</v>
      </c>
      <c r="C126" s="854" t="s">
        <v>872</v>
      </c>
      <c r="D126" s="855">
        <f>+C120</f>
        <v>5</v>
      </c>
      <c r="E126" s="855">
        <f>+'RBD Material'!H15</f>
        <v>1700</v>
      </c>
      <c r="F126" s="855">
        <f>+E126*D126</f>
        <v>8500</v>
      </c>
      <c r="G126" s="856"/>
    </row>
    <row r="127" spans="1:8" x14ac:dyDescent="0.25">
      <c r="A127" s="863"/>
      <c r="B127" s="864"/>
      <c r="C127" s="865"/>
      <c r="D127" s="866"/>
      <c r="E127" s="866"/>
      <c r="F127" s="866"/>
      <c r="G127" s="867"/>
    </row>
    <row r="128" spans="1:8" x14ac:dyDescent="0.25">
      <c r="A128" s="844"/>
      <c r="B128" s="845" t="s">
        <v>1063</v>
      </c>
      <c r="C128" s="845"/>
      <c r="D128" s="868"/>
      <c r="E128" s="868"/>
      <c r="F128" s="868">
        <f>SUM(F125:F127)</f>
        <v>26000</v>
      </c>
      <c r="G128" s="846"/>
    </row>
    <row r="129" spans="1:7" x14ac:dyDescent="0.25">
      <c r="A129" s="840"/>
      <c r="B129" s="841"/>
      <c r="C129" s="842"/>
      <c r="D129" s="841"/>
      <c r="E129" s="841"/>
      <c r="F129" s="841"/>
      <c r="G129" s="843"/>
    </row>
    <row r="130" spans="1:7" x14ac:dyDescent="0.25">
      <c r="A130" s="844" t="s">
        <v>1055</v>
      </c>
      <c r="B130" s="845" t="s">
        <v>1064</v>
      </c>
      <c r="C130" s="845" t="s">
        <v>3</v>
      </c>
      <c r="D130" s="845" t="s">
        <v>1057</v>
      </c>
      <c r="E130" s="845" t="s">
        <v>1058</v>
      </c>
      <c r="F130" s="845" t="s">
        <v>1059</v>
      </c>
      <c r="G130" s="846"/>
    </row>
    <row r="131" spans="1:7" x14ac:dyDescent="0.25">
      <c r="A131" s="847"/>
      <c r="B131" s="848"/>
      <c r="C131" s="849"/>
      <c r="D131" s="848"/>
      <c r="E131" s="848"/>
      <c r="F131" s="848"/>
      <c r="G131" s="851"/>
    </row>
    <row r="132" spans="1:7" x14ac:dyDescent="0.25">
      <c r="A132" s="869" t="s">
        <v>1103</v>
      </c>
      <c r="B132" s="870" t="s">
        <v>1104</v>
      </c>
      <c r="C132" s="871" t="s">
        <v>1105</v>
      </c>
      <c r="D132" s="872">
        <v>0.35</v>
      </c>
      <c r="E132" s="872">
        <f>+'RBD Material'!L3</f>
        <v>6000</v>
      </c>
      <c r="F132" s="855">
        <f t="shared" ref="F132:F133" si="4">+E132*D132</f>
        <v>2100</v>
      </c>
      <c r="G132" s="873"/>
    </row>
    <row r="133" spans="1:7" x14ac:dyDescent="0.25">
      <c r="A133" s="869" t="s">
        <v>1106</v>
      </c>
      <c r="B133" s="870" t="s">
        <v>1107</v>
      </c>
      <c r="C133" s="871" t="s">
        <v>1105</v>
      </c>
      <c r="D133" s="872">
        <v>0.4</v>
      </c>
      <c r="E133" s="872">
        <f>+'RBD Material'!L4</f>
        <v>2400</v>
      </c>
      <c r="F133" s="855">
        <f t="shared" si="4"/>
        <v>960</v>
      </c>
      <c r="G133" s="873"/>
    </row>
    <row r="134" spans="1:7" x14ac:dyDescent="0.25">
      <c r="A134" s="863" t="s">
        <v>1065</v>
      </c>
      <c r="B134" s="864"/>
      <c r="C134" s="865"/>
      <c r="D134" s="866"/>
      <c r="E134" s="866"/>
      <c r="F134" s="866"/>
      <c r="G134" s="874"/>
    </row>
    <row r="135" spans="1:7" x14ac:dyDescent="0.25">
      <c r="A135" s="844"/>
      <c r="B135" s="845" t="s">
        <v>1066</v>
      </c>
      <c r="C135" s="845"/>
      <c r="D135" s="868"/>
      <c r="E135" s="868"/>
      <c r="F135" s="868">
        <f>SUM(F132:F134)</f>
        <v>3060</v>
      </c>
      <c r="G135" s="875"/>
    </row>
    <row r="136" spans="1:7" x14ac:dyDescent="0.25">
      <c r="A136" s="840"/>
      <c r="B136" s="841"/>
      <c r="C136" s="842"/>
      <c r="D136" s="841"/>
      <c r="E136" s="841"/>
      <c r="F136" s="841"/>
      <c r="G136" s="843"/>
    </row>
    <row r="137" spans="1:7" x14ac:dyDescent="0.25">
      <c r="A137" s="844" t="s">
        <v>1055</v>
      </c>
      <c r="B137" s="845" t="s">
        <v>1067</v>
      </c>
      <c r="C137" s="845" t="s">
        <v>3</v>
      </c>
      <c r="D137" s="845" t="s">
        <v>1057</v>
      </c>
      <c r="E137" s="845" t="s">
        <v>1058</v>
      </c>
      <c r="F137" s="845" t="s">
        <v>1059</v>
      </c>
      <c r="G137" s="846"/>
    </row>
    <row r="138" spans="1:7" x14ac:dyDescent="0.25">
      <c r="A138" s="847"/>
      <c r="B138" s="848"/>
      <c r="C138" s="849"/>
      <c r="D138" s="848"/>
      <c r="E138" s="848"/>
      <c r="F138" s="848"/>
      <c r="G138" s="851"/>
    </row>
    <row r="139" spans="1:7" x14ac:dyDescent="0.25">
      <c r="A139" s="869" t="s">
        <v>1068</v>
      </c>
      <c r="B139" s="870" t="s">
        <v>1108</v>
      </c>
      <c r="C139" s="871" t="s">
        <v>1094</v>
      </c>
      <c r="D139" s="872">
        <f>+C120*6.4</f>
        <v>32</v>
      </c>
      <c r="E139" s="872">
        <f>+'RBD Material'!D6</f>
        <v>2320</v>
      </c>
      <c r="F139" s="872">
        <f>+E139*D139</f>
        <v>74240</v>
      </c>
      <c r="G139" s="876"/>
    </row>
    <row r="140" spans="1:7" x14ac:dyDescent="0.25">
      <c r="A140" s="869" t="s">
        <v>1070</v>
      </c>
      <c r="B140" s="870" t="s">
        <v>1109</v>
      </c>
      <c r="C140" s="871" t="s">
        <v>1110</v>
      </c>
      <c r="D140" s="872">
        <f>+C120*0.5/2.83</f>
        <v>0.88339222614840984</v>
      </c>
      <c r="E140" s="872">
        <f>+'RBD Material'!D7</f>
        <v>24500</v>
      </c>
      <c r="F140" s="872">
        <f>+E140*D140</f>
        <v>21643.10954063604</v>
      </c>
      <c r="G140" s="876"/>
    </row>
    <row r="141" spans="1:7" x14ac:dyDescent="0.25">
      <c r="A141" s="869" t="s">
        <v>1073</v>
      </c>
      <c r="B141" s="870" t="s">
        <v>1111</v>
      </c>
      <c r="C141" s="871" t="s">
        <v>1110</v>
      </c>
      <c r="D141" s="872">
        <f>C120*0.88/2.83</f>
        <v>1.5547703180212016</v>
      </c>
      <c r="E141" s="872">
        <f>+'RBD Material'!D8</f>
        <v>13500</v>
      </c>
      <c r="F141" s="872">
        <f>+E141*D141</f>
        <v>20989.39929328622</v>
      </c>
      <c r="G141" s="876"/>
    </row>
    <row r="142" spans="1:7" x14ac:dyDescent="0.25">
      <c r="A142" s="863" t="s">
        <v>1065</v>
      </c>
      <c r="B142" s="864"/>
      <c r="C142" s="865"/>
      <c r="D142" s="866"/>
      <c r="E142" s="866"/>
      <c r="F142" s="866"/>
      <c r="G142" s="867"/>
    </row>
    <row r="143" spans="1:7" x14ac:dyDescent="0.25">
      <c r="A143" s="844"/>
      <c r="B143" s="845" t="s">
        <v>1075</v>
      </c>
      <c r="C143" s="845"/>
      <c r="D143" s="868"/>
      <c r="E143" s="868"/>
      <c r="F143" s="868">
        <f>SUM(F138:F142)</f>
        <v>116872.50883392226</v>
      </c>
      <c r="G143" s="846"/>
    </row>
    <row r="144" spans="1:7" x14ac:dyDescent="0.25">
      <c r="A144" s="840"/>
      <c r="B144" s="841"/>
      <c r="C144" s="842"/>
      <c r="D144" s="841"/>
      <c r="E144" s="841"/>
      <c r="F144" s="841"/>
      <c r="G144" s="843"/>
    </row>
    <row r="145" spans="1:7" x14ac:dyDescent="0.25">
      <c r="A145" s="844" t="s">
        <v>1055</v>
      </c>
      <c r="B145" s="845" t="s">
        <v>1076</v>
      </c>
      <c r="C145" s="845" t="s">
        <v>3</v>
      </c>
      <c r="D145" s="845" t="s">
        <v>1057</v>
      </c>
      <c r="E145" s="845" t="s">
        <v>1058</v>
      </c>
      <c r="F145" s="845" t="s">
        <v>1059</v>
      </c>
      <c r="G145" s="846"/>
    </row>
    <row r="146" spans="1:7" x14ac:dyDescent="0.25">
      <c r="A146" s="847"/>
      <c r="B146" s="848"/>
      <c r="C146" s="849"/>
      <c r="D146" s="848"/>
      <c r="E146" s="848"/>
      <c r="F146" s="848"/>
      <c r="G146" s="851"/>
    </row>
    <row r="147" spans="1:7" x14ac:dyDescent="0.25">
      <c r="A147" s="869">
        <v>4</v>
      </c>
      <c r="B147" s="870" t="s">
        <v>1077</v>
      </c>
      <c r="C147" s="871" t="s">
        <v>1078</v>
      </c>
      <c r="D147" s="877">
        <v>0.02</v>
      </c>
      <c r="E147" s="872">
        <f>+F128</f>
        <v>26000</v>
      </c>
      <c r="F147" s="872">
        <f>+E147*D147</f>
        <v>520</v>
      </c>
      <c r="G147" s="876"/>
    </row>
    <row r="148" spans="1:7" x14ac:dyDescent="0.25">
      <c r="A148" s="869">
        <v>5</v>
      </c>
      <c r="B148" s="870" t="s">
        <v>1079</v>
      </c>
      <c r="C148" s="871" t="s">
        <v>1078</v>
      </c>
      <c r="D148" s="877">
        <v>0.05</v>
      </c>
      <c r="E148" s="872">
        <f>+F143</f>
        <v>116872.50883392226</v>
      </c>
      <c r="F148" s="872">
        <f>+E148*D148</f>
        <v>5843.6254416961128</v>
      </c>
      <c r="G148" s="876"/>
    </row>
    <row r="149" spans="1:7" x14ac:dyDescent="0.25">
      <c r="A149" s="863" t="s">
        <v>1065</v>
      </c>
      <c r="B149" s="864"/>
      <c r="C149" s="865"/>
      <c r="D149" s="866"/>
      <c r="E149" s="866"/>
      <c r="F149" s="866"/>
      <c r="G149" s="867"/>
    </row>
    <row r="150" spans="1:7" x14ac:dyDescent="0.25">
      <c r="A150" s="844"/>
      <c r="B150" s="845" t="s">
        <v>1080</v>
      </c>
      <c r="C150" s="845"/>
      <c r="D150" s="868"/>
      <c r="E150" s="868"/>
      <c r="F150" s="868">
        <f>SUM(F147:F149)</f>
        <v>6363.6254416961128</v>
      </c>
      <c r="G150" s="846"/>
    </row>
    <row r="151" spans="1:7" x14ac:dyDescent="0.25">
      <c r="A151" s="840"/>
      <c r="B151" s="841"/>
      <c r="C151" s="842"/>
      <c r="D151" s="841"/>
      <c r="E151" s="841"/>
      <c r="F151" s="841"/>
      <c r="G151" s="843"/>
    </row>
    <row r="152" spans="1:7" x14ac:dyDescent="0.25">
      <c r="A152" s="878"/>
      <c r="B152" s="879" t="s">
        <v>1081</v>
      </c>
      <c r="C152" s="1433" t="s">
        <v>1082</v>
      </c>
      <c r="D152" s="1433"/>
      <c r="E152" s="879"/>
      <c r="F152" s="880">
        <f>+F150+F143+F135+F128</f>
        <v>152296.13427561836</v>
      </c>
      <c r="G152" s="881"/>
    </row>
    <row r="153" spans="1:7" x14ac:dyDescent="0.25">
      <c r="A153" s="840"/>
      <c r="B153" s="841"/>
      <c r="C153" s="842"/>
      <c r="D153" s="841"/>
      <c r="E153" s="841"/>
      <c r="F153" s="882"/>
      <c r="G153" s="843"/>
    </row>
    <row r="154" spans="1:7" x14ac:dyDescent="0.25">
      <c r="A154" s="878"/>
      <c r="B154" s="879" t="s">
        <v>1083</v>
      </c>
      <c r="C154" s="1433">
        <v>0</v>
      </c>
      <c r="D154" s="1433" t="s">
        <v>1084</v>
      </c>
      <c r="E154" s="879"/>
      <c r="F154" s="880"/>
      <c r="G154" s="881"/>
    </row>
    <row r="155" spans="1:7" x14ac:dyDescent="0.25">
      <c r="A155" s="840"/>
      <c r="B155" s="841"/>
      <c r="C155" s="842"/>
      <c r="D155" s="841"/>
      <c r="E155" s="841"/>
      <c r="F155" s="882"/>
      <c r="G155" s="843"/>
    </row>
    <row r="156" spans="1:7" x14ac:dyDescent="0.25">
      <c r="A156" s="878"/>
      <c r="B156" s="879" t="s">
        <v>1085</v>
      </c>
      <c r="C156" s="1433" t="s">
        <v>1086</v>
      </c>
      <c r="D156" s="1433"/>
      <c r="E156" s="879"/>
      <c r="F156" s="880">
        <f>+F152+F154</f>
        <v>152296.13427561836</v>
      </c>
      <c r="G156" s="881"/>
    </row>
    <row r="157" spans="1:7" x14ac:dyDescent="0.25">
      <c r="A157" s="840"/>
      <c r="B157" s="841"/>
      <c r="C157" s="842"/>
      <c r="D157" s="841"/>
      <c r="E157" s="841"/>
      <c r="F157" s="882"/>
      <c r="G157" s="843"/>
    </row>
    <row r="158" spans="1:7" x14ac:dyDescent="0.25">
      <c r="A158" s="878"/>
      <c r="B158" s="879" t="s">
        <v>1087</v>
      </c>
      <c r="C158" s="1430" t="s">
        <v>1112</v>
      </c>
      <c r="D158" s="1430">
        <v>10</v>
      </c>
      <c r="E158" s="883">
        <f>+C120</f>
        <v>5</v>
      </c>
      <c r="F158" s="880">
        <f>+F156/E158</f>
        <v>30459.22685512367</v>
      </c>
      <c r="G158" s="881"/>
    </row>
    <row r="159" spans="1:7" x14ac:dyDescent="0.25">
      <c r="A159" s="840"/>
      <c r="B159" s="841"/>
      <c r="C159" s="884"/>
      <c r="D159" s="884"/>
      <c r="E159" s="885"/>
      <c r="F159" s="882"/>
      <c r="G159" s="843"/>
    </row>
    <row r="160" spans="1:7" ht="12.6" thickBot="1" x14ac:dyDescent="0.3">
      <c r="A160" s="886"/>
      <c r="B160" s="887" t="s">
        <v>1089</v>
      </c>
      <c r="C160" s="1431" t="s">
        <v>1113</v>
      </c>
      <c r="D160" s="1431"/>
      <c r="E160" s="888" t="str">
        <f>+D120</f>
        <v>m3</v>
      </c>
      <c r="F160" s="889">
        <f>+F158</f>
        <v>30459.22685512367</v>
      </c>
      <c r="G160" s="890"/>
    </row>
    <row r="161" spans="1:7" x14ac:dyDescent="0.25">
      <c r="A161" s="836"/>
      <c r="B161" s="837" t="s">
        <v>1049</v>
      </c>
      <c r="C161" s="838"/>
      <c r="D161" s="837"/>
      <c r="E161" s="837"/>
      <c r="F161" s="837"/>
      <c r="G161" s="839"/>
    </row>
    <row r="162" spans="1:7" x14ac:dyDescent="0.25">
      <c r="A162" s="840"/>
      <c r="B162" s="841" t="s">
        <v>1050</v>
      </c>
      <c r="C162" s="842"/>
      <c r="D162" s="841"/>
      <c r="E162" s="841"/>
      <c r="F162" s="841"/>
      <c r="G162" s="843"/>
    </row>
    <row r="163" spans="1:7" x14ac:dyDescent="0.25">
      <c r="A163" s="840"/>
      <c r="B163" s="841" t="s">
        <v>1051</v>
      </c>
      <c r="C163" s="1432" t="s">
        <v>1115</v>
      </c>
      <c r="D163" s="1432"/>
      <c r="E163" s="1432"/>
      <c r="F163" s="841"/>
      <c r="G163" s="843"/>
    </row>
    <row r="164" spans="1:7" x14ac:dyDescent="0.25">
      <c r="A164" s="840"/>
      <c r="B164" s="841" t="s">
        <v>1053</v>
      </c>
      <c r="C164" s="842">
        <v>5</v>
      </c>
      <c r="D164" s="841" t="s">
        <v>872</v>
      </c>
      <c r="E164" s="841"/>
      <c r="F164" s="841"/>
      <c r="G164" s="843"/>
    </row>
    <row r="165" spans="1:7" x14ac:dyDescent="0.25">
      <c r="A165" s="840"/>
      <c r="B165" s="841" t="s">
        <v>1054</v>
      </c>
      <c r="C165" s="842"/>
      <c r="D165" s="841"/>
      <c r="E165" s="841"/>
      <c r="F165" s="841"/>
      <c r="G165" s="843"/>
    </row>
    <row r="166" spans="1:7" x14ac:dyDescent="0.25">
      <c r="A166" s="840"/>
      <c r="B166" s="841"/>
      <c r="C166" s="842"/>
      <c r="D166" s="841"/>
      <c r="E166" s="841"/>
      <c r="F166" s="841"/>
      <c r="G166" s="843"/>
    </row>
    <row r="167" spans="1:7" x14ac:dyDescent="0.25">
      <c r="A167" s="844" t="s">
        <v>1055</v>
      </c>
      <c r="B167" s="845" t="s">
        <v>1056</v>
      </c>
      <c r="C167" s="845" t="s">
        <v>3</v>
      </c>
      <c r="D167" s="845" t="s">
        <v>1057</v>
      </c>
      <c r="E167" s="845" t="s">
        <v>1058</v>
      </c>
      <c r="F167" s="845" t="s">
        <v>1059</v>
      </c>
      <c r="G167" s="846" t="s">
        <v>1060</v>
      </c>
    </row>
    <row r="168" spans="1:7" x14ac:dyDescent="0.25">
      <c r="A168" s="847"/>
      <c r="B168" s="848"/>
      <c r="C168" s="849"/>
      <c r="D168" s="850"/>
      <c r="E168" s="850"/>
      <c r="F168" s="850"/>
      <c r="G168" s="851"/>
    </row>
    <row r="169" spans="1:7" x14ac:dyDescent="0.25">
      <c r="A169" s="852" t="s">
        <v>1061</v>
      </c>
      <c r="B169" s="853" t="s">
        <v>1100</v>
      </c>
      <c r="C169" s="854" t="s">
        <v>872</v>
      </c>
      <c r="D169" s="855">
        <f>+C164</f>
        <v>5</v>
      </c>
      <c r="E169" s="855">
        <f>+'RBD Material'!H14</f>
        <v>3500</v>
      </c>
      <c r="F169" s="855">
        <f>+E169*D169</f>
        <v>17500</v>
      </c>
      <c r="G169" s="856"/>
    </row>
    <row r="170" spans="1:7" ht="24" x14ac:dyDescent="0.25">
      <c r="A170" s="852" t="s">
        <v>1101</v>
      </c>
      <c r="B170" s="858" t="s">
        <v>1102</v>
      </c>
      <c r="C170" s="854" t="s">
        <v>872</v>
      </c>
      <c r="D170" s="855">
        <f>+C164</f>
        <v>5</v>
      </c>
      <c r="E170" s="855">
        <f>+'RBD Material'!H15</f>
        <v>1700</v>
      </c>
      <c r="F170" s="855">
        <f>+E170*D170</f>
        <v>8500</v>
      </c>
      <c r="G170" s="856"/>
    </row>
    <row r="171" spans="1:7" x14ac:dyDescent="0.25">
      <c r="A171" s="863"/>
      <c r="B171" s="864"/>
      <c r="C171" s="865"/>
      <c r="D171" s="866"/>
      <c r="E171" s="866"/>
      <c r="F171" s="866"/>
      <c r="G171" s="867"/>
    </row>
    <row r="172" spans="1:7" x14ac:dyDescent="0.25">
      <c r="A172" s="844"/>
      <c r="B172" s="845" t="s">
        <v>1063</v>
      </c>
      <c r="C172" s="845"/>
      <c r="D172" s="868"/>
      <c r="E172" s="868"/>
      <c r="F172" s="868">
        <f>SUM(F169:F171)</f>
        <v>26000</v>
      </c>
      <c r="G172" s="846"/>
    </row>
    <row r="173" spans="1:7" x14ac:dyDescent="0.25">
      <c r="A173" s="840"/>
      <c r="B173" s="841"/>
      <c r="C173" s="842"/>
      <c r="D173" s="841"/>
      <c r="E173" s="841"/>
      <c r="F173" s="841"/>
      <c r="G173" s="843"/>
    </row>
    <row r="174" spans="1:7" x14ac:dyDescent="0.25">
      <c r="A174" s="844" t="s">
        <v>1055</v>
      </c>
      <c r="B174" s="845" t="s">
        <v>1064</v>
      </c>
      <c r="C174" s="845" t="s">
        <v>3</v>
      </c>
      <c r="D174" s="845" t="s">
        <v>1057</v>
      </c>
      <c r="E174" s="845" t="s">
        <v>1058</v>
      </c>
      <c r="F174" s="845" t="s">
        <v>1059</v>
      </c>
      <c r="G174" s="846"/>
    </row>
    <row r="175" spans="1:7" x14ac:dyDescent="0.25">
      <c r="A175" s="847"/>
      <c r="B175" s="848"/>
      <c r="C175" s="849"/>
      <c r="D175" s="848"/>
      <c r="E175" s="848"/>
      <c r="F175" s="848"/>
      <c r="G175" s="851"/>
    </row>
    <row r="176" spans="1:7" x14ac:dyDescent="0.25">
      <c r="A176" s="869" t="s">
        <v>1103</v>
      </c>
      <c r="B176" s="870" t="s">
        <v>1104</v>
      </c>
      <c r="C176" s="871" t="s">
        <v>1105</v>
      </c>
      <c r="D176" s="872">
        <v>0.4</v>
      </c>
      <c r="E176" s="872">
        <f>+'RBD Material'!L3</f>
        <v>6000</v>
      </c>
      <c r="F176" s="855">
        <f t="shared" ref="F176:F177" si="5">+E176*D176</f>
        <v>2400</v>
      </c>
      <c r="G176" s="873"/>
    </row>
    <row r="177" spans="1:7" x14ac:dyDescent="0.25">
      <c r="A177" s="869" t="s">
        <v>1106</v>
      </c>
      <c r="B177" s="870" t="s">
        <v>1107</v>
      </c>
      <c r="C177" s="871" t="s">
        <v>1105</v>
      </c>
      <c r="D177" s="872">
        <v>0.5</v>
      </c>
      <c r="E177" s="872">
        <f>+'RBD Material'!L4</f>
        <v>2400</v>
      </c>
      <c r="F177" s="855">
        <f t="shared" si="5"/>
        <v>1200</v>
      </c>
      <c r="G177" s="873"/>
    </row>
    <row r="178" spans="1:7" x14ac:dyDescent="0.25">
      <c r="A178" s="863" t="s">
        <v>1065</v>
      </c>
      <c r="B178" s="864"/>
      <c r="C178" s="865"/>
      <c r="D178" s="866"/>
      <c r="E178" s="866"/>
      <c r="F178" s="866"/>
      <c r="G178" s="874"/>
    </row>
    <row r="179" spans="1:7" x14ac:dyDescent="0.25">
      <c r="A179" s="844"/>
      <c r="B179" s="845" t="s">
        <v>1066</v>
      </c>
      <c r="C179" s="845"/>
      <c r="D179" s="868"/>
      <c r="E179" s="868"/>
      <c r="F179" s="868">
        <f>SUM(F176:F178)</f>
        <v>3600</v>
      </c>
      <c r="G179" s="875"/>
    </row>
    <row r="180" spans="1:7" x14ac:dyDescent="0.25">
      <c r="A180" s="840"/>
      <c r="B180" s="841"/>
      <c r="C180" s="842"/>
      <c r="D180" s="841"/>
      <c r="E180" s="841"/>
      <c r="F180" s="841"/>
      <c r="G180" s="843"/>
    </row>
    <row r="181" spans="1:7" x14ac:dyDescent="0.25">
      <c r="A181" s="844" t="s">
        <v>1055</v>
      </c>
      <c r="B181" s="845" t="s">
        <v>1067</v>
      </c>
      <c r="C181" s="845" t="s">
        <v>3</v>
      </c>
      <c r="D181" s="845" t="s">
        <v>1057</v>
      </c>
      <c r="E181" s="845" t="s">
        <v>1058</v>
      </c>
      <c r="F181" s="845" t="s">
        <v>1059</v>
      </c>
      <c r="G181" s="846"/>
    </row>
    <row r="182" spans="1:7" x14ac:dyDescent="0.25">
      <c r="A182" s="847"/>
      <c r="B182" s="848"/>
      <c r="C182" s="849"/>
      <c r="D182" s="848"/>
      <c r="E182" s="848"/>
      <c r="F182" s="848"/>
      <c r="G182" s="851"/>
    </row>
    <row r="183" spans="1:7" x14ac:dyDescent="0.25">
      <c r="A183" s="869" t="s">
        <v>1068</v>
      </c>
      <c r="B183" s="870" t="s">
        <v>1108</v>
      </c>
      <c r="C183" s="871" t="s">
        <v>1094</v>
      </c>
      <c r="D183" s="872">
        <f>+C164*8.13</f>
        <v>40.650000000000006</v>
      </c>
      <c r="E183" s="872">
        <f>+'RBD Material'!D6</f>
        <v>2320</v>
      </c>
      <c r="F183" s="872">
        <f>+E183*D183</f>
        <v>94308.000000000015</v>
      </c>
      <c r="G183" s="876"/>
    </row>
    <row r="184" spans="1:7" x14ac:dyDescent="0.25">
      <c r="A184" s="869" t="s">
        <v>1070</v>
      </c>
      <c r="B184" s="870" t="s">
        <v>1109</v>
      </c>
      <c r="C184" s="871" t="s">
        <v>1110</v>
      </c>
      <c r="D184" s="872">
        <f>+C164*0.433/2.83</f>
        <v>0.76501766784452296</v>
      </c>
      <c r="E184" s="872">
        <f>+'RBD Material'!D7</f>
        <v>24500</v>
      </c>
      <c r="F184" s="872">
        <f>+E184*D184</f>
        <v>18742.932862190813</v>
      </c>
      <c r="G184" s="876"/>
    </row>
    <row r="185" spans="1:7" x14ac:dyDescent="0.25">
      <c r="A185" s="869" t="s">
        <v>1073</v>
      </c>
      <c r="B185" s="870" t="s">
        <v>1111</v>
      </c>
      <c r="C185" s="871" t="s">
        <v>1110</v>
      </c>
      <c r="D185" s="872">
        <f>C164*0.82/2.83</f>
        <v>1.4487632508833921</v>
      </c>
      <c r="E185" s="872">
        <f>+'RBD Material'!D8</f>
        <v>13500</v>
      </c>
      <c r="F185" s="872">
        <f>+E185*D185</f>
        <v>19558.303886925794</v>
      </c>
      <c r="G185" s="876"/>
    </row>
    <row r="186" spans="1:7" x14ac:dyDescent="0.25">
      <c r="A186" s="863" t="s">
        <v>1065</v>
      </c>
      <c r="B186" s="864"/>
      <c r="C186" s="865"/>
      <c r="D186" s="866"/>
      <c r="E186" s="866"/>
      <c r="F186" s="866"/>
      <c r="G186" s="867"/>
    </row>
    <row r="187" spans="1:7" x14ac:dyDescent="0.25">
      <c r="A187" s="844"/>
      <c r="B187" s="845" t="s">
        <v>1075</v>
      </c>
      <c r="C187" s="845"/>
      <c r="D187" s="868"/>
      <c r="E187" s="868"/>
      <c r="F187" s="868">
        <f>SUM(F182:F186)</f>
        <v>132609.23674911662</v>
      </c>
      <c r="G187" s="846"/>
    </row>
    <row r="188" spans="1:7" x14ac:dyDescent="0.25">
      <c r="A188" s="840"/>
      <c r="B188" s="841"/>
      <c r="C188" s="842"/>
      <c r="D188" s="841"/>
      <c r="E188" s="841"/>
      <c r="F188" s="841"/>
      <c r="G188" s="843"/>
    </row>
    <row r="189" spans="1:7" x14ac:dyDescent="0.25">
      <c r="A189" s="844" t="s">
        <v>1055</v>
      </c>
      <c r="B189" s="845" t="s">
        <v>1076</v>
      </c>
      <c r="C189" s="845" t="s">
        <v>3</v>
      </c>
      <c r="D189" s="845" t="s">
        <v>1057</v>
      </c>
      <c r="E189" s="845" t="s">
        <v>1058</v>
      </c>
      <c r="F189" s="845" t="s">
        <v>1059</v>
      </c>
      <c r="G189" s="846"/>
    </row>
    <row r="190" spans="1:7" x14ac:dyDescent="0.25">
      <c r="A190" s="847"/>
      <c r="B190" s="848"/>
      <c r="C190" s="849"/>
      <c r="D190" s="848"/>
      <c r="E190" s="848"/>
      <c r="F190" s="848"/>
      <c r="G190" s="851"/>
    </row>
    <row r="191" spans="1:7" x14ac:dyDescent="0.25">
      <c r="A191" s="869">
        <v>4</v>
      </c>
      <c r="B191" s="870" t="s">
        <v>1077</v>
      </c>
      <c r="C191" s="871" t="s">
        <v>1078</v>
      </c>
      <c r="D191" s="877">
        <v>0.02</v>
      </c>
      <c r="E191" s="872">
        <f>+F172</f>
        <v>26000</v>
      </c>
      <c r="F191" s="872">
        <f>+E191*D191</f>
        <v>520</v>
      </c>
      <c r="G191" s="876"/>
    </row>
    <row r="192" spans="1:7" x14ac:dyDescent="0.25">
      <c r="A192" s="869">
        <v>5</v>
      </c>
      <c r="B192" s="870" t="s">
        <v>1079</v>
      </c>
      <c r="C192" s="871" t="s">
        <v>1078</v>
      </c>
      <c r="D192" s="877">
        <v>0.05</v>
      </c>
      <c r="E192" s="872">
        <f>+F187</f>
        <v>132609.23674911662</v>
      </c>
      <c r="F192" s="872">
        <f>+E192*D192</f>
        <v>6630.4618374558313</v>
      </c>
      <c r="G192" s="876"/>
    </row>
    <row r="193" spans="1:7" x14ac:dyDescent="0.25">
      <c r="A193" s="863" t="s">
        <v>1065</v>
      </c>
      <c r="B193" s="864"/>
      <c r="C193" s="865"/>
      <c r="D193" s="866"/>
      <c r="E193" s="866"/>
      <c r="F193" s="866"/>
      <c r="G193" s="867"/>
    </row>
    <row r="194" spans="1:7" x14ac:dyDescent="0.25">
      <c r="A194" s="844"/>
      <c r="B194" s="845" t="s">
        <v>1080</v>
      </c>
      <c r="C194" s="845"/>
      <c r="D194" s="868"/>
      <c r="E194" s="868"/>
      <c r="F194" s="868">
        <f>SUM(F191:F193)</f>
        <v>7150.4618374558313</v>
      </c>
      <c r="G194" s="846"/>
    </row>
    <row r="195" spans="1:7" x14ac:dyDescent="0.25">
      <c r="A195" s="840"/>
      <c r="B195" s="841"/>
      <c r="C195" s="842"/>
      <c r="D195" s="841"/>
      <c r="E195" s="841"/>
      <c r="F195" s="841"/>
      <c r="G195" s="843"/>
    </row>
    <row r="196" spans="1:7" x14ac:dyDescent="0.25">
      <c r="A196" s="878"/>
      <c r="B196" s="879" t="s">
        <v>1081</v>
      </c>
      <c r="C196" s="1433" t="s">
        <v>1082</v>
      </c>
      <c r="D196" s="1433"/>
      <c r="E196" s="879"/>
      <c r="F196" s="880">
        <f>+F194+F187+F179+F172</f>
        <v>169359.69858657246</v>
      </c>
      <c r="G196" s="881"/>
    </row>
    <row r="197" spans="1:7" x14ac:dyDescent="0.25">
      <c r="A197" s="840"/>
      <c r="B197" s="841"/>
      <c r="C197" s="842"/>
      <c r="D197" s="841"/>
      <c r="E197" s="841"/>
      <c r="F197" s="882"/>
      <c r="G197" s="843"/>
    </row>
    <row r="198" spans="1:7" x14ac:dyDescent="0.25">
      <c r="A198" s="878"/>
      <c r="B198" s="879" t="s">
        <v>1083</v>
      </c>
      <c r="C198" s="1433">
        <v>0</v>
      </c>
      <c r="D198" s="1433" t="s">
        <v>1084</v>
      </c>
      <c r="E198" s="879"/>
      <c r="F198" s="880"/>
      <c r="G198" s="881"/>
    </row>
    <row r="199" spans="1:7" x14ac:dyDescent="0.25">
      <c r="A199" s="840"/>
      <c r="B199" s="841"/>
      <c r="C199" s="842"/>
      <c r="D199" s="841"/>
      <c r="E199" s="841"/>
      <c r="F199" s="882"/>
      <c r="G199" s="843"/>
    </row>
    <row r="200" spans="1:7" x14ac:dyDescent="0.25">
      <c r="A200" s="878"/>
      <c r="B200" s="879" t="s">
        <v>1085</v>
      </c>
      <c r="C200" s="1433" t="s">
        <v>1086</v>
      </c>
      <c r="D200" s="1433"/>
      <c r="E200" s="879"/>
      <c r="F200" s="880">
        <f>+F196+F198</f>
        <v>169359.69858657246</v>
      </c>
      <c r="G200" s="881"/>
    </row>
    <row r="201" spans="1:7" x14ac:dyDescent="0.25">
      <c r="A201" s="840"/>
      <c r="B201" s="841"/>
      <c r="C201" s="842"/>
      <c r="D201" s="841"/>
      <c r="E201" s="841"/>
      <c r="F201" s="882"/>
      <c r="G201" s="843"/>
    </row>
    <row r="202" spans="1:7" x14ac:dyDescent="0.25">
      <c r="A202" s="878"/>
      <c r="B202" s="879" t="s">
        <v>1087</v>
      </c>
      <c r="C202" s="1430" t="s">
        <v>1112</v>
      </c>
      <c r="D202" s="1430">
        <v>10</v>
      </c>
      <c r="E202" s="883">
        <f>+C164</f>
        <v>5</v>
      </c>
      <c r="F202" s="880">
        <f>+F200/E202</f>
        <v>33871.93971731449</v>
      </c>
      <c r="G202" s="881"/>
    </row>
    <row r="203" spans="1:7" x14ac:dyDescent="0.25">
      <c r="A203" s="840"/>
      <c r="B203" s="841"/>
      <c r="C203" s="884"/>
      <c r="D203" s="884"/>
      <c r="E203" s="885"/>
      <c r="F203" s="882"/>
      <c r="G203" s="843"/>
    </row>
    <row r="204" spans="1:7" ht="12.6" thickBot="1" x14ac:dyDescent="0.3">
      <c r="A204" s="886"/>
      <c r="B204" s="887" t="s">
        <v>1089</v>
      </c>
      <c r="C204" s="1431" t="s">
        <v>1113</v>
      </c>
      <c r="D204" s="1431"/>
      <c r="E204" s="888" t="str">
        <f>+D164</f>
        <v>m3</v>
      </c>
      <c r="F204" s="889">
        <f>+F202</f>
        <v>33871.93971731449</v>
      </c>
      <c r="G204" s="890"/>
    </row>
    <row r="205" spans="1:7" s="896" customFormat="1" x14ac:dyDescent="0.25">
      <c r="A205" s="892"/>
      <c r="B205" s="893" t="s">
        <v>1049</v>
      </c>
      <c r="C205" s="894"/>
      <c r="D205" s="893"/>
      <c r="E205" s="893"/>
      <c r="F205" s="893"/>
      <c r="G205" s="895"/>
    </row>
    <row r="206" spans="1:7" s="896" customFormat="1" x14ac:dyDescent="0.25">
      <c r="A206" s="897"/>
      <c r="B206" s="898" t="s">
        <v>1050</v>
      </c>
      <c r="C206" s="899"/>
      <c r="D206" s="898"/>
      <c r="E206" s="898"/>
      <c r="F206" s="898"/>
      <c r="G206" s="900"/>
    </row>
    <row r="207" spans="1:7" s="896" customFormat="1" x14ac:dyDescent="0.25">
      <c r="A207" s="897"/>
      <c r="B207" s="898" t="s">
        <v>1051</v>
      </c>
      <c r="C207" s="901" t="s">
        <v>1116</v>
      </c>
      <c r="D207" s="901"/>
      <c r="E207" s="901"/>
      <c r="F207" s="901"/>
      <c r="G207" s="902"/>
    </row>
    <row r="208" spans="1:7" s="896" customFormat="1" x14ac:dyDescent="0.25">
      <c r="A208" s="897"/>
      <c r="B208" s="898" t="s">
        <v>1053</v>
      </c>
      <c r="C208" s="899">
        <v>10</v>
      </c>
      <c r="D208" s="898" t="s">
        <v>183</v>
      </c>
      <c r="E208" s="898"/>
      <c r="F208" s="898"/>
      <c r="G208" s="900"/>
    </row>
    <row r="209" spans="1:7" s="896" customFormat="1" x14ac:dyDescent="0.25">
      <c r="A209" s="897"/>
      <c r="B209" s="898" t="s">
        <v>1054</v>
      </c>
      <c r="C209" s="899"/>
      <c r="D209" s="898"/>
      <c r="E209" s="898"/>
      <c r="F209" s="898"/>
      <c r="G209" s="900"/>
    </row>
    <row r="210" spans="1:7" s="896" customFormat="1" x14ac:dyDescent="0.25">
      <c r="A210" s="897"/>
      <c r="B210" s="898"/>
      <c r="C210" s="899"/>
      <c r="D210" s="898"/>
      <c r="E210" s="898"/>
      <c r="F210" s="898"/>
      <c r="G210" s="900"/>
    </row>
    <row r="211" spans="1:7" s="896" customFormat="1" x14ac:dyDescent="0.25">
      <c r="A211" s="903" t="s">
        <v>1055</v>
      </c>
      <c r="B211" s="904" t="s">
        <v>1056</v>
      </c>
      <c r="C211" s="904" t="s">
        <v>3</v>
      </c>
      <c r="D211" s="904" t="s">
        <v>1057</v>
      </c>
      <c r="E211" s="904" t="s">
        <v>1058</v>
      </c>
      <c r="F211" s="904" t="s">
        <v>1059</v>
      </c>
      <c r="G211" s="905" t="s">
        <v>1060</v>
      </c>
    </row>
    <row r="212" spans="1:7" s="896" customFormat="1" x14ac:dyDescent="0.25">
      <c r="A212" s="906"/>
      <c r="B212" s="907"/>
      <c r="C212" s="908"/>
      <c r="D212" s="909"/>
      <c r="E212" s="909"/>
      <c r="F212" s="909"/>
      <c r="G212" s="910"/>
    </row>
    <row r="213" spans="1:7" s="896" customFormat="1" x14ac:dyDescent="0.25">
      <c r="A213" s="911" t="s">
        <v>1061</v>
      </c>
      <c r="B213" s="912" t="s">
        <v>1117</v>
      </c>
      <c r="C213" s="913" t="s">
        <v>183</v>
      </c>
      <c r="D213" s="914">
        <f>+C208</f>
        <v>10</v>
      </c>
      <c r="E213" s="914">
        <f>+'RBD Material'!H17</f>
        <v>591.79999999999995</v>
      </c>
      <c r="F213" s="914">
        <f>+E213*D213</f>
        <v>5918</v>
      </c>
      <c r="G213" s="915"/>
    </row>
    <row r="214" spans="1:7" s="896" customFormat="1" x14ac:dyDescent="0.25">
      <c r="A214" s="911" t="s">
        <v>1118</v>
      </c>
      <c r="B214" s="912" t="s">
        <v>1119</v>
      </c>
      <c r="C214" s="913" t="s">
        <v>19</v>
      </c>
      <c r="D214" s="914">
        <v>6</v>
      </c>
      <c r="E214" s="914">
        <f>+'RBD Material'!H20</f>
        <v>162</v>
      </c>
      <c r="F214" s="914">
        <f t="shared" ref="F214" si="6">+E214*D214</f>
        <v>972</v>
      </c>
      <c r="G214" s="915"/>
    </row>
    <row r="215" spans="1:7" s="896" customFormat="1" x14ac:dyDescent="0.25">
      <c r="A215" s="916"/>
      <c r="B215" s="917"/>
      <c r="C215" s="918"/>
      <c r="D215" s="919"/>
      <c r="E215" s="919"/>
      <c r="F215" s="919"/>
      <c r="G215" s="920"/>
    </row>
    <row r="216" spans="1:7" s="896" customFormat="1" x14ac:dyDescent="0.25">
      <c r="A216" s="903"/>
      <c r="B216" s="904" t="s">
        <v>1063</v>
      </c>
      <c r="C216" s="904"/>
      <c r="D216" s="921"/>
      <c r="E216" s="921"/>
      <c r="F216" s="921">
        <f>SUM(F213:F215)</f>
        <v>6890</v>
      </c>
      <c r="G216" s="905"/>
    </row>
    <row r="217" spans="1:7" s="896" customFormat="1" x14ac:dyDescent="0.25">
      <c r="A217" s="897"/>
      <c r="B217" s="898"/>
      <c r="C217" s="899"/>
      <c r="D217" s="898"/>
      <c r="E217" s="898"/>
      <c r="F217" s="898"/>
      <c r="G217" s="900"/>
    </row>
    <row r="218" spans="1:7" s="896" customFormat="1" x14ac:dyDescent="0.25">
      <c r="A218" s="903" t="s">
        <v>1055</v>
      </c>
      <c r="B218" s="904" t="s">
        <v>1064</v>
      </c>
      <c r="C218" s="904" t="s">
        <v>3</v>
      </c>
      <c r="D218" s="904" t="s">
        <v>1057</v>
      </c>
      <c r="E218" s="904" t="s">
        <v>1058</v>
      </c>
      <c r="F218" s="904" t="s">
        <v>1059</v>
      </c>
      <c r="G218" s="905"/>
    </row>
    <row r="219" spans="1:7" s="896" customFormat="1" x14ac:dyDescent="0.25">
      <c r="A219" s="906"/>
      <c r="B219" s="907"/>
      <c r="C219" s="908"/>
      <c r="D219" s="907"/>
      <c r="E219" s="907"/>
      <c r="F219" s="907"/>
      <c r="G219" s="910"/>
    </row>
    <row r="220" spans="1:7" s="896" customFormat="1" x14ac:dyDescent="0.25">
      <c r="A220" s="922" t="s">
        <v>1103</v>
      </c>
      <c r="B220" s="923" t="s">
        <v>1120</v>
      </c>
      <c r="C220" s="924" t="s">
        <v>1072</v>
      </c>
      <c r="D220" s="925"/>
      <c r="E220" s="925"/>
      <c r="F220" s="914">
        <v>350</v>
      </c>
      <c r="G220" s="926"/>
    </row>
    <row r="221" spans="1:7" s="896" customFormat="1" x14ac:dyDescent="0.25">
      <c r="A221" s="916" t="s">
        <v>1065</v>
      </c>
      <c r="B221" s="917"/>
      <c r="C221" s="918"/>
      <c r="D221" s="919"/>
      <c r="E221" s="919"/>
      <c r="F221" s="919"/>
      <c r="G221" s="927"/>
    </row>
    <row r="222" spans="1:7" s="896" customFormat="1" x14ac:dyDescent="0.25">
      <c r="A222" s="903"/>
      <c r="B222" s="904" t="s">
        <v>1066</v>
      </c>
      <c r="C222" s="904"/>
      <c r="D222" s="921"/>
      <c r="E222" s="921"/>
      <c r="F222" s="921">
        <f>SUM(F220:F221)</f>
        <v>350</v>
      </c>
      <c r="G222" s="928"/>
    </row>
    <row r="223" spans="1:7" s="896" customFormat="1" x14ac:dyDescent="0.25">
      <c r="A223" s="897"/>
      <c r="B223" s="898"/>
      <c r="C223" s="899"/>
      <c r="D223" s="898"/>
      <c r="E223" s="898"/>
      <c r="F223" s="898"/>
      <c r="G223" s="900"/>
    </row>
    <row r="224" spans="1:7" s="896" customFormat="1" x14ac:dyDescent="0.25">
      <c r="A224" s="903" t="s">
        <v>1055</v>
      </c>
      <c r="B224" s="904" t="s">
        <v>1067</v>
      </c>
      <c r="C224" s="904" t="s">
        <v>3</v>
      </c>
      <c r="D224" s="904" t="s">
        <v>1057</v>
      </c>
      <c r="E224" s="904" t="s">
        <v>1058</v>
      </c>
      <c r="F224" s="904" t="s">
        <v>1059</v>
      </c>
      <c r="G224" s="905"/>
    </row>
    <row r="225" spans="1:7" s="896" customFormat="1" x14ac:dyDescent="0.25">
      <c r="A225" s="906"/>
      <c r="B225" s="907"/>
      <c r="C225" s="908"/>
      <c r="D225" s="907"/>
      <c r="E225" s="907"/>
      <c r="F225" s="907"/>
      <c r="G225" s="910"/>
    </row>
    <row r="226" spans="1:7" s="896" customFormat="1" x14ac:dyDescent="0.25">
      <c r="A226" s="922" t="s">
        <v>1068</v>
      </c>
      <c r="B226" s="923" t="s">
        <v>1108</v>
      </c>
      <c r="C226" s="924" t="s">
        <v>1094</v>
      </c>
      <c r="D226" s="925">
        <v>1.4</v>
      </c>
      <c r="E226" s="925">
        <f>+'RBD Material'!D6</f>
        <v>2320</v>
      </c>
      <c r="F226" s="925">
        <f>+E226*D226</f>
        <v>3248</v>
      </c>
      <c r="G226" s="929"/>
    </row>
    <row r="227" spans="1:7" s="896" customFormat="1" x14ac:dyDescent="0.25">
      <c r="A227" s="922" t="s">
        <v>1070</v>
      </c>
      <c r="B227" s="923" t="s">
        <v>1109</v>
      </c>
      <c r="C227" s="924" t="s">
        <v>1110</v>
      </c>
      <c r="D227" s="925">
        <f>0.21/2.83</f>
        <v>7.4204946996466431E-2</v>
      </c>
      <c r="E227" s="925">
        <f>+'RBD Material'!D7</f>
        <v>24500</v>
      </c>
      <c r="F227" s="925">
        <f>+E227*D227</f>
        <v>1818.0212014134277</v>
      </c>
      <c r="G227" s="929"/>
    </row>
    <row r="228" spans="1:7" s="896" customFormat="1" x14ac:dyDescent="0.25">
      <c r="A228" s="922" t="s">
        <v>1073</v>
      </c>
      <c r="B228" s="923" t="s">
        <v>1121</v>
      </c>
      <c r="C228" s="924" t="s">
        <v>1122</v>
      </c>
      <c r="D228" s="925">
        <f>+C208*2.5</f>
        <v>25</v>
      </c>
      <c r="E228" s="925">
        <f>+'RBD Material'!D9</f>
        <v>45</v>
      </c>
      <c r="F228" s="925">
        <f>+E228*D228</f>
        <v>1125</v>
      </c>
      <c r="G228" s="929"/>
    </row>
    <row r="229" spans="1:7" s="896" customFormat="1" x14ac:dyDescent="0.25">
      <c r="A229" s="922" t="s">
        <v>1123</v>
      </c>
      <c r="B229" s="896" t="s">
        <v>1124</v>
      </c>
      <c r="C229" s="924" t="s">
        <v>1125</v>
      </c>
      <c r="D229" s="930">
        <f>+D226*0.15</f>
        <v>0.21</v>
      </c>
      <c r="E229" s="925">
        <f>+'RBD Material'!D10</f>
        <v>330</v>
      </c>
      <c r="F229" s="925">
        <f>+E229*D229</f>
        <v>69.3</v>
      </c>
      <c r="G229" s="929"/>
    </row>
    <row r="230" spans="1:7" s="896" customFormat="1" x14ac:dyDescent="0.25">
      <c r="A230" s="1240" t="s">
        <v>1123</v>
      </c>
      <c r="B230" s="1241" t="s">
        <v>1140</v>
      </c>
      <c r="C230" s="1242" t="s">
        <v>1094</v>
      </c>
      <c r="D230" s="1243">
        <f>+C208*10.76/70</f>
        <v>1.5371428571428571</v>
      </c>
      <c r="E230" s="1244">
        <f>+'RBD Material'!D12</f>
        <v>1100</v>
      </c>
      <c r="F230" s="1244">
        <f>+E230*D230</f>
        <v>1690.8571428571429</v>
      </c>
      <c r="G230" s="929"/>
    </row>
    <row r="231" spans="1:7" s="896" customFormat="1" x14ac:dyDescent="0.25">
      <c r="A231" s="916" t="s">
        <v>1065</v>
      </c>
      <c r="B231" s="917"/>
      <c r="C231" s="918"/>
      <c r="D231" s="919"/>
      <c r="E231" s="919"/>
      <c r="F231" s="919"/>
      <c r="G231" s="920"/>
    </row>
    <row r="232" spans="1:7" s="896" customFormat="1" x14ac:dyDescent="0.25">
      <c r="A232" s="903"/>
      <c r="B232" s="904" t="s">
        <v>1075</v>
      </c>
      <c r="C232" s="904"/>
      <c r="D232" s="921"/>
      <c r="E232" s="921"/>
      <c r="F232" s="921">
        <f>SUM(F225:F231)</f>
        <v>7951.178344270571</v>
      </c>
      <c r="G232" s="905"/>
    </row>
    <row r="233" spans="1:7" s="896" customFormat="1" x14ac:dyDescent="0.25">
      <c r="A233" s="897"/>
      <c r="B233" s="898"/>
      <c r="C233" s="899"/>
      <c r="D233" s="898"/>
      <c r="E233" s="898"/>
      <c r="F233" s="898"/>
      <c r="G233" s="900"/>
    </row>
    <row r="234" spans="1:7" s="896" customFormat="1" x14ac:dyDescent="0.25">
      <c r="A234" s="903" t="s">
        <v>1055</v>
      </c>
      <c r="B234" s="904" t="s">
        <v>1076</v>
      </c>
      <c r="C234" s="904" t="s">
        <v>3</v>
      </c>
      <c r="D234" s="904" t="s">
        <v>1057</v>
      </c>
      <c r="E234" s="904" t="s">
        <v>1058</v>
      </c>
      <c r="F234" s="904" t="s">
        <v>1059</v>
      </c>
      <c r="G234" s="905"/>
    </row>
    <row r="235" spans="1:7" s="896" customFormat="1" x14ac:dyDescent="0.25">
      <c r="A235" s="906"/>
      <c r="B235" s="907"/>
      <c r="C235" s="908"/>
      <c r="D235" s="907"/>
      <c r="E235" s="907"/>
      <c r="F235" s="907"/>
      <c r="G235" s="910"/>
    </row>
    <row r="236" spans="1:7" s="896" customFormat="1" x14ac:dyDescent="0.25">
      <c r="A236" s="922">
        <v>4</v>
      </c>
      <c r="B236" s="923" t="s">
        <v>1077</v>
      </c>
      <c r="C236" s="924" t="s">
        <v>1078</v>
      </c>
      <c r="D236" s="931">
        <v>0.02</v>
      </c>
      <c r="E236" s="925">
        <f>+F216</f>
        <v>6890</v>
      </c>
      <c r="F236" s="925">
        <f>+E236*D236</f>
        <v>137.80000000000001</v>
      </c>
      <c r="G236" s="929"/>
    </row>
    <row r="237" spans="1:7" s="896" customFormat="1" x14ac:dyDescent="0.25">
      <c r="A237" s="922">
        <v>5</v>
      </c>
      <c r="B237" s="923" t="s">
        <v>1079</v>
      </c>
      <c r="C237" s="924" t="s">
        <v>1078</v>
      </c>
      <c r="D237" s="931">
        <v>0.03</v>
      </c>
      <c r="E237" s="925">
        <f>+F232</f>
        <v>7951.178344270571</v>
      </c>
      <c r="F237" s="925">
        <f>+E237*D237</f>
        <v>238.53535032811712</v>
      </c>
      <c r="G237" s="929"/>
    </row>
    <row r="238" spans="1:7" s="896" customFormat="1" x14ac:dyDescent="0.25">
      <c r="A238" s="916" t="s">
        <v>1065</v>
      </c>
      <c r="B238" s="917"/>
      <c r="C238" s="918"/>
      <c r="D238" s="919"/>
      <c r="E238" s="919"/>
      <c r="F238" s="919"/>
      <c r="G238" s="920"/>
    </row>
    <row r="239" spans="1:7" s="896" customFormat="1" x14ac:dyDescent="0.25">
      <c r="A239" s="903"/>
      <c r="B239" s="904" t="s">
        <v>1080</v>
      </c>
      <c r="C239" s="904"/>
      <c r="D239" s="921"/>
      <c r="E239" s="921"/>
      <c r="F239" s="921">
        <f>SUM(F236:F238)</f>
        <v>376.3353503281171</v>
      </c>
      <c r="G239" s="905"/>
    </row>
    <row r="240" spans="1:7" s="896" customFormat="1" x14ac:dyDescent="0.25">
      <c r="A240" s="897"/>
      <c r="B240" s="898"/>
      <c r="C240" s="899"/>
      <c r="D240" s="898"/>
      <c r="E240" s="898"/>
      <c r="F240" s="898"/>
      <c r="G240" s="900"/>
    </row>
    <row r="241" spans="1:7" s="896" customFormat="1" x14ac:dyDescent="0.25">
      <c r="A241" s="932"/>
      <c r="B241" s="933" t="s">
        <v>1081</v>
      </c>
      <c r="C241" s="1440" t="s">
        <v>1082</v>
      </c>
      <c r="D241" s="1440"/>
      <c r="E241" s="933"/>
      <c r="F241" s="934">
        <f>+F239+F232+F222+F216</f>
        <v>15567.513694598689</v>
      </c>
      <c r="G241" s="935"/>
    </row>
    <row r="242" spans="1:7" s="896" customFormat="1" x14ac:dyDescent="0.25">
      <c r="A242" s="897"/>
      <c r="B242" s="898"/>
      <c r="C242" s="899"/>
      <c r="D242" s="898"/>
      <c r="E242" s="898"/>
      <c r="F242" s="936"/>
      <c r="G242" s="900"/>
    </row>
    <row r="243" spans="1:7" s="896" customFormat="1" x14ac:dyDescent="0.25">
      <c r="A243" s="932"/>
      <c r="B243" s="933" t="s">
        <v>1083</v>
      </c>
      <c r="C243" s="1440">
        <v>0</v>
      </c>
      <c r="D243" s="1440" t="s">
        <v>1084</v>
      </c>
      <c r="E243" s="933"/>
      <c r="F243" s="934"/>
      <c r="G243" s="935"/>
    </row>
    <row r="244" spans="1:7" s="896" customFormat="1" x14ac:dyDescent="0.25">
      <c r="A244" s="897"/>
      <c r="B244" s="898"/>
      <c r="C244" s="899"/>
      <c r="D244" s="898"/>
      <c r="E244" s="898"/>
      <c r="F244" s="936"/>
      <c r="G244" s="900"/>
    </row>
    <row r="245" spans="1:7" s="896" customFormat="1" x14ac:dyDescent="0.25">
      <c r="A245" s="932"/>
      <c r="B245" s="933" t="s">
        <v>1085</v>
      </c>
      <c r="C245" s="1440" t="s">
        <v>1086</v>
      </c>
      <c r="D245" s="1440"/>
      <c r="E245" s="933"/>
      <c r="F245" s="934">
        <f>+F241+F243</f>
        <v>15567.513694598689</v>
      </c>
      <c r="G245" s="935"/>
    </row>
    <row r="246" spans="1:7" s="896" customFormat="1" x14ac:dyDescent="0.25">
      <c r="A246" s="897"/>
      <c r="B246" s="898"/>
      <c r="C246" s="899"/>
      <c r="D246" s="898"/>
      <c r="E246" s="898"/>
      <c r="F246" s="936"/>
      <c r="G246" s="900"/>
    </row>
    <row r="247" spans="1:7" s="896" customFormat="1" x14ac:dyDescent="0.25">
      <c r="A247" s="932"/>
      <c r="B247" s="933" t="s">
        <v>1087</v>
      </c>
      <c r="C247" s="1441" t="s">
        <v>1112</v>
      </c>
      <c r="D247" s="1441">
        <v>10</v>
      </c>
      <c r="E247" s="937">
        <f>+C208</f>
        <v>10</v>
      </c>
      <c r="F247" s="934">
        <f>+F245/E247</f>
        <v>1556.7513694598688</v>
      </c>
      <c r="G247" s="935"/>
    </row>
    <row r="248" spans="1:7" s="896" customFormat="1" x14ac:dyDescent="0.25">
      <c r="A248" s="897"/>
      <c r="B248" s="898"/>
      <c r="C248" s="938"/>
      <c r="D248" s="938"/>
      <c r="E248" s="939"/>
      <c r="F248" s="936"/>
      <c r="G248" s="900"/>
    </row>
    <row r="249" spans="1:7" s="896" customFormat="1" ht="12.6" thickBot="1" x14ac:dyDescent="0.3">
      <c r="A249" s="940"/>
      <c r="B249" s="941" t="s">
        <v>1089</v>
      </c>
      <c r="C249" s="1442" t="s">
        <v>1113</v>
      </c>
      <c r="D249" s="1442"/>
      <c r="E249" s="942" t="str">
        <f>+D208</f>
        <v>m2</v>
      </c>
      <c r="F249" s="943">
        <f>+F247</f>
        <v>1556.7513694598688</v>
      </c>
      <c r="G249" s="944"/>
    </row>
    <row r="250" spans="1:7" x14ac:dyDescent="0.25">
      <c r="A250" s="892"/>
      <c r="B250" s="893" t="s">
        <v>1049</v>
      </c>
      <c r="C250" s="894"/>
      <c r="D250" s="893"/>
      <c r="E250" s="893"/>
      <c r="F250" s="893"/>
      <c r="G250" s="895"/>
    </row>
    <row r="251" spans="1:7" x14ac:dyDescent="0.25">
      <c r="A251" s="897"/>
      <c r="B251" s="898" t="s">
        <v>1050</v>
      </c>
      <c r="C251" s="899"/>
      <c r="D251" s="898"/>
      <c r="E251" s="898"/>
      <c r="F251" s="898"/>
      <c r="G251" s="900"/>
    </row>
    <row r="252" spans="1:7" x14ac:dyDescent="0.25">
      <c r="A252" s="897"/>
      <c r="B252" s="898" t="s">
        <v>1051</v>
      </c>
      <c r="C252" s="901" t="s">
        <v>1126</v>
      </c>
      <c r="D252" s="901"/>
      <c r="E252" s="901"/>
      <c r="F252" s="901"/>
      <c r="G252" s="902"/>
    </row>
    <row r="253" spans="1:7" x14ac:dyDescent="0.25">
      <c r="A253" s="897"/>
      <c r="B253" s="898" t="s">
        <v>1053</v>
      </c>
      <c r="C253" s="899">
        <v>12</v>
      </c>
      <c r="D253" s="898" t="s">
        <v>19</v>
      </c>
      <c r="E253" s="898"/>
      <c r="F253" s="898"/>
      <c r="G253" s="900"/>
    </row>
    <row r="254" spans="1:7" x14ac:dyDescent="0.25">
      <c r="A254" s="897"/>
      <c r="B254" s="898" t="s">
        <v>1054</v>
      </c>
      <c r="C254" s="899"/>
      <c r="D254" s="898"/>
      <c r="E254" s="898"/>
      <c r="F254" s="898"/>
      <c r="G254" s="900"/>
    </row>
    <row r="255" spans="1:7" x14ac:dyDescent="0.25">
      <c r="A255" s="897"/>
      <c r="B255" s="898"/>
      <c r="C255" s="899"/>
      <c r="D255" s="898"/>
      <c r="E255" s="898"/>
      <c r="F255" s="898"/>
      <c r="G255" s="900"/>
    </row>
    <row r="256" spans="1:7" x14ac:dyDescent="0.25">
      <c r="A256" s="903" t="s">
        <v>1055</v>
      </c>
      <c r="B256" s="904" t="s">
        <v>1056</v>
      </c>
      <c r="C256" s="904" t="s">
        <v>3</v>
      </c>
      <c r="D256" s="904" t="s">
        <v>1057</v>
      </c>
      <c r="E256" s="904" t="s">
        <v>1058</v>
      </c>
      <c r="F256" s="904" t="s">
        <v>1059</v>
      </c>
      <c r="G256" s="905" t="s">
        <v>1060</v>
      </c>
    </row>
    <row r="257" spans="1:7" x14ac:dyDescent="0.25">
      <c r="A257" s="906"/>
      <c r="B257" s="907"/>
      <c r="C257" s="908"/>
      <c r="D257" s="909"/>
      <c r="E257" s="909"/>
      <c r="F257" s="909"/>
      <c r="G257" s="910"/>
    </row>
    <row r="258" spans="1:7" x14ac:dyDescent="0.25">
      <c r="A258" s="911" t="s">
        <v>1061</v>
      </c>
      <c r="B258" s="912" t="s">
        <v>1127</v>
      </c>
      <c r="C258" s="913" t="s">
        <v>19</v>
      </c>
      <c r="D258" s="914">
        <f>+C253</f>
        <v>12</v>
      </c>
      <c r="E258" s="914">
        <f>+'RBD Material'!H19</f>
        <v>259.20000000000005</v>
      </c>
      <c r="F258" s="914">
        <f t="shared" ref="F258" si="7">+E258*D258</f>
        <v>3110.4000000000005</v>
      </c>
      <c r="G258" s="915"/>
    </row>
    <row r="259" spans="1:7" x14ac:dyDescent="0.25">
      <c r="A259" s="916"/>
      <c r="B259" s="917"/>
      <c r="C259" s="918"/>
      <c r="D259" s="919"/>
      <c r="E259" s="919"/>
      <c r="F259" s="919"/>
      <c r="G259" s="920"/>
    </row>
    <row r="260" spans="1:7" x14ac:dyDescent="0.25">
      <c r="A260" s="903"/>
      <c r="B260" s="904" t="s">
        <v>1063</v>
      </c>
      <c r="C260" s="904"/>
      <c r="D260" s="921"/>
      <c r="E260" s="921"/>
      <c r="F260" s="921">
        <f>SUM(F258:F259)</f>
        <v>3110.4000000000005</v>
      </c>
      <c r="G260" s="905"/>
    </row>
    <row r="261" spans="1:7" x14ac:dyDescent="0.25">
      <c r="A261" s="897"/>
      <c r="B261" s="898"/>
      <c r="C261" s="899"/>
      <c r="D261" s="898"/>
      <c r="E261" s="898"/>
      <c r="F261" s="898"/>
      <c r="G261" s="900"/>
    </row>
    <row r="262" spans="1:7" x14ac:dyDescent="0.25">
      <c r="A262" s="903" t="s">
        <v>1055</v>
      </c>
      <c r="B262" s="904" t="s">
        <v>1064</v>
      </c>
      <c r="C262" s="904" t="s">
        <v>3</v>
      </c>
      <c r="D262" s="904" t="s">
        <v>1057</v>
      </c>
      <c r="E262" s="904" t="s">
        <v>1058</v>
      </c>
      <c r="F262" s="904" t="s">
        <v>1059</v>
      </c>
      <c r="G262" s="905"/>
    </row>
    <row r="263" spans="1:7" x14ac:dyDescent="0.25">
      <c r="A263" s="906"/>
      <c r="B263" s="907"/>
      <c r="C263" s="908"/>
      <c r="D263" s="907"/>
      <c r="E263" s="907"/>
      <c r="F263" s="907"/>
      <c r="G263" s="910"/>
    </row>
    <row r="264" spans="1:7" x14ac:dyDescent="0.25">
      <c r="A264" s="922" t="s">
        <v>1103</v>
      </c>
      <c r="B264" s="923" t="s">
        <v>1120</v>
      </c>
      <c r="C264" s="924" t="s">
        <v>1072</v>
      </c>
      <c r="D264" s="925"/>
      <c r="E264" s="925"/>
      <c r="F264" s="914">
        <v>150</v>
      </c>
      <c r="G264" s="926"/>
    </row>
    <row r="265" spans="1:7" x14ac:dyDescent="0.25">
      <c r="A265" s="916" t="s">
        <v>1065</v>
      </c>
      <c r="B265" s="917"/>
      <c r="C265" s="918"/>
      <c r="D265" s="919"/>
      <c r="E265" s="919"/>
      <c r="F265" s="919"/>
      <c r="G265" s="927"/>
    </row>
    <row r="266" spans="1:7" x14ac:dyDescent="0.25">
      <c r="A266" s="903"/>
      <c r="B266" s="904" t="s">
        <v>1066</v>
      </c>
      <c r="C266" s="904"/>
      <c r="D266" s="921"/>
      <c r="E266" s="921"/>
      <c r="F266" s="921">
        <f>SUM(F264:F265)</f>
        <v>150</v>
      </c>
      <c r="G266" s="928"/>
    </row>
    <row r="267" spans="1:7" x14ac:dyDescent="0.25">
      <c r="A267" s="897"/>
      <c r="B267" s="898"/>
      <c r="C267" s="899"/>
      <c r="D267" s="898"/>
      <c r="E267" s="898"/>
      <c r="F267" s="898"/>
      <c r="G267" s="900"/>
    </row>
    <row r="268" spans="1:7" x14ac:dyDescent="0.25">
      <c r="A268" s="903" t="s">
        <v>1055</v>
      </c>
      <c r="B268" s="904" t="s">
        <v>1067</v>
      </c>
      <c r="C268" s="904" t="s">
        <v>3</v>
      </c>
      <c r="D268" s="904" t="s">
        <v>1057</v>
      </c>
      <c r="E268" s="904" t="s">
        <v>1058</v>
      </c>
      <c r="F268" s="904" t="s">
        <v>1059</v>
      </c>
      <c r="G268" s="905"/>
    </row>
    <row r="269" spans="1:7" x14ac:dyDescent="0.25">
      <c r="A269" s="906"/>
      <c r="B269" s="907"/>
      <c r="C269" s="908"/>
      <c r="D269" s="907"/>
      <c r="E269" s="907"/>
      <c r="F269" s="907"/>
      <c r="G269" s="910"/>
    </row>
    <row r="270" spans="1:7" x14ac:dyDescent="0.25">
      <c r="A270" s="916" t="s">
        <v>1065</v>
      </c>
      <c r="B270" s="917"/>
      <c r="C270" s="918"/>
      <c r="D270" s="919"/>
      <c r="E270" s="919"/>
      <c r="F270" s="919"/>
      <c r="G270" s="920"/>
    </row>
    <row r="271" spans="1:7" x14ac:dyDescent="0.25">
      <c r="A271" s="903"/>
      <c r="B271" s="904" t="s">
        <v>1075</v>
      </c>
      <c r="C271" s="904"/>
      <c r="D271" s="921"/>
      <c r="E271" s="921"/>
      <c r="F271" s="921">
        <f>SUM(F269:F270)</f>
        <v>0</v>
      </c>
      <c r="G271" s="905"/>
    </row>
    <row r="272" spans="1:7" x14ac:dyDescent="0.25">
      <c r="A272" s="897"/>
      <c r="B272" s="898"/>
      <c r="C272" s="899"/>
      <c r="D272" s="898"/>
      <c r="E272" s="898"/>
      <c r="F272" s="898"/>
      <c r="G272" s="900"/>
    </row>
    <row r="273" spans="1:7" x14ac:dyDescent="0.25">
      <c r="A273" s="903" t="s">
        <v>1055</v>
      </c>
      <c r="B273" s="904" t="s">
        <v>1076</v>
      </c>
      <c r="C273" s="904" t="s">
        <v>3</v>
      </c>
      <c r="D273" s="904" t="s">
        <v>1057</v>
      </c>
      <c r="E273" s="904" t="s">
        <v>1058</v>
      </c>
      <c r="F273" s="904" t="s">
        <v>1059</v>
      </c>
      <c r="G273" s="905"/>
    </row>
    <row r="274" spans="1:7" x14ac:dyDescent="0.25">
      <c r="A274" s="906"/>
      <c r="B274" s="907"/>
      <c r="C274" s="908"/>
      <c r="D274" s="907"/>
      <c r="E274" s="907"/>
      <c r="F274" s="907"/>
      <c r="G274" s="910"/>
    </row>
    <row r="275" spans="1:7" x14ac:dyDescent="0.25">
      <c r="A275" s="922">
        <v>4</v>
      </c>
      <c r="B275" s="923" t="s">
        <v>1077</v>
      </c>
      <c r="C275" s="924" t="s">
        <v>1078</v>
      </c>
      <c r="D275" s="931">
        <v>0.02</v>
      </c>
      <c r="E275" s="925">
        <f>+F260</f>
        <v>3110.4000000000005</v>
      </c>
      <c r="F275" s="925">
        <f>+E275*D275</f>
        <v>62.208000000000013</v>
      </c>
      <c r="G275" s="929"/>
    </row>
    <row r="276" spans="1:7" x14ac:dyDescent="0.25">
      <c r="A276" s="922">
        <v>5</v>
      </c>
      <c r="B276" s="923" t="s">
        <v>1079</v>
      </c>
      <c r="C276" s="924" t="s">
        <v>1078</v>
      </c>
      <c r="D276" s="931">
        <v>0.03</v>
      </c>
      <c r="E276" s="925">
        <f>+F271</f>
        <v>0</v>
      </c>
      <c r="F276" s="925">
        <f>+E276*D276</f>
        <v>0</v>
      </c>
      <c r="G276" s="929"/>
    </row>
    <row r="277" spans="1:7" x14ac:dyDescent="0.25">
      <c r="A277" s="916" t="s">
        <v>1065</v>
      </c>
      <c r="B277" s="917"/>
      <c r="C277" s="918"/>
      <c r="D277" s="919"/>
      <c r="E277" s="919"/>
      <c r="F277" s="919"/>
      <c r="G277" s="920"/>
    </row>
    <row r="278" spans="1:7" x14ac:dyDescent="0.25">
      <c r="A278" s="903"/>
      <c r="B278" s="904" t="s">
        <v>1080</v>
      </c>
      <c r="C278" s="904"/>
      <c r="D278" s="921"/>
      <c r="E278" s="921"/>
      <c r="F278" s="921">
        <f>SUM(F275:F277)</f>
        <v>62.208000000000013</v>
      </c>
      <c r="G278" s="905"/>
    </row>
    <row r="279" spans="1:7" x14ac:dyDescent="0.25">
      <c r="A279" s="897"/>
      <c r="B279" s="898"/>
      <c r="C279" s="899"/>
      <c r="D279" s="898"/>
      <c r="E279" s="898"/>
      <c r="F279" s="898"/>
      <c r="G279" s="900"/>
    </row>
    <row r="280" spans="1:7" x14ac:dyDescent="0.25">
      <c r="A280" s="932"/>
      <c r="B280" s="933" t="s">
        <v>1081</v>
      </c>
      <c r="C280" s="1440" t="s">
        <v>1082</v>
      </c>
      <c r="D280" s="1440"/>
      <c r="E280" s="933"/>
      <c r="F280" s="934">
        <f>+F278+F271+F266+F260</f>
        <v>3322.6080000000006</v>
      </c>
      <c r="G280" s="935"/>
    </row>
    <row r="281" spans="1:7" x14ac:dyDescent="0.25">
      <c r="A281" s="897"/>
      <c r="B281" s="898"/>
      <c r="C281" s="899"/>
      <c r="D281" s="898"/>
      <c r="E281" s="898"/>
      <c r="F281" s="936"/>
      <c r="G281" s="900"/>
    </row>
    <row r="282" spans="1:7" x14ac:dyDescent="0.25">
      <c r="A282" s="932"/>
      <c r="B282" s="933" t="s">
        <v>1083</v>
      </c>
      <c r="C282" s="1440">
        <v>0</v>
      </c>
      <c r="D282" s="1440" t="s">
        <v>1084</v>
      </c>
      <c r="E282" s="933"/>
      <c r="F282" s="934"/>
      <c r="G282" s="935"/>
    </row>
    <row r="283" spans="1:7" x14ac:dyDescent="0.25">
      <c r="A283" s="897"/>
      <c r="B283" s="898"/>
      <c r="C283" s="899"/>
      <c r="D283" s="898"/>
      <c r="E283" s="898"/>
      <c r="F283" s="936"/>
      <c r="G283" s="900"/>
    </row>
    <row r="284" spans="1:7" x14ac:dyDescent="0.25">
      <c r="A284" s="932"/>
      <c r="B284" s="933" t="s">
        <v>1085</v>
      </c>
      <c r="C284" s="1440" t="s">
        <v>1086</v>
      </c>
      <c r="D284" s="1440"/>
      <c r="E284" s="933"/>
      <c r="F284" s="934">
        <f>+F280+F282</f>
        <v>3322.6080000000006</v>
      </c>
      <c r="G284" s="935"/>
    </row>
    <row r="285" spans="1:7" x14ac:dyDescent="0.25">
      <c r="A285" s="897"/>
      <c r="B285" s="898"/>
      <c r="C285" s="899"/>
      <c r="D285" s="898"/>
      <c r="E285" s="898"/>
      <c r="F285" s="936"/>
      <c r="G285" s="900"/>
    </row>
    <row r="286" spans="1:7" x14ac:dyDescent="0.25">
      <c r="A286" s="932"/>
      <c r="B286" s="933" t="s">
        <v>1087</v>
      </c>
      <c r="C286" s="1441" t="s">
        <v>1112</v>
      </c>
      <c r="D286" s="1441">
        <v>10</v>
      </c>
      <c r="E286" s="937">
        <f>+C253</f>
        <v>12</v>
      </c>
      <c r="F286" s="934">
        <f>+F284/E286</f>
        <v>276.88400000000007</v>
      </c>
      <c r="G286" s="935"/>
    </row>
    <row r="287" spans="1:7" x14ac:dyDescent="0.25">
      <c r="A287" s="897"/>
      <c r="B287" s="898"/>
      <c r="C287" s="938"/>
      <c r="D287" s="938"/>
      <c r="E287" s="939"/>
      <c r="F287" s="936"/>
      <c r="G287" s="900"/>
    </row>
    <row r="288" spans="1:7" ht="12.6" thickBot="1" x14ac:dyDescent="0.3">
      <c r="A288" s="940"/>
      <c r="B288" s="941" t="s">
        <v>1089</v>
      </c>
      <c r="C288" s="1442" t="s">
        <v>1113</v>
      </c>
      <c r="D288" s="1442"/>
      <c r="E288" s="942" t="str">
        <f>+D253</f>
        <v>m</v>
      </c>
      <c r="F288" s="943">
        <f>+F286</f>
        <v>276.88400000000007</v>
      </c>
      <c r="G288" s="944"/>
    </row>
    <row r="289" spans="1:7" x14ac:dyDescent="0.25">
      <c r="A289" s="892"/>
      <c r="B289" s="893" t="s">
        <v>1049</v>
      </c>
      <c r="C289" s="894"/>
      <c r="D289" s="893"/>
      <c r="E289" s="893"/>
      <c r="F289" s="893"/>
      <c r="G289" s="895"/>
    </row>
    <row r="290" spans="1:7" x14ac:dyDescent="0.25">
      <c r="A290" s="897"/>
      <c r="B290" s="898" t="s">
        <v>1050</v>
      </c>
      <c r="C290" s="899"/>
      <c r="D290" s="898"/>
      <c r="E290" s="898"/>
      <c r="F290" s="898"/>
      <c r="G290" s="900"/>
    </row>
    <row r="291" spans="1:7" x14ac:dyDescent="0.25">
      <c r="A291" s="897"/>
      <c r="B291" s="898" t="s">
        <v>1051</v>
      </c>
      <c r="C291" s="901" t="s">
        <v>1128</v>
      </c>
      <c r="D291" s="901"/>
      <c r="E291" s="901"/>
      <c r="F291" s="901"/>
      <c r="G291" s="902"/>
    </row>
    <row r="292" spans="1:7" x14ac:dyDescent="0.25">
      <c r="A292" s="897"/>
      <c r="B292" s="898" t="s">
        <v>1053</v>
      </c>
      <c r="C292" s="899">
        <v>10</v>
      </c>
      <c r="D292" s="898" t="s">
        <v>183</v>
      </c>
      <c r="E292" s="898"/>
      <c r="F292" s="898"/>
      <c r="G292" s="900"/>
    </row>
    <row r="293" spans="1:7" x14ac:dyDescent="0.25">
      <c r="A293" s="897"/>
      <c r="B293" s="898" t="s">
        <v>1054</v>
      </c>
      <c r="C293" s="899"/>
      <c r="D293" s="898"/>
      <c r="E293" s="898"/>
      <c r="F293" s="898"/>
      <c r="G293" s="900"/>
    </row>
    <row r="294" spans="1:7" x14ac:dyDescent="0.25">
      <c r="A294" s="897"/>
      <c r="B294" s="898"/>
      <c r="C294" s="899"/>
      <c r="D294" s="898"/>
      <c r="E294" s="898"/>
      <c r="F294" s="898"/>
      <c r="G294" s="900"/>
    </row>
    <row r="295" spans="1:7" x14ac:dyDescent="0.25">
      <c r="A295" s="903" t="s">
        <v>1055</v>
      </c>
      <c r="B295" s="904" t="s">
        <v>1056</v>
      </c>
      <c r="C295" s="904" t="s">
        <v>3</v>
      </c>
      <c r="D295" s="904" t="s">
        <v>1057</v>
      </c>
      <c r="E295" s="904" t="s">
        <v>1058</v>
      </c>
      <c r="F295" s="904" t="s">
        <v>1059</v>
      </c>
      <c r="G295" s="905" t="s">
        <v>1060</v>
      </c>
    </row>
    <row r="296" spans="1:7" x14ac:dyDescent="0.25">
      <c r="A296" s="906"/>
      <c r="B296" s="907"/>
      <c r="C296" s="908"/>
      <c r="D296" s="909"/>
      <c r="E296" s="909"/>
      <c r="F296" s="909"/>
      <c r="G296" s="910"/>
    </row>
    <row r="297" spans="1:7" x14ac:dyDescent="0.25">
      <c r="A297" s="911" t="s">
        <v>1061</v>
      </c>
      <c r="B297" s="912" t="s">
        <v>1129</v>
      </c>
      <c r="C297" s="913" t="s">
        <v>183</v>
      </c>
      <c r="D297" s="914">
        <f>+C292</f>
        <v>10</v>
      </c>
      <c r="E297" s="914">
        <f>+'RBD Material'!H18</f>
        <v>753.19999999999993</v>
      </c>
      <c r="F297" s="914">
        <f>+E297*D297</f>
        <v>7531.9999999999991</v>
      </c>
      <c r="G297" s="915"/>
    </row>
    <row r="298" spans="1:7" x14ac:dyDescent="0.25">
      <c r="A298" s="911" t="s">
        <v>1118</v>
      </c>
      <c r="B298" s="912" t="s">
        <v>1119</v>
      </c>
      <c r="C298" s="913" t="s">
        <v>19</v>
      </c>
      <c r="D298" s="914">
        <v>6</v>
      </c>
      <c r="E298" s="914">
        <f>+'RBD Material'!H20</f>
        <v>162</v>
      </c>
      <c r="F298" s="914">
        <f t="shared" ref="F298" si="8">+E298*D298</f>
        <v>972</v>
      </c>
      <c r="G298" s="915"/>
    </row>
    <row r="299" spans="1:7" x14ac:dyDescent="0.25">
      <c r="A299" s="916"/>
      <c r="B299" s="917"/>
      <c r="C299" s="918"/>
      <c r="D299" s="919"/>
      <c r="E299" s="919"/>
      <c r="F299" s="919"/>
      <c r="G299" s="920"/>
    </row>
    <row r="300" spans="1:7" x14ac:dyDescent="0.25">
      <c r="A300" s="903"/>
      <c r="B300" s="904" t="s">
        <v>1063</v>
      </c>
      <c r="C300" s="904"/>
      <c r="D300" s="921"/>
      <c r="E300" s="921"/>
      <c r="F300" s="921">
        <f>SUM(F297:F299)</f>
        <v>8504</v>
      </c>
      <c r="G300" s="905"/>
    </row>
    <row r="301" spans="1:7" x14ac:dyDescent="0.25">
      <c r="A301" s="897"/>
      <c r="B301" s="898"/>
      <c r="C301" s="899"/>
      <c r="D301" s="898"/>
      <c r="E301" s="898"/>
      <c r="F301" s="898"/>
      <c r="G301" s="900"/>
    </row>
    <row r="302" spans="1:7" x14ac:dyDescent="0.25">
      <c r="A302" s="903" t="s">
        <v>1055</v>
      </c>
      <c r="B302" s="904" t="s">
        <v>1064</v>
      </c>
      <c r="C302" s="904" t="s">
        <v>3</v>
      </c>
      <c r="D302" s="904" t="s">
        <v>1057</v>
      </c>
      <c r="E302" s="904" t="s">
        <v>1058</v>
      </c>
      <c r="F302" s="904" t="s">
        <v>1059</v>
      </c>
      <c r="G302" s="905"/>
    </row>
    <row r="303" spans="1:7" x14ac:dyDescent="0.25">
      <c r="A303" s="906"/>
      <c r="B303" s="907"/>
      <c r="C303" s="908"/>
      <c r="D303" s="907"/>
      <c r="E303" s="907"/>
      <c r="F303" s="907"/>
      <c r="G303" s="910"/>
    </row>
    <row r="304" spans="1:7" x14ac:dyDescent="0.25">
      <c r="A304" s="922" t="s">
        <v>1103</v>
      </c>
      <c r="B304" s="923" t="s">
        <v>1120</v>
      </c>
      <c r="C304" s="924" t="s">
        <v>1072</v>
      </c>
      <c r="D304" s="925"/>
      <c r="E304" s="925"/>
      <c r="F304" s="914">
        <v>650</v>
      </c>
      <c r="G304" s="926"/>
    </row>
    <row r="305" spans="1:7" x14ac:dyDescent="0.25">
      <c r="A305" s="916" t="s">
        <v>1065</v>
      </c>
      <c r="B305" s="917"/>
      <c r="C305" s="918"/>
      <c r="D305" s="919"/>
      <c r="E305" s="919"/>
      <c r="F305" s="919"/>
      <c r="G305" s="927"/>
    </row>
    <row r="306" spans="1:7" x14ac:dyDescent="0.25">
      <c r="A306" s="903"/>
      <c r="B306" s="904" t="s">
        <v>1066</v>
      </c>
      <c r="C306" s="904"/>
      <c r="D306" s="921"/>
      <c r="E306" s="921"/>
      <c r="F306" s="921">
        <f>SUM(F304:F305)</f>
        <v>650</v>
      </c>
      <c r="G306" s="928"/>
    </row>
    <row r="307" spans="1:7" x14ac:dyDescent="0.25">
      <c r="A307" s="897"/>
      <c r="B307" s="898"/>
      <c r="C307" s="899"/>
      <c r="D307" s="898"/>
      <c r="E307" s="898"/>
      <c r="F307" s="898"/>
      <c r="G307" s="900"/>
    </row>
    <row r="308" spans="1:7" x14ac:dyDescent="0.25">
      <c r="A308" s="903" t="s">
        <v>1055</v>
      </c>
      <c r="B308" s="904" t="s">
        <v>1067</v>
      </c>
      <c r="C308" s="904" t="s">
        <v>3</v>
      </c>
      <c r="D308" s="904" t="s">
        <v>1057</v>
      </c>
      <c r="E308" s="904" t="s">
        <v>1058</v>
      </c>
      <c r="F308" s="904" t="s">
        <v>1059</v>
      </c>
      <c r="G308" s="905"/>
    </row>
    <row r="309" spans="1:7" x14ac:dyDescent="0.25">
      <c r="A309" s="906"/>
      <c r="B309" s="907"/>
      <c r="C309" s="908"/>
      <c r="D309" s="907"/>
      <c r="E309" s="907"/>
      <c r="F309" s="907"/>
      <c r="G309" s="910"/>
    </row>
    <row r="310" spans="1:7" x14ac:dyDescent="0.25">
      <c r="A310" s="922" t="s">
        <v>1068</v>
      </c>
      <c r="B310" s="923" t="s">
        <v>1108</v>
      </c>
      <c r="C310" s="924" t="s">
        <v>1094</v>
      </c>
      <c r="D310" s="925">
        <v>2.19</v>
      </c>
      <c r="E310" s="925">
        <f>+'RBD Material'!D6</f>
        <v>2320</v>
      </c>
      <c r="F310" s="925">
        <f>+E310*D310</f>
        <v>5080.8</v>
      </c>
      <c r="G310" s="929"/>
    </row>
    <row r="311" spans="1:7" x14ac:dyDescent="0.25">
      <c r="A311" s="922" t="s">
        <v>1070</v>
      </c>
      <c r="B311" s="923" t="s">
        <v>1109</v>
      </c>
      <c r="C311" s="924" t="s">
        <v>1110</v>
      </c>
      <c r="D311" s="925">
        <v>0.11600000000000001</v>
      </c>
      <c r="E311" s="925">
        <f>+'RBD Material'!D7</f>
        <v>24500</v>
      </c>
      <c r="F311" s="925">
        <f>+E311*D311</f>
        <v>2842</v>
      </c>
      <c r="G311" s="929"/>
    </row>
    <row r="312" spans="1:7" x14ac:dyDescent="0.25">
      <c r="A312" s="922" t="s">
        <v>1073</v>
      </c>
      <c r="B312" s="923" t="s">
        <v>1121</v>
      </c>
      <c r="C312" s="924" t="s">
        <v>1122</v>
      </c>
      <c r="D312" s="925">
        <f>+C292*2.5</f>
        <v>25</v>
      </c>
      <c r="E312" s="925">
        <f>+'RBD Material'!D9</f>
        <v>45</v>
      </c>
      <c r="F312" s="925">
        <f>+E312*D312</f>
        <v>1125</v>
      </c>
      <c r="G312" s="929"/>
    </row>
    <row r="313" spans="1:7" x14ac:dyDescent="0.25">
      <c r="A313" s="922" t="s">
        <v>1123</v>
      </c>
      <c r="B313" s="896" t="s">
        <v>1124</v>
      </c>
      <c r="C313" s="924" t="s">
        <v>1125</v>
      </c>
      <c r="D313" s="930">
        <f>+D310*0.15</f>
        <v>0.32849999999999996</v>
      </c>
      <c r="E313" s="925">
        <f>+'RBD Material'!D10</f>
        <v>330</v>
      </c>
      <c r="F313" s="925">
        <f>+E313*D313</f>
        <v>108.40499999999999</v>
      </c>
      <c r="G313" s="929"/>
    </row>
    <row r="314" spans="1:7" x14ac:dyDescent="0.25">
      <c r="A314" s="916" t="s">
        <v>1065</v>
      </c>
      <c r="B314" s="917"/>
      <c r="C314" s="918"/>
      <c r="D314" s="919"/>
      <c r="E314" s="919"/>
      <c r="F314" s="919"/>
      <c r="G314" s="920"/>
    </row>
    <row r="315" spans="1:7" x14ac:dyDescent="0.25">
      <c r="A315" s="903"/>
      <c r="B315" s="904" t="s">
        <v>1075</v>
      </c>
      <c r="C315" s="904"/>
      <c r="D315" s="921"/>
      <c r="E315" s="921"/>
      <c r="F315" s="921">
        <f>SUM(F309:F314)</f>
        <v>9156.2049999999999</v>
      </c>
      <c r="G315" s="905"/>
    </row>
    <row r="316" spans="1:7" x14ac:dyDescent="0.25">
      <c r="A316" s="897"/>
      <c r="B316" s="898"/>
      <c r="C316" s="899"/>
      <c r="D316" s="898"/>
      <c r="E316" s="898"/>
      <c r="F316" s="898"/>
      <c r="G316" s="900"/>
    </row>
    <row r="317" spans="1:7" x14ac:dyDescent="0.25">
      <c r="A317" s="903" t="s">
        <v>1055</v>
      </c>
      <c r="B317" s="904" t="s">
        <v>1076</v>
      </c>
      <c r="C317" s="904" t="s">
        <v>3</v>
      </c>
      <c r="D317" s="904" t="s">
        <v>1057</v>
      </c>
      <c r="E317" s="904" t="s">
        <v>1058</v>
      </c>
      <c r="F317" s="904" t="s">
        <v>1059</v>
      </c>
      <c r="G317" s="905"/>
    </row>
    <row r="318" spans="1:7" x14ac:dyDescent="0.25">
      <c r="A318" s="906"/>
      <c r="B318" s="907"/>
      <c r="C318" s="908"/>
      <c r="D318" s="907"/>
      <c r="E318" s="907"/>
      <c r="F318" s="907"/>
      <c r="G318" s="910"/>
    </row>
    <row r="319" spans="1:7" x14ac:dyDescent="0.25">
      <c r="A319" s="922">
        <v>4</v>
      </c>
      <c r="B319" s="923" t="s">
        <v>1077</v>
      </c>
      <c r="C319" s="924" t="s">
        <v>1078</v>
      </c>
      <c r="D319" s="931">
        <v>0.02</v>
      </c>
      <c r="E319" s="925">
        <f>+F300</f>
        <v>8504</v>
      </c>
      <c r="F319" s="925">
        <f>+E319*D319</f>
        <v>170.08</v>
      </c>
      <c r="G319" s="929"/>
    </row>
    <row r="320" spans="1:7" x14ac:dyDescent="0.25">
      <c r="A320" s="922">
        <v>5</v>
      </c>
      <c r="B320" s="923" t="s">
        <v>1079</v>
      </c>
      <c r="C320" s="924" t="s">
        <v>1078</v>
      </c>
      <c r="D320" s="931">
        <v>0.03</v>
      </c>
      <c r="E320" s="925">
        <f>+F315</f>
        <v>9156.2049999999999</v>
      </c>
      <c r="F320" s="925">
        <f>+E320*D320</f>
        <v>274.68615</v>
      </c>
      <c r="G320" s="929"/>
    </row>
    <row r="321" spans="1:7" x14ac:dyDescent="0.25">
      <c r="A321" s="916" t="s">
        <v>1065</v>
      </c>
      <c r="B321" s="917"/>
      <c r="C321" s="918"/>
      <c r="D321" s="919"/>
      <c r="E321" s="919"/>
      <c r="F321" s="919"/>
      <c r="G321" s="920"/>
    </row>
    <row r="322" spans="1:7" x14ac:dyDescent="0.25">
      <c r="A322" s="903"/>
      <c r="B322" s="904" t="s">
        <v>1080</v>
      </c>
      <c r="C322" s="904"/>
      <c r="D322" s="921"/>
      <c r="E322" s="921"/>
      <c r="F322" s="921">
        <f>SUM(F319:F321)</f>
        <v>444.76615000000004</v>
      </c>
      <c r="G322" s="905"/>
    </row>
    <row r="323" spans="1:7" x14ac:dyDescent="0.25">
      <c r="A323" s="897"/>
      <c r="B323" s="898"/>
      <c r="C323" s="899"/>
      <c r="D323" s="898"/>
      <c r="E323" s="898"/>
      <c r="F323" s="898"/>
      <c r="G323" s="900"/>
    </row>
    <row r="324" spans="1:7" x14ac:dyDescent="0.25">
      <c r="A324" s="932"/>
      <c r="B324" s="933" t="s">
        <v>1081</v>
      </c>
      <c r="C324" s="1440" t="s">
        <v>1082</v>
      </c>
      <c r="D324" s="1440"/>
      <c r="E324" s="933"/>
      <c r="F324" s="934">
        <f>+F322+F315+F306+F300</f>
        <v>18754.971149999998</v>
      </c>
      <c r="G324" s="935"/>
    </row>
    <row r="325" spans="1:7" x14ac:dyDescent="0.25">
      <c r="A325" s="897"/>
      <c r="B325" s="898"/>
      <c r="C325" s="899"/>
      <c r="D325" s="898"/>
      <c r="E325" s="898"/>
      <c r="F325" s="936"/>
      <c r="G325" s="900"/>
    </row>
    <row r="326" spans="1:7" x14ac:dyDescent="0.25">
      <c r="A326" s="932"/>
      <c r="B326" s="933" t="s">
        <v>1083</v>
      </c>
      <c r="C326" s="1440">
        <v>0</v>
      </c>
      <c r="D326" s="1440" t="s">
        <v>1084</v>
      </c>
      <c r="E326" s="933"/>
      <c r="F326" s="934"/>
      <c r="G326" s="935"/>
    </row>
    <row r="327" spans="1:7" x14ac:dyDescent="0.25">
      <c r="A327" s="897"/>
      <c r="B327" s="898"/>
      <c r="C327" s="899"/>
      <c r="D327" s="898"/>
      <c r="E327" s="898"/>
      <c r="F327" s="936"/>
      <c r="G327" s="900"/>
    </row>
    <row r="328" spans="1:7" x14ac:dyDescent="0.25">
      <c r="A328" s="932"/>
      <c r="B328" s="933" t="s">
        <v>1085</v>
      </c>
      <c r="C328" s="1440" t="s">
        <v>1086</v>
      </c>
      <c r="D328" s="1440"/>
      <c r="E328" s="933"/>
      <c r="F328" s="934">
        <f>+F324+F326</f>
        <v>18754.971149999998</v>
      </c>
      <c r="G328" s="935"/>
    </row>
    <row r="329" spans="1:7" x14ac:dyDescent="0.25">
      <c r="A329" s="897"/>
      <c r="B329" s="898"/>
      <c r="C329" s="899"/>
      <c r="D329" s="898"/>
      <c r="E329" s="898"/>
      <c r="F329" s="936"/>
      <c r="G329" s="900"/>
    </row>
    <row r="330" spans="1:7" x14ac:dyDescent="0.25">
      <c r="A330" s="932"/>
      <c r="B330" s="933" t="s">
        <v>1087</v>
      </c>
      <c r="C330" s="1441" t="s">
        <v>1112</v>
      </c>
      <c r="D330" s="1441">
        <v>10</v>
      </c>
      <c r="E330" s="937">
        <f>+C292</f>
        <v>10</v>
      </c>
      <c r="F330" s="934">
        <f>+F328/E330</f>
        <v>1875.4971149999997</v>
      </c>
      <c r="G330" s="935"/>
    </row>
    <row r="331" spans="1:7" x14ac:dyDescent="0.25">
      <c r="A331" s="897"/>
      <c r="B331" s="898"/>
      <c r="C331" s="938"/>
      <c r="D331" s="938"/>
      <c r="E331" s="939"/>
      <c r="F331" s="936"/>
      <c r="G331" s="900"/>
    </row>
    <row r="332" spans="1:7" ht="12.6" thickBot="1" x14ac:dyDescent="0.3">
      <c r="A332" s="940"/>
      <c r="B332" s="941" t="s">
        <v>1089</v>
      </c>
      <c r="C332" s="1442" t="s">
        <v>1113</v>
      </c>
      <c r="D332" s="1442"/>
      <c r="E332" s="942" t="str">
        <f>+D292</f>
        <v>m2</v>
      </c>
      <c r="F332" s="943">
        <f>+F330</f>
        <v>1875.4971149999997</v>
      </c>
      <c r="G332" s="944"/>
    </row>
    <row r="333" spans="1:7" x14ac:dyDescent="0.25">
      <c r="A333" s="892"/>
      <c r="B333" s="893" t="s">
        <v>1049</v>
      </c>
      <c r="C333" s="894"/>
      <c r="D333" s="893"/>
      <c r="E333" s="893"/>
      <c r="F333" s="893"/>
      <c r="G333" s="895"/>
    </row>
    <row r="334" spans="1:7" x14ac:dyDescent="0.25">
      <c r="A334" s="897"/>
      <c r="B334" s="898" t="s">
        <v>1050</v>
      </c>
      <c r="C334" s="899"/>
      <c r="D334" s="898"/>
      <c r="E334" s="898"/>
      <c r="F334" s="898"/>
      <c r="G334" s="900"/>
    </row>
    <row r="335" spans="1:7" x14ac:dyDescent="0.25">
      <c r="A335" s="897"/>
      <c r="B335" s="898" t="s">
        <v>1051</v>
      </c>
      <c r="C335" s="901" t="s">
        <v>1130</v>
      </c>
      <c r="D335" s="901"/>
      <c r="E335" s="901"/>
      <c r="F335" s="901"/>
      <c r="G335" s="902"/>
    </row>
    <row r="336" spans="1:7" x14ac:dyDescent="0.25">
      <c r="A336" s="897"/>
      <c r="B336" s="898" t="s">
        <v>1053</v>
      </c>
      <c r="C336" s="899">
        <v>12</v>
      </c>
      <c r="D336" s="898" t="s">
        <v>19</v>
      </c>
      <c r="E336" s="898"/>
      <c r="F336" s="898"/>
      <c r="G336" s="900"/>
    </row>
    <row r="337" spans="1:7" x14ac:dyDescent="0.25">
      <c r="A337" s="897"/>
      <c r="B337" s="898" t="s">
        <v>1054</v>
      </c>
      <c r="C337" s="899"/>
      <c r="D337" s="898"/>
      <c r="E337" s="898"/>
      <c r="F337" s="898"/>
      <c r="G337" s="900"/>
    </row>
    <row r="338" spans="1:7" x14ac:dyDescent="0.25">
      <c r="A338" s="897"/>
      <c r="B338" s="898"/>
      <c r="C338" s="899"/>
      <c r="D338" s="898"/>
      <c r="E338" s="898"/>
      <c r="F338" s="898"/>
      <c r="G338" s="900"/>
    </row>
    <row r="339" spans="1:7" x14ac:dyDescent="0.25">
      <c r="A339" s="903" t="s">
        <v>1055</v>
      </c>
      <c r="B339" s="904" t="s">
        <v>1056</v>
      </c>
      <c r="C339" s="904" t="s">
        <v>3</v>
      </c>
      <c r="D339" s="904" t="s">
        <v>1057</v>
      </c>
      <c r="E339" s="904" t="s">
        <v>1058</v>
      </c>
      <c r="F339" s="904" t="s">
        <v>1059</v>
      </c>
      <c r="G339" s="905" t="s">
        <v>1060</v>
      </c>
    </row>
    <row r="340" spans="1:7" x14ac:dyDescent="0.25">
      <c r="A340" s="906"/>
      <c r="B340" s="907"/>
      <c r="C340" s="908"/>
      <c r="D340" s="909"/>
      <c r="E340" s="909"/>
      <c r="F340" s="909"/>
      <c r="G340" s="910"/>
    </row>
    <row r="341" spans="1:7" x14ac:dyDescent="0.25">
      <c r="A341" s="911" t="s">
        <v>1061</v>
      </c>
      <c r="B341" s="912" t="s">
        <v>1127</v>
      </c>
      <c r="C341" s="913" t="s">
        <v>19</v>
      </c>
      <c r="D341" s="914">
        <f>+C336</f>
        <v>12</v>
      </c>
      <c r="E341" s="914">
        <f>+'RBD Material'!H19</f>
        <v>259.20000000000005</v>
      </c>
      <c r="F341" s="914">
        <f t="shared" ref="F341" si="9">+E341*D341</f>
        <v>3110.4000000000005</v>
      </c>
      <c r="G341" s="915"/>
    </row>
    <row r="342" spans="1:7" x14ac:dyDescent="0.25">
      <c r="A342" s="916"/>
      <c r="B342" s="917"/>
      <c r="C342" s="918"/>
      <c r="D342" s="919"/>
      <c r="E342" s="919"/>
      <c r="F342" s="919"/>
      <c r="G342" s="920"/>
    </row>
    <row r="343" spans="1:7" x14ac:dyDescent="0.25">
      <c r="A343" s="903"/>
      <c r="B343" s="904" t="s">
        <v>1063</v>
      </c>
      <c r="C343" s="904"/>
      <c r="D343" s="921"/>
      <c r="E343" s="921"/>
      <c r="F343" s="921">
        <f>SUM(F341:F342)</f>
        <v>3110.4000000000005</v>
      </c>
      <c r="G343" s="905"/>
    </row>
    <row r="344" spans="1:7" x14ac:dyDescent="0.25">
      <c r="A344" s="897"/>
      <c r="B344" s="898"/>
      <c r="C344" s="899"/>
      <c r="D344" s="898"/>
      <c r="E344" s="898"/>
      <c r="F344" s="898"/>
      <c r="G344" s="900"/>
    </row>
    <row r="345" spans="1:7" x14ac:dyDescent="0.25">
      <c r="A345" s="903" t="s">
        <v>1055</v>
      </c>
      <c r="B345" s="904" t="s">
        <v>1064</v>
      </c>
      <c r="C345" s="904" t="s">
        <v>3</v>
      </c>
      <c r="D345" s="904" t="s">
        <v>1057</v>
      </c>
      <c r="E345" s="904" t="s">
        <v>1058</v>
      </c>
      <c r="F345" s="904" t="s">
        <v>1059</v>
      </c>
      <c r="G345" s="905"/>
    </row>
    <row r="346" spans="1:7" x14ac:dyDescent="0.25">
      <c r="A346" s="906"/>
      <c r="B346" s="907"/>
      <c r="C346" s="908"/>
      <c r="D346" s="907"/>
      <c r="E346" s="907"/>
      <c r="F346" s="907"/>
      <c r="G346" s="910"/>
    </row>
    <row r="347" spans="1:7" x14ac:dyDescent="0.25">
      <c r="A347" s="922" t="s">
        <v>1103</v>
      </c>
      <c r="B347" s="923" t="s">
        <v>1120</v>
      </c>
      <c r="C347" s="924" t="s">
        <v>1072</v>
      </c>
      <c r="D347" s="925"/>
      <c r="E347" s="925"/>
      <c r="F347" s="914">
        <v>1500</v>
      </c>
      <c r="G347" s="926"/>
    </row>
    <row r="348" spans="1:7" x14ac:dyDescent="0.25">
      <c r="A348" s="916" t="s">
        <v>1065</v>
      </c>
      <c r="B348" s="917"/>
      <c r="C348" s="918"/>
      <c r="D348" s="919"/>
      <c r="E348" s="919"/>
      <c r="F348" s="919"/>
      <c r="G348" s="927"/>
    </row>
    <row r="349" spans="1:7" x14ac:dyDescent="0.25">
      <c r="A349" s="903"/>
      <c r="B349" s="904" t="s">
        <v>1066</v>
      </c>
      <c r="C349" s="904"/>
      <c r="D349" s="921"/>
      <c r="E349" s="921"/>
      <c r="F349" s="921">
        <f>SUM(F347:F348)</f>
        <v>1500</v>
      </c>
      <c r="G349" s="928"/>
    </row>
    <row r="350" spans="1:7" x14ac:dyDescent="0.25">
      <c r="A350" s="897"/>
      <c r="B350" s="898"/>
      <c r="C350" s="899"/>
      <c r="D350" s="898"/>
      <c r="E350" s="898"/>
      <c r="F350" s="898"/>
      <c r="G350" s="900"/>
    </row>
    <row r="351" spans="1:7" x14ac:dyDescent="0.25">
      <c r="A351" s="903" t="s">
        <v>1055</v>
      </c>
      <c r="B351" s="904" t="s">
        <v>1067</v>
      </c>
      <c r="C351" s="904" t="s">
        <v>3</v>
      </c>
      <c r="D351" s="904" t="s">
        <v>1057</v>
      </c>
      <c r="E351" s="904" t="s">
        <v>1058</v>
      </c>
      <c r="F351" s="904" t="s">
        <v>1059</v>
      </c>
      <c r="G351" s="905"/>
    </row>
    <row r="352" spans="1:7" x14ac:dyDescent="0.25">
      <c r="A352" s="906"/>
      <c r="B352" s="907"/>
      <c r="C352" s="908"/>
      <c r="D352" s="907"/>
      <c r="E352" s="907"/>
      <c r="F352" s="907"/>
      <c r="G352" s="910"/>
    </row>
    <row r="353" spans="1:7" x14ac:dyDescent="0.25">
      <c r="A353" s="916" t="s">
        <v>1065</v>
      </c>
      <c r="B353" s="917"/>
      <c r="C353" s="918"/>
      <c r="D353" s="919"/>
      <c r="E353" s="919"/>
      <c r="F353" s="919"/>
      <c r="G353" s="920"/>
    </row>
    <row r="354" spans="1:7" x14ac:dyDescent="0.25">
      <c r="A354" s="903"/>
      <c r="B354" s="904" t="s">
        <v>1075</v>
      </c>
      <c r="C354" s="904"/>
      <c r="D354" s="921"/>
      <c r="E354" s="921"/>
      <c r="F354" s="921">
        <f>SUM(F352:F353)</f>
        <v>0</v>
      </c>
      <c r="G354" s="905"/>
    </row>
    <row r="355" spans="1:7" x14ac:dyDescent="0.25">
      <c r="A355" s="897"/>
      <c r="B355" s="898"/>
      <c r="C355" s="899"/>
      <c r="D355" s="898"/>
      <c r="E355" s="898"/>
      <c r="F355" s="898"/>
      <c r="G355" s="900"/>
    </row>
    <row r="356" spans="1:7" x14ac:dyDescent="0.25">
      <c r="A356" s="903" t="s">
        <v>1055</v>
      </c>
      <c r="B356" s="904" t="s">
        <v>1076</v>
      </c>
      <c r="C356" s="904" t="s">
        <v>3</v>
      </c>
      <c r="D356" s="904" t="s">
        <v>1057</v>
      </c>
      <c r="E356" s="904" t="s">
        <v>1058</v>
      </c>
      <c r="F356" s="904" t="s">
        <v>1059</v>
      </c>
      <c r="G356" s="905"/>
    </row>
    <row r="357" spans="1:7" x14ac:dyDescent="0.25">
      <c r="A357" s="906"/>
      <c r="B357" s="907"/>
      <c r="C357" s="908"/>
      <c r="D357" s="907"/>
      <c r="E357" s="907"/>
      <c r="F357" s="907"/>
      <c r="G357" s="910"/>
    </row>
    <row r="358" spans="1:7" x14ac:dyDescent="0.25">
      <c r="A358" s="922">
        <v>4</v>
      </c>
      <c r="B358" s="923" t="s">
        <v>1077</v>
      </c>
      <c r="C358" s="924" t="s">
        <v>1078</v>
      </c>
      <c r="D358" s="931">
        <v>0.02</v>
      </c>
      <c r="E358" s="925">
        <f>+F343</f>
        <v>3110.4000000000005</v>
      </c>
      <c r="F358" s="925">
        <f>+E358*D358</f>
        <v>62.208000000000013</v>
      </c>
      <c r="G358" s="929"/>
    </row>
    <row r="359" spans="1:7" x14ac:dyDescent="0.25">
      <c r="A359" s="922">
        <v>5</v>
      </c>
      <c r="B359" s="923" t="s">
        <v>1079</v>
      </c>
      <c r="C359" s="924" t="s">
        <v>1078</v>
      </c>
      <c r="D359" s="931">
        <v>0.03</v>
      </c>
      <c r="E359" s="925">
        <f>+F354</f>
        <v>0</v>
      </c>
      <c r="F359" s="925">
        <f>+E359*D359</f>
        <v>0</v>
      </c>
      <c r="G359" s="929"/>
    </row>
    <row r="360" spans="1:7" x14ac:dyDescent="0.25">
      <c r="A360" s="916" t="s">
        <v>1065</v>
      </c>
      <c r="B360" s="917"/>
      <c r="C360" s="918"/>
      <c r="D360" s="919"/>
      <c r="E360" s="919"/>
      <c r="F360" s="919"/>
      <c r="G360" s="920"/>
    </row>
    <row r="361" spans="1:7" x14ac:dyDescent="0.25">
      <c r="A361" s="903"/>
      <c r="B361" s="904" t="s">
        <v>1080</v>
      </c>
      <c r="C361" s="904"/>
      <c r="D361" s="921"/>
      <c r="E361" s="921"/>
      <c r="F361" s="921">
        <f>SUM(F358:F360)</f>
        <v>62.208000000000013</v>
      </c>
      <c r="G361" s="905"/>
    </row>
    <row r="362" spans="1:7" x14ac:dyDescent="0.25">
      <c r="A362" s="897"/>
      <c r="B362" s="898"/>
      <c r="C362" s="899"/>
      <c r="D362" s="898"/>
      <c r="E362" s="898"/>
      <c r="F362" s="898"/>
      <c r="G362" s="900"/>
    </row>
    <row r="363" spans="1:7" x14ac:dyDescent="0.25">
      <c r="A363" s="932"/>
      <c r="B363" s="933" t="s">
        <v>1081</v>
      </c>
      <c r="C363" s="1440" t="s">
        <v>1082</v>
      </c>
      <c r="D363" s="1440"/>
      <c r="E363" s="933"/>
      <c r="F363" s="934">
        <f>+F361+F354+F349+F343</f>
        <v>4672.6080000000002</v>
      </c>
      <c r="G363" s="935"/>
    </row>
    <row r="364" spans="1:7" x14ac:dyDescent="0.25">
      <c r="A364" s="897"/>
      <c r="B364" s="898"/>
      <c r="C364" s="899"/>
      <c r="D364" s="898"/>
      <c r="E364" s="898"/>
      <c r="F364" s="936"/>
      <c r="G364" s="900"/>
    </row>
    <row r="365" spans="1:7" x14ac:dyDescent="0.25">
      <c r="A365" s="932"/>
      <c r="B365" s="933" t="s">
        <v>1083</v>
      </c>
      <c r="C365" s="1440">
        <v>0</v>
      </c>
      <c r="D365" s="1440" t="s">
        <v>1084</v>
      </c>
      <c r="E365" s="933"/>
      <c r="F365" s="934"/>
      <c r="G365" s="935"/>
    </row>
    <row r="366" spans="1:7" x14ac:dyDescent="0.25">
      <c r="A366" s="897"/>
      <c r="B366" s="898"/>
      <c r="C366" s="899"/>
      <c r="D366" s="898"/>
      <c r="E366" s="898"/>
      <c r="F366" s="936"/>
      <c r="G366" s="900"/>
    </row>
    <row r="367" spans="1:7" x14ac:dyDescent="0.25">
      <c r="A367" s="932"/>
      <c r="B367" s="933" t="s">
        <v>1085</v>
      </c>
      <c r="C367" s="1440" t="s">
        <v>1086</v>
      </c>
      <c r="D367" s="1440"/>
      <c r="E367" s="933"/>
      <c r="F367" s="934">
        <f>+F363+F365</f>
        <v>4672.6080000000002</v>
      </c>
      <c r="G367" s="935"/>
    </row>
    <row r="368" spans="1:7" x14ac:dyDescent="0.25">
      <c r="A368" s="897"/>
      <c r="B368" s="898"/>
      <c r="C368" s="899"/>
      <c r="D368" s="898"/>
      <c r="E368" s="898"/>
      <c r="F368" s="936"/>
      <c r="G368" s="900"/>
    </row>
    <row r="369" spans="1:7" x14ac:dyDescent="0.25">
      <c r="A369" s="932"/>
      <c r="B369" s="933" t="s">
        <v>1087</v>
      </c>
      <c r="C369" s="1441" t="s">
        <v>1112</v>
      </c>
      <c r="D369" s="1441">
        <v>10</v>
      </c>
      <c r="E369" s="937">
        <f>+C336</f>
        <v>12</v>
      </c>
      <c r="F369" s="934">
        <f>+F367/E369</f>
        <v>389.38400000000001</v>
      </c>
      <c r="G369" s="935"/>
    </row>
    <row r="370" spans="1:7" x14ac:dyDescent="0.25">
      <c r="A370" s="897"/>
      <c r="B370" s="898"/>
      <c r="C370" s="938"/>
      <c r="D370" s="938"/>
      <c r="E370" s="939"/>
      <c r="F370" s="936"/>
      <c r="G370" s="900"/>
    </row>
    <row r="371" spans="1:7" ht="12.6" thickBot="1" x14ac:dyDescent="0.3">
      <c r="A371" s="940"/>
      <c r="B371" s="941" t="s">
        <v>1089</v>
      </c>
      <c r="C371" s="1442" t="s">
        <v>1113</v>
      </c>
      <c r="D371" s="1442"/>
      <c r="E371" s="942" t="str">
        <f>+D336</f>
        <v>m</v>
      </c>
      <c r="F371" s="943">
        <f>+F369</f>
        <v>389.38400000000001</v>
      </c>
      <c r="G371" s="944"/>
    </row>
    <row r="372" spans="1:7" x14ac:dyDescent="0.25">
      <c r="A372" s="892"/>
      <c r="B372" s="893" t="s">
        <v>1049</v>
      </c>
      <c r="C372" s="894"/>
      <c r="D372" s="893"/>
      <c r="E372" s="893"/>
      <c r="F372" s="893"/>
      <c r="G372" s="895"/>
    </row>
    <row r="373" spans="1:7" x14ac:dyDescent="0.25">
      <c r="A373" s="897"/>
      <c r="B373" s="898" t="s">
        <v>1050</v>
      </c>
      <c r="C373" s="899"/>
      <c r="D373" s="898"/>
      <c r="E373" s="898"/>
      <c r="F373" s="898"/>
      <c r="G373" s="900"/>
    </row>
    <row r="374" spans="1:7" x14ac:dyDescent="0.25">
      <c r="A374" s="897"/>
      <c r="B374" s="898" t="s">
        <v>1051</v>
      </c>
      <c r="C374" s="901" t="s">
        <v>1131</v>
      </c>
      <c r="D374" s="901"/>
      <c r="E374" s="901"/>
      <c r="F374" s="901"/>
      <c r="G374" s="902"/>
    </row>
    <row r="375" spans="1:7" x14ac:dyDescent="0.25">
      <c r="A375" s="897"/>
      <c r="B375" s="898" t="s">
        <v>1053</v>
      </c>
      <c r="C375" s="899">
        <v>12</v>
      </c>
      <c r="D375" s="898" t="s">
        <v>19</v>
      </c>
      <c r="E375" s="898"/>
      <c r="F375" s="898"/>
      <c r="G375" s="900"/>
    </row>
    <row r="376" spans="1:7" x14ac:dyDescent="0.25">
      <c r="A376" s="897"/>
      <c r="B376" s="898" t="s">
        <v>1054</v>
      </c>
      <c r="C376" s="899"/>
      <c r="D376" s="898"/>
      <c r="E376" s="898"/>
      <c r="F376" s="898"/>
      <c r="G376" s="900"/>
    </row>
    <row r="377" spans="1:7" x14ac:dyDescent="0.25">
      <c r="A377" s="897"/>
      <c r="B377" s="898"/>
      <c r="C377" s="899"/>
      <c r="D377" s="898"/>
      <c r="E377" s="898"/>
      <c r="F377" s="898"/>
      <c r="G377" s="900"/>
    </row>
    <row r="378" spans="1:7" x14ac:dyDescent="0.25">
      <c r="A378" s="903" t="s">
        <v>1055</v>
      </c>
      <c r="B378" s="904" t="s">
        <v>1056</v>
      </c>
      <c r="C378" s="904" t="s">
        <v>3</v>
      </c>
      <c r="D378" s="904" t="s">
        <v>1057</v>
      </c>
      <c r="E378" s="904" t="s">
        <v>1058</v>
      </c>
      <c r="F378" s="904" t="s">
        <v>1059</v>
      </c>
      <c r="G378" s="905" t="s">
        <v>1060</v>
      </c>
    </row>
    <row r="379" spans="1:7" x14ac:dyDescent="0.25">
      <c r="A379" s="906"/>
      <c r="B379" s="907"/>
      <c r="C379" s="908"/>
      <c r="D379" s="909"/>
      <c r="E379" s="909"/>
      <c r="F379" s="909"/>
      <c r="G379" s="910"/>
    </row>
    <row r="380" spans="1:7" x14ac:dyDescent="0.25">
      <c r="A380" s="911" t="s">
        <v>1061</v>
      </c>
      <c r="B380" s="912" t="s">
        <v>1132</v>
      </c>
      <c r="C380" s="913" t="s">
        <v>19</v>
      </c>
      <c r="D380" s="914">
        <f>+C375</f>
        <v>12</v>
      </c>
      <c r="E380" s="914">
        <f>+'RBD Material'!H21</f>
        <v>745.2</v>
      </c>
      <c r="F380" s="914">
        <f t="shared" ref="F380" si="10">+E380*D380</f>
        <v>8942.4000000000015</v>
      </c>
      <c r="G380" s="915"/>
    </row>
    <row r="381" spans="1:7" x14ac:dyDescent="0.25">
      <c r="A381" s="916"/>
      <c r="B381" s="917"/>
      <c r="C381" s="918"/>
      <c r="D381" s="919"/>
      <c r="E381" s="919"/>
      <c r="F381" s="919"/>
      <c r="G381" s="920"/>
    </row>
    <row r="382" spans="1:7" x14ac:dyDescent="0.25">
      <c r="A382" s="903"/>
      <c r="B382" s="904" t="s">
        <v>1063</v>
      </c>
      <c r="C382" s="904"/>
      <c r="D382" s="921"/>
      <c r="E382" s="921"/>
      <c r="F382" s="921">
        <f>SUM(F380:F381)</f>
        <v>8942.4000000000015</v>
      </c>
      <c r="G382" s="905"/>
    </row>
    <row r="383" spans="1:7" x14ac:dyDescent="0.25">
      <c r="A383" s="897"/>
      <c r="B383" s="898"/>
      <c r="C383" s="899"/>
      <c r="D383" s="898"/>
      <c r="E383" s="898"/>
      <c r="F383" s="898"/>
      <c r="G383" s="900"/>
    </row>
    <row r="384" spans="1:7" x14ac:dyDescent="0.25">
      <c r="A384" s="903" t="s">
        <v>1055</v>
      </c>
      <c r="B384" s="904" t="s">
        <v>1064</v>
      </c>
      <c r="C384" s="904" t="s">
        <v>3</v>
      </c>
      <c r="D384" s="904" t="s">
        <v>1057</v>
      </c>
      <c r="E384" s="904" t="s">
        <v>1058</v>
      </c>
      <c r="F384" s="904" t="s">
        <v>1059</v>
      </c>
      <c r="G384" s="905"/>
    </row>
    <row r="385" spans="1:7" x14ac:dyDescent="0.25">
      <c r="A385" s="906"/>
      <c r="B385" s="907"/>
      <c r="C385" s="908"/>
      <c r="D385" s="907"/>
      <c r="E385" s="907"/>
      <c r="F385" s="907"/>
      <c r="G385" s="910"/>
    </row>
    <row r="386" spans="1:7" x14ac:dyDescent="0.25">
      <c r="A386" s="922" t="s">
        <v>1103</v>
      </c>
      <c r="B386" s="923" t="s">
        <v>1120</v>
      </c>
      <c r="C386" s="924" t="s">
        <v>1072</v>
      </c>
      <c r="D386" s="925"/>
      <c r="E386" s="925"/>
      <c r="F386" s="914">
        <v>1500</v>
      </c>
      <c r="G386" s="926"/>
    </row>
    <row r="387" spans="1:7" x14ac:dyDescent="0.25">
      <c r="A387" s="916" t="s">
        <v>1065</v>
      </c>
      <c r="B387" s="917"/>
      <c r="C387" s="918"/>
      <c r="D387" s="919"/>
      <c r="E387" s="919"/>
      <c r="F387" s="919"/>
      <c r="G387" s="927"/>
    </row>
    <row r="388" spans="1:7" x14ac:dyDescent="0.25">
      <c r="A388" s="903"/>
      <c r="B388" s="904" t="s">
        <v>1066</v>
      </c>
      <c r="C388" s="904"/>
      <c r="D388" s="921"/>
      <c r="E388" s="921"/>
      <c r="F388" s="921">
        <f>SUM(F386:F387)</f>
        <v>1500</v>
      </c>
      <c r="G388" s="928"/>
    </row>
    <row r="389" spans="1:7" x14ac:dyDescent="0.25">
      <c r="A389" s="897"/>
      <c r="B389" s="898"/>
      <c r="C389" s="899"/>
      <c r="D389" s="898"/>
      <c r="E389" s="898"/>
      <c r="F389" s="898"/>
      <c r="G389" s="900"/>
    </row>
    <row r="390" spans="1:7" x14ac:dyDescent="0.25">
      <c r="A390" s="903" t="s">
        <v>1055</v>
      </c>
      <c r="B390" s="904" t="s">
        <v>1067</v>
      </c>
      <c r="C390" s="904" t="s">
        <v>3</v>
      </c>
      <c r="D390" s="904" t="s">
        <v>1057</v>
      </c>
      <c r="E390" s="904" t="s">
        <v>1058</v>
      </c>
      <c r="F390" s="904" t="s">
        <v>1059</v>
      </c>
      <c r="G390" s="905"/>
    </row>
    <row r="391" spans="1:7" x14ac:dyDescent="0.25">
      <c r="A391" s="906"/>
      <c r="B391" s="907"/>
      <c r="C391" s="908"/>
      <c r="D391" s="907"/>
      <c r="E391" s="907"/>
      <c r="F391" s="907"/>
      <c r="G391" s="910"/>
    </row>
    <row r="392" spans="1:7" x14ac:dyDescent="0.25">
      <c r="A392" s="916" t="s">
        <v>1065</v>
      </c>
      <c r="B392" s="917"/>
      <c r="C392" s="918"/>
      <c r="D392" s="919"/>
      <c r="E392" s="919"/>
      <c r="F392" s="919"/>
      <c r="G392" s="920"/>
    </row>
    <row r="393" spans="1:7" x14ac:dyDescent="0.25">
      <c r="A393" s="903"/>
      <c r="B393" s="904" t="s">
        <v>1075</v>
      </c>
      <c r="C393" s="904"/>
      <c r="D393" s="921"/>
      <c r="E393" s="921"/>
      <c r="F393" s="921">
        <f>SUM(F391:F392)</f>
        <v>0</v>
      </c>
      <c r="G393" s="905"/>
    </row>
    <row r="394" spans="1:7" x14ac:dyDescent="0.25">
      <c r="A394" s="897"/>
      <c r="B394" s="898"/>
      <c r="C394" s="899"/>
      <c r="D394" s="898"/>
      <c r="E394" s="898"/>
      <c r="F394" s="898"/>
      <c r="G394" s="900"/>
    </row>
    <row r="395" spans="1:7" x14ac:dyDescent="0.25">
      <c r="A395" s="903" t="s">
        <v>1055</v>
      </c>
      <c r="B395" s="904" t="s">
        <v>1076</v>
      </c>
      <c r="C395" s="904" t="s">
        <v>3</v>
      </c>
      <c r="D395" s="904" t="s">
        <v>1057</v>
      </c>
      <c r="E395" s="904" t="s">
        <v>1058</v>
      </c>
      <c r="F395" s="904" t="s">
        <v>1059</v>
      </c>
      <c r="G395" s="905"/>
    </row>
    <row r="396" spans="1:7" x14ac:dyDescent="0.25">
      <c r="A396" s="906"/>
      <c r="B396" s="907"/>
      <c r="C396" s="908"/>
      <c r="D396" s="907"/>
      <c r="E396" s="907"/>
      <c r="F396" s="907"/>
      <c r="G396" s="910"/>
    </row>
    <row r="397" spans="1:7" x14ac:dyDescent="0.25">
      <c r="A397" s="922">
        <v>4</v>
      </c>
      <c r="B397" s="923" t="s">
        <v>1077</v>
      </c>
      <c r="C397" s="924" t="s">
        <v>1078</v>
      </c>
      <c r="D397" s="931">
        <v>0.02</v>
      </c>
      <c r="E397" s="925">
        <f>+F382</f>
        <v>8942.4000000000015</v>
      </c>
      <c r="F397" s="925">
        <f>+E397*D397</f>
        <v>178.84800000000004</v>
      </c>
      <c r="G397" s="929"/>
    </row>
    <row r="398" spans="1:7" x14ac:dyDescent="0.25">
      <c r="A398" s="922">
        <v>5</v>
      </c>
      <c r="B398" s="923" t="s">
        <v>1079</v>
      </c>
      <c r="C398" s="924" t="s">
        <v>1078</v>
      </c>
      <c r="D398" s="931">
        <v>0.03</v>
      </c>
      <c r="E398" s="925">
        <f>+F393</f>
        <v>0</v>
      </c>
      <c r="F398" s="925">
        <f>+E398*D398</f>
        <v>0</v>
      </c>
      <c r="G398" s="929"/>
    </row>
    <row r="399" spans="1:7" x14ac:dyDescent="0.25">
      <c r="A399" s="916" t="s">
        <v>1065</v>
      </c>
      <c r="B399" s="917"/>
      <c r="C399" s="918"/>
      <c r="D399" s="919"/>
      <c r="E399" s="919"/>
      <c r="F399" s="919"/>
      <c r="G399" s="920"/>
    </row>
    <row r="400" spans="1:7" x14ac:dyDescent="0.25">
      <c r="A400" s="903"/>
      <c r="B400" s="904" t="s">
        <v>1080</v>
      </c>
      <c r="C400" s="904"/>
      <c r="D400" s="921"/>
      <c r="E400" s="921"/>
      <c r="F400" s="921">
        <f>SUM(F397:F399)</f>
        <v>178.84800000000004</v>
      </c>
      <c r="G400" s="905"/>
    </row>
    <row r="401" spans="1:7" x14ac:dyDescent="0.25">
      <c r="A401" s="897"/>
      <c r="B401" s="898"/>
      <c r="C401" s="899"/>
      <c r="D401" s="898"/>
      <c r="E401" s="898"/>
      <c r="F401" s="898"/>
      <c r="G401" s="900"/>
    </row>
    <row r="402" spans="1:7" x14ac:dyDescent="0.25">
      <c r="A402" s="932"/>
      <c r="B402" s="933" t="s">
        <v>1081</v>
      </c>
      <c r="C402" s="1440" t="s">
        <v>1082</v>
      </c>
      <c r="D402" s="1440"/>
      <c r="E402" s="933"/>
      <c r="F402" s="934">
        <f>+F400+F393+F388+F382</f>
        <v>10621.248000000001</v>
      </c>
      <c r="G402" s="935"/>
    </row>
    <row r="403" spans="1:7" x14ac:dyDescent="0.25">
      <c r="A403" s="897"/>
      <c r="B403" s="898"/>
      <c r="C403" s="899"/>
      <c r="D403" s="898"/>
      <c r="E403" s="898"/>
      <c r="F403" s="936"/>
      <c r="G403" s="900"/>
    </row>
    <row r="404" spans="1:7" x14ac:dyDescent="0.25">
      <c r="A404" s="932"/>
      <c r="B404" s="933" t="s">
        <v>1083</v>
      </c>
      <c r="C404" s="1440">
        <v>0</v>
      </c>
      <c r="D404" s="1440" t="s">
        <v>1084</v>
      </c>
      <c r="E404" s="933"/>
      <c r="F404" s="934"/>
      <c r="G404" s="935"/>
    </row>
    <row r="405" spans="1:7" x14ac:dyDescent="0.25">
      <c r="A405" s="897"/>
      <c r="B405" s="898"/>
      <c r="C405" s="899"/>
      <c r="D405" s="898"/>
      <c r="E405" s="898"/>
      <c r="F405" s="936"/>
      <c r="G405" s="900"/>
    </row>
    <row r="406" spans="1:7" x14ac:dyDescent="0.25">
      <c r="A406" s="932"/>
      <c r="B406" s="933" t="s">
        <v>1085</v>
      </c>
      <c r="C406" s="1440" t="s">
        <v>1086</v>
      </c>
      <c r="D406" s="1440"/>
      <c r="E406" s="933"/>
      <c r="F406" s="934">
        <f>+F402+F404</f>
        <v>10621.248000000001</v>
      </c>
      <c r="G406" s="935"/>
    </row>
    <row r="407" spans="1:7" x14ac:dyDescent="0.25">
      <c r="A407" s="897"/>
      <c r="B407" s="898"/>
      <c r="C407" s="899"/>
      <c r="D407" s="898"/>
      <c r="E407" s="898"/>
      <c r="F407" s="936"/>
      <c r="G407" s="900"/>
    </row>
    <row r="408" spans="1:7" x14ac:dyDescent="0.25">
      <c r="A408" s="932"/>
      <c r="B408" s="933" t="s">
        <v>1087</v>
      </c>
      <c r="C408" s="1441" t="s">
        <v>1112</v>
      </c>
      <c r="D408" s="1441">
        <v>10</v>
      </c>
      <c r="E408" s="937">
        <f>+C375</f>
        <v>12</v>
      </c>
      <c r="F408" s="934">
        <f>+F406/E408</f>
        <v>885.10400000000016</v>
      </c>
      <c r="G408" s="935"/>
    </row>
    <row r="409" spans="1:7" x14ac:dyDescent="0.25">
      <c r="A409" s="897"/>
      <c r="B409" s="898"/>
      <c r="C409" s="938"/>
      <c r="D409" s="938"/>
      <c r="E409" s="939"/>
      <c r="F409" s="936"/>
      <c r="G409" s="900"/>
    </row>
    <row r="410" spans="1:7" ht="12.6" thickBot="1" x14ac:dyDescent="0.3">
      <c r="A410" s="940"/>
      <c r="B410" s="941" t="s">
        <v>1089</v>
      </c>
      <c r="C410" s="1442" t="s">
        <v>1113</v>
      </c>
      <c r="D410" s="1442"/>
      <c r="E410" s="942" t="str">
        <f>+D375</f>
        <v>m</v>
      </c>
      <c r="F410" s="943">
        <f>+F408</f>
        <v>885.10400000000016</v>
      </c>
      <c r="G410" s="944"/>
    </row>
    <row r="411" spans="1:7" s="949" customFormat="1" x14ac:dyDescent="0.25">
      <c r="A411" s="945"/>
      <c r="B411" s="946" t="s">
        <v>1049</v>
      </c>
      <c r="C411" s="947"/>
      <c r="D411" s="946"/>
      <c r="E411" s="946"/>
      <c r="F411" s="946"/>
      <c r="G411" s="948"/>
    </row>
    <row r="412" spans="1:7" s="949" customFormat="1" x14ac:dyDescent="0.25">
      <c r="A412" s="950"/>
      <c r="B412" s="951" t="s">
        <v>1050</v>
      </c>
      <c r="C412" s="952"/>
      <c r="D412" s="951"/>
      <c r="E412" s="951"/>
      <c r="F412" s="951"/>
      <c r="G412" s="953"/>
    </row>
    <row r="413" spans="1:7" s="949" customFormat="1" x14ac:dyDescent="0.25">
      <c r="A413" s="950"/>
      <c r="B413" s="951" t="s">
        <v>1051</v>
      </c>
      <c r="C413" s="954" t="s">
        <v>1133</v>
      </c>
      <c r="D413" s="954"/>
      <c r="E413" s="954"/>
      <c r="F413" s="954"/>
      <c r="G413" s="955"/>
    </row>
    <row r="414" spans="1:7" s="949" customFormat="1" ht="26.4" customHeight="1" x14ac:dyDescent="0.25">
      <c r="A414" s="950"/>
      <c r="B414" s="951"/>
      <c r="C414" s="1443" t="s">
        <v>1134</v>
      </c>
      <c r="D414" s="1443"/>
      <c r="E414" s="1443"/>
      <c r="F414" s="1443"/>
      <c r="G414" s="1444"/>
    </row>
    <row r="415" spans="1:7" s="949" customFormat="1" x14ac:dyDescent="0.25">
      <c r="A415" s="950"/>
      <c r="B415" s="951" t="s">
        <v>1053</v>
      </c>
      <c r="C415" s="952">
        <v>12</v>
      </c>
      <c r="D415" s="951" t="s">
        <v>183</v>
      </c>
      <c r="E415" s="951"/>
      <c r="F415" s="951"/>
      <c r="G415" s="953"/>
    </row>
    <row r="416" spans="1:7" s="949" customFormat="1" x14ac:dyDescent="0.25">
      <c r="A416" s="950"/>
      <c r="B416" s="951" t="s">
        <v>1054</v>
      </c>
      <c r="C416" s="952"/>
      <c r="D416" s="951"/>
      <c r="E416" s="951"/>
      <c r="F416" s="951"/>
      <c r="G416" s="953"/>
    </row>
    <row r="417" spans="1:9" s="949" customFormat="1" x14ac:dyDescent="0.25">
      <c r="A417" s="950"/>
      <c r="B417" s="951"/>
      <c r="C417" s="952"/>
      <c r="D417" s="951"/>
      <c r="E417" s="951"/>
      <c r="F417" s="951"/>
      <c r="G417" s="953"/>
    </row>
    <row r="418" spans="1:9" s="949" customFormat="1" x14ac:dyDescent="0.25">
      <c r="A418" s="956" t="s">
        <v>1055</v>
      </c>
      <c r="B418" s="957" t="s">
        <v>1056</v>
      </c>
      <c r="C418" s="957" t="s">
        <v>3</v>
      </c>
      <c r="D418" s="957" t="s">
        <v>1057</v>
      </c>
      <c r="E418" s="957" t="s">
        <v>1058</v>
      </c>
      <c r="F418" s="957" t="s">
        <v>1059</v>
      </c>
      <c r="G418" s="958" t="s">
        <v>1060</v>
      </c>
    </row>
    <row r="419" spans="1:9" s="949" customFormat="1" x14ac:dyDescent="0.25">
      <c r="A419" s="959"/>
      <c r="B419" s="960"/>
      <c r="C419" s="961"/>
      <c r="D419" s="962"/>
      <c r="E419" s="962"/>
      <c r="F419" s="962"/>
      <c r="G419" s="963"/>
    </row>
    <row r="420" spans="1:9" s="949" customFormat="1" x14ac:dyDescent="0.25">
      <c r="A420" s="964" t="s">
        <v>1061</v>
      </c>
      <c r="B420" s="965" t="s">
        <v>1135</v>
      </c>
      <c r="C420" s="966" t="s">
        <v>183</v>
      </c>
      <c r="D420" s="967">
        <f>+C415</f>
        <v>12</v>
      </c>
      <c r="E420" s="967">
        <f>+'RBD Material'!H23</f>
        <v>484.2</v>
      </c>
      <c r="F420" s="967">
        <f>+E420*D420</f>
        <v>5810.4</v>
      </c>
      <c r="G420" s="968"/>
    </row>
    <row r="421" spans="1:9" s="949" customFormat="1" x14ac:dyDescent="0.25">
      <c r="A421" s="969"/>
      <c r="B421" s="970"/>
      <c r="C421" s="971"/>
      <c r="D421" s="972"/>
      <c r="E421" s="972"/>
      <c r="F421" s="972"/>
      <c r="G421" s="973"/>
    </row>
    <row r="422" spans="1:9" s="949" customFormat="1" x14ac:dyDescent="0.25">
      <c r="A422" s="956"/>
      <c r="B422" s="957" t="s">
        <v>1063</v>
      </c>
      <c r="C422" s="957"/>
      <c r="D422" s="974"/>
      <c r="E422" s="974"/>
      <c r="F422" s="974">
        <f>SUM(F420:F421)</f>
        <v>5810.4</v>
      </c>
      <c r="G422" s="958"/>
    </row>
    <row r="423" spans="1:9" s="949" customFormat="1" x14ac:dyDescent="0.25">
      <c r="A423" s="950"/>
      <c r="B423" s="951"/>
      <c r="C423" s="952"/>
      <c r="D423" s="951"/>
      <c r="E423" s="951"/>
      <c r="F423" s="951"/>
      <c r="G423" s="953"/>
    </row>
    <row r="424" spans="1:9" s="949" customFormat="1" x14ac:dyDescent="0.25">
      <c r="A424" s="956" t="s">
        <v>1055</v>
      </c>
      <c r="B424" s="957" t="s">
        <v>1064</v>
      </c>
      <c r="C424" s="957" t="s">
        <v>3</v>
      </c>
      <c r="D424" s="957" t="s">
        <v>1057</v>
      </c>
      <c r="E424" s="957" t="s">
        <v>1058</v>
      </c>
      <c r="F424" s="957" t="s">
        <v>1059</v>
      </c>
      <c r="G424" s="958"/>
    </row>
    <row r="425" spans="1:9" s="949" customFormat="1" x14ac:dyDescent="0.25">
      <c r="A425" s="959"/>
      <c r="B425" s="960"/>
      <c r="C425" s="961"/>
      <c r="D425" s="960"/>
      <c r="E425" s="960"/>
      <c r="F425" s="960"/>
      <c r="G425" s="963"/>
    </row>
    <row r="426" spans="1:9" s="949" customFormat="1" x14ac:dyDescent="0.25">
      <c r="A426" s="975" t="s">
        <v>1103</v>
      </c>
      <c r="B426" s="976" t="s">
        <v>1120</v>
      </c>
      <c r="C426" s="977" t="s">
        <v>1072</v>
      </c>
      <c r="D426" s="978"/>
      <c r="E426" s="978"/>
      <c r="F426" s="967">
        <v>650</v>
      </c>
      <c r="G426" s="979"/>
    </row>
    <row r="427" spans="1:9" s="949" customFormat="1" x14ac:dyDescent="0.25">
      <c r="A427" s="969" t="s">
        <v>1065</v>
      </c>
      <c r="B427" s="970"/>
      <c r="C427" s="971"/>
      <c r="D427" s="972"/>
      <c r="E427" s="972"/>
      <c r="F427" s="972"/>
      <c r="G427" s="980"/>
    </row>
    <row r="428" spans="1:9" s="949" customFormat="1" x14ac:dyDescent="0.25">
      <c r="A428" s="956"/>
      <c r="B428" s="957" t="s">
        <v>1066</v>
      </c>
      <c r="C428" s="957"/>
      <c r="D428" s="974"/>
      <c r="E428" s="974"/>
      <c r="F428" s="974">
        <f>SUM(F426:F427)</f>
        <v>650</v>
      </c>
      <c r="G428" s="981"/>
      <c r="I428" s="949" t="s">
        <v>1136</v>
      </c>
    </row>
    <row r="429" spans="1:9" s="949" customFormat="1" x14ac:dyDescent="0.25">
      <c r="A429" s="950"/>
      <c r="B429" s="951"/>
      <c r="C429" s="952"/>
      <c r="D429" s="951"/>
      <c r="E429" s="951"/>
      <c r="F429" s="951"/>
      <c r="G429" s="953"/>
      <c r="I429" s="949" t="s">
        <v>1137</v>
      </c>
    </row>
    <row r="430" spans="1:9" s="949" customFormat="1" x14ac:dyDescent="0.25">
      <c r="A430" s="956" t="s">
        <v>1055</v>
      </c>
      <c r="B430" s="957" t="s">
        <v>1067</v>
      </c>
      <c r="C430" s="957" t="s">
        <v>3</v>
      </c>
      <c r="D430" s="957" t="s">
        <v>1057</v>
      </c>
      <c r="E430" s="957" t="s">
        <v>1058</v>
      </c>
      <c r="F430" s="957" t="s">
        <v>1059</v>
      </c>
      <c r="G430" s="958"/>
      <c r="I430" s="949" t="s">
        <v>1138</v>
      </c>
    </row>
    <row r="431" spans="1:9" s="949" customFormat="1" x14ac:dyDescent="0.25">
      <c r="A431" s="959"/>
      <c r="B431" s="960"/>
      <c r="C431" s="961"/>
      <c r="D431" s="960"/>
      <c r="E431" s="960"/>
      <c r="F431" s="960"/>
      <c r="G431" s="963"/>
      <c r="I431" s="949" t="s">
        <v>1139</v>
      </c>
    </row>
    <row r="432" spans="1:9" s="949" customFormat="1" x14ac:dyDescent="0.25">
      <c r="A432" s="975" t="s">
        <v>1068</v>
      </c>
      <c r="B432" s="976" t="s">
        <v>1140</v>
      </c>
      <c r="C432" s="977" t="s">
        <v>1094</v>
      </c>
      <c r="D432" s="978">
        <f>+C415*10.76/70</f>
        <v>1.8445714285714285</v>
      </c>
      <c r="E432" s="978">
        <f>+'RBD Material'!D12</f>
        <v>1100</v>
      </c>
      <c r="F432" s="967"/>
      <c r="G432" s="982"/>
      <c r="I432" s="949" t="s">
        <v>1141</v>
      </c>
    </row>
    <row r="433" spans="1:7" s="949" customFormat="1" x14ac:dyDescent="0.25">
      <c r="A433" s="975" t="s">
        <v>1070</v>
      </c>
      <c r="B433" s="976" t="s">
        <v>1137</v>
      </c>
      <c r="C433" s="977" t="s">
        <v>1072</v>
      </c>
      <c r="D433" s="978"/>
      <c r="E433" s="978"/>
      <c r="F433" s="967"/>
      <c r="G433" s="982"/>
    </row>
    <row r="434" spans="1:7" s="949" customFormat="1" x14ac:dyDescent="0.25">
      <c r="A434" s="975" t="s">
        <v>1073</v>
      </c>
      <c r="B434" s="976" t="s">
        <v>1138</v>
      </c>
      <c r="C434" s="977" t="s">
        <v>1125</v>
      </c>
      <c r="D434" s="978">
        <f>+C415*10.76/125</f>
        <v>1.0329600000000001</v>
      </c>
      <c r="E434" s="978">
        <f>+'RBD Material'!D13</f>
        <v>650</v>
      </c>
      <c r="F434" s="967">
        <f t="shared" ref="F434" si="11">+E434*D434</f>
        <v>671.42400000000009</v>
      </c>
      <c r="G434" s="982"/>
    </row>
    <row r="435" spans="1:7" s="949" customFormat="1" x14ac:dyDescent="0.25">
      <c r="A435" s="975" t="s">
        <v>1123</v>
      </c>
      <c r="B435" s="976" t="s">
        <v>1139</v>
      </c>
      <c r="C435" s="977" t="s">
        <v>1125</v>
      </c>
      <c r="D435" s="978">
        <f>+C415*10.76/75</f>
        <v>1.7216</v>
      </c>
      <c r="E435" s="978">
        <f>+'RBD Material'!D14</f>
        <v>3100</v>
      </c>
      <c r="F435" s="967">
        <f>+E435*D435</f>
        <v>5336.96</v>
      </c>
      <c r="G435" s="982"/>
    </row>
    <row r="436" spans="1:7" s="949" customFormat="1" x14ac:dyDescent="0.25">
      <c r="A436" s="975" t="s">
        <v>1142</v>
      </c>
      <c r="B436" s="976" t="s">
        <v>1141</v>
      </c>
      <c r="C436" s="977" t="s">
        <v>1072</v>
      </c>
      <c r="D436" s="978"/>
      <c r="E436" s="978"/>
      <c r="F436" s="967">
        <v>400</v>
      </c>
      <c r="G436" s="982"/>
    </row>
    <row r="437" spans="1:7" s="949" customFormat="1" x14ac:dyDescent="0.25">
      <c r="A437" s="969" t="s">
        <v>1065</v>
      </c>
      <c r="B437" s="970"/>
      <c r="C437" s="971"/>
      <c r="D437" s="972"/>
      <c r="E437" s="972"/>
      <c r="F437" s="972"/>
      <c r="G437" s="973"/>
    </row>
    <row r="438" spans="1:7" s="949" customFormat="1" x14ac:dyDescent="0.25">
      <c r="A438" s="956"/>
      <c r="B438" s="957" t="s">
        <v>1075</v>
      </c>
      <c r="C438" s="957"/>
      <c r="D438" s="974"/>
      <c r="E438" s="974"/>
      <c r="F438" s="974">
        <f>SUM(F431:F437)</f>
        <v>6408.384</v>
      </c>
      <c r="G438" s="958"/>
    </row>
    <row r="439" spans="1:7" s="949" customFormat="1" x14ac:dyDescent="0.25">
      <c r="A439" s="950"/>
      <c r="B439" s="951"/>
      <c r="C439" s="952"/>
      <c r="D439" s="951"/>
      <c r="E439" s="951"/>
      <c r="F439" s="951"/>
      <c r="G439" s="953"/>
    </row>
    <row r="440" spans="1:7" s="949" customFormat="1" x14ac:dyDescent="0.25">
      <c r="A440" s="956" t="s">
        <v>1055</v>
      </c>
      <c r="B440" s="957" t="s">
        <v>1076</v>
      </c>
      <c r="C440" s="957" t="s">
        <v>3</v>
      </c>
      <c r="D440" s="957" t="s">
        <v>1057</v>
      </c>
      <c r="E440" s="957" t="s">
        <v>1058</v>
      </c>
      <c r="F440" s="957" t="s">
        <v>1059</v>
      </c>
      <c r="G440" s="958"/>
    </row>
    <row r="441" spans="1:7" s="949" customFormat="1" x14ac:dyDescent="0.25">
      <c r="A441" s="959"/>
      <c r="B441" s="960"/>
      <c r="C441" s="961"/>
      <c r="D441" s="960"/>
      <c r="E441" s="960"/>
      <c r="F441" s="960"/>
      <c r="G441" s="963"/>
    </row>
    <row r="442" spans="1:7" s="949" customFormat="1" x14ac:dyDescent="0.25">
      <c r="A442" s="975">
        <v>4</v>
      </c>
      <c r="B442" s="976" t="s">
        <v>1077</v>
      </c>
      <c r="C442" s="977" t="s">
        <v>1078</v>
      </c>
      <c r="D442" s="983">
        <v>0.02</v>
      </c>
      <c r="E442" s="978">
        <f>+F422</f>
        <v>5810.4</v>
      </c>
      <c r="F442" s="978">
        <f>+E442*D442</f>
        <v>116.208</v>
      </c>
      <c r="G442" s="982"/>
    </row>
    <row r="443" spans="1:7" s="949" customFormat="1" x14ac:dyDescent="0.25">
      <c r="A443" s="975">
        <v>5</v>
      </c>
      <c r="B443" s="976" t="s">
        <v>1079</v>
      </c>
      <c r="C443" s="977" t="s">
        <v>1078</v>
      </c>
      <c r="D443" s="983">
        <v>0.1</v>
      </c>
      <c r="E443" s="978">
        <f>+F438</f>
        <v>6408.384</v>
      </c>
      <c r="F443" s="978">
        <f>+E443*D443</f>
        <v>640.83840000000009</v>
      </c>
      <c r="G443" s="982"/>
    </row>
    <row r="444" spans="1:7" s="949" customFormat="1" x14ac:dyDescent="0.25">
      <c r="A444" s="969" t="s">
        <v>1065</v>
      </c>
      <c r="B444" s="970"/>
      <c r="C444" s="971"/>
      <c r="D444" s="972"/>
      <c r="E444" s="972"/>
      <c r="F444" s="972"/>
      <c r="G444" s="973"/>
    </row>
    <row r="445" spans="1:7" s="949" customFormat="1" x14ac:dyDescent="0.25">
      <c r="A445" s="956"/>
      <c r="B445" s="957" t="s">
        <v>1080</v>
      </c>
      <c r="C445" s="957"/>
      <c r="D445" s="974"/>
      <c r="E445" s="974"/>
      <c r="F445" s="974">
        <f>SUM(F442:F444)</f>
        <v>757.04640000000006</v>
      </c>
      <c r="G445" s="958"/>
    </row>
    <row r="446" spans="1:7" s="949" customFormat="1" x14ac:dyDescent="0.25">
      <c r="A446" s="950"/>
      <c r="B446" s="951"/>
      <c r="C446" s="952"/>
      <c r="D446" s="951"/>
      <c r="E446" s="951"/>
      <c r="F446" s="951"/>
      <c r="G446" s="953"/>
    </row>
    <row r="447" spans="1:7" s="949" customFormat="1" x14ac:dyDescent="0.25">
      <c r="A447" s="984"/>
      <c r="B447" s="985" t="s">
        <v>1081</v>
      </c>
      <c r="C447" s="1445" t="s">
        <v>1082</v>
      </c>
      <c r="D447" s="1445"/>
      <c r="E447" s="985"/>
      <c r="F447" s="986">
        <f>+F445+F438+F428+F422</f>
        <v>13625.830399999999</v>
      </c>
      <c r="G447" s="987"/>
    </row>
    <row r="448" spans="1:7" s="949" customFormat="1" x14ac:dyDescent="0.25">
      <c r="A448" s="950"/>
      <c r="B448" s="951"/>
      <c r="C448" s="952"/>
      <c r="D448" s="951"/>
      <c r="E448" s="951"/>
      <c r="F448" s="988"/>
      <c r="G448" s="953"/>
    </row>
    <row r="449" spans="1:7" s="949" customFormat="1" x14ac:dyDescent="0.25">
      <c r="A449" s="984"/>
      <c r="B449" s="985" t="s">
        <v>1083</v>
      </c>
      <c r="C449" s="1445">
        <v>0</v>
      </c>
      <c r="D449" s="1445" t="s">
        <v>1084</v>
      </c>
      <c r="E449" s="985"/>
      <c r="F449" s="986"/>
      <c r="G449" s="987"/>
    </row>
    <row r="450" spans="1:7" s="949" customFormat="1" x14ac:dyDescent="0.25">
      <c r="A450" s="950"/>
      <c r="B450" s="951"/>
      <c r="C450" s="952"/>
      <c r="D450" s="951"/>
      <c r="E450" s="951"/>
      <c r="F450" s="988"/>
      <c r="G450" s="953"/>
    </row>
    <row r="451" spans="1:7" s="949" customFormat="1" x14ac:dyDescent="0.25">
      <c r="A451" s="984"/>
      <c r="B451" s="985" t="s">
        <v>1085</v>
      </c>
      <c r="C451" s="1445" t="s">
        <v>1086</v>
      </c>
      <c r="D451" s="1445"/>
      <c r="E451" s="985"/>
      <c r="F451" s="986">
        <f>+F447+F449</f>
        <v>13625.830399999999</v>
      </c>
      <c r="G451" s="987"/>
    </row>
    <row r="452" spans="1:7" s="949" customFormat="1" x14ac:dyDescent="0.25">
      <c r="A452" s="950"/>
      <c r="B452" s="951"/>
      <c r="C452" s="952"/>
      <c r="D452" s="951"/>
      <c r="E452" s="951"/>
      <c r="F452" s="988"/>
      <c r="G452" s="953"/>
    </row>
    <row r="453" spans="1:7" s="949" customFormat="1" x14ac:dyDescent="0.25">
      <c r="A453" s="984"/>
      <c r="B453" s="985" t="s">
        <v>1087</v>
      </c>
      <c r="C453" s="1446" t="s">
        <v>1112</v>
      </c>
      <c r="D453" s="1446">
        <v>10</v>
      </c>
      <c r="E453" s="989">
        <f>+C415</f>
        <v>12</v>
      </c>
      <c r="F453" s="986">
        <f>+F451/E453</f>
        <v>1135.4858666666667</v>
      </c>
      <c r="G453" s="987"/>
    </row>
    <row r="454" spans="1:7" s="949" customFormat="1" x14ac:dyDescent="0.25">
      <c r="A454" s="950"/>
      <c r="B454" s="951"/>
      <c r="C454" s="990"/>
      <c r="D454" s="990"/>
      <c r="E454" s="991"/>
      <c r="F454" s="988"/>
      <c r="G454" s="953"/>
    </row>
    <row r="455" spans="1:7" s="949" customFormat="1" ht="12.6" thickBot="1" x14ac:dyDescent="0.3">
      <c r="A455" s="992"/>
      <c r="B455" s="993" t="s">
        <v>1089</v>
      </c>
      <c r="C455" s="1447" t="s">
        <v>1113</v>
      </c>
      <c r="D455" s="1447"/>
      <c r="E455" s="994" t="str">
        <f>+D415</f>
        <v>m2</v>
      </c>
      <c r="F455" s="995">
        <f>+F453</f>
        <v>1135.4858666666667</v>
      </c>
      <c r="G455" s="996"/>
    </row>
    <row r="456" spans="1:7" x14ac:dyDescent="0.25">
      <c r="A456" s="945"/>
      <c r="B456" s="946" t="s">
        <v>1049</v>
      </c>
      <c r="C456" s="947"/>
      <c r="D456" s="946"/>
      <c r="E456" s="946"/>
      <c r="F456" s="946"/>
      <c r="G456" s="948"/>
    </row>
    <row r="457" spans="1:7" x14ac:dyDescent="0.25">
      <c r="A457" s="950"/>
      <c r="B457" s="951" t="s">
        <v>1050</v>
      </c>
      <c r="C457" s="952"/>
      <c r="D457" s="951"/>
      <c r="E457" s="951"/>
      <c r="F457" s="951"/>
      <c r="G457" s="953"/>
    </row>
    <row r="458" spans="1:7" x14ac:dyDescent="0.25">
      <c r="A458" s="950"/>
      <c r="B458" s="951" t="s">
        <v>1051</v>
      </c>
      <c r="C458" s="954" t="s">
        <v>1143</v>
      </c>
      <c r="D458" s="954"/>
      <c r="E458" s="954"/>
      <c r="F458" s="954"/>
      <c r="G458" s="955"/>
    </row>
    <row r="459" spans="1:7" ht="28.2" customHeight="1" x14ac:dyDescent="0.25">
      <c r="A459" s="950"/>
      <c r="B459" s="951"/>
      <c r="C459" s="1448" t="s">
        <v>1144</v>
      </c>
      <c r="D459" s="1448"/>
      <c r="E459" s="1448"/>
      <c r="F459" s="1448"/>
      <c r="G459" s="1449"/>
    </row>
    <row r="460" spans="1:7" x14ac:dyDescent="0.25">
      <c r="A460" s="950"/>
      <c r="B460" s="951" t="s">
        <v>1053</v>
      </c>
      <c r="C460" s="952">
        <v>12</v>
      </c>
      <c r="D460" s="951" t="s">
        <v>183</v>
      </c>
      <c r="E460" s="951"/>
      <c r="F460" s="951"/>
      <c r="G460" s="953"/>
    </row>
    <row r="461" spans="1:7" x14ac:dyDescent="0.25">
      <c r="A461" s="950"/>
      <c r="B461" s="951" t="s">
        <v>1054</v>
      </c>
      <c r="C461" s="952"/>
      <c r="D461" s="951"/>
      <c r="E461" s="951"/>
      <c r="F461" s="951"/>
      <c r="G461" s="953"/>
    </row>
    <row r="462" spans="1:7" x14ac:dyDescent="0.25">
      <c r="A462" s="950"/>
      <c r="B462" s="951"/>
      <c r="C462" s="952"/>
      <c r="D462" s="951"/>
      <c r="E462" s="951"/>
      <c r="F462" s="951"/>
      <c r="G462" s="953"/>
    </row>
    <row r="463" spans="1:7" x14ac:dyDescent="0.25">
      <c r="A463" s="956" t="s">
        <v>1055</v>
      </c>
      <c r="B463" s="957" t="s">
        <v>1056</v>
      </c>
      <c r="C463" s="957" t="s">
        <v>3</v>
      </c>
      <c r="D463" s="957" t="s">
        <v>1057</v>
      </c>
      <c r="E463" s="957" t="s">
        <v>1058</v>
      </c>
      <c r="F463" s="957" t="s">
        <v>1059</v>
      </c>
      <c r="G463" s="958" t="s">
        <v>1060</v>
      </c>
    </row>
    <row r="464" spans="1:7" x14ac:dyDescent="0.25">
      <c r="A464" s="959"/>
      <c r="B464" s="960"/>
      <c r="C464" s="961"/>
      <c r="D464" s="962"/>
      <c r="E464" s="962"/>
      <c r="F464" s="962"/>
      <c r="G464" s="963"/>
    </row>
    <row r="465" spans="1:7" x14ac:dyDescent="0.25">
      <c r="A465" s="964" t="s">
        <v>1061</v>
      </c>
      <c r="B465" s="965" t="s">
        <v>1145</v>
      </c>
      <c r="C465" s="966" t="s">
        <v>183</v>
      </c>
      <c r="D465" s="967">
        <f>+C460</f>
        <v>12</v>
      </c>
      <c r="E465" s="967">
        <f>+'RBD Material'!H24</f>
        <v>645.6</v>
      </c>
      <c r="F465" s="967">
        <f>+E465*D465</f>
        <v>7747.2000000000007</v>
      </c>
      <c r="G465" s="968"/>
    </row>
    <row r="466" spans="1:7" x14ac:dyDescent="0.25">
      <c r="A466" s="969"/>
      <c r="B466" s="970"/>
      <c r="C466" s="971"/>
      <c r="D466" s="972"/>
      <c r="E466" s="972"/>
      <c r="F466" s="972"/>
      <c r="G466" s="973"/>
    </row>
    <row r="467" spans="1:7" x14ac:dyDescent="0.25">
      <c r="A467" s="956"/>
      <c r="B467" s="957" t="s">
        <v>1063</v>
      </c>
      <c r="C467" s="957"/>
      <c r="D467" s="974"/>
      <c r="E467" s="974"/>
      <c r="F467" s="974">
        <f>SUM(F465:F466)</f>
        <v>7747.2000000000007</v>
      </c>
      <c r="G467" s="958"/>
    </row>
    <row r="468" spans="1:7" x14ac:dyDescent="0.25">
      <c r="A468" s="950"/>
      <c r="B468" s="951"/>
      <c r="C468" s="952"/>
      <c r="D468" s="951"/>
      <c r="E468" s="951"/>
      <c r="F468" s="951"/>
      <c r="G468" s="953"/>
    </row>
    <row r="469" spans="1:7" x14ac:dyDescent="0.25">
      <c r="A469" s="956" t="s">
        <v>1055</v>
      </c>
      <c r="B469" s="957" t="s">
        <v>1064</v>
      </c>
      <c r="C469" s="957" t="s">
        <v>3</v>
      </c>
      <c r="D469" s="957" t="s">
        <v>1057</v>
      </c>
      <c r="E469" s="957" t="s">
        <v>1058</v>
      </c>
      <c r="F469" s="957" t="s">
        <v>1059</v>
      </c>
      <c r="G469" s="958"/>
    </row>
    <row r="470" spans="1:7" x14ac:dyDescent="0.25">
      <c r="A470" s="959"/>
      <c r="B470" s="960"/>
      <c r="C470" s="961"/>
      <c r="D470" s="960"/>
      <c r="E470" s="960"/>
      <c r="F470" s="960"/>
      <c r="G470" s="963"/>
    </row>
    <row r="471" spans="1:7" x14ac:dyDescent="0.25">
      <c r="A471" s="975" t="s">
        <v>1103</v>
      </c>
      <c r="B471" s="976" t="s">
        <v>1120</v>
      </c>
      <c r="C471" s="977" t="s">
        <v>1072</v>
      </c>
      <c r="D471" s="978"/>
      <c r="E471" s="978"/>
      <c r="F471" s="967">
        <v>650</v>
      </c>
      <c r="G471" s="979"/>
    </row>
    <row r="472" spans="1:7" x14ac:dyDescent="0.25">
      <c r="A472" s="969" t="s">
        <v>1065</v>
      </c>
      <c r="B472" s="970"/>
      <c r="C472" s="971"/>
      <c r="D472" s="972"/>
      <c r="E472" s="972"/>
      <c r="F472" s="972"/>
      <c r="G472" s="980"/>
    </row>
    <row r="473" spans="1:7" x14ac:dyDescent="0.25">
      <c r="A473" s="956"/>
      <c r="B473" s="957" t="s">
        <v>1066</v>
      </c>
      <c r="C473" s="957"/>
      <c r="D473" s="974"/>
      <c r="E473" s="974"/>
      <c r="F473" s="974">
        <f>SUM(F471:F472)</f>
        <v>650</v>
      </c>
      <c r="G473" s="981"/>
    </row>
    <row r="474" spans="1:7" x14ac:dyDescent="0.25">
      <c r="A474" s="950"/>
      <c r="B474" s="951"/>
      <c r="C474" s="952"/>
      <c r="D474" s="951"/>
      <c r="E474" s="951"/>
      <c r="F474" s="951"/>
      <c r="G474" s="953"/>
    </row>
    <row r="475" spans="1:7" x14ac:dyDescent="0.25">
      <c r="A475" s="956" t="s">
        <v>1055</v>
      </c>
      <c r="B475" s="957" t="s">
        <v>1067</v>
      </c>
      <c r="C475" s="957" t="s">
        <v>3</v>
      </c>
      <c r="D475" s="957" t="s">
        <v>1057</v>
      </c>
      <c r="E475" s="957" t="s">
        <v>1058</v>
      </c>
      <c r="F475" s="957" t="s">
        <v>1059</v>
      </c>
      <c r="G475" s="958"/>
    </row>
    <row r="476" spans="1:7" x14ac:dyDescent="0.25">
      <c r="A476" s="959"/>
      <c r="B476" s="960"/>
      <c r="C476" s="961"/>
      <c r="D476" s="960"/>
      <c r="E476" s="960"/>
      <c r="F476" s="960"/>
      <c r="G476" s="963"/>
    </row>
    <row r="477" spans="1:7" x14ac:dyDescent="0.25">
      <c r="A477" s="975" t="s">
        <v>1068</v>
      </c>
      <c r="B477" s="976" t="s">
        <v>1140</v>
      </c>
      <c r="C477" s="977" t="s">
        <v>1094</v>
      </c>
      <c r="D477" s="978">
        <f>+C460*10.76/70</f>
        <v>1.8445714285714285</v>
      </c>
      <c r="E477" s="978">
        <f>+'RBD Material'!D12</f>
        <v>1100</v>
      </c>
      <c r="F477" s="967"/>
      <c r="G477" s="982"/>
    </row>
    <row r="478" spans="1:7" x14ac:dyDescent="0.25">
      <c r="A478" s="975" t="s">
        <v>1070</v>
      </c>
      <c r="B478" s="976" t="s">
        <v>1137</v>
      </c>
      <c r="C478" s="977" t="s">
        <v>1072</v>
      </c>
      <c r="D478" s="978"/>
      <c r="E478" s="978"/>
      <c r="F478" s="967"/>
      <c r="G478" s="982"/>
    </row>
    <row r="479" spans="1:7" x14ac:dyDescent="0.25">
      <c r="A479" s="975" t="s">
        <v>1073</v>
      </c>
      <c r="B479" s="976" t="s">
        <v>1138</v>
      </c>
      <c r="C479" s="977" t="s">
        <v>1125</v>
      </c>
      <c r="D479" s="978">
        <f>+C460*10.76/125</f>
        <v>1.0329600000000001</v>
      </c>
      <c r="E479" s="978">
        <f>+'RBD Material'!D13</f>
        <v>650</v>
      </c>
      <c r="F479" s="967">
        <f t="shared" ref="F479" si="12">+E479*D479</f>
        <v>671.42400000000009</v>
      </c>
      <c r="G479" s="982"/>
    </row>
    <row r="480" spans="1:7" x14ac:dyDescent="0.25">
      <c r="A480" s="975" t="s">
        <v>1123</v>
      </c>
      <c r="B480" s="976" t="s">
        <v>1139</v>
      </c>
      <c r="C480" s="977" t="s">
        <v>1125</v>
      </c>
      <c r="D480" s="978">
        <f>+C460*10.76/75</f>
        <v>1.7216</v>
      </c>
      <c r="E480" s="978">
        <f>+'RBD Material'!D14</f>
        <v>3100</v>
      </c>
      <c r="F480" s="967">
        <f>+E480*D480</f>
        <v>5336.96</v>
      </c>
      <c r="G480" s="982"/>
    </row>
    <row r="481" spans="1:7" x14ac:dyDescent="0.25">
      <c r="A481" s="975" t="s">
        <v>1142</v>
      </c>
      <c r="B481" s="976" t="s">
        <v>1141</v>
      </c>
      <c r="C481" s="977" t="s">
        <v>1072</v>
      </c>
      <c r="D481" s="978"/>
      <c r="E481" s="978"/>
      <c r="F481" s="967">
        <v>400</v>
      </c>
      <c r="G481" s="982"/>
    </row>
    <row r="482" spans="1:7" x14ac:dyDescent="0.25">
      <c r="A482" s="969" t="s">
        <v>1065</v>
      </c>
      <c r="B482" s="970"/>
      <c r="C482" s="971"/>
      <c r="D482" s="972"/>
      <c r="E482" s="972"/>
      <c r="F482" s="972"/>
      <c r="G482" s="973"/>
    </row>
    <row r="483" spans="1:7" x14ac:dyDescent="0.25">
      <c r="A483" s="956"/>
      <c r="B483" s="957" t="s">
        <v>1075</v>
      </c>
      <c r="C483" s="957"/>
      <c r="D483" s="974"/>
      <c r="E483" s="974"/>
      <c r="F483" s="974">
        <f>SUM(F476:F482)</f>
        <v>6408.384</v>
      </c>
      <c r="G483" s="958"/>
    </row>
    <row r="484" spans="1:7" x14ac:dyDescent="0.25">
      <c r="A484" s="950"/>
      <c r="B484" s="951"/>
      <c r="C484" s="952"/>
      <c r="D484" s="951"/>
      <c r="E484" s="951"/>
      <c r="F484" s="951"/>
      <c r="G484" s="953"/>
    </row>
    <row r="485" spans="1:7" x14ac:dyDescent="0.25">
      <c r="A485" s="956" t="s">
        <v>1055</v>
      </c>
      <c r="B485" s="957" t="s">
        <v>1076</v>
      </c>
      <c r="C485" s="957" t="s">
        <v>3</v>
      </c>
      <c r="D485" s="957" t="s">
        <v>1057</v>
      </c>
      <c r="E485" s="957" t="s">
        <v>1058</v>
      </c>
      <c r="F485" s="957" t="s">
        <v>1059</v>
      </c>
      <c r="G485" s="958"/>
    </row>
    <row r="486" spans="1:7" x14ac:dyDescent="0.25">
      <c r="A486" s="959"/>
      <c r="B486" s="960"/>
      <c r="C486" s="961"/>
      <c r="D486" s="960"/>
      <c r="E486" s="960"/>
      <c r="F486" s="960"/>
      <c r="G486" s="963"/>
    </row>
    <row r="487" spans="1:7" x14ac:dyDescent="0.25">
      <c r="A487" s="975">
        <v>4</v>
      </c>
      <c r="B487" s="976" t="s">
        <v>1077</v>
      </c>
      <c r="C487" s="977" t="s">
        <v>1078</v>
      </c>
      <c r="D487" s="983">
        <v>0.02</v>
      </c>
      <c r="E487" s="978">
        <f>+F467</f>
        <v>7747.2000000000007</v>
      </c>
      <c r="F487" s="978">
        <f>+E487*D487</f>
        <v>154.94400000000002</v>
      </c>
      <c r="G487" s="982"/>
    </row>
    <row r="488" spans="1:7" x14ac:dyDescent="0.25">
      <c r="A488" s="975">
        <v>5</v>
      </c>
      <c r="B488" s="976" t="s">
        <v>1079</v>
      </c>
      <c r="C488" s="977" t="s">
        <v>1078</v>
      </c>
      <c r="D488" s="983">
        <v>0.1</v>
      </c>
      <c r="E488" s="978">
        <f>+F483</f>
        <v>6408.384</v>
      </c>
      <c r="F488" s="978">
        <f>+E488*D488</f>
        <v>640.83840000000009</v>
      </c>
      <c r="G488" s="982"/>
    </row>
    <row r="489" spans="1:7" x14ac:dyDescent="0.25">
      <c r="A489" s="969" t="s">
        <v>1065</v>
      </c>
      <c r="B489" s="970"/>
      <c r="C489" s="971"/>
      <c r="D489" s="972"/>
      <c r="E489" s="972"/>
      <c r="F489" s="972"/>
      <c r="G489" s="973"/>
    </row>
    <row r="490" spans="1:7" x14ac:dyDescent="0.25">
      <c r="A490" s="956"/>
      <c r="B490" s="957" t="s">
        <v>1080</v>
      </c>
      <c r="C490" s="957"/>
      <c r="D490" s="974"/>
      <c r="E490" s="974"/>
      <c r="F490" s="974">
        <f>SUM(F487:F489)</f>
        <v>795.78240000000005</v>
      </c>
      <c r="G490" s="958"/>
    </row>
    <row r="491" spans="1:7" x14ac:dyDescent="0.25">
      <c r="A491" s="950"/>
      <c r="B491" s="951"/>
      <c r="C491" s="952"/>
      <c r="D491" s="951"/>
      <c r="E491" s="951"/>
      <c r="F491" s="951"/>
      <c r="G491" s="953"/>
    </row>
    <row r="492" spans="1:7" x14ac:dyDescent="0.25">
      <c r="A492" s="984"/>
      <c r="B492" s="985" t="s">
        <v>1081</v>
      </c>
      <c r="C492" s="1445" t="s">
        <v>1082</v>
      </c>
      <c r="D492" s="1445"/>
      <c r="E492" s="985"/>
      <c r="F492" s="986">
        <f>+F490+F483+F473+F467</f>
        <v>15601.366400000001</v>
      </c>
      <c r="G492" s="987"/>
    </row>
    <row r="493" spans="1:7" x14ac:dyDescent="0.25">
      <c r="A493" s="950"/>
      <c r="B493" s="951"/>
      <c r="C493" s="952"/>
      <c r="D493" s="951"/>
      <c r="E493" s="951"/>
      <c r="F493" s="988"/>
      <c r="G493" s="953"/>
    </row>
    <row r="494" spans="1:7" x14ac:dyDescent="0.25">
      <c r="A494" s="984"/>
      <c r="B494" s="985" t="s">
        <v>1083</v>
      </c>
      <c r="C494" s="1445">
        <v>0</v>
      </c>
      <c r="D494" s="1445" t="s">
        <v>1084</v>
      </c>
      <c r="E494" s="985"/>
      <c r="F494" s="986"/>
      <c r="G494" s="987"/>
    </row>
    <row r="495" spans="1:7" x14ac:dyDescent="0.25">
      <c r="A495" s="950"/>
      <c r="B495" s="951"/>
      <c r="C495" s="952"/>
      <c r="D495" s="951"/>
      <c r="E495" s="951"/>
      <c r="F495" s="988"/>
      <c r="G495" s="953"/>
    </row>
    <row r="496" spans="1:7" x14ac:dyDescent="0.25">
      <c r="A496" s="984"/>
      <c r="B496" s="985" t="s">
        <v>1085</v>
      </c>
      <c r="C496" s="1445" t="s">
        <v>1086</v>
      </c>
      <c r="D496" s="1445"/>
      <c r="E496" s="985"/>
      <c r="F496" s="986">
        <f>+F492+F494</f>
        <v>15601.366400000001</v>
      </c>
      <c r="G496" s="987"/>
    </row>
    <row r="497" spans="1:7" x14ac:dyDescent="0.25">
      <c r="A497" s="950"/>
      <c r="B497" s="951"/>
      <c r="C497" s="952"/>
      <c r="D497" s="951"/>
      <c r="E497" s="951"/>
      <c r="F497" s="988"/>
      <c r="G497" s="953"/>
    </row>
    <row r="498" spans="1:7" x14ac:dyDescent="0.25">
      <c r="A498" s="984"/>
      <c r="B498" s="985" t="s">
        <v>1087</v>
      </c>
      <c r="C498" s="1446" t="s">
        <v>1112</v>
      </c>
      <c r="D498" s="1446">
        <v>10</v>
      </c>
      <c r="E498" s="989">
        <f>+C460</f>
        <v>12</v>
      </c>
      <c r="F498" s="986">
        <f>+F496/E498</f>
        <v>1300.1138666666668</v>
      </c>
      <c r="G498" s="987"/>
    </row>
    <row r="499" spans="1:7" x14ac:dyDescent="0.25">
      <c r="A499" s="950"/>
      <c r="B499" s="951"/>
      <c r="C499" s="990"/>
      <c r="D499" s="990"/>
      <c r="E499" s="991"/>
      <c r="F499" s="988"/>
      <c r="G499" s="953"/>
    </row>
    <row r="500" spans="1:7" ht="12.6" thickBot="1" x14ac:dyDescent="0.3">
      <c r="A500" s="992"/>
      <c r="B500" s="993" t="s">
        <v>1089</v>
      </c>
      <c r="C500" s="1447" t="s">
        <v>1113</v>
      </c>
      <c r="D500" s="1447"/>
      <c r="E500" s="994" t="str">
        <f>+D460</f>
        <v>m2</v>
      </c>
      <c r="F500" s="995">
        <f>+F498</f>
        <v>1300.1138666666668</v>
      </c>
      <c r="G500" s="996"/>
    </row>
    <row r="501" spans="1:7" x14ac:dyDescent="0.25">
      <c r="A501" s="945"/>
      <c r="B501" s="946" t="s">
        <v>1049</v>
      </c>
      <c r="C501" s="947"/>
      <c r="D501" s="946"/>
      <c r="E501" s="946"/>
      <c r="F501" s="946"/>
      <c r="G501" s="948"/>
    </row>
    <row r="502" spans="1:7" x14ac:dyDescent="0.25">
      <c r="A502" s="950"/>
      <c r="B502" s="951" t="s">
        <v>1050</v>
      </c>
      <c r="C502" s="952"/>
      <c r="D502" s="951"/>
      <c r="E502" s="951"/>
      <c r="F502" s="951"/>
      <c r="G502" s="953"/>
    </row>
    <row r="503" spans="1:7" x14ac:dyDescent="0.25">
      <c r="A503" s="950"/>
      <c r="B503" s="951" t="s">
        <v>1051</v>
      </c>
      <c r="C503" s="954" t="s">
        <v>1146</v>
      </c>
      <c r="D503" s="954"/>
      <c r="E503" s="954"/>
      <c r="F503" s="954"/>
      <c r="G503" s="955"/>
    </row>
    <row r="504" spans="1:7" ht="37.200000000000003" customHeight="1" x14ac:dyDescent="0.25">
      <c r="A504" s="950"/>
      <c r="B504" s="951"/>
      <c r="C504" s="1448" t="s">
        <v>1147</v>
      </c>
      <c r="D504" s="1448"/>
      <c r="E504" s="1448"/>
      <c r="F504" s="1448"/>
      <c r="G504" s="1449"/>
    </row>
    <row r="505" spans="1:7" x14ac:dyDescent="0.25">
      <c r="A505" s="950"/>
      <c r="B505" s="951" t="s">
        <v>1053</v>
      </c>
      <c r="C505" s="952">
        <v>12</v>
      </c>
      <c r="D505" s="951" t="s">
        <v>183</v>
      </c>
      <c r="E505" s="951"/>
      <c r="F505" s="951"/>
      <c r="G505" s="953"/>
    </row>
    <row r="506" spans="1:7" x14ac:dyDescent="0.25">
      <c r="A506" s="950"/>
      <c r="B506" s="951" t="s">
        <v>1054</v>
      </c>
      <c r="C506" s="952"/>
      <c r="D506" s="951"/>
      <c r="E506" s="951"/>
      <c r="F506" s="951"/>
      <c r="G506" s="953"/>
    </row>
    <row r="507" spans="1:7" x14ac:dyDescent="0.25">
      <c r="A507" s="950"/>
      <c r="B507" s="951"/>
      <c r="C507" s="952"/>
      <c r="D507" s="951"/>
      <c r="E507" s="951"/>
      <c r="F507" s="951"/>
      <c r="G507" s="953"/>
    </row>
    <row r="508" spans="1:7" x14ac:dyDescent="0.25">
      <c r="A508" s="956" t="s">
        <v>1055</v>
      </c>
      <c r="B508" s="957" t="s">
        <v>1056</v>
      </c>
      <c r="C508" s="957" t="s">
        <v>3</v>
      </c>
      <c r="D508" s="957" t="s">
        <v>1057</v>
      </c>
      <c r="E508" s="957" t="s">
        <v>1058</v>
      </c>
      <c r="F508" s="957" t="s">
        <v>1059</v>
      </c>
      <c r="G508" s="958" t="s">
        <v>1060</v>
      </c>
    </row>
    <row r="509" spans="1:7" x14ac:dyDescent="0.25">
      <c r="A509" s="959"/>
      <c r="B509" s="960"/>
      <c r="C509" s="961"/>
      <c r="D509" s="962"/>
      <c r="E509" s="962"/>
      <c r="F509" s="962"/>
      <c r="G509" s="963"/>
    </row>
    <row r="510" spans="1:7" x14ac:dyDescent="0.25">
      <c r="A510" s="964" t="s">
        <v>1061</v>
      </c>
      <c r="B510" s="965" t="s">
        <v>1148</v>
      </c>
      <c r="C510" s="966" t="s">
        <v>183</v>
      </c>
      <c r="D510" s="967">
        <f>+C505</f>
        <v>12</v>
      </c>
      <c r="E510" s="967">
        <f>+'RBD Material'!H25</f>
        <v>355.08</v>
      </c>
      <c r="F510" s="967">
        <f>+E510*D510</f>
        <v>4260.96</v>
      </c>
      <c r="G510" s="968"/>
    </row>
    <row r="511" spans="1:7" x14ac:dyDescent="0.25">
      <c r="A511" s="969"/>
      <c r="B511" s="970"/>
      <c r="C511" s="971"/>
      <c r="D511" s="972"/>
      <c r="E511" s="972"/>
      <c r="F511" s="972"/>
      <c r="G511" s="973"/>
    </row>
    <row r="512" spans="1:7" x14ac:dyDescent="0.25">
      <c r="A512" s="956"/>
      <c r="B512" s="957" t="s">
        <v>1063</v>
      </c>
      <c r="C512" s="957"/>
      <c r="D512" s="974"/>
      <c r="E512" s="974"/>
      <c r="F512" s="974">
        <f>SUM(F510:F511)</f>
        <v>4260.96</v>
      </c>
      <c r="G512" s="958"/>
    </row>
    <row r="513" spans="1:7" x14ac:dyDescent="0.25">
      <c r="A513" s="950"/>
      <c r="B513" s="951"/>
      <c r="C513" s="952"/>
      <c r="D513" s="951"/>
      <c r="E513" s="951"/>
      <c r="F513" s="951"/>
      <c r="G513" s="953"/>
    </row>
    <row r="514" spans="1:7" x14ac:dyDescent="0.25">
      <c r="A514" s="956" t="s">
        <v>1055</v>
      </c>
      <c r="B514" s="957" t="s">
        <v>1064</v>
      </c>
      <c r="C514" s="957" t="s">
        <v>3</v>
      </c>
      <c r="D514" s="957" t="s">
        <v>1057</v>
      </c>
      <c r="E514" s="957" t="s">
        <v>1058</v>
      </c>
      <c r="F514" s="957" t="s">
        <v>1059</v>
      </c>
      <c r="G514" s="958"/>
    </row>
    <row r="515" spans="1:7" x14ac:dyDescent="0.25">
      <c r="A515" s="959"/>
      <c r="B515" s="960"/>
      <c r="C515" s="961"/>
      <c r="D515" s="960"/>
      <c r="E515" s="960"/>
      <c r="F515" s="960"/>
      <c r="G515" s="963"/>
    </row>
    <row r="516" spans="1:7" x14ac:dyDescent="0.25">
      <c r="A516" s="975" t="s">
        <v>1103</v>
      </c>
      <c r="B516" s="976" t="s">
        <v>1120</v>
      </c>
      <c r="C516" s="977" t="s">
        <v>1072</v>
      </c>
      <c r="D516" s="978"/>
      <c r="E516" s="978"/>
      <c r="F516" s="967">
        <v>2700</v>
      </c>
      <c r="G516" s="979"/>
    </row>
    <row r="517" spans="1:7" x14ac:dyDescent="0.25">
      <c r="A517" s="969" t="s">
        <v>1065</v>
      </c>
      <c r="B517" s="970"/>
      <c r="C517" s="971"/>
      <c r="D517" s="972"/>
      <c r="E517" s="972"/>
      <c r="F517" s="972"/>
      <c r="G517" s="980"/>
    </row>
    <row r="518" spans="1:7" x14ac:dyDescent="0.25">
      <c r="A518" s="956"/>
      <c r="B518" s="957" t="s">
        <v>1066</v>
      </c>
      <c r="C518" s="957"/>
      <c r="D518" s="974"/>
      <c r="E518" s="974"/>
      <c r="F518" s="974">
        <f>SUM(F516:F517)</f>
        <v>2700</v>
      </c>
      <c r="G518" s="981"/>
    </row>
    <row r="519" spans="1:7" x14ac:dyDescent="0.25">
      <c r="A519" s="950"/>
      <c r="B519" s="951"/>
      <c r="C519" s="952"/>
      <c r="D519" s="951"/>
      <c r="E519" s="951"/>
      <c r="F519" s="951"/>
      <c r="G519" s="953"/>
    </row>
    <row r="520" spans="1:7" x14ac:dyDescent="0.25">
      <c r="A520" s="956" t="s">
        <v>1055</v>
      </c>
      <c r="B520" s="957" t="s">
        <v>1067</v>
      </c>
      <c r="C520" s="957" t="s">
        <v>3</v>
      </c>
      <c r="D520" s="957" t="s">
        <v>1057</v>
      </c>
      <c r="E520" s="957" t="s">
        <v>1058</v>
      </c>
      <c r="F520" s="957" t="s">
        <v>1059</v>
      </c>
      <c r="G520" s="958"/>
    </row>
    <row r="521" spans="1:7" x14ac:dyDescent="0.25">
      <c r="A521" s="959"/>
      <c r="B521" s="960"/>
      <c r="C521" s="961"/>
      <c r="D521" s="960"/>
      <c r="E521" s="960"/>
      <c r="F521" s="960"/>
      <c r="G521" s="963"/>
    </row>
    <row r="522" spans="1:7" x14ac:dyDescent="0.25">
      <c r="A522" s="975" t="s">
        <v>1068</v>
      </c>
      <c r="B522" s="976" t="s">
        <v>1149</v>
      </c>
      <c r="C522" s="977" t="s">
        <v>1125</v>
      </c>
      <c r="D522" s="978">
        <f>+C505*10.76/110</f>
        <v>1.1738181818181819</v>
      </c>
      <c r="E522" s="978">
        <f>+'RBD Material'!D16</f>
        <v>900</v>
      </c>
      <c r="F522" s="967">
        <f t="shared" ref="F522" si="13">+E522*D522</f>
        <v>1056.4363636363637</v>
      </c>
      <c r="G522" s="982"/>
    </row>
    <row r="523" spans="1:7" x14ac:dyDescent="0.25">
      <c r="A523" s="975" t="s">
        <v>1070</v>
      </c>
      <c r="B523" s="976" t="s">
        <v>1150</v>
      </c>
      <c r="C523" s="977" t="s">
        <v>1125</v>
      </c>
      <c r="D523" s="978">
        <f>+C505*10.76/90</f>
        <v>1.4346666666666668</v>
      </c>
      <c r="E523" s="978">
        <f>+'RBD Material'!D15</f>
        <v>3700</v>
      </c>
      <c r="F523" s="967">
        <f>+E523*D523</f>
        <v>5308.2666666666673</v>
      </c>
      <c r="G523" s="982"/>
    </row>
    <row r="524" spans="1:7" x14ac:dyDescent="0.25">
      <c r="A524" s="975" t="s">
        <v>1073</v>
      </c>
      <c r="B524" s="976" t="s">
        <v>1141</v>
      </c>
      <c r="C524" s="977" t="s">
        <v>1072</v>
      </c>
      <c r="D524" s="978"/>
      <c r="E524" s="978"/>
      <c r="F524" s="967">
        <v>500</v>
      </c>
      <c r="G524" s="982"/>
    </row>
    <row r="525" spans="1:7" x14ac:dyDescent="0.25">
      <c r="A525" s="969" t="s">
        <v>1065</v>
      </c>
      <c r="B525" s="970"/>
      <c r="C525" s="971"/>
      <c r="D525" s="972"/>
      <c r="E525" s="972"/>
      <c r="F525" s="972"/>
      <c r="G525" s="973"/>
    </row>
    <row r="526" spans="1:7" x14ac:dyDescent="0.25">
      <c r="A526" s="956"/>
      <c r="B526" s="957" t="s">
        <v>1075</v>
      </c>
      <c r="C526" s="957"/>
      <c r="D526" s="974"/>
      <c r="E526" s="974"/>
      <c r="F526" s="974">
        <f>SUM(F521:F525)</f>
        <v>6864.7030303030315</v>
      </c>
      <c r="G526" s="958"/>
    </row>
    <row r="527" spans="1:7" x14ac:dyDescent="0.25">
      <c r="A527" s="950"/>
      <c r="B527" s="951"/>
      <c r="C527" s="952"/>
      <c r="D527" s="951"/>
      <c r="E527" s="951"/>
      <c r="F527" s="951"/>
      <c r="G527" s="953"/>
    </row>
    <row r="528" spans="1:7" x14ac:dyDescent="0.25">
      <c r="A528" s="956" t="s">
        <v>1055</v>
      </c>
      <c r="B528" s="957" t="s">
        <v>1076</v>
      </c>
      <c r="C528" s="957" t="s">
        <v>3</v>
      </c>
      <c r="D528" s="957" t="s">
        <v>1057</v>
      </c>
      <c r="E528" s="957" t="s">
        <v>1058</v>
      </c>
      <c r="F528" s="957" t="s">
        <v>1059</v>
      </c>
      <c r="G528" s="958"/>
    </row>
    <row r="529" spans="1:7" x14ac:dyDescent="0.25">
      <c r="A529" s="959"/>
      <c r="B529" s="960"/>
      <c r="C529" s="961"/>
      <c r="D529" s="960"/>
      <c r="E529" s="960"/>
      <c r="F529" s="960"/>
      <c r="G529" s="963"/>
    </row>
    <row r="530" spans="1:7" x14ac:dyDescent="0.25">
      <c r="A530" s="975">
        <v>4</v>
      </c>
      <c r="B530" s="976" t="s">
        <v>1077</v>
      </c>
      <c r="C530" s="977" t="s">
        <v>1078</v>
      </c>
      <c r="D530" s="983">
        <v>0.02</v>
      </c>
      <c r="E530" s="978">
        <f>+F512</f>
        <v>4260.96</v>
      </c>
      <c r="F530" s="978">
        <f>+E530*D530</f>
        <v>85.219200000000001</v>
      </c>
      <c r="G530" s="982"/>
    </row>
    <row r="531" spans="1:7" x14ac:dyDescent="0.25">
      <c r="A531" s="975">
        <v>5</v>
      </c>
      <c r="B531" s="976" t="s">
        <v>1079</v>
      </c>
      <c r="C531" s="977" t="s">
        <v>1078</v>
      </c>
      <c r="D531" s="983">
        <v>0.1</v>
      </c>
      <c r="E531" s="978">
        <f>+F526</f>
        <v>6864.7030303030315</v>
      </c>
      <c r="F531" s="978">
        <f>+E531*D531</f>
        <v>686.47030303030317</v>
      </c>
      <c r="G531" s="982"/>
    </row>
    <row r="532" spans="1:7" x14ac:dyDescent="0.25">
      <c r="A532" s="969" t="s">
        <v>1065</v>
      </c>
      <c r="B532" s="970"/>
      <c r="C532" s="971"/>
      <c r="D532" s="972"/>
      <c r="E532" s="972"/>
      <c r="F532" s="972"/>
      <c r="G532" s="973"/>
    </row>
    <row r="533" spans="1:7" x14ac:dyDescent="0.25">
      <c r="A533" s="956"/>
      <c r="B533" s="957" t="s">
        <v>1080</v>
      </c>
      <c r="C533" s="957"/>
      <c r="D533" s="974"/>
      <c r="E533" s="974"/>
      <c r="F533" s="974">
        <f>SUM(F530:F532)</f>
        <v>771.68950303030317</v>
      </c>
      <c r="G533" s="958"/>
    </row>
    <row r="534" spans="1:7" x14ac:dyDescent="0.25">
      <c r="A534" s="950"/>
      <c r="B534" s="951"/>
      <c r="C534" s="952"/>
      <c r="D534" s="951"/>
      <c r="E534" s="951"/>
      <c r="F534" s="951"/>
      <c r="G534" s="953"/>
    </row>
    <row r="535" spans="1:7" x14ac:dyDescent="0.25">
      <c r="A535" s="984"/>
      <c r="B535" s="985" t="s">
        <v>1081</v>
      </c>
      <c r="C535" s="1445" t="s">
        <v>1082</v>
      </c>
      <c r="D535" s="1445"/>
      <c r="E535" s="985"/>
      <c r="F535" s="986">
        <f>+F533+F526+F518+F512</f>
        <v>14597.352533333335</v>
      </c>
      <c r="G535" s="987"/>
    </row>
    <row r="536" spans="1:7" x14ac:dyDescent="0.25">
      <c r="A536" s="950"/>
      <c r="B536" s="951"/>
      <c r="C536" s="952"/>
      <c r="D536" s="951"/>
      <c r="E536" s="951"/>
      <c r="F536" s="988"/>
      <c r="G536" s="953"/>
    </row>
    <row r="537" spans="1:7" x14ac:dyDescent="0.25">
      <c r="A537" s="984"/>
      <c r="B537" s="985" t="s">
        <v>1083</v>
      </c>
      <c r="C537" s="1445">
        <v>0</v>
      </c>
      <c r="D537" s="1445" t="s">
        <v>1084</v>
      </c>
      <c r="E537" s="985"/>
      <c r="F537" s="986"/>
      <c r="G537" s="987"/>
    </row>
    <row r="538" spans="1:7" x14ac:dyDescent="0.25">
      <c r="A538" s="950"/>
      <c r="B538" s="951"/>
      <c r="C538" s="952"/>
      <c r="D538" s="951"/>
      <c r="E538" s="951"/>
      <c r="F538" s="988"/>
      <c r="G538" s="953"/>
    </row>
    <row r="539" spans="1:7" x14ac:dyDescent="0.25">
      <c r="A539" s="984"/>
      <c r="B539" s="985" t="s">
        <v>1085</v>
      </c>
      <c r="C539" s="1445" t="s">
        <v>1086</v>
      </c>
      <c r="D539" s="1445"/>
      <c r="E539" s="985"/>
      <c r="F539" s="986">
        <f>+F535+F537</f>
        <v>14597.352533333335</v>
      </c>
      <c r="G539" s="987"/>
    </row>
    <row r="540" spans="1:7" x14ac:dyDescent="0.25">
      <c r="A540" s="950"/>
      <c r="B540" s="951"/>
      <c r="C540" s="952"/>
      <c r="D540" s="951"/>
      <c r="E540" s="951"/>
      <c r="F540" s="988"/>
      <c r="G540" s="953"/>
    </row>
    <row r="541" spans="1:7" x14ac:dyDescent="0.25">
      <c r="A541" s="984"/>
      <c r="B541" s="985" t="s">
        <v>1087</v>
      </c>
      <c r="C541" s="1446" t="s">
        <v>1112</v>
      </c>
      <c r="D541" s="1446">
        <v>10</v>
      </c>
      <c r="E541" s="989">
        <f>+C505</f>
        <v>12</v>
      </c>
      <c r="F541" s="986">
        <f>+F539/E541</f>
        <v>1216.4460444444446</v>
      </c>
      <c r="G541" s="987"/>
    </row>
    <row r="542" spans="1:7" x14ac:dyDescent="0.25">
      <c r="A542" s="950"/>
      <c r="B542" s="951"/>
      <c r="C542" s="990"/>
      <c r="D542" s="990"/>
      <c r="E542" s="991"/>
      <c r="F542" s="988"/>
      <c r="G542" s="953"/>
    </row>
    <row r="543" spans="1:7" ht="12.6" thickBot="1" x14ac:dyDescent="0.3">
      <c r="A543" s="992"/>
      <c r="B543" s="993" t="s">
        <v>1089</v>
      </c>
      <c r="C543" s="1447" t="s">
        <v>1113</v>
      </c>
      <c r="D543" s="1447"/>
      <c r="E543" s="994" t="str">
        <f>+D505</f>
        <v>m2</v>
      </c>
      <c r="F543" s="995">
        <f>+F541</f>
        <v>1216.4460444444446</v>
      </c>
      <c r="G543" s="996"/>
    </row>
    <row r="544" spans="1:7" s="1001" customFormat="1" x14ac:dyDescent="0.25">
      <c r="A544" s="997"/>
      <c r="B544" s="998" t="s">
        <v>1049</v>
      </c>
      <c r="C544" s="999"/>
      <c r="D544" s="998"/>
      <c r="E544" s="998"/>
      <c r="F544" s="998"/>
      <c r="G544" s="1000"/>
    </row>
    <row r="545" spans="1:9" s="1001" customFormat="1" x14ac:dyDescent="0.25">
      <c r="A545" s="1002"/>
      <c r="B545" s="1003" t="s">
        <v>1050</v>
      </c>
      <c r="C545" s="1004"/>
      <c r="D545" s="1003"/>
      <c r="E545" s="1003"/>
      <c r="F545" s="1003"/>
      <c r="G545" s="1005"/>
    </row>
    <row r="546" spans="1:9" s="1001" customFormat="1" x14ac:dyDescent="0.25">
      <c r="A546" s="1002"/>
      <c r="B546" s="1003" t="s">
        <v>1051</v>
      </c>
      <c r="C546" s="1006" t="s">
        <v>1151</v>
      </c>
      <c r="D546" s="1006"/>
      <c r="E546" s="1006"/>
      <c r="F546" s="1006"/>
      <c r="G546" s="1007"/>
      <c r="I546" s="1001" t="s">
        <v>1152</v>
      </c>
    </row>
    <row r="547" spans="1:9" s="1001" customFormat="1" ht="30.6" customHeight="1" x14ac:dyDescent="0.25">
      <c r="A547" s="1002"/>
      <c r="B547" s="1003"/>
      <c r="C547" s="1453" t="s">
        <v>1153</v>
      </c>
      <c r="D547" s="1453"/>
      <c r="E547" s="1453"/>
      <c r="F547" s="1453"/>
      <c r="G547" s="1454"/>
    </row>
    <row r="548" spans="1:9" s="1001" customFormat="1" x14ac:dyDescent="0.25">
      <c r="A548" s="1002"/>
      <c r="B548" s="1003" t="s">
        <v>1053</v>
      </c>
      <c r="C548" s="1004">
        <v>10</v>
      </c>
      <c r="D548" s="1003" t="s">
        <v>183</v>
      </c>
      <c r="E548" s="1003"/>
      <c r="F548" s="1003"/>
      <c r="G548" s="1005"/>
    </row>
    <row r="549" spans="1:9" s="1001" customFormat="1" x14ac:dyDescent="0.25">
      <c r="A549" s="1002"/>
      <c r="B549" s="1003" t="s">
        <v>1054</v>
      </c>
      <c r="C549" s="1004"/>
      <c r="D549" s="1003"/>
      <c r="E549" s="1003"/>
      <c r="F549" s="1003"/>
      <c r="G549" s="1005"/>
    </row>
    <row r="550" spans="1:9" s="1001" customFormat="1" x14ac:dyDescent="0.25">
      <c r="A550" s="1002"/>
      <c r="B550" s="1003"/>
      <c r="C550" s="1004"/>
      <c r="D550" s="1003"/>
      <c r="E550" s="1003"/>
      <c r="F550" s="1003"/>
      <c r="G550" s="1005"/>
    </row>
    <row r="551" spans="1:9" s="1001" customFormat="1" x14ac:dyDescent="0.25">
      <c r="A551" s="1008" t="s">
        <v>1055</v>
      </c>
      <c r="B551" s="1009" t="s">
        <v>1056</v>
      </c>
      <c r="C551" s="1009" t="s">
        <v>3</v>
      </c>
      <c r="D551" s="1009" t="s">
        <v>1057</v>
      </c>
      <c r="E551" s="1009" t="s">
        <v>1058</v>
      </c>
      <c r="F551" s="1009" t="s">
        <v>1059</v>
      </c>
      <c r="G551" s="1010" t="s">
        <v>1060</v>
      </c>
    </row>
    <row r="552" spans="1:9" s="1001" customFormat="1" x14ac:dyDescent="0.25">
      <c r="A552" s="1011"/>
      <c r="B552" s="1012"/>
      <c r="C552" s="1013"/>
      <c r="D552" s="1014"/>
      <c r="E552" s="1014"/>
      <c r="F552" s="1014"/>
      <c r="G552" s="1015"/>
    </row>
    <row r="553" spans="1:9" s="1001" customFormat="1" x14ac:dyDescent="0.25">
      <c r="A553" s="1016" t="s">
        <v>1061</v>
      </c>
      <c r="B553" s="1017" t="s">
        <v>1154</v>
      </c>
      <c r="C553" s="1018" t="s">
        <v>183</v>
      </c>
      <c r="D553" s="1019">
        <f>+C548</f>
        <v>10</v>
      </c>
      <c r="E553" s="1019">
        <f>+'RBD Material'!H27</f>
        <v>968.4</v>
      </c>
      <c r="F553" s="1019">
        <f>+E553*D553</f>
        <v>9684</v>
      </c>
      <c r="G553" s="1020"/>
    </row>
    <row r="554" spans="1:9" s="1001" customFormat="1" x14ac:dyDescent="0.25">
      <c r="A554" s="1021"/>
      <c r="B554" s="1022"/>
      <c r="C554" s="1023"/>
      <c r="D554" s="1024"/>
      <c r="E554" s="1024"/>
      <c r="F554" s="1024"/>
      <c r="G554" s="1025"/>
    </row>
    <row r="555" spans="1:9" s="1001" customFormat="1" x14ac:dyDescent="0.25">
      <c r="A555" s="1008"/>
      <c r="B555" s="1009" t="s">
        <v>1063</v>
      </c>
      <c r="C555" s="1009"/>
      <c r="D555" s="1026"/>
      <c r="E555" s="1026"/>
      <c r="F555" s="1026">
        <f>SUM(F553:F554)</f>
        <v>9684</v>
      </c>
      <c r="G555" s="1010"/>
    </row>
    <row r="556" spans="1:9" s="1001" customFormat="1" x14ac:dyDescent="0.25">
      <c r="A556" s="1002"/>
      <c r="B556" s="1003"/>
      <c r="C556" s="1004"/>
      <c r="D556" s="1003"/>
      <c r="E556" s="1003"/>
      <c r="F556" s="1003"/>
      <c r="G556" s="1005"/>
    </row>
    <row r="557" spans="1:9" s="1001" customFormat="1" x14ac:dyDescent="0.25">
      <c r="A557" s="1008" t="s">
        <v>1055</v>
      </c>
      <c r="B557" s="1009" t="s">
        <v>1064</v>
      </c>
      <c r="C557" s="1009" t="s">
        <v>3</v>
      </c>
      <c r="D557" s="1009" t="s">
        <v>1057</v>
      </c>
      <c r="E557" s="1009" t="s">
        <v>1058</v>
      </c>
      <c r="F557" s="1009" t="s">
        <v>1059</v>
      </c>
      <c r="G557" s="1010"/>
    </row>
    <row r="558" spans="1:9" s="1001" customFormat="1" x14ac:dyDescent="0.25">
      <c r="A558" s="1011"/>
      <c r="B558" s="1012"/>
      <c r="C558" s="1013"/>
      <c r="D558" s="1012"/>
      <c r="E558" s="1012"/>
      <c r="F558" s="1012"/>
      <c r="G558" s="1015"/>
    </row>
    <row r="559" spans="1:9" s="1001" customFormat="1" x14ac:dyDescent="0.25">
      <c r="A559" s="1027"/>
      <c r="B559" s="1028"/>
      <c r="C559" s="1029"/>
      <c r="D559" s="1030"/>
      <c r="E559" s="1030"/>
      <c r="F559" s="1019"/>
      <c r="G559" s="1031"/>
    </row>
    <row r="560" spans="1:9" s="1001" customFormat="1" x14ac:dyDescent="0.25">
      <c r="A560" s="1021" t="s">
        <v>1065</v>
      </c>
      <c r="B560" s="1022"/>
      <c r="C560" s="1023"/>
      <c r="D560" s="1024"/>
      <c r="E560" s="1024"/>
      <c r="F560" s="1024"/>
      <c r="G560" s="1032"/>
    </row>
    <row r="561" spans="1:11" s="1001" customFormat="1" x14ac:dyDescent="0.25">
      <c r="A561" s="1008"/>
      <c r="B561" s="1009" t="s">
        <v>1066</v>
      </c>
      <c r="C561" s="1009"/>
      <c r="D561" s="1026"/>
      <c r="E561" s="1026"/>
      <c r="F561" s="1026">
        <f>SUM(F559:F560)</f>
        <v>0</v>
      </c>
      <c r="G561" s="1033"/>
      <c r="J561" s="1001" t="s">
        <v>1155</v>
      </c>
      <c r="K561" s="1001">
        <v>90</v>
      </c>
    </row>
    <row r="562" spans="1:11" s="1001" customFormat="1" x14ac:dyDescent="0.25">
      <c r="A562" s="1002"/>
      <c r="B562" s="1003"/>
      <c r="C562" s="1004"/>
      <c r="D562" s="1003"/>
      <c r="E562" s="1003"/>
      <c r="F562" s="1003"/>
      <c r="G562" s="1005"/>
      <c r="J562" s="1001" t="s">
        <v>1156</v>
      </c>
      <c r="K562" s="1001">
        <v>100</v>
      </c>
    </row>
    <row r="563" spans="1:11" s="1001" customFormat="1" x14ac:dyDescent="0.25">
      <c r="A563" s="1008" t="s">
        <v>1055</v>
      </c>
      <c r="B563" s="1009" t="s">
        <v>1067</v>
      </c>
      <c r="C563" s="1009" t="s">
        <v>3</v>
      </c>
      <c r="D563" s="1009" t="s">
        <v>1057</v>
      </c>
      <c r="E563" s="1009" t="s">
        <v>1058</v>
      </c>
      <c r="F563" s="1009" t="s">
        <v>1059</v>
      </c>
      <c r="G563" s="1010"/>
      <c r="J563" s="1001" t="s">
        <v>1157</v>
      </c>
      <c r="K563" s="1001">
        <v>180</v>
      </c>
    </row>
    <row r="564" spans="1:11" s="1001" customFormat="1" x14ac:dyDescent="0.25">
      <c r="A564" s="1011"/>
      <c r="B564" s="1012"/>
      <c r="C564" s="1013"/>
      <c r="D564" s="1012"/>
      <c r="E564" s="1012"/>
      <c r="F564" s="1012"/>
      <c r="G564" s="1015"/>
    </row>
    <row r="565" spans="1:11" s="1001" customFormat="1" x14ac:dyDescent="0.25">
      <c r="A565" s="1027" t="s">
        <v>1068</v>
      </c>
      <c r="B565" s="1028" t="s">
        <v>1158</v>
      </c>
      <c r="C565" s="1029" t="s">
        <v>1122</v>
      </c>
      <c r="D565" s="1030">
        <f>+C548*10.76</f>
        <v>107.6</v>
      </c>
      <c r="E565" s="1030">
        <f>+'RBD Material'!D17</f>
        <v>600</v>
      </c>
      <c r="F565" s="1019">
        <f>+E565*D565</f>
        <v>64560</v>
      </c>
      <c r="G565" s="1034"/>
    </row>
    <row r="566" spans="1:11" s="1001" customFormat="1" x14ac:dyDescent="0.25">
      <c r="A566" s="1027" t="s">
        <v>1073</v>
      </c>
      <c r="B566" s="1028" t="s">
        <v>1108</v>
      </c>
      <c r="C566" s="1029" t="s">
        <v>1094</v>
      </c>
      <c r="D566" s="1030">
        <v>0.18830000000000002</v>
      </c>
      <c r="E566" s="1030">
        <f>+'RBD Material'!D6</f>
        <v>2320</v>
      </c>
      <c r="F566" s="1019">
        <f t="shared" ref="F566:F567" si="14">+E566*D566</f>
        <v>436.85600000000005</v>
      </c>
      <c r="G566" s="1034"/>
    </row>
    <row r="567" spans="1:11" s="1001" customFormat="1" x14ac:dyDescent="0.25">
      <c r="A567" s="1027" t="s">
        <v>1123</v>
      </c>
      <c r="B567" s="1028" t="s">
        <v>1159</v>
      </c>
      <c r="C567" s="1029" t="s">
        <v>1110</v>
      </c>
      <c r="D567" s="1030">
        <v>0.02</v>
      </c>
      <c r="E567" s="1030">
        <f>+'RBD Material'!D7</f>
        <v>24500</v>
      </c>
      <c r="F567" s="1019">
        <f t="shared" si="14"/>
        <v>490</v>
      </c>
      <c r="G567" s="1034"/>
    </row>
    <row r="568" spans="1:11" s="1001" customFormat="1" x14ac:dyDescent="0.25">
      <c r="A568" s="1027" t="s">
        <v>1142</v>
      </c>
      <c r="B568" s="1028" t="s">
        <v>1160</v>
      </c>
      <c r="C568" s="1029" t="s">
        <v>1094</v>
      </c>
      <c r="D568" s="1030">
        <f>+H568</f>
        <v>2.6666666666666665</v>
      </c>
      <c r="E568" s="1030">
        <f>+'RBD Material'!D23</f>
        <v>2650</v>
      </c>
      <c r="F568" s="1019">
        <f>+E568*D568</f>
        <v>7066.6666666666661</v>
      </c>
      <c r="G568" s="1034"/>
      <c r="H568" s="1001">
        <f>+C548/3.75</f>
        <v>2.6666666666666665</v>
      </c>
    </row>
    <row r="569" spans="1:11" s="1001" customFormat="1" x14ac:dyDescent="0.25">
      <c r="A569" s="1027" t="s">
        <v>1161</v>
      </c>
      <c r="B569" s="1028" t="s">
        <v>1162</v>
      </c>
      <c r="C569" s="1029" t="s">
        <v>1094</v>
      </c>
      <c r="D569" s="1030">
        <v>0.1076</v>
      </c>
      <c r="E569" s="1030">
        <f>+'RBD Material'!D24</f>
        <v>280</v>
      </c>
      <c r="F569" s="1019">
        <f>+E569*D569</f>
        <v>30.128</v>
      </c>
      <c r="G569" s="1034"/>
    </row>
    <row r="570" spans="1:11" s="1001" customFormat="1" x14ac:dyDescent="0.25">
      <c r="A570" s="1027" t="s">
        <v>1163</v>
      </c>
      <c r="B570" s="1028" t="s">
        <v>1164</v>
      </c>
      <c r="C570" s="1029" t="s">
        <v>10</v>
      </c>
      <c r="D570" s="1030"/>
      <c r="E570" s="1030"/>
      <c r="F570" s="1019">
        <v>300</v>
      </c>
      <c r="G570" s="1034"/>
    </row>
    <row r="571" spans="1:11" s="1001" customFormat="1" x14ac:dyDescent="0.25">
      <c r="A571" s="1027"/>
      <c r="B571" s="1022"/>
      <c r="C571" s="1023"/>
      <c r="D571" s="1024"/>
      <c r="E571" s="1024"/>
      <c r="F571" s="1035"/>
      <c r="G571" s="1025"/>
    </row>
    <row r="572" spans="1:11" s="1001" customFormat="1" x14ac:dyDescent="0.25">
      <c r="A572" s="1008"/>
      <c r="B572" s="1009" t="s">
        <v>1075</v>
      </c>
      <c r="C572" s="1009"/>
      <c r="D572" s="1026"/>
      <c r="E572" s="1026"/>
      <c r="F572" s="1026">
        <f>SUM(F564:F570)</f>
        <v>72883.650666666668</v>
      </c>
      <c r="G572" s="1010"/>
    </row>
    <row r="573" spans="1:11" s="1001" customFormat="1" x14ac:dyDescent="0.25">
      <c r="A573" s="1002"/>
      <c r="B573" s="1003"/>
      <c r="C573" s="1004"/>
      <c r="D573" s="1003"/>
      <c r="E573" s="1003"/>
      <c r="F573" s="1003"/>
      <c r="G573" s="1005"/>
    </row>
    <row r="574" spans="1:11" s="1001" customFormat="1" x14ac:dyDescent="0.25">
      <c r="A574" s="1008" t="s">
        <v>1055</v>
      </c>
      <c r="B574" s="1009" t="s">
        <v>1076</v>
      </c>
      <c r="C574" s="1009" t="s">
        <v>3</v>
      </c>
      <c r="D574" s="1009" t="s">
        <v>1057</v>
      </c>
      <c r="E574" s="1009" t="s">
        <v>1058</v>
      </c>
      <c r="F574" s="1009" t="s">
        <v>1059</v>
      </c>
      <c r="G574" s="1010"/>
    </row>
    <row r="575" spans="1:11" s="1001" customFormat="1" x14ac:dyDescent="0.25">
      <c r="A575" s="1011"/>
      <c r="B575" s="1012"/>
      <c r="C575" s="1013"/>
      <c r="D575" s="1012"/>
      <c r="E575" s="1012"/>
      <c r="F575" s="1012"/>
      <c r="G575" s="1015"/>
    </row>
    <row r="576" spans="1:11" s="1001" customFormat="1" x14ac:dyDescent="0.25">
      <c r="A576" s="1027">
        <v>4</v>
      </c>
      <c r="B576" s="1028" t="s">
        <v>1077</v>
      </c>
      <c r="C576" s="1029" t="s">
        <v>1078</v>
      </c>
      <c r="D576" s="1036">
        <v>0.02</v>
      </c>
      <c r="E576" s="1030">
        <f>+F555</f>
        <v>9684</v>
      </c>
      <c r="F576" s="1030">
        <f>+E576*D576</f>
        <v>193.68</v>
      </c>
      <c r="G576" s="1034"/>
    </row>
    <row r="577" spans="1:7" s="1001" customFormat="1" x14ac:dyDescent="0.25">
      <c r="A577" s="1027">
        <v>5</v>
      </c>
      <c r="B577" s="1028" t="s">
        <v>1079</v>
      </c>
      <c r="C577" s="1029" t="s">
        <v>1078</v>
      </c>
      <c r="D577" s="1036">
        <v>0.06</v>
      </c>
      <c r="E577" s="1030">
        <f>+F572</f>
        <v>72883.650666666668</v>
      </c>
      <c r="F577" s="1030">
        <f>+E577*D577</f>
        <v>4373.0190400000001</v>
      </c>
      <c r="G577" s="1034"/>
    </row>
    <row r="578" spans="1:7" s="1001" customFormat="1" x14ac:dyDescent="0.25">
      <c r="A578" s="1021" t="s">
        <v>1065</v>
      </c>
      <c r="B578" s="1022"/>
      <c r="C578" s="1023"/>
      <c r="D578" s="1024"/>
      <c r="E578" s="1024"/>
      <c r="F578" s="1024"/>
      <c r="G578" s="1025"/>
    </row>
    <row r="579" spans="1:7" s="1001" customFormat="1" x14ac:dyDescent="0.25">
      <c r="A579" s="1008"/>
      <c r="B579" s="1009" t="s">
        <v>1080</v>
      </c>
      <c r="C579" s="1009"/>
      <c r="D579" s="1026"/>
      <c r="E579" s="1026"/>
      <c r="F579" s="1026">
        <f>SUM(F576:F578)</f>
        <v>4566.6990400000004</v>
      </c>
      <c r="G579" s="1010"/>
    </row>
    <row r="580" spans="1:7" s="1001" customFormat="1" x14ac:dyDescent="0.25">
      <c r="A580" s="1002"/>
      <c r="B580" s="1003"/>
      <c r="C580" s="1004"/>
      <c r="D580" s="1003"/>
      <c r="E580" s="1003"/>
      <c r="F580" s="1003"/>
      <c r="G580" s="1005"/>
    </row>
    <row r="581" spans="1:7" s="1001" customFormat="1" x14ac:dyDescent="0.25">
      <c r="A581" s="1037"/>
      <c r="B581" s="1038" t="s">
        <v>1081</v>
      </c>
      <c r="C581" s="1450" t="s">
        <v>1082</v>
      </c>
      <c r="D581" s="1450"/>
      <c r="E581" s="1038"/>
      <c r="F581" s="1039">
        <f>+F579+F572+F561+F555</f>
        <v>87134.349706666675</v>
      </c>
      <c r="G581" s="1040"/>
    </row>
    <row r="582" spans="1:7" s="1001" customFormat="1" x14ac:dyDescent="0.25">
      <c r="A582" s="1002"/>
      <c r="B582" s="1003"/>
      <c r="C582" s="1004"/>
      <c r="D582" s="1003"/>
      <c r="E582" s="1003"/>
      <c r="F582" s="1041"/>
      <c r="G582" s="1005"/>
    </row>
    <row r="583" spans="1:7" s="1001" customFormat="1" x14ac:dyDescent="0.25">
      <c r="A583" s="1037"/>
      <c r="B583" s="1038" t="s">
        <v>1083</v>
      </c>
      <c r="C583" s="1450">
        <v>0</v>
      </c>
      <c r="D583" s="1450" t="s">
        <v>1084</v>
      </c>
      <c r="E583" s="1038"/>
      <c r="F583" s="1039"/>
      <c r="G583" s="1040"/>
    </row>
    <row r="584" spans="1:7" s="1001" customFormat="1" x14ac:dyDescent="0.25">
      <c r="A584" s="1002"/>
      <c r="B584" s="1003"/>
      <c r="C584" s="1004"/>
      <c r="D584" s="1003"/>
      <c r="E584" s="1003"/>
      <c r="F584" s="1041"/>
      <c r="G584" s="1005"/>
    </row>
    <row r="585" spans="1:7" s="1001" customFormat="1" x14ac:dyDescent="0.25">
      <c r="A585" s="1037"/>
      <c r="B585" s="1038" t="s">
        <v>1085</v>
      </c>
      <c r="C585" s="1450" t="s">
        <v>1086</v>
      </c>
      <c r="D585" s="1450"/>
      <c r="E585" s="1038"/>
      <c r="F585" s="1039">
        <f>+F581+F583</f>
        <v>87134.349706666675</v>
      </c>
      <c r="G585" s="1040"/>
    </row>
    <row r="586" spans="1:7" s="1001" customFormat="1" x14ac:dyDescent="0.25">
      <c r="A586" s="1002"/>
      <c r="B586" s="1003"/>
      <c r="C586" s="1004"/>
      <c r="D586" s="1003"/>
      <c r="E586" s="1003"/>
      <c r="F586" s="1041"/>
      <c r="G586" s="1005"/>
    </row>
    <row r="587" spans="1:7" s="1001" customFormat="1" x14ac:dyDescent="0.25">
      <c r="A587" s="1037"/>
      <c r="B587" s="1038" t="s">
        <v>1087</v>
      </c>
      <c r="C587" s="1451" t="s">
        <v>1112</v>
      </c>
      <c r="D587" s="1451">
        <v>10</v>
      </c>
      <c r="E587" s="1042">
        <f>+C548</f>
        <v>10</v>
      </c>
      <c r="F587" s="1039">
        <f>+F585/E587</f>
        <v>8713.4349706666671</v>
      </c>
      <c r="G587" s="1040"/>
    </row>
    <row r="588" spans="1:7" s="1001" customFormat="1" x14ac:dyDescent="0.25">
      <c r="A588" s="1002"/>
      <c r="B588" s="1003"/>
      <c r="C588" s="1043"/>
      <c r="D588" s="1043"/>
      <c r="E588" s="1044"/>
      <c r="F588" s="1041"/>
      <c r="G588" s="1005"/>
    </row>
    <row r="589" spans="1:7" s="1001" customFormat="1" ht="12.6" thickBot="1" x14ac:dyDescent="0.3">
      <c r="A589" s="1045"/>
      <c r="B589" s="1046" t="s">
        <v>1089</v>
      </c>
      <c r="C589" s="1452" t="s">
        <v>1113</v>
      </c>
      <c r="D589" s="1452"/>
      <c r="E589" s="1047" t="str">
        <f>+D548</f>
        <v>m2</v>
      </c>
      <c r="F589" s="1048">
        <f>+F587</f>
        <v>8713.4349706666671</v>
      </c>
      <c r="G589" s="1049"/>
    </row>
    <row r="590" spans="1:7" x14ac:dyDescent="0.25">
      <c r="A590" s="997"/>
      <c r="B590" s="998" t="s">
        <v>1049</v>
      </c>
      <c r="C590" s="999"/>
      <c r="D590" s="998"/>
      <c r="E590" s="998"/>
      <c r="F590" s="998"/>
      <c r="G590" s="1000"/>
    </row>
    <row r="591" spans="1:7" x14ac:dyDescent="0.25">
      <c r="A591" s="1002"/>
      <c r="B591" s="1003" t="s">
        <v>1050</v>
      </c>
      <c r="C591" s="1004"/>
      <c r="D591" s="1003"/>
      <c r="E591" s="1003"/>
      <c r="F591" s="1003"/>
      <c r="G591" s="1005"/>
    </row>
    <row r="592" spans="1:7" x14ac:dyDescent="0.25">
      <c r="A592" s="1002"/>
      <c r="B592" s="1003" t="s">
        <v>1051</v>
      </c>
      <c r="C592" s="1006" t="s">
        <v>1165</v>
      </c>
      <c r="D592" s="1006"/>
      <c r="E592" s="1006"/>
      <c r="F592" s="1006"/>
      <c r="G592" s="1007"/>
    </row>
    <row r="593" spans="1:7" ht="27" customHeight="1" x14ac:dyDescent="0.25">
      <c r="A593" s="1002"/>
      <c r="B593" s="1003"/>
      <c r="C593" s="1453" t="s">
        <v>1166</v>
      </c>
      <c r="D593" s="1453"/>
      <c r="E593" s="1453"/>
      <c r="F593" s="1453"/>
      <c r="G593" s="1454"/>
    </row>
    <row r="594" spans="1:7" x14ac:dyDescent="0.25">
      <c r="A594" s="1002"/>
      <c r="B594" s="1003" t="s">
        <v>1053</v>
      </c>
      <c r="C594" s="1004">
        <v>10</v>
      </c>
      <c r="D594" s="1003" t="s">
        <v>183</v>
      </c>
      <c r="E594" s="1003"/>
      <c r="F594" s="1003"/>
      <c r="G594" s="1005"/>
    </row>
    <row r="595" spans="1:7" x14ac:dyDescent="0.25">
      <c r="A595" s="1002"/>
      <c r="B595" s="1003" t="s">
        <v>1054</v>
      </c>
      <c r="C595" s="1004"/>
      <c r="D595" s="1003"/>
      <c r="E595" s="1003"/>
      <c r="F595" s="1003"/>
      <c r="G595" s="1005"/>
    </row>
    <row r="596" spans="1:7" x14ac:dyDescent="0.25">
      <c r="A596" s="1002"/>
      <c r="B596" s="1003"/>
      <c r="C596" s="1004"/>
      <c r="D596" s="1003"/>
      <c r="E596" s="1003"/>
      <c r="F596" s="1003"/>
      <c r="G596" s="1005"/>
    </row>
    <row r="597" spans="1:7" x14ac:dyDescent="0.25">
      <c r="A597" s="1008" t="s">
        <v>1055</v>
      </c>
      <c r="B597" s="1009" t="s">
        <v>1056</v>
      </c>
      <c r="C597" s="1009" t="s">
        <v>3</v>
      </c>
      <c r="D597" s="1009" t="s">
        <v>1057</v>
      </c>
      <c r="E597" s="1009" t="s">
        <v>1058</v>
      </c>
      <c r="F597" s="1009" t="s">
        <v>1059</v>
      </c>
      <c r="G597" s="1010" t="s">
        <v>1060</v>
      </c>
    </row>
    <row r="598" spans="1:7" x14ac:dyDescent="0.25">
      <c r="A598" s="1011"/>
      <c r="B598" s="1012"/>
      <c r="C598" s="1013"/>
      <c r="D598" s="1014"/>
      <c r="E598" s="1014"/>
      <c r="F598" s="1014"/>
      <c r="G598" s="1015"/>
    </row>
    <row r="599" spans="1:7" x14ac:dyDescent="0.25">
      <c r="A599" s="1016" t="s">
        <v>1061</v>
      </c>
      <c r="B599" s="1017" t="s">
        <v>1167</v>
      </c>
      <c r="C599" s="1018" t="s">
        <v>183</v>
      </c>
      <c r="D599" s="1019">
        <f>+C594</f>
        <v>10</v>
      </c>
      <c r="E599" s="1019">
        <f>+'RBD Material'!H30</f>
        <v>1936.8</v>
      </c>
      <c r="F599" s="1019">
        <f>+E599*D599</f>
        <v>19368</v>
      </c>
      <c r="G599" s="1020"/>
    </row>
    <row r="600" spans="1:7" x14ac:dyDescent="0.25">
      <c r="A600" s="1021"/>
      <c r="B600" s="1022"/>
      <c r="C600" s="1023"/>
      <c r="D600" s="1024"/>
      <c r="E600" s="1024"/>
      <c r="F600" s="1024"/>
      <c r="G600" s="1025"/>
    </row>
    <row r="601" spans="1:7" x14ac:dyDescent="0.25">
      <c r="A601" s="1008"/>
      <c r="B601" s="1009" t="s">
        <v>1063</v>
      </c>
      <c r="C601" s="1009"/>
      <c r="D601" s="1026"/>
      <c r="E601" s="1026"/>
      <c r="F601" s="1026">
        <f>SUM(F599:F600)</f>
        <v>19368</v>
      </c>
      <c r="G601" s="1010"/>
    </row>
    <row r="602" spans="1:7" x14ac:dyDescent="0.25">
      <c r="A602" s="1002"/>
      <c r="B602" s="1003"/>
      <c r="C602" s="1004"/>
      <c r="D602" s="1003"/>
      <c r="E602" s="1003"/>
      <c r="F602" s="1003"/>
      <c r="G602" s="1005"/>
    </row>
    <row r="603" spans="1:7" x14ac:dyDescent="0.25">
      <c r="A603" s="1008" t="s">
        <v>1055</v>
      </c>
      <c r="B603" s="1009" t="s">
        <v>1064</v>
      </c>
      <c r="C603" s="1009" t="s">
        <v>3</v>
      </c>
      <c r="D603" s="1009" t="s">
        <v>1057</v>
      </c>
      <c r="E603" s="1009" t="s">
        <v>1058</v>
      </c>
      <c r="F603" s="1009" t="s">
        <v>1059</v>
      </c>
      <c r="G603" s="1010"/>
    </row>
    <row r="604" spans="1:7" x14ac:dyDescent="0.25">
      <c r="A604" s="1011"/>
      <c r="B604" s="1012"/>
      <c r="C604" s="1013"/>
      <c r="D604" s="1012"/>
      <c r="E604" s="1012"/>
      <c r="F604" s="1012"/>
      <c r="G604" s="1015"/>
    </row>
    <row r="605" spans="1:7" x14ac:dyDescent="0.25">
      <c r="A605" s="1027"/>
      <c r="B605" s="1028"/>
      <c r="C605" s="1029"/>
      <c r="D605" s="1030"/>
      <c r="E605" s="1030"/>
      <c r="F605" s="1019"/>
      <c r="G605" s="1031"/>
    </row>
    <row r="606" spans="1:7" x14ac:dyDescent="0.25">
      <c r="A606" s="1021" t="s">
        <v>1065</v>
      </c>
      <c r="B606" s="1022"/>
      <c r="C606" s="1023"/>
      <c r="D606" s="1024"/>
      <c r="E606" s="1024"/>
      <c r="F606" s="1024"/>
      <c r="G606" s="1032"/>
    </row>
    <row r="607" spans="1:7" x14ac:dyDescent="0.25">
      <c r="A607" s="1008"/>
      <c r="B607" s="1009" t="s">
        <v>1066</v>
      </c>
      <c r="C607" s="1009"/>
      <c r="D607" s="1026"/>
      <c r="E607" s="1026"/>
      <c r="F607" s="1026">
        <f>SUM(F605:F606)</f>
        <v>0</v>
      </c>
      <c r="G607" s="1033"/>
    </row>
    <row r="608" spans="1:7" x14ac:dyDescent="0.25">
      <c r="A608" s="1002"/>
      <c r="B608" s="1003"/>
      <c r="C608" s="1004"/>
      <c r="D608" s="1003"/>
      <c r="E608" s="1003"/>
      <c r="F608" s="1003"/>
      <c r="G608" s="1005"/>
    </row>
    <row r="609" spans="1:8" x14ac:dyDescent="0.25">
      <c r="A609" s="1008" t="s">
        <v>1055</v>
      </c>
      <c r="B609" s="1009" t="s">
        <v>1067</v>
      </c>
      <c r="C609" s="1009" t="s">
        <v>3</v>
      </c>
      <c r="D609" s="1009" t="s">
        <v>1057</v>
      </c>
      <c r="E609" s="1009" t="s">
        <v>1058</v>
      </c>
      <c r="F609" s="1009" t="s">
        <v>1059</v>
      </c>
      <c r="G609" s="1010"/>
    </row>
    <row r="610" spans="1:8" x14ac:dyDescent="0.25">
      <c r="A610" s="1011"/>
      <c r="B610" s="1012"/>
      <c r="C610" s="1013"/>
      <c r="D610" s="1012"/>
      <c r="E610" s="1012"/>
      <c r="F610" s="1012"/>
      <c r="G610" s="1015"/>
    </row>
    <row r="611" spans="1:8" x14ac:dyDescent="0.25">
      <c r="A611" s="1027" t="s">
        <v>1068</v>
      </c>
      <c r="B611" s="1028" t="s">
        <v>1168</v>
      </c>
      <c r="C611" s="1029" t="s">
        <v>1122</v>
      </c>
      <c r="D611" s="1030">
        <f>+C594*10.76</f>
        <v>107.6</v>
      </c>
      <c r="E611" s="1030">
        <f>+'RBD Material'!D18</f>
        <v>600</v>
      </c>
      <c r="F611" s="1019">
        <f>+E611*D611</f>
        <v>64560</v>
      </c>
      <c r="G611" s="1034"/>
    </row>
    <row r="612" spans="1:8" x14ac:dyDescent="0.25">
      <c r="A612" s="1027" t="s">
        <v>1070</v>
      </c>
      <c r="B612" s="1028" t="s">
        <v>1160</v>
      </c>
      <c r="C612" s="1029" t="s">
        <v>1094</v>
      </c>
      <c r="D612" s="1030">
        <f>+H612</f>
        <v>1.3333333333333333</v>
      </c>
      <c r="E612" s="1030">
        <f>+'RBD Material'!D23</f>
        <v>2650</v>
      </c>
      <c r="F612" s="1019">
        <f t="shared" ref="F612:F613" si="15">+E612*D612</f>
        <v>3533.333333333333</v>
      </c>
      <c r="G612" s="1034"/>
      <c r="H612" s="891">
        <f>+C594/7.5</f>
        <v>1.3333333333333333</v>
      </c>
    </row>
    <row r="613" spans="1:8" x14ac:dyDescent="0.25">
      <c r="A613" s="1027" t="s">
        <v>1073</v>
      </c>
      <c r="B613" s="1028" t="s">
        <v>1162</v>
      </c>
      <c r="C613" s="1029" t="s">
        <v>1094</v>
      </c>
      <c r="D613" s="1030">
        <v>0.1076</v>
      </c>
      <c r="E613" s="1030">
        <f>+'RBD Material'!D24</f>
        <v>280</v>
      </c>
      <c r="F613" s="1019">
        <f t="shared" si="15"/>
        <v>30.128</v>
      </c>
      <c r="G613" s="1034"/>
    </row>
    <row r="614" spans="1:8" x14ac:dyDescent="0.25">
      <c r="A614" s="1027" t="s">
        <v>1123</v>
      </c>
      <c r="B614" s="1028" t="s">
        <v>1164</v>
      </c>
      <c r="C614" s="1029" t="s">
        <v>10</v>
      </c>
      <c r="D614" s="1030"/>
      <c r="E614" s="1030"/>
      <c r="F614" s="1019">
        <v>300</v>
      </c>
      <c r="G614" s="1034"/>
    </row>
    <row r="615" spans="1:8" x14ac:dyDescent="0.25">
      <c r="A615" s="1027"/>
      <c r="B615" s="1022"/>
      <c r="C615" s="1023"/>
      <c r="D615" s="1024"/>
      <c r="E615" s="1024"/>
      <c r="F615" s="1035"/>
      <c r="G615" s="1025"/>
    </row>
    <row r="616" spans="1:8" x14ac:dyDescent="0.25">
      <c r="A616" s="1008"/>
      <c r="B616" s="1009" t="s">
        <v>1075</v>
      </c>
      <c r="C616" s="1009"/>
      <c r="D616" s="1026"/>
      <c r="E616" s="1026"/>
      <c r="F616" s="1026">
        <f>SUM(F610:F614)</f>
        <v>68423.461333333325</v>
      </c>
      <c r="G616" s="1010"/>
    </row>
    <row r="617" spans="1:8" x14ac:dyDescent="0.25">
      <c r="A617" s="1002"/>
      <c r="B617" s="1003"/>
      <c r="C617" s="1004"/>
      <c r="D617" s="1003"/>
      <c r="E617" s="1003"/>
      <c r="F617" s="1003"/>
      <c r="G617" s="1005"/>
    </row>
    <row r="618" spans="1:8" x14ac:dyDescent="0.25">
      <c r="A618" s="1008" t="s">
        <v>1055</v>
      </c>
      <c r="B618" s="1009" t="s">
        <v>1076</v>
      </c>
      <c r="C618" s="1009" t="s">
        <v>3</v>
      </c>
      <c r="D618" s="1009" t="s">
        <v>1057</v>
      </c>
      <c r="E618" s="1009" t="s">
        <v>1058</v>
      </c>
      <c r="F618" s="1009" t="s">
        <v>1059</v>
      </c>
      <c r="G618" s="1010"/>
    </row>
    <row r="619" spans="1:8" x14ac:dyDescent="0.25">
      <c r="A619" s="1011"/>
      <c r="B619" s="1012"/>
      <c r="C619" s="1013"/>
      <c r="D619" s="1012"/>
      <c r="E619" s="1012"/>
      <c r="F619" s="1012"/>
      <c r="G619" s="1015"/>
    </row>
    <row r="620" spans="1:8" x14ac:dyDescent="0.25">
      <c r="A620" s="1027">
        <v>4</v>
      </c>
      <c r="B620" s="1028" t="s">
        <v>1077</v>
      </c>
      <c r="C620" s="1029" t="s">
        <v>1078</v>
      </c>
      <c r="D620" s="1036">
        <v>0.02</v>
      </c>
      <c r="E620" s="1030">
        <f>+F601</f>
        <v>19368</v>
      </c>
      <c r="F620" s="1030">
        <f>+E620*D620</f>
        <v>387.36</v>
      </c>
      <c r="G620" s="1034"/>
    </row>
    <row r="621" spans="1:8" x14ac:dyDescent="0.25">
      <c r="A621" s="1027">
        <v>5</v>
      </c>
      <c r="B621" s="1028" t="s">
        <v>1079</v>
      </c>
      <c r="C621" s="1029" t="s">
        <v>1078</v>
      </c>
      <c r="D621" s="1036">
        <v>0.06</v>
      </c>
      <c r="E621" s="1030">
        <f>+F616</f>
        <v>68423.461333333325</v>
      </c>
      <c r="F621" s="1030">
        <f>+E621*D621</f>
        <v>4105.4076799999993</v>
      </c>
      <c r="G621" s="1034"/>
    </row>
    <row r="622" spans="1:8" x14ac:dyDescent="0.25">
      <c r="A622" s="1021" t="s">
        <v>1065</v>
      </c>
      <c r="B622" s="1022"/>
      <c r="C622" s="1023"/>
      <c r="D622" s="1024"/>
      <c r="E622" s="1024"/>
      <c r="F622" s="1024"/>
      <c r="G622" s="1025"/>
    </row>
    <row r="623" spans="1:8" x14ac:dyDescent="0.25">
      <c r="A623" s="1008"/>
      <c r="B623" s="1009" t="s">
        <v>1080</v>
      </c>
      <c r="C623" s="1009"/>
      <c r="D623" s="1026"/>
      <c r="E623" s="1026"/>
      <c r="F623" s="1026">
        <f>SUM(F620:F622)</f>
        <v>4492.767679999999</v>
      </c>
      <c r="G623" s="1010"/>
    </row>
    <row r="624" spans="1:8" x14ac:dyDescent="0.25">
      <c r="A624" s="1002"/>
      <c r="B624" s="1003"/>
      <c r="C624" s="1004"/>
      <c r="D624" s="1003"/>
      <c r="E624" s="1003"/>
      <c r="F624" s="1003"/>
      <c r="G624" s="1005"/>
    </row>
    <row r="625" spans="1:7" x14ac:dyDescent="0.25">
      <c r="A625" s="1037"/>
      <c r="B625" s="1038" t="s">
        <v>1081</v>
      </c>
      <c r="C625" s="1450" t="s">
        <v>1082</v>
      </c>
      <c r="D625" s="1450"/>
      <c r="E625" s="1038"/>
      <c r="F625" s="1039">
        <f>+F623+F616+F607+F601</f>
        <v>92284.22901333333</v>
      </c>
      <c r="G625" s="1040"/>
    </row>
    <row r="626" spans="1:7" x14ac:dyDescent="0.25">
      <c r="A626" s="1002"/>
      <c r="B626" s="1003"/>
      <c r="C626" s="1004"/>
      <c r="D626" s="1003"/>
      <c r="E626" s="1003"/>
      <c r="F626" s="1041"/>
      <c r="G626" s="1005"/>
    </row>
    <row r="627" spans="1:7" x14ac:dyDescent="0.25">
      <c r="A627" s="1037"/>
      <c r="B627" s="1038" t="s">
        <v>1083</v>
      </c>
      <c r="C627" s="1450">
        <v>0</v>
      </c>
      <c r="D627" s="1450" t="s">
        <v>1084</v>
      </c>
      <c r="E627" s="1038"/>
      <c r="F627" s="1039"/>
      <c r="G627" s="1040"/>
    </row>
    <row r="628" spans="1:7" x14ac:dyDescent="0.25">
      <c r="A628" s="1002"/>
      <c r="B628" s="1003"/>
      <c r="C628" s="1004"/>
      <c r="D628" s="1003"/>
      <c r="E628" s="1003"/>
      <c r="F628" s="1041"/>
      <c r="G628" s="1005"/>
    </row>
    <row r="629" spans="1:7" x14ac:dyDescent="0.25">
      <c r="A629" s="1037"/>
      <c r="B629" s="1038" t="s">
        <v>1085</v>
      </c>
      <c r="C629" s="1450" t="s">
        <v>1086</v>
      </c>
      <c r="D629" s="1450"/>
      <c r="E629" s="1038"/>
      <c r="F629" s="1039">
        <f>+F625+F627</f>
        <v>92284.22901333333</v>
      </c>
      <c r="G629" s="1040"/>
    </row>
    <row r="630" spans="1:7" x14ac:dyDescent="0.25">
      <c r="A630" s="1002"/>
      <c r="B630" s="1003"/>
      <c r="C630" s="1004"/>
      <c r="D630" s="1003"/>
      <c r="E630" s="1003"/>
      <c r="F630" s="1041"/>
      <c r="G630" s="1005"/>
    </row>
    <row r="631" spans="1:7" x14ac:dyDescent="0.25">
      <c r="A631" s="1037"/>
      <c r="B631" s="1038" t="s">
        <v>1087</v>
      </c>
      <c r="C631" s="1451" t="s">
        <v>1112</v>
      </c>
      <c r="D631" s="1451">
        <v>10</v>
      </c>
      <c r="E631" s="1042">
        <f>+C594</f>
        <v>10</v>
      </c>
      <c r="F631" s="1039">
        <f>+F629/E631</f>
        <v>9228.4229013333334</v>
      </c>
      <c r="G631" s="1040"/>
    </row>
    <row r="632" spans="1:7" x14ac:dyDescent="0.25">
      <c r="A632" s="1002"/>
      <c r="B632" s="1003"/>
      <c r="C632" s="1043"/>
      <c r="D632" s="1043"/>
      <c r="E632" s="1044"/>
      <c r="F632" s="1041"/>
      <c r="G632" s="1005"/>
    </row>
    <row r="633" spans="1:7" ht="12.6" thickBot="1" x14ac:dyDescent="0.3">
      <c r="A633" s="1045"/>
      <c r="B633" s="1046" t="s">
        <v>1089</v>
      </c>
      <c r="C633" s="1452" t="s">
        <v>1113</v>
      </c>
      <c r="D633" s="1452"/>
      <c r="E633" s="1047" t="str">
        <f>+D594</f>
        <v>m2</v>
      </c>
      <c r="F633" s="1048">
        <f>+F631</f>
        <v>9228.4229013333334</v>
      </c>
      <c r="G633" s="1049"/>
    </row>
    <row r="634" spans="1:7" x14ac:dyDescent="0.25">
      <c r="A634" s="997"/>
      <c r="B634" s="998" t="s">
        <v>1049</v>
      </c>
      <c r="C634" s="999"/>
      <c r="D634" s="998"/>
      <c r="E634" s="998"/>
      <c r="F634" s="998"/>
      <c r="G634" s="1000"/>
    </row>
    <row r="635" spans="1:7" ht="12.6" customHeight="1" x14ac:dyDescent="0.25">
      <c r="A635" s="1002"/>
      <c r="B635" s="1003" t="s">
        <v>1050</v>
      </c>
      <c r="C635" s="1004"/>
      <c r="D635" s="1003"/>
      <c r="E635" s="1003"/>
      <c r="F635" s="1003"/>
      <c r="G635" s="1005"/>
    </row>
    <row r="636" spans="1:7" x14ac:dyDescent="0.25">
      <c r="A636" s="1002"/>
      <c r="B636" s="1003" t="s">
        <v>1051</v>
      </c>
      <c r="C636" s="1006" t="s">
        <v>1169</v>
      </c>
      <c r="D636" s="1006"/>
      <c r="E636" s="1006"/>
      <c r="F636" s="1006"/>
      <c r="G636" s="1007"/>
    </row>
    <row r="637" spans="1:7" ht="38.4" customHeight="1" x14ac:dyDescent="0.25">
      <c r="A637" s="1002"/>
      <c r="B637" s="1003"/>
      <c r="C637" s="1453" t="s">
        <v>1170</v>
      </c>
      <c r="D637" s="1453"/>
      <c r="E637" s="1453"/>
      <c r="F637" s="1453"/>
      <c r="G637" s="1454"/>
    </row>
    <row r="638" spans="1:7" x14ac:dyDescent="0.25">
      <c r="A638" s="1002"/>
      <c r="B638" s="1003" t="s">
        <v>1053</v>
      </c>
      <c r="C638" s="1004">
        <v>10</v>
      </c>
      <c r="D638" s="1003" t="s">
        <v>183</v>
      </c>
      <c r="E638" s="1003"/>
      <c r="F638" s="1003"/>
      <c r="G638" s="1005"/>
    </row>
    <row r="639" spans="1:7" x14ac:dyDescent="0.25">
      <c r="A639" s="1002"/>
      <c r="B639" s="1003" t="s">
        <v>1054</v>
      </c>
      <c r="C639" s="1004"/>
      <c r="D639" s="1003"/>
      <c r="E639" s="1003"/>
      <c r="F639" s="1003"/>
      <c r="G639" s="1005"/>
    </row>
    <row r="640" spans="1:7" x14ac:dyDescent="0.25">
      <c r="A640" s="1002"/>
      <c r="B640" s="1003"/>
      <c r="C640" s="1004"/>
      <c r="D640" s="1003"/>
      <c r="E640" s="1003"/>
      <c r="F640" s="1003"/>
      <c r="G640" s="1005"/>
    </row>
    <row r="641" spans="1:7" x14ac:dyDescent="0.25">
      <c r="A641" s="1008" t="s">
        <v>1055</v>
      </c>
      <c r="B641" s="1009" t="s">
        <v>1056</v>
      </c>
      <c r="C641" s="1009" t="s">
        <v>3</v>
      </c>
      <c r="D641" s="1009" t="s">
        <v>1057</v>
      </c>
      <c r="E641" s="1009" t="s">
        <v>1058</v>
      </c>
      <c r="F641" s="1009" t="s">
        <v>1059</v>
      </c>
      <c r="G641" s="1010" t="s">
        <v>1060</v>
      </c>
    </row>
    <row r="642" spans="1:7" x14ac:dyDescent="0.25">
      <c r="A642" s="1011"/>
      <c r="B642" s="1012"/>
      <c r="C642" s="1013"/>
      <c r="D642" s="1014"/>
      <c r="E642" s="1014"/>
      <c r="F642" s="1014"/>
      <c r="G642" s="1015"/>
    </row>
    <row r="643" spans="1:7" x14ac:dyDescent="0.25">
      <c r="A643" s="1016" t="s">
        <v>1061</v>
      </c>
      <c r="B643" s="1017" t="s">
        <v>1154</v>
      </c>
      <c r="C643" s="1018" t="s">
        <v>183</v>
      </c>
      <c r="D643" s="1019">
        <f>+C638</f>
        <v>10</v>
      </c>
      <c r="E643" s="1019">
        <f>+'RBD Material'!H28</f>
        <v>1291.2</v>
      </c>
      <c r="F643" s="1019">
        <f>+E643*D643</f>
        <v>12912</v>
      </c>
      <c r="G643" s="1020"/>
    </row>
    <row r="644" spans="1:7" x14ac:dyDescent="0.25">
      <c r="A644" s="1021"/>
      <c r="B644" s="1022"/>
      <c r="C644" s="1023"/>
      <c r="D644" s="1024"/>
      <c r="E644" s="1024"/>
      <c r="F644" s="1024"/>
      <c r="G644" s="1025"/>
    </row>
    <row r="645" spans="1:7" x14ac:dyDescent="0.25">
      <c r="A645" s="1008"/>
      <c r="B645" s="1009" t="s">
        <v>1063</v>
      </c>
      <c r="C645" s="1009"/>
      <c r="D645" s="1026"/>
      <c r="E645" s="1026"/>
      <c r="F645" s="1026">
        <f>SUM(F643:F644)</f>
        <v>12912</v>
      </c>
      <c r="G645" s="1010"/>
    </row>
    <row r="646" spans="1:7" x14ac:dyDescent="0.25">
      <c r="A646" s="1002"/>
      <c r="B646" s="1003"/>
      <c r="C646" s="1004"/>
      <c r="D646" s="1003"/>
      <c r="E646" s="1003"/>
      <c r="F646" s="1003"/>
      <c r="G646" s="1005"/>
    </row>
    <row r="647" spans="1:7" x14ac:dyDescent="0.25">
      <c r="A647" s="1008" t="s">
        <v>1055</v>
      </c>
      <c r="B647" s="1009" t="s">
        <v>1064</v>
      </c>
      <c r="C647" s="1009" t="s">
        <v>3</v>
      </c>
      <c r="D647" s="1009" t="s">
        <v>1057</v>
      </c>
      <c r="E647" s="1009" t="s">
        <v>1058</v>
      </c>
      <c r="F647" s="1009" t="s">
        <v>1059</v>
      </c>
      <c r="G647" s="1010"/>
    </row>
    <row r="648" spans="1:7" x14ac:dyDescent="0.25">
      <c r="A648" s="1011"/>
      <c r="B648" s="1012"/>
      <c r="C648" s="1013"/>
      <c r="D648" s="1012"/>
      <c r="E648" s="1012"/>
      <c r="F648" s="1012"/>
      <c r="G648" s="1015"/>
    </row>
    <row r="649" spans="1:7" x14ac:dyDescent="0.25">
      <c r="A649" s="1027"/>
      <c r="B649" s="1028"/>
      <c r="C649" s="1029"/>
      <c r="D649" s="1030"/>
      <c r="E649" s="1030"/>
      <c r="F649" s="1019"/>
      <c r="G649" s="1031"/>
    </row>
    <row r="650" spans="1:7" x14ac:dyDescent="0.25">
      <c r="A650" s="1021" t="s">
        <v>1065</v>
      </c>
      <c r="B650" s="1022"/>
      <c r="C650" s="1023"/>
      <c r="D650" s="1024"/>
      <c r="E650" s="1024"/>
      <c r="F650" s="1024"/>
      <c r="G650" s="1032"/>
    </row>
    <row r="651" spans="1:7" x14ac:dyDescent="0.25">
      <c r="A651" s="1008"/>
      <c r="B651" s="1009" t="s">
        <v>1066</v>
      </c>
      <c r="C651" s="1009"/>
      <c r="D651" s="1026"/>
      <c r="E651" s="1026"/>
      <c r="F651" s="1026">
        <f>SUM(F649:F650)</f>
        <v>0</v>
      </c>
      <c r="G651" s="1033"/>
    </row>
    <row r="652" spans="1:7" x14ac:dyDescent="0.25">
      <c r="A652" s="1002"/>
      <c r="B652" s="1003"/>
      <c r="C652" s="1004"/>
      <c r="D652" s="1003"/>
      <c r="E652" s="1003"/>
      <c r="F652" s="1003"/>
      <c r="G652" s="1005"/>
    </row>
    <row r="653" spans="1:7" x14ac:dyDescent="0.25">
      <c r="A653" s="1008" t="s">
        <v>1055</v>
      </c>
      <c r="B653" s="1009" t="s">
        <v>1067</v>
      </c>
      <c r="C653" s="1009" t="s">
        <v>3</v>
      </c>
      <c r="D653" s="1009" t="s">
        <v>1057</v>
      </c>
      <c r="E653" s="1009" t="s">
        <v>1058</v>
      </c>
      <c r="F653" s="1009" t="s">
        <v>1059</v>
      </c>
      <c r="G653" s="1010"/>
    </row>
    <row r="654" spans="1:7" x14ac:dyDescent="0.25">
      <c r="A654" s="1011"/>
      <c r="B654" s="1012"/>
      <c r="C654" s="1013"/>
      <c r="D654" s="1012"/>
      <c r="E654" s="1012"/>
      <c r="F654" s="1012"/>
      <c r="G654" s="1015"/>
    </row>
    <row r="655" spans="1:7" x14ac:dyDescent="0.25">
      <c r="A655" s="1027" t="s">
        <v>1068</v>
      </c>
      <c r="B655" s="1028" t="s">
        <v>1158</v>
      </c>
      <c r="C655" s="1029" t="s">
        <v>1122</v>
      </c>
      <c r="D655" s="1030">
        <f>+C638*10.76</f>
        <v>107.6</v>
      </c>
      <c r="E655" s="1030">
        <f>+'RBD Material'!D19</f>
        <v>600</v>
      </c>
      <c r="F655" s="1019">
        <f>+E655*D655</f>
        <v>64560</v>
      </c>
      <c r="G655" s="1034"/>
    </row>
    <row r="656" spans="1:7" x14ac:dyDescent="0.25">
      <c r="A656" s="1027" t="s">
        <v>1073</v>
      </c>
      <c r="B656" s="1028" t="s">
        <v>1108</v>
      </c>
      <c r="C656" s="1029" t="s">
        <v>1094</v>
      </c>
      <c r="D656" s="1030">
        <v>0.21</v>
      </c>
      <c r="E656" s="1030">
        <f>+'RBD Material'!D5</f>
        <v>2200</v>
      </c>
      <c r="F656" s="1019">
        <f t="shared" ref="F656:F659" si="16">+E656*D656</f>
        <v>462</v>
      </c>
      <c r="G656" s="1034"/>
    </row>
    <row r="657" spans="1:7" x14ac:dyDescent="0.25">
      <c r="A657" s="1027" t="s">
        <v>1123</v>
      </c>
      <c r="B657" s="1028" t="s">
        <v>1159</v>
      </c>
      <c r="C657" s="1029" t="s">
        <v>1110</v>
      </c>
      <c r="D657" s="1030">
        <v>0.02</v>
      </c>
      <c r="E657" s="1030">
        <f>+'RBD Material'!D7</f>
        <v>24500</v>
      </c>
      <c r="F657" s="1019">
        <f t="shared" si="16"/>
        <v>490</v>
      </c>
      <c r="G657" s="1034"/>
    </row>
    <row r="658" spans="1:7" x14ac:dyDescent="0.25">
      <c r="A658" s="1027" t="s">
        <v>1142</v>
      </c>
      <c r="B658" s="1028" t="s">
        <v>1160</v>
      </c>
      <c r="C658" s="1029" t="s">
        <v>1094</v>
      </c>
      <c r="D658" s="1030">
        <v>2.6666666666666701</v>
      </c>
      <c r="E658" s="1030">
        <f>+'RBD Material'!D23</f>
        <v>2650</v>
      </c>
      <c r="F658" s="1019">
        <f t="shared" si="16"/>
        <v>7066.6666666666761</v>
      </c>
      <c r="G658" s="1034"/>
    </row>
    <row r="659" spans="1:7" x14ac:dyDescent="0.25">
      <c r="A659" s="1027" t="s">
        <v>1161</v>
      </c>
      <c r="B659" s="1028" t="s">
        <v>1162</v>
      </c>
      <c r="C659" s="1029" t="s">
        <v>1094</v>
      </c>
      <c r="D659" s="1030">
        <v>0.1076</v>
      </c>
      <c r="E659" s="1030">
        <f>+'RBD Material'!D24</f>
        <v>280</v>
      </c>
      <c r="F659" s="1019">
        <f t="shared" si="16"/>
        <v>30.128</v>
      </c>
      <c r="G659" s="1034"/>
    </row>
    <row r="660" spans="1:7" x14ac:dyDescent="0.25">
      <c r="A660" s="1027" t="s">
        <v>1163</v>
      </c>
      <c r="B660" s="1028" t="s">
        <v>1164</v>
      </c>
      <c r="C660" s="1029" t="s">
        <v>10</v>
      </c>
      <c r="D660" s="1030"/>
      <c r="E660" s="1030"/>
      <c r="F660" s="1019">
        <v>300</v>
      </c>
      <c r="G660" s="1034"/>
    </row>
    <row r="661" spans="1:7" x14ac:dyDescent="0.25">
      <c r="A661" s="1027"/>
      <c r="B661" s="1022"/>
      <c r="C661" s="1023"/>
      <c r="D661" s="1024"/>
      <c r="E661" s="1024"/>
      <c r="F661" s="1035"/>
      <c r="G661" s="1025"/>
    </row>
    <row r="662" spans="1:7" x14ac:dyDescent="0.25">
      <c r="A662" s="1008"/>
      <c r="B662" s="1009" t="s">
        <v>1075</v>
      </c>
      <c r="C662" s="1009"/>
      <c r="D662" s="1026"/>
      <c r="E662" s="1026"/>
      <c r="F662" s="1026">
        <f>SUM(F654:F660)</f>
        <v>72908.794666666668</v>
      </c>
      <c r="G662" s="1010"/>
    </row>
    <row r="663" spans="1:7" x14ac:dyDescent="0.25">
      <c r="A663" s="1002"/>
      <c r="B663" s="1003"/>
      <c r="C663" s="1004"/>
      <c r="D663" s="1003"/>
      <c r="E663" s="1003"/>
      <c r="F663" s="1003"/>
      <c r="G663" s="1005"/>
    </row>
    <row r="664" spans="1:7" ht="11.4" customHeight="1" x14ac:dyDescent="0.25">
      <c r="A664" s="1008" t="s">
        <v>1055</v>
      </c>
      <c r="B664" s="1009" t="s">
        <v>1076</v>
      </c>
      <c r="C664" s="1009" t="s">
        <v>3</v>
      </c>
      <c r="D664" s="1009" t="s">
        <v>1057</v>
      </c>
      <c r="E664" s="1009" t="s">
        <v>1058</v>
      </c>
      <c r="F664" s="1009" t="s">
        <v>1059</v>
      </c>
      <c r="G664" s="1010"/>
    </row>
    <row r="665" spans="1:7" x14ac:dyDescent="0.25">
      <c r="A665" s="1011"/>
      <c r="B665" s="1012"/>
      <c r="C665" s="1013"/>
      <c r="D665" s="1012"/>
      <c r="E665" s="1012"/>
      <c r="F665" s="1012"/>
      <c r="G665" s="1015"/>
    </row>
    <row r="666" spans="1:7" x14ac:dyDescent="0.25">
      <c r="A666" s="1027">
        <v>4</v>
      </c>
      <c r="B666" s="1028" t="s">
        <v>1077</v>
      </c>
      <c r="C666" s="1029" t="s">
        <v>1078</v>
      </c>
      <c r="D666" s="1036">
        <v>0.02</v>
      </c>
      <c r="E666" s="1030">
        <f>+F645</f>
        <v>12912</v>
      </c>
      <c r="F666" s="1030">
        <f>+E666*D666</f>
        <v>258.24</v>
      </c>
      <c r="G666" s="1034"/>
    </row>
    <row r="667" spans="1:7" x14ac:dyDescent="0.25">
      <c r="A667" s="1027">
        <v>5</v>
      </c>
      <c r="B667" s="1028" t="s">
        <v>1079</v>
      </c>
      <c r="C667" s="1029" t="s">
        <v>1078</v>
      </c>
      <c r="D667" s="1036">
        <v>0.1</v>
      </c>
      <c r="E667" s="1030">
        <f>+F662</f>
        <v>72908.794666666668</v>
      </c>
      <c r="F667" s="1030">
        <f>+E667*D667</f>
        <v>7290.8794666666672</v>
      </c>
      <c r="G667" s="1034"/>
    </row>
    <row r="668" spans="1:7" x14ac:dyDescent="0.25">
      <c r="A668" s="1021" t="s">
        <v>1065</v>
      </c>
      <c r="B668" s="1022"/>
      <c r="C668" s="1023"/>
      <c r="D668" s="1024"/>
      <c r="E668" s="1024"/>
      <c r="F668" s="1024"/>
      <c r="G668" s="1025"/>
    </row>
    <row r="669" spans="1:7" x14ac:dyDescent="0.25">
      <c r="A669" s="1008"/>
      <c r="B669" s="1009" t="s">
        <v>1080</v>
      </c>
      <c r="C669" s="1009"/>
      <c r="D669" s="1026"/>
      <c r="E669" s="1026"/>
      <c r="F669" s="1026">
        <f>SUM(F666:F668)</f>
        <v>7549.119466666667</v>
      </c>
      <c r="G669" s="1010"/>
    </row>
    <row r="670" spans="1:7" x14ac:dyDescent="0.25">
      <c r="A670" s="1002"/>
      <c r="B670" s="1003"/>
      <c r="C670" s="1004"/>
      <c r="D670" s="1003"/>
      <c r="E670" s="1003"/>
      <c r="F670" s="1003"/>
      <c r="G670" s="1005"/>
    </row>
    <row r="671" spans="1:7" x14ac:dyDescent="0.25">
      <c r="A671" s="1037"/>
      <c r="B671" s="1038" t="s">
        <v>1081</v>
      </c>
      <c r="C671" s="1450" t="s">
        <v>1082</v>
      </c>
      <c r="D671" s="1450"/>
      <c r="E671" s="1038"/>
      <c r="F671" s="1039">
        <f>+F669+F662+F651+F645</f>
        <v>93369.914133333339</v>
      </c>
      <c r="G671" s="1040"/>
    </row>
    <row r="672" spans="1:7" x14ac:dyDescent="0.25">
      <c r="A672" s="1002"/>
      <c r="B672" s="1003"/>
      <c r="C672" s="1004"/>
      <c r="D672" s="1003"/>
      <c r="E672" s="1003"/>
      <c r="F672" s="1041"/>
      <c r="G672" s="1005"/>
    </row>
    <row r="673" spans="1:7" x14ac:dyDescent="0.25">
      <c r="A673" s="1037"/>
      <c r="B673" s="1038" t="s">
        <v>1083</v>
      </c>
      <c r="C673" s="1450">
        <v>0</v>
      </c>
      <c r="D673" s="1450" t="s">
        <v>1084</v>
      </c>
      <c r="E673" s="1038"/>
      <c r="F673" s="1039"/>
      <c r="G673" s="1040"/>
    </row>
    <row r="674" spans="1:7" x14ac:dyDescent="0.25">
      <c r="A674" s="1002"/>
      <c r="B674" s="1003"/>
      <c r="C674" s="1004"/>
      <c r="D674" s="1003"/>
      <c r="E674" s="1003"/>
      <c r="F674" s="1041"/>
      <c r="G674" s="1005"/>
    </row>
    <row r="675" spans="1:7" x14ac:dyDescent="0.25">
      <c r="A675" s="1037"/>
      <c r="B675" s="1038" t="s">
        <v>1085</v>
      </c>
      <c r="C675" s="1450" t="s">
        <v>1086</v>
      </c>
      <c r="D675" s="1450"/>
      <c r="E675" s="1038"/>
      <c r="F675" s="1039">
        <f>+F671+F673</f>
        <v>93369.914133333339</v>
      </c>
      <c r="G675" s="1040"/>
    </row>
    <row r="676" spans="1:7" x14ac:dyDescent="0.25">
      <c r="A676" s="1002"/>
      <c r="B676" s="1003"/>
      <c r="C676" s="1004"/>
      <c r="D676" s="1003"/>
      <c r="E676" s="1003"/>
      <c r="F676" s="1041"/>
      <c r="G676" s="1005"/>
    </row>
    <row r="677" spans="1:7" x14ac:dyDescent="0.25">
      <c r="A677" s="1037"/>
      <c r="B677" s="1038" t="s">
        <v>1087</v>
      </c>
      <c r="C677" s="1451" t="s">
        <v>1112</v>
      </c>
      <c r="D677" s="1451">
        <v>10</v>
      </c>
      <c r="E677" s="1042">
        <f>+C638</f>
        <v>10</v>
      </c>
      <c r="F677" s="1039">
        <f>+F675/E677</f>
        <v>9336.9914133333332</v>
      </c>
      <c r="G677" s="1040"/>
    </row>
    <row r="678" spans="1:7" x14ac:dyDescent="0.25">
      <c r="A678" s="1002"/>
      <c r="B678" s="1003"/>
      <c r="C678" s="1043"/>
      <c r="D678" s="1043"/>
      <c r="E678" s="1044"/>
      <c r="F678" s="1041"/>
      <c r="G678" s="1005"/>
    </row>
    <row r="679" spans="1:7" ht="12.6" thickBot="1" x14ac:dyDescent="0.3">
      <c r="A679" s="1045"/>
      <c r="B679" s="1046" t="s">
        <v>1089</v>
      </c>
      <c r="C679" s="1452" t="s">
        <v>1113</v>
      </c>
      <c r="D679" s="1452"/>
      <c r="E679" s="1047" t="str">
        <f>+D638</f>
        <v>m2</v>
      </c>
      <c r="F679" s="1048">
        <f>+F677</f>
        <v>9336.9914133333332</v>
      </c>
      <c r="G679" s="1049"/>
    </row>
    <row r="680" spans="1:7" x14ac:dyDescent="0.25">
      <c r="A680" s="997"/>
      <c r="B680" s="998" t="s">
        <v>1049</v>
      </c>
      <c r="C680" s="999"/>
      <c r="D680" s="998"/>
      <c r="E680" s="998"/>
      <c r="F680" s="998"/>
      <c r="G680" s="1000"/>
    </row>
    <row r="681" spans="1:7" x14ac:dyDescent="0.25">
      <c r="A681" s="1002"/>
      <c r="B681" s="1003" t="s">
        <v>1050</v>
      </c>
      <c r="C681" s="1004"/>
      <c r="D681" s="1003"/>
      <c r="E681" s="1003"/>
      <c r="F681" s="1003"/>
      <c r="G681" s="1005"/>
    </row>
    <row r="682" spans="1:7" x14ac:dyDescent="0.25">
      <c r="A682" s="1002"/>
      <c r="B682" s="1003" t="s">
        <v>1051</v>
      </c>
      <c r="C682" s="1006" t="s">
        <v>1171</v>
      </c>
      <c r="D682" s="1006"/>
      <c r="E682" s="1006"/>
      <c r="F682" s="1006"/>
      <c r="G682" s="1007"/>
    </row>
    <row r="683" spans="1:7" ht="24" customHeight="1" x14ac:dyDescent="0.25">
      <c r="A683" s="1002"/>
      <c r="B683" s="1003"/>
      <c r="C683" s="1453" t="s">
        <v>1172</v>
      </c>
      <c r="D683" s="1453"/>
      <c r="E683" s="1453"/>
      <c r="F683" s="1453"/>
      <c r="G683" s="1454"/>
    </row>
    <row r="684" spans="1:7" x14ac:dyDescent="0.25">
      <c r="A684" s="1002"/>
      <c r="B684" s="1003" t="s">
        <v>1053</v>
      </c>
      <c r="C684" s="1004">
        <v>10</v>
      </c>
      <c r="D684" s="1003" t="s">
        <v>19</v>
      </c>
      <c r="E684" s="1003"/>
      <c r="F684" s="1003"/>
      <c r="G684" s="1005"/>
    </row>
    <row r="685" spans="1:7" x14ac:dyDescent="0.25">
      <c r="A685" s="1002"/>
      <c r="B685" s="1003" t="s">
        <v>1054</v>
      </c>
      <c r="C685" s="1004"/>
      <c r="D685" s="1003"/>
      <c r="E685" s="1003"/>
      <c r="F685" s="1003"/>
      <c r="G685" s="1005"/>
    </row>
    <row r="686" spans="1:7" x14ac:dyDescent="0.25">
      <c r="A686" s="1002"/>
      <c r="B686" s="1003"/>
      <c r="C686" s="1004"/>
      <c r="D686" s="1003"/>
      <c r="E686" s="1003"/>
      <c r="F686" s="1003"/>
      <c r="G686" s="1005"/>
    </row>
    <row r="687" spans="1:7" x14ac:dyDescent="0.25">
      <c r="A687" s="1008" t="s">
        <v>1055</v>
      </c>
      <c r="B687" s="1009" t="s">
        <v>1056</v>
      </c>
      <c r="C687" s="1009" t="s">
        <v>3</v>
      </c>
      <c r="D687" s="1009" t="s">
        <v>1057</v>
      </c>
      <c r="E687" s="1009" t="s">
        <v>1058</v>
      </c>
      <c r="F687" s="1009" t="s">
        <v>1059</v>
      </c>
      <c r="G687" s="1010" t="s">
        <v>1060</v>
      </c>
    </row>
    <row r="688" spans="1:7" x14ac:dyDescent="0.25">
      <c r="A688" s="1011"/>
      <c r="B688" s="1012"/>
      <c r="C688" s="1013"/>
      <c r="D688" s="1014"/>
      <c r="E688" s="1014"/>
      <c r="F688" s="1014"/>
      <c r="G688" s="1015"/>
    </row>
    <row r="689" spans="1:9" x14ac:dyDescent="0.25">
      <c r="A689" s="1016" t="s">
        <v>1061</v>
      </c>
      <c r="B689" s="1017" t="s">
        <v>1173</v>
      </c>
      <c r="C689" s="1018" t="s">
        <v>19</v>
      </c>
      <c r="D689" s="1019">
        <f>+C684</f>
        <v>10</v>
      </c>
      <c r="E689" s="1019">
        <f>+'RBD Material'!H29</f>
        <v>393.59999999999997</v>
      </c>
      <c r="F689" s="1019">
        <f>+E689*D689</f>
        <v>3935.9999999999995</v>
      </c>
      <c r="G689" s="1020"/>
    </row>
    <row r="690" spans="1:9" x14ac:dyDescent="0.25">
      <c r="A690" s="1021"/>
      <c r="B690" s="1022"/>
      <c r="C690" s="1023"/>
      <c r="D690" s="1024"/>
      <c r="E690" s="1024"/>
      <c r="F690" s="1024"/>
      <c r="G690" s="1025"/>
    </row>
    <row r="691" spans="1:9" x14ac:dyDescent="0.25">
      <c r="A691" s="1008"/>
      <c r="B691" s="1009" t="s">
        <v>1063</v>
      </c>
      <c r="C691" s="1009"/>
      <c r="D691" s="1026"/>
      <c r="E691" s="1026"/>
      <c r="F691" s="1026">
        <f>SUM(F689:F690)</f>
        <v>3935.9999999999995</v>
      </c>
      <c r="G691" s="1010"/>
    </row>
    <row r="692" spans="1:9" x14ac:dyDescent="0.25">
      <c r="A692" s="1002"/>
      <c r="B692" s="1003"/>
      <c r="C692" s="1004"/>
      <c r="D692" s="1003"/>
      <c r="E692" s="1003"/>
      <c r="F692" s="1003"/>
      <c r="G692" s="1005"/>
    </row>
    <row r="693" spans="1:9" x14ac:dyDescent="0.25">
      <c r="A693" s="1008" t="s">
        <v>1055</v>
      </c>
      <c r="B693" s="1009" t="s">
        <v>1064</v>
      </c>
      <c r="C693" s="1009" t="s">
        <v>3</v>
      </c>
      <c r="D693" s="1009" t="s">
        <v>1057</v>
      </c>
      <c r="E693" s="1009" t="s">
        <v>1058</v>
      </c>
      <c r="F693" s="1009" t="s">
        <v>1059</v>
      </c>
      <c r="G693" s="1010"/>
    </row>
    <row r="694" spans="1:9" x14ac:dyDescent="0.25">
      <c r="A694" s="1011"/>
      <c r="B694" s="1012"/>
      <c r="C694" s="1013"/>
      <c r="D694" s="1012"/>
      <c r="E694" s="1012"/>
      <c r="F694" s="1012"/>
      <c r="G694" s="1015"/>
    </row>
    <row r="695" spans="1:9" x14ac:dyDescent="0.25">
      <c r="A695" s="1027"/>
      <c r="B695" s="1028"/>
      <c r="C695" s="1029"/>
      <c r="D695" s="1030"/>
      <c r="E695" s="1030"/>
      <c r="F695" s="1019"/>
      <c r="G695" s="1031"/>
    </row>
    <row r="696" spans="1:9" x14ac:dyDescent="0.25">
      <c r="A696" s="1021" t="s">
        <v>1065</v>
      </c>
      <c r="B696" s="1022"/>
      <c r="C696" s="1023"/>
      <c r="D696" s="1024"/>
      <c r="E696" s="1024"/>
      <c r="F696" s="1024"/>
      <c r="G696" s="1032"/>
    </row>
    <row r="697" spans="1:9" x14ac:dyDescent="0.25">
      <c r="A697" s="1008"/>
      <c r="B697" s="1009" t="s">
        <v>1066</v>
      </c>
      <c r="C697" s="1009"/>
      <c r="D697" s="1026"/>
      <c r="E697" s="1026"/>
      <c r="F697" s="1026">
        <f>SUM(F695:F696)</f>
        <v>0</v>
      </c>
      <c r="G697" s="1033"/>
    </row>
    <row r="698" spans="1:9" x14ac:dyDescent="0.25">
      <c r="A698" s="1002"/>
      <c r="B698" s="1003"/>
      <c r="C698" s="1004"/>
      <c r="D698" s="1003"/>
      <c r="E698" s="1003"/>
      <c r="F698" s="1003"/>
      <c r="G698" s="1005"/>
    </row>
    <row r="699" spans="1:9" x14ac:dyDescent="0.25">
      <c r="A699" s="1008" t="s">
        <v>1055</v>
      </c>
      <c r="B699" s="1009" t="s">
        <v>1067</v>
      </c>
      <c r="C699" s="1009" t="s">
        <v>3</v>
      </c>
      <c r="D699" s="1009" t="s">
        <v>1057</v>
      </c>
      <c r="E699" s="1009" t="s">
        <v>1058</v>
      </c>
      <c r="F699" s="1009" t="s">
        <v>1059</v>
      </c>
      <c r="G699" s="1010"/>
    </row>
    <row r="700" spans="1:9" x14ac:dyDescent="0.25">
      <c r="A700" s="1011"/>
      <c r="B700" s="1012"/>
      <c r="C700" s="1013"/>
      <c r="D700" s="1012"/>
      <c r="E700" s="1012"/>
      <c r="F700" s="1012"/>
      <c r="G700" s="1015"/>
    </row>
    <row r="701" spans="1:9" x14ac:dyDescent="0.25">
      <c r="A701" s="1027" t="s">
        <v>1068</v>
      </c>
      <c r="B701" s="1028" t="s">
        <v>1174</v>
      </c>
      <c r="C701" s="1029" t="s">
        <v>1122</v>
      </c>
      <c r="D701" s="1030">
        <f>+C684*0.075*10.76</f>
        <v>8.07</v>
      </c>
      <c r="E701" s="1030">
        <f>+'RBD Material'!D17</f>
        <v>600</v>
      </c>
      <c r="F701" s="1019">
        <f>+E701*D701</f>
        <v>4842</v>
      </c>
      <c r="G701" s="1034"/>
    </row>
    <row r="702" spans="1:9" x14ac:dyDescent="0.25">
      <c r="A702" s="1027" t="s">
        <v>1070</v>
      </c>
      <c r="B702" s="1028" t="s">
        <v>1160</v>
      </c>
      <c r="C702" s="1029" t="s">
        <v>1094</v>
      </c>
      <c r="D702" s="1030">
        <f>+I702</f>
        <v>0.1</v>
      </c>
      <c r="E702" s="1030">
        <f>+'RBD Material'!D23</f>
        <v>2650</v>
      </c>
      <c r="F702" s="1019">
        <f>+E702*D702</f>
        <v>265</v>
      </c>
      <c r="G702" s="1034"/>
      <c r="H702" s="891">
        <f>+C684*0.075</f>
        <v>0.75</v>
      </c>
      <c r="I702" s="891">
        <f>+H702/7.5</f>
        <v>0.1</v>
      </c>
    </row>
    <row r="703" spans="1:9" x14ac:dyDescent="0.25">
      <c r="A703" s="1027" t="s">
        <v>1073</v>
      </c>
      <c r="B703" s="1028" t="s">
        <v>1162</v>
      </c>
      <c r="C703" s="1029" t="s">
        <v>1094</v>
      </c>
      <c r="D703" s="1030">
        <v>0.1076</v>
      </c>
      <c r="E703" s="1030">
        <f>+'RBD Material'!D24</f>
        <v>280</v>
      </c>
      <c r="F703" s="1019">
        <f t="shared" ref="F703" si="17">+E703*D703</f>
        <v>30.128</v>
      </c>
      <c r="G703" s="1034"/>
    </row>
    <row r="704" spans="1:9" x14ac:dyDescent="0.25">
      <c r="A704" s="1027" t="s">
        <v>1123</v>
      </c>
      <c r="B704" s="1028" t="s">
        <v>1164</v>
      </c>
      <c r="C704" s="1029" t="s">
        <v>10</v>
      </c>
      <c r="D704" s="1030"/>
      <c r="E704" s="1030"/>
      <c r="F704" s="1019">
        <v>100</v>
      </c>
      <c r="G704" s="1034"/>
    </row>
    <row r="705" spans="1:7" x14ac:dyDescent="0.25">
      <c r="A705" s="1027"/>
      <c r="B705" s="1022"/>
      <c r="C705" s="1023"/>
      <c r="D705" s="1024"/>
      <c r="E705" s="1024"/>
      <c r="F705" s="1035"/>
      <c r="G705" s="1025"/>
    </row>
    <row r="706" spans="1:7" x14ac:dyDescent="0.25">
      <c r="A706" s="1008"/>
      <c r="B706" s="1009" t="s">
        <v>1075</v>
      </c>
      <c r="C706" s="1009"/>
      <c r="D706" s="1026"/>
      <c r="E706" s="1026"/>
      <c r="F706" s="1026">
        <f>SUM(F700:F704)</f>
        <v>5237.1279999999997</v>
      </c>
      <c r="G706" s="1010"/>
    </row>
    <row r="707" spans="1:7" x14ac:dyDescent="0.25">
      <c r="A707" s="1002"/>
      <c r="B707" s="1003"/>
      <c r="C707" s="1004"/>
      <c r="D707" s="1003"/>
      <c r="E707" s="1003"/>
      <c r="F707" s="1003"/>
      <c r="G707" s="1005"/>
    </row>
    <row r="708" spans="1:7" x14ac:dyDescent="0.25">
      <c r="A708" s="1008" t="s">
        <v>1055</v>
      </c>
      <c r="B708" s="1009" t="s">
        <v>1076</v>
      </c>
      <c r="C708" s="1009" t="s">
        <v>3</v>
      </c>
      <c r="D708" s="1009" t="s">
        <v>1057</v>
      </c>
      <c r="E708" s="1009" t="s">
        <v>1058</v>
      </c>
      <c r="F708" s="1009" t="s">
        <v>1059</v>
      </c>
      <c r="G708" s="1010"/>
    </row>
    <row r="709" spans="1:7" x14ac:dyDescent="0.25">
      <c r="A709" s="1011"/>
      <c r="B709" s="1012"/>
      <c r="C709" s="1013"/>
      <c r="D709" s="1012"/>
      <c r="E709" s="1012"/>
      <c r="F709" s="1012"/>
      <c r="G709" s="1015"/>
    </row>
    <row r="710" spans="1:7" x14ac:dyDescent="0.25">
      <c r="A710" s="1027">
        <v>4</v>
      </c>
      <c r="B710" s="1028" t="s">
        <v>1077</v>
      </c>
      <c r="C710" s="1029" t="s">
        <v>1078</v>
      </c>
      <c r="D710" s="1036">
        <v>0.02</v>
      </c>
      <c r="E710" s="1030">
        <f>+F691</f>
        <v>3935.9999999999995</v>
      </c>
      <c r="F710" s="1030">
        <f>+E710*D710</f>
        <v>78.72</v>
      </c>
      <c r="G710" s="1034"/>
    </row>
    <row r="711" spans="1:7" x14ac:dyDescent="0.25">
      <c r="A711" s="1027">
        <v>5</v>
      </c>
      <c r="B711" s="1028" t="s">
        <v>1079</v>
      </c>
      <c r="C711" s="1029" t="s">
        <v>1078</v>
      </c>
      <c r="D711" s="1036">
        <v>0.06</v>
      </c>
      <c r="E711" s="1030">
        <f>+F706</f>
        <v>5237.1279999999997</v>
      </c>
      <c r="F711" s="1030">
        <f>+E711*D711</f>
        <v>314.22767999999996</v>
      </c>
      <c r="G711" s="1034"/>
    </row>
    <row r="712" spans="1:7" x14ac:dyDescent="0.25">
      <c r="A712" s="1021" t="s">
        <v>1065</v>
      </c>
      <c r="B712" s="1022"/>
      <c r="C712" s="1023"/>
      <c r="D712" s="1024"/>
      <c r="E712" s="1024"/>
      <c r="F712" s="1024"/>
      <c r="G712" s="1025"/>
    </row>
    <row r="713" spans="1:7" x14ac:dyDescent="0.25">
      <c r="A713" s="1008"/>
      <c r="B713" s="1009" t="s">
        <v>1080</v>
      </c>
      <c r="C713" s="1009"/>
      <c r="D713" s="1026"/>
      <c r="E713" s="1026"/>
      <c r="F713" s="1026">
        <f>SUM(F710:F712)</f>
        <v>392.94767999999999</v>
      </c>
      <c r="G713" s="1010"/>
    </row>
    <row r="714" spans="1:7" x14ac:dyDescent="0.25">
      <c r="A714" s="1002"/>
      <c r="B714" s="1003"/>
      <c r="C714" s="1004"/>
      <c r="D714" s="1003"/>
      <c r="E714" s="1003"/>
      <c r="F714" s="1003"/>
      <c r="G714" s="1005"/>
    </row>
    <row r="715" spans="1:7" x14ac:dyDescent="0.25">
      <c r="A715" s="1037"/>
      <c r="B715" s="1038" t="s">
        <v>1081</v>
      </c>
      <c r="C715" s="1450" t="s">
        <v>1082</v>
      </c>
      <c r="D715" s="1450"/>
      <c r="E715" s="1038"/>
      <c r="F715" s="1039">
        <f>+F713+F706+F697+F691</f>
        <v>9566.0756799999999</v>
      </c>
      <c r="G715" s="1040"/>
    </row>
    <row r="716" spans="1:7" x14ac:dyDescent="0.25">
      <c r="A716" s="1002"/>
      <c r="B716" s="1003"/>
      <c r="C716" s="1004"/>
      <c r="D716" s="1003"/>
      <c r="E716" s="1003"/>
      <c r="F716" s="1041"/>
      <c r="G716" s="1005"/>
    </row>
    <row r="717" spans="1:7" x14ac:dyDescent="0.25">
      <c r="A717" s="1037"/>
      <c r="B717" s="1038" t="s">
        <v>1083</v>
      </c>
      <c r="C717" s="1450">
        <v>0</v>
      </c>
      <c r="D717" s="1450" t="s">
        <v>1084</v>
      </c>
      <c r="E717" s="1038"/>
      <c r="F717" s="1039"/>
      <c r="G717" s="1040"/>
    </row>
    <row r="718" spans="1:7" x14ac:dyDescent="0.25">
      <c r="A718" s="1002"/>
      <c r="B718" s="1003"/>
      <c r="C718" s="1004"/>
      <c r="D718" s="1003"/>
      <c r="E718" s="1003"/>
      <c r="F718" s="1041"/>
      <c r="G718" s="1005"/>
    </row>
    <row r="719" spans="1:7" x14ac:dyDescent="0.25">
      <c r="A719" s="1037"/>
      <c r="B719" s="1038" t="s">
        <v>1085</v>
      </c>
      <c r="C719" s="1450" t="s">
        <v>1086</v>
      </c>
      <c r="D719" s="1450"/>
      <c r="E719" s="1038"/>
      <c r="F719" s="1039">
        <f>+F715+F717</f>
        <v>9566.0756799999999</v>
      </c>
      <c r="G719" s="1040"/>
    </row>
    <row r="720" spans="1:7" x14ac:dyDescent="0.25">
      <c r="A720" s="1002"/>
      <c r="B720" s="1003"/>
      <c r="C720" s="1004"/>
      <c r="D720" s="1003"/>
      <c r="E720" s="1003"/>
      <c r="F720" s="1041"/>
      <c r="G720" s="1005"/>
    </row>
    <row r="721" spans="1:7" x14ac:dyDescent="0.25">
      <c r="A721" s="1037"/>
      <c r="B721" s="1038" t="s">
        <v>1087</v>
      </c>
      <c r="C721" s="1451" t="s">
        <v>1112</v>
      </c>
      <c r="D721" s="1451">
        <v>10</v>
      </c>
      <c r="E721" s="1042">
        <f>+C684</f>
        <v>10</v>
      </c>
      <c r="F721" s="1039">
        <f>+F719/E721</f>
        <v>956.60756800000001</v>
      </c>
      <c r="G721" s="1040"/>
    </row>
    <row r="722" spans="1:7" x14ac:dyDescent="0.25">
      <c r="A722" s="1002"/>
      <c r="B722" s="1003"/>
      <c r="C722" s="1043"/>
      <c r="D722" s="1043"/>
      <c r="E722" s="1044"/>
      <c r="F722" s="1041"/>
      <c r="G722" s="1005"/>
    </row>
    <row r="723" spans="1:7" ht="12.6" thickBot="1" x14ac:dyDescent="0.3">
      <c r="A723" s="1045"/>
      <c r="B723" s="1046" t="s">
        <v>1089</v>
      </c>
      <c r="C723" s="1452" t="s">
        <v>1113</v>
      </c>
      <c r="D723" s="1452"/>
      <c r="E723" s="1047" t="str">
        <f>+D684</f>
        <v>m</v>
      </c>
      <c r="F723" s="1048">
        <f>+F721</f>
        <v>956.60756800000001</v>
      </c>
      <c r="G723" s="1049"/>
    </row>
    <row r="724" spans="1:7" x14ac:dyDescent="0.25">
      <c r="A724" s="997"/>
      <c r="B724" s="998" t="s">
        <v>1049</v>
      </c>
      <c r="C724" s="999"/>
      <c r="D724" s="998"/>
      <c r="E724" s="998"/>
      <c r="F724" s="998"/>
      <c r="G724" s="1000"/>
    </row>
    <row r="725" spans="1:7" x14ac:dyDescent="0.25">
      <c r="A725" s="1002"/>
      <c r="B725" s="1003" t="s">
        <v>1050</v>
      </c>
      <c r="C725" s="1004"/>
      <c r="D725" s="1003"/>
      <c r="E725" s="1003"/>
      <c r="F725" s="1003"/>
      <c r="G725" s="1005"/>
    </row>
    <row r="726" spans="1:7" x14ac:dyDescent="0.25">
      <c r="A726" s="1002"/>
      <c r="B726" s="1003" t="s">
        <v>1051</v>
      </c>
      <c r="C726" s="1006" t="s">
        <v>1175</v>
      </c>
      <c r="D726" s="1006"/>
      <c r="E726" s="1006"/>
      <c r="F726" s="1006"/>
      <c r="G726" s="1007"/>
    </row>
    <row r="727" spans="1:7" ht="25.8" customHeight="1" x14ac:dyDescent="0.25">
      <c r="A727" s="1002"/>
      <c r="B727" s="1003"/>
      <c r="C727" s="1453" t="s">
        <v>1176</v>
      </c>
      <c r="D727" s="1453"/>
      <c r="E727" s="1453"/>
      <c r="F727" s="1453"/>
      <c r="G727" s="1454"/>
    </row>
    <row r="728" spans="1:7" x14ac:dyDescent="0.25">
      <c r="A728" s="1002"/>
      <c r="B728" s="1003" t="s">
        <v>1053</v>
      </c>
      <c r="C728" s="1004">
        <v>10</v>
      </c>
      <c r="D728" s="1003" t="s">
        <v>183</v>
      </c>
      <c r="E728" s="1003"/>
      <c r="F728" s="1003"/>
      <c r="G728" s="1005"/>
    </row>
    <row r="729" spans="1:7" x14ac:dyDescent="0.25">
      <c r="A729" s="1002"/>
      <c r="B729" s="1003" t="s">
        <v>1054</v>
      </c>
      <c r="C729" s="1004"/>
      <c r="D729" s="1003"/>
      <c r="E729" s="1003"/>
      <c r="F729" s="1003"/>
      <c r="G729" s="1005"/>
    </row>
    <row r="730" spans="1:7" x14ac:dyDescent="0.25">
      <c r="A730" s="1002"/>
      <c r="B730" s="1003"/>
      <c r="C730" s="1004"/>
      <c r="D730" s="1003"/>
      <c r="E730" s="1003"/>
      <c r="F730" s="1003"/>
      <c r="G730" s="1005"/>
    </row>
    <row r="731" spans="1:7" x14ac:dyDescent="0.25">
      <c r="A731" s="1008" t="s">
        <v>1055</v>
      </c>
      <c r="B731" s="1009" t="s">
        <v>1056</v>
      </c>
      <c r="C731" s="1009" t="s">
        <v>3</v>
      </c>
      <c r="D731" s="1009" t="s">
        <v>1057</v>
      </c>
      <c r="E731" s="1009" t="s">
        <v>1058</v>
      </c>
      <c r="F731" s="1009" t="s">
        <v>1059</v>
      </c>
      <c r="G731" s="1010" t="s">
        <v>1060</v>
      </c>
    </row>
    <row r="732" spans="1:7" x14ac:dyDescent="0.25">
      <c r="A732" s="1011"/>
      <c r="B732" s="1012"/>
      <c r="C732" s="1013"/>
      <c r="D732" s="1014"/>
      <c r="E732" s="1014"/>
      <c r="F732" s="1014"/>
      <c r="G732" s="1015"/>
    </row>
    <row r="733" spans="1:7" x14ac:dyDescent="0.25">
      <c r="A733" s="1016" t="s">
        <v>1061</v>
      </c>
      <c r="B733" s="1017" t="s">
        <v>1177</v>
      </c>
      <c r="C733" s="1018" t="s">
        <v>183</v>
      </c>
      <c r="D733" s="1019">
        <f>+C728</f>
        <v>10</v>
      </c>
      <c r="E733" s="1019">
        <f>+'RBD Material'!H31</f>
        <v>4304</v>
      </c>
      <c r="F733" s="1019">
        <f>+E733*D733</f>
        <v>43040</v>
      </c>
      <c r="G733" s="1020"/>
    </row>
    <row r="734" spans="1:7" x14ac:dyDescent="0.25">
      <c r="A734" s="1021"/>
      <c r="B734" s="1022"/>
      <c r="C734" s="1023"/>
      <c r="D734" s="1024"/>
      <c r="E734" s="1024"/>
      <c r="F734" s="1024"/>
      <c r="G734" s="1025"/>
    </row>
    <row r="735" spans="1:7" x14ac:dyDescent="0.25">
      <c r="A735" s="1008"/>
      <c r="B735" s="1009" t="s">
        <v>1063</v>
      </c>
      <c r="C735" s="1009"/>
      <c r="D735" s="1026"/>
      <c r="E735" s="1026"/>
      <c r="F735" s="1026">
        <f>SUM(F733:F734)</f>
        <v>43040</v>
      </c>
      <c r="G735" s="1010"/>
    </row>
    <row r="736" spans="1:7" x14ac:dyDescent="0.25">
      <c r="A736" s="1002"/>
      <c r="B736" s="1003"/>
      <c r="C736" s="1004"/>
      <c r="D736" s="1003"/>
      <c r="E736" s="1003"/>
      <c r="F736" s="1003"/>
      <c r="G736" s="1005"/>
    </row>
    <row r="737" spans="1:8" x14ac:dyDescent="0.25">
      <c r="A737" s="1008" t="s">
        <v>1055</v>
      </c>
      <c r="B737" s="1009" t="s">
        <v>1064</v>
      </c>
      <c r="C737" s="1009" t="s">
        <v>3</v>
      </c>
      <c r="D737" s="1009" t="s">
        <v>1057</v>
      </c>
      <c r="E737" s="1009" t="s">
        <v>1058</v>
      </c>
      <c r="F737" s="1009" t="s">
        <v>1059</v>
      </c>
      <c r="G737" s="1010"/>
    </row>
    <row r="738" spans="1:8" x14ac:dyDescent="0.25">
      <c r="A738" s="1011"/>
      <c r="B738" s="1012"/>
      <c r="C738" s="1013"/>
      <c r="D738" s="1012"/>
      <c r="E738" s="1012"/>
      <c r="F738" s="1012"/>
      <c r="G738" s="1015"/>
    </row>
    <row r="739" spans="1:8" x14ac:dyDescent="0.25">
      <c r="A739" s="1027"/>
      <c r="B739" s="1028"/>
      <c r="C739" s="1029"/>
      <c r="D739" s="1030"/>
      <c r="E739" s="1030"/>
      <c r="F739" s="1019"/>
      <c r="G739" s="1031"/>
    </row>
    <row r="740" spans="1:8" x14ac:dyDescent="0.25">
      <c r="A740" s="1021" t="s">
        <v>1065</v>
      </c>
      <c r="B740" s="1022"/>
      <c r="C740" s="1023"/>
      <c r="D740" s="1024"/>
      <c r="E740" s="1024"/>
      <c r="F740" s="1024"/>
      <c r="G740" s="1032"/>
    </row>
    <row r="741" spans="1:8" x14ac:dyDescent="0.25">
      <c r="A741" s="1008"/>
      <c r="B741" s="1009" t="s">
        <v>1066</v>
      </c>
      <c r="C741" s="1009"/>
      <c r="D741" s="1026"/>
      <c r="E741" s="1026"/>
      <c r="F741" s="1026">
        <f>SUM(F739:F740)</f>
        <v>0</v>
      </c>
      <c r="G741" s="1033"/>
    </row>
    <row r="742" spans="1:8" x14ac:dyDescent="0.25">
      <c r="A742" s="1002"/>
      <c r="B742" s="1003"/>
      <c r="C742" s="1004"/>
      <c r="D742" s="1003"/>
      <c r="E742" s="1003"/>
      <c r="F742" s="1003"/>
      <c r="G742" s="1005"/>
    </row>
    <row r="743" spans="1:8" x14ac:dyDescent="0.25">
      <c r="A743" s="1008" t="s">
        <v>1055</v>
      </c>
      <c r="B743" s="1009" t="s">
        <v>1067</v>
      </c>
      <c r="C743" s="1009" t="s">
        <v>3</v>
      </c>
      <c r="D743" s="1009" t="s">
        <v>1057</v>
      </c>
      <c r="E743" s="1009" t="s">
        <v>1058</v>
      </c>
      <c r="F743" s="1009" t="s">
        <v>1059</v>
      </c>
      <c r="G743" s="1010"/>
    </row>
    <row r="744" spans="1:8" x14ac:dyDescent="0.25">
      <c r="A744" s="1011"/>
      <c r="B744" s="1012"/>
      <c r="C744" s="1013"/>
      <c r="D744" s="1012"/>
      <c r="E744" s="1012"/>
      <c r="F744" s="1012"/>
      <c r="G744" s="1015"/>
    </row>
    <row r="745" spans="1:8" x14ac:dyDescent="0.25">
      <c r="A745" s="1027" t="s">
        <v>1068</v>
      </c>
      <c r="B745" s="1028" t="s">
        <v>1178</v>
      </c>
      <c r="C745" s="1029" t="s">
        <v>1122</v>
      </c>
      <c r="D745" s="1030">
        <f>+C728*10.76</f>
        <v>107.6</v>
      </c>
      <c r="E745" s="1030">
        <f>+'RBD Material'!D22</f>
        <v>450</v>
      </c>
      <c r="F745" s="1019">
        <f>+E745*D745</f>
        <v>48420</v>
      </c>
      <c r="G745" s="1034"/>
    </row>
    <row r="746" spans="1:8" x14ac:dyDescent="0.25">
      <c r="A746" s="1027" t="s">
        <v>1073</v>
      </c>
      <c r="B746" s="1028" t="s">
        <v>1108</v>
      </c>
      <c r="C746" s="1029" t="s">
        <v>1094</v>
      </c>
      <c r="D746" s="1030">
        <v>0.1883</v>
      </c>
      <c r="E746" s="1030">
        <f>+'RBD Material'!D6</f>
        <v>2320</v>
      </c>
      <c r="F746" s="1019">
        <f t="shared" ref="F746:F747" si="18">+E746*D746</f>
        <v>436.85599999999999</v>
      </c>
      <c r="G746" s="1034"/>
    </row>
    <row r="747" spans="1:8" x14ac:dyDescent="0.25">
      <c r="A747" s="1027" t="s">
        <v>1123</v>
      </c>
      <c r="B747" s="1028" t="s">
        <v>1159</v>
      </c>
      <c r="C747" s="1029" t="s">
        <v>1110</v>
      </c>
      <c r="D747" s="1030">
        <v>0.02</v>
      </c>
      <c r="E747" s="1030">
        <f>+'RBD Material'!D7</f>
        <v>24500</v>
      </c>
      <c r="F747" s="1019">
        <f t="shared" si="18"/>
        <v>490</v>
      </c>
      <c r="G747" s="1034"/>
    </row>
    <row r="748" spans="1:8" x14ac:dyDescent="0.25">
      <c r="A748" s="1027" t="s">
        <v>1142</v>
      </c>
      <c r="B748" s="1028" t="s">
        <v>1160</v>
      </c>
      <c r="C748" s="1029" t="s">
        <v>1094</v>
      </c>
      <c r="D748" s="1030">
        <f>+H748</f>
        <v>2.6666666666666665</v>
      </c>
      <c r="E748" s="1030">
        <f>+'RBD Material'!D23</f>
        <v>2650</v>
      </c>
      <c r="F748" s="1019">
        <f>+E748*D748</f>
        <v>7066.6666666666661</v>
      </c>
      <c r="G748" s="1034"/>
      <c r="H748" s="891">
        <f>+C728/3.75</f>
        <v>2.6666666666666665</v>
      </c>
    </row>
    <row r="749" spans="1:8" x14ac:dyDescent="0.25">
      <c r="A749" s="1027" t="s">
        <v>1161</v>
      </c>
      <c r="B749" s="1028" t="s">
        <v>1162</v>
      </c>
      <c r="C749" s="1029" t="s">
        <v>1094</v>
      </c>
      <c r="D749" s="1030">
        <v>0.1076</v>
      </c>
      <c r="E749" s="1030">
        <f>+'RBD Material'!D24</f>
        <v>280</v>
      </c>
      <c r="F749" s="1019">
        <f>+E749*D749</f>
        <v>30.128</v>
      </c>
      <c r="G749" s="1034"/>
    </row>
    <row r="750" spans="1:8" x14ac:dyDescent="0.25">
      <c r="A750" s="1027" t="s">
        <v>1163</v>
      </c>
      <c r="B750" s="1028" t="s">
        <v>1164</v>
      </c>
      <c r="C750" s="1029" t="s">
        <v>10</v>
      </c>
      <c r="D750" s="1030"/>
      <c r="E750" s="1030"/>
      <c r="F750" s="1019">
        <v>400</v>
      </c>
      <c r="G750" s="1034"/>
    </row>
    <row r="751" spans="1:8" x14ac:dyDescent="0.25">
      <c r="A751" s="1027"/>
      <c r="B751" s="1022"/>
      <c r="C751" s="1023"/>
      <c r="D751" s="1024"/>
      <c r="E751" s="1024"/>
      <c r="F751" s="1035"/>
      <c r="G751" s="1025"/>
    </row>
    <row r="752" spans="1:8" x14ac:dyDescent="0.25">
      <c r="A752" s="1008"/>
      <c r="B752" s="1009" t="s">
        <v>1075</v>
      </c>
      <c r="C752" s="1009"/>
      <c r="D752" s="1026"/>
      <c r="E752" s="1026"/>
      <c r="F752" s="1026">
        <f>SUM(F744:F750)</f>
        <v>56843.650666666661</v>
      </c>
      <c r="G752" s="1010"/>
    </row>
    <row r="753" spans="1:7" x14ac:dyDescent="0.25">
      <c r="A753" s="1002"/>
      <c r="B753" s="1003"/>
      <c r="C753" s="1004"/>
      <c r="D753" s="1003"/>
      <c r="E753" s="1003"/>
      <c r="F753" s="1003"/>
      <c r="G753" s="1005"/>
    </row>
    <row r="754" spans="1:7" x14ac:dyDescent="0.25">
      <c r="A754" s="1008" t="s">
        <v>1055</v>
      </c>
      <c r="B754" s="1009" t="s">
        <v>1076</v>
      </c>
      <c r="C754" s="1009" t="s">
        <v>3</v>
      </c>
      <c r="D754" s="1009" t="s">
        <v>1057</v>
      </c>
      <c r="E754" s="1009" t="s">
        <v>1058</v>
      </c>
      <c r="F754" s="1009" t="s">
        <v>1059</v>
      </c>
      <c r="G754" s="1010"/>
    </row>
    <row r="755" spans="1:7" x14ac:dyDescent="0.25">
      <c r="A755" s="1011"/>
      <c r="B755" s="1012"/>
      <c r="C755" s="1013"/>
      <c r="D755" s="1012"/>
      <c r="E755" s="1012"/>
      <c r="F755" s="1012"/>
      <c r="G755" s="1015"/>
    </row>
    <row r="756" spans="1:7" x14ac:dyDescent="0.25">
      <c r="A756" s="1027">
        <v>4</v>
      </c>
      <c r="B756" s="1028" t="s">
        <v>1077</v>
      </c>
      <c r="C756" s="1029" t="s">
        <v>1078</v>
      </c>
      <c r="D756" s="1036">
        <v>0.02</v>
      </c>
      <c r="E756" s="1030">
        <f>+F735</f>
        <v>43040</v>
      </c>
      <c r="F756" s="1030">
        <f>+E756*D756</f>
        <v>860.80000000000007</v>
      </c>
      <c r="G756" s="1034"/>
    </row>
    <row r="757" spans="1:7" x14ac:dyDescent="0.25">
      <c r="A757" s="1027">
        <v>5</v>
      </c>
      <c r="B757" s="1028" t="s">
        <v>1079</v>
      </c>
      <c r="C757" s="1029" t="s">
        <v>1078</v>
      </c>
      <c r="D757" s="1036">
        <v>0.1</v>
      </c>
      <c r="E757" s="1030">
        <f>+F752</f>
        <v>56843.650666666661</v>
      </c>
      <c r="F757" s="1030">
        <f>+E757*D757</f>
        <v>5684.3650666666663</v>
      </c>
      <c r="G757" s="1034"/>
    </row>
    <row r="758" spans="1:7" x14ac:dyDescent="0.25">
      <c r="A758" s="1021" t="s">
        <v>1065</v>
      </c>
      <c r="B758" s="1022"/>
      <c r="C758" s="1023"/>
      <c r="D758" s="1024"/>
      <c r="E758" s="1024"/>
      <c r="F758" s="1024"/>
      <c r="G758" s="1025"/>
    </row>
    <row r="759" spans="1:7" x14ac:dyDescent="0.25">
      <c r="A759" s="1008"/>
      <c r="B759" s="1009" t="s">
        <v>1080</v>
      </c>
      <c r="C759" s="1009"/>
      <c r="D759" s="1026"/>
      <c r="E759" s="1026"/>
      <c r="F759" s="1026">
        <f>SUM(F756:F758)</f>
        <v>6545.1650666666665</v>
      </c>
      <c r="G759" s="1010"/>
    </row>
    <row r="760" spans="1:7" x14ac:dyDescent="0.25">
      <c r="A760" s="1002"/>
      <c r="B760" s="1003"/>
      <c r="C760" s="1004"/>
      <c r="D760" s="1003"/>
      <c r="E760" s="1003"/>
      <c r="F760" s="1003"/>
      <c r="G760" s="1005"/>
    </row>
    <row r="761" spans="1:7" x14ac:dyDescent="0.25">
      <c r="A761" s="1037"/>
      <c r="B761" s="1038" t="s">
        <v>1081</v>
      </c>
      <c r="C761" s="1450" t="s">
        <v>1082</v>
      </c>
      <c r="D761" s="1450"/>
      <c r="E761" s="1038"/>
      <c r="F761" s="1039">
        <f>+F759+F752+F741+F735</f>
        <v>106428.81573333332</v>
      </c>
      <c r="G761" s="1040"/>
    </row>
    <row r="762" spans="1:7" x14ac:dyDescent="0.25">
      <c r="A762" s="1002"/>
      <c r="B762" s="1003"/>
      <c r="C762" s="1004"/>
      <c r="D762" s="1003"/>
      <c r="E762" s="1003"/>
      <c r="F762" s="1041"/>
      <c r="G762" s="1005"/>
    </row>
    <row r="763" spans="1:7" x14ac:dyDescent="0.25">
      <c r="A763" s="1037"/>
      <c r="B763" s="1038" t="s">
        <v>1083</v>
      </c>
      <c r="C763" s="1450">
        <v>0</v>
      </c>
      <c r="D763" s="1450" t="s">
        <v>1084</v>
      </c>
      <c r="E763" s="1038"/>
      <c r="F763" s="1039"/>
      <c r="G763" s="1040"/>
    </row>
    <row r="764" spans="1:7" x14ac:dyDescent="0.25">
      <c r="A764" s="1002"/>
      <c r="B764" s="1003"/>
      <c r="C764" s="1004"/>
      <c r="D764" s="1003"/>
      <c r="E764" s="1003"/>
      <c r="F764" s="1041"/>
      <c r="G764" s="1005"/>
    </row>
    <row r="765" spans="1:7" x14ac:dyDescent="0.25">
      <c r="A765" s="1037"/>
      <c r="B765" s="1038" t="s">
        <v>1085</v>
      </c>
      <c r="C765" s="1450" t="s">
        <v>1086</v>
      </c>
      <c r="D765" s="1450"/>
      <c r="E765" s="1038"/>
      <c r="F765" s="1039">
        <f>+F761+F763</f>
        <v>106428.81573333332</v>
      </c>
      <c r="G765" s="1040"/>
    </row>
    <row r="766" spans="1:7" x14ac:dyDescent="0.25">
      <c r="A766" s="1002"/>
      <c r="B766" s="1003"/>
      <c r="C766" s="1004"/>
      <c r="D766" s="1003"/>
      <c r="E766" s="1003"/>
      <c r="F766" s="1041"/>
      <c r="G766" s="1005"/>
    </row>
    <row r="767" spans="1:7" x14ac:dyDescent="0.25">
      <c r="A767" s="1037"/>
      <c r="B767" s="1038" t="s">
        <v>1087</v>
      </c>
      <c r="C767" s="1451" t="s">
        <v>1112</v>
      </c>
      <c r="D767" s="1451">
        <v>10</v>
      </c>
      <c r="E767" s="1042">
        <f>+C728</f>
        <v>10</v>
      </c>
      <c r="F767" s="1039">
        <f>+F765/E767</f>
        <v>10642.881573333332</v>
      </c>
      <c r="G767" s="1040"/>
    </row>
    <row r="768" spans="1:7" x14ac:dyDescent="0.25">
      <c r="A768" s="1002"/>
      <c r="B768" s="1003"/>
      <c r="C768" s="1043"/>
      <c r="D768" s="1043"/>
      <c r="E768" s="1044"/>
      <c r="F768" s="1041"/>
      <c r="G768" s="1005"/>
    </row>
    <row r="769" spans="1:7" ht="12.6" thickBot="1" x14ac:dyDescent="0.3">
      <c r="A769" s="1045"/>
      <c r="B769" s="1046" t="s">
        <v>1089</v>
      </c>
      <c r="C769" s="1452" t="s">
        <v>1113</v>
      </c>
      <c r="D769" s="1452"/>
      <c r="E769" s="1047" t="str">
        <f>+D728</f>
        <v>m2</v>
      </c>
      <c r="F769" s="1048">
        <f>+F767</f>
        <v>10642.881573333332</v>
      </c>
      <c r="G769" s="1049"/>
    </row>
    <row r="770" spans="1:7" x14ac:dyDescent="0.25">
      <c r="A770" s="997"/>
      <c r="B770" s="998" t="s">
        <v>1049</v>
      </c>
      <c r="C770" s="999"/>
      <c r="D770" s="998"/>
      <c r="E770" s="998"/>
      <c r="F770" s="998"/>
      <c r="G770" s="1000"/>
    </row>
    <row r="771" spans="1:7" x14ac:dyDescent="0.25">
      <c r="A771" s="1002"/>
      <c r="B771" s="1003" t="s">
        <v>1050</v>
      </c>
      <c r="C771" s="1004"/>
      <c r="D771" s="1003"/>
      <c r="E771" s="1003"/>
      <c r="F771" s="1003"/>
      <c r="G771" s="1005"/>
    </row>
    <row r="772" spans="1:7" x14ac:dyDescent="0.25">
      <c r="A772" s="1002"/>
      <c r="B772" s="1003" t="s">
        <v>1051</v>
      </c>
      <c r="C772" s="1006" t="s">
        <v>1179</v>
      </c>
      <c r="D772" s="1006"/>
      <c r="E772" s="1006"/>
      <c r="F772" s="1006"/>
      <c r="G772" s="1007"/>
    </row>
    <row r="773" spans="1:7" ht="25.8" customHeight="1" x14ac:dyDescent="0.25">
      <c r="A773" s="1002"/>
      <c r="B773" s="1003"/>
      <c r="C773" s="1453" t="s">
        <v>1180</v>
      </c>
      <c r="D773" s="1453"/>
      <c r="E773" s="1453"/>
      <c r="F773" s="1453"/>
      <c r="G773" s="1454"/>
    </row>
    <row r="774" spans="1:7" x14ac:dyDescent="0.25">
      <c r="A774" s="1002"/>
      <c r="B774" s="1003" t="s">
        <v>1053</v>
      </c>
      <c r="C774" s="1004">
        <v>10</v>
      </c>
      <c r="D774" s="1003" t="s">
        <v>183</v>
      </c>
      <c r="E774" s="1003"/>
      <c r="F774" s="1003"/>
      <c r="G774" s="1005"/>
    </row>
    <row r="775" spans="1:7" x14ac:dyDescent="0.25">
      <c r="A775" s="1002"/>
      <c r="B775" s="1003" t="s">
        <v>1054</v>
      </c>
      <c r="C775" s="1004"/>
      <c r="D775" s="1003"/>
      <c r="E775" s="1003"/>
      <c r="F775" s="1003"/>
      <c r="G775" s="1005"/>
    </row>
    <row r="776" spans="1:7" x14ac:dyDescent="0.25">
      <c r="A776" s="1002"/>
      <c r="B776" s="1003"/>
      <c r="C776" s="1004"/>
      <c r="D776" s="1003"/>
      <c r="E776" s="1003"/>
      <c r="F776" s="1003"/>
      <c r="G776" s="1005"/>
    </row>
    <row r="777" spans="1:7" x14ac:dyDescent="0.25">
      <c r="A777" s="1008" t="s">
        <v>1055</v>
      </c>
      <c r="B777" s="1009" t="s">
        <v>1056</v>
      </c>
      <c r="C777" s="1009" t="s">
        <v>3</v>
      </c>
      <c r="D777" s="1009" t="s">
        <v>1057</v>
      </c>
      <c r="E777" s="1009" t="s">
        <v>1058</v>
      </c>
      <c r="F777" s="1009" t="s">
        <v>1059</v>
      </c>
      <c r="G777" s="1010" t="s">
        <v>1060</v>
      </c>
    </row>
    <row r="778" spans="1:7" x14ac:dyDescent="0.25">
      <c r="A778" s="1011"/>
      <c r="B778" s="1012"/>
      <c r="C778" s="1013"/>
      <c r="D778" s="1014"/>
      <c r="E778" s="1014"/>
      <c r="F778" s="1014"/>
      <c r="G778" s="1015"/>
    </row>
    <row r="779" spans="1:7" x14ac:dyDescent="0.25">
      <c r="A779" s="1016" t="s">
        <v>1061</v>
      </c>
      <c r="B779" s="1017" t="s">
        <v>1181</v>
      </c>
      <c r="C779" s="1018" t="s">
        <v>183</v>
      </c>
      <c r="D779" s="1019">
        <f>+C774</f>
        <v>10</v>
      </c>
      <c r="E779" s="1019">
        <f>+'RBD Material'!H32</f>
        <v>2905.2</v>
      </c>
      <c r="F779" s="1019">
        <f>+E779*D779</f>
        <v>29052</v>
      </c>
      <c r="G779" s="1020"/>
    </row>
    <row r="780" spans="1:7" x14ac:dyDescent="0.25">
      <c r="A780" s="1021"/>
      <c r="B780" s="1022"/>
      <c r="C780" s="1023"/>
      <c r="D780" s="1024"/>
      <c r="E780" s="1024"/>
      <c r="F780" s="1024"/>
      <c r="G780" s="1025"/>
    </row>
    <row r="781" spans="1:7" x14ac:dyDescent="0.25">
      <c r="A781" s="1008"/>
      <c r="B781" s="1009" t="s">
        <v>1063</v>
      </c>
      <c r="C781" s="1009"/>
      <c r="D781" s="1026"/>
      <c r="E781" s="1026"/>
      <c r="F781" s="1026">
        <f>SUM(F779:F780)</f>
        <v>29052</v>
      </c>
      <c r="G781" s="1010"/>
    </row>
    <row r="782" spans="1:7" x14ac:dyDescent="0.25">
      <c r="A782" s="1002"/>
      <c r="B782" s="1003"/>
      <c r="C782" s="1004"/>
      <c r="D782" s="1003"/>
      <c r="E782" s="1003"/>
      <c r="F782" s="1003"/>
      <c r="G782" s="1005"/>
    </row>
    <row r="783" spans="1:7" x14ac:dyDescent="0.25">
      <c r="A783" s="1008" t="s">
        <v>1055</v>
      </c>
      <c r="B783" s="1009" t="s">
        <v>1064</v>
      </c>
      <c r="C783" s="1009" t="s">
        <v>3</v>
      </c>
      <c r="D783" s="1009" t="s">
        <v>1057</v>
      </c>
      <c r="E783" s="1009" t="s">
        <v>1058</v>
      </c>
      <c r="F783" s="1009" t="s">
        <v>1059</v>
      </c>
      <c r="G783" s="1010"/>
    </row>
    <row r="784" spans="1:7" x14ac:dyDescent="0.25">
      <c r="A784" s="1011"/>
      <c r="B784" s="1012"/>
      <c r="C784" s="1013"/>
      <c r="D784" s="1012"/>
      <c r="E784" s="1012"/>
      <c r="F784" s="1012"/>
      <c r="G784" s="1015"/>
    </row>
    <row r="785" spans="1:8" x14ac:dyDescent="0.25">
      <c r="A785" s="1027"/>
      <c r="B785" s="1028"/>
      <c r="C785" s="1029"/>
      <c r="D785" s="1030"/>
      <c r="E785" s="1030"/>
      <c r="F785" s="1019"/>
      <c r="G785" s="1031"/>
    </row>
    <row r="786" spans="1:8" x14ac:dyDescent="0.25">
      <c r="A786" s="1021" t="s">
        <v>1065</v>
      </c>
      <c r="B786" s="1022"/>
      <c r="C786" s="1023"/>
      <c r="D786" s="1024"/>
      <c r="E786" s="1024"/>
      <c r="F786" s="1024"/>
      <c r="G786" s="1032"/>
    </row>
    <row r="787" spans="1:8" x14ac:dyDescent="0.25">
      <c r="A787" s="1008"/>
      <c r="B787" s="1009" t="s">
        <v>1066</v>
      </c>
      <c r="C787" s="1009"/>
      <c r="D787" s="1026"/>
      <c r="E787" s="1026"/>
      <c r="F787" s="1026">
        <f>SUM(F785:F786)</f>
        <v>0</v>
      </c>
      <c r="G787" s="1033"/>
    </row>
    <row r="788" spans="1:8" x14ac:dyDescent="0.25">
      <c r="A788" s="1002"/>
      <c r="B788" s="1003"/>
      <c r="C788" s="1004"/>
      <c r="D788" s="1003"/>
      <c r="E788" s="1003"/>
      <c r="F788" s="1003"/>
      <c r="G788" s="1005"/>
    </row>
    <row r="789" spans="1:8" x14ac:dyDescent="0.25">
      <c r="A789" s="1008" t="s">
        <v>1055</v>
      </c>
      <c r="B789" s="1009" t="s">
        <v>1067</v>
      </c>
      <c r="C789" s="1009" t="s">
        <v>3</v>
      </c>
      <c r="D789" s="1009" t="s">
        <v>1057</v>
      </c>
      <c r="E789" s="1009" t="s">
        <v>1058</v>
      </c>
      <c r="F789" s="1009" t="s">
        <v>1059</v>
      </c>
      <c r="G789" s="1010"/>
    </row>
    <row r="790" spans="1:8" x14ac:dyDescent="0.25">
      <c r="A790" s="1011"/>
      <c r="B790" s="1012"/>
      <c r="C790" s="1013"/>
      <c r="D790" s="1012"/>
      <c r="E790" s="1012"/>
      <c r="F790" s="1012"/>
      <c r="G790" s="1015"/>
    </row>
    <row r="791" spans="1:8" x14ac:dyDescent="0.25">
      <c r="A791" s="1027" t="s">
        <v>1068</v>
      </c>
      <c r="B791" s="1028" t="s">
        <v>1182</v>
      </c>
      <c r="C791" s="1029" t="s">
        <v>1122</v>
      </c>
      <c r="D791" s="1030">
        <f>+C774*10.76</f>
        <v>107.6</v>
      </c>
      <c r="E791" s="1030">
        <f>+'RBD Material'!D20</f>
        <v>2550</v>
      </c>
      <c r="F791" s="1019">
        <f>+E791*D791</f>
        <v>274380</v>
      </c>
      <c r="G791" s="1034"/>
    </row>
    <row r="792" spans="1:8" x14ac:dyDescent="0.25">
      <c r="A792" s="1027" t="s">
        <v>1073</v>
      </c>
      <c r="B792" s="1028" t="s">
        <v>1108</v>
      </c>
      <c r="C792" s="1029" t="s">
        <v>1094</v>
      </c>
      <c r="D792" s="1030">
        <v>0.3</v>
      </c>
      <c r="E792" s="1030">
        <f>+'RBD Material'!D6</f>
        <v>2320</v>
      </c>
      <c r="F792" s="1019">
        <f t="shared" ref="F792:F793" si="19">+E792*D792</f>
        <v>696</v>
      </c>
      <c r="G792" s="1034"/>
    </row>
    <row r="793" spans="1:8" x14ac:dyDescent="0.25">
      <c r="A793" s="1027" t="s">
        <v>1123</v>
      </c>
      <c r="B793" s="1028" t="s">
        <v>1159</v>
      </c>
      <c r="C793" s="1029" t="s">
        <v>1110</v>
      </c>
      <c r="D793" s="1030">
        <v>0.02</v>
      </c>
      <c r="E793" s="1030">
        <f>+'RBD Material'!D7</f>
        <v>24500</v>
      </c>
      <c r="F793" s="1019">
        <f t="shared" si="19"/>
        <v>490</v>
      </c>
      <c r="G793" s="1034"/>
    </row>
    <row r="794" spans="1:8" x14ac:dyDescent="0.25">
      <c r="A794" s="1027" t="s">
        <v>1142</v>
      </c>
      <c r="B794" s="1028" t="s">
        <v>1160</v>
      </c>
      <c r="C794" s="1029" t="s">
        <v>1094</v>
      </c>
      <c r="D794" s="1030">
        <f>+H794</f>
        <v>2.6666666666666701</v>
      </c>
      <c r="E794" s="1030">
        <f>+'RBD Material'!D23</f>
        <v>2650</v>
      </c>
      <c r="F794" s="1019">
        <f>+E794*D794</f>
        <v>7066.6666666666761</v>
      </c>
      <c r="G794" s="1034"/>
      <c r="H794" s="891">
        <v>2.6666666666666701</v>
      </c>
    </row>
    <row r="795" spans="1:8" x14ac:dyDescent="0.25">
      <c r="A795" s="1027" t="s">
        <v>1161</v>
      </c>
      <c r="B795" s="1028" t="s">
        <v>1183</v>
      </c>
      <c r="C795" s="1029" t="s">
        <v>1094</v>
      </c>
      <c r="D795" s="1030">
        <v>0.1076</v>
      </c>
      <c r="E795" s="1030">
        <f>+'RBD Material'!D24*1.5</f>
        <v>420</v>
      </c>
      <c r="F795" s="1019">
        <f>+E795*D795</f>
        <v>45.192</v>
      </c>
      <c r="G795" s="1034"/>
    </row>
    <row r="796" spans="1:8" x14ac:dyDescent="0.25">
      <c r="A796" s="1027" t="s">
        <v>1163</v>
      </c>
      <c r="B796" s="1028" t="s">
        <v>1164</v>
      </c>
      <c r="C796" s="1029" t="s">
        <v>10</v>
      </c>
      <c r="D796" s="1030"/>
      <c r="E796" s="1030"/>
      <c r="F796" s="1019">
        <v>400</v>
      </c>
      <c r="G796" s="1034"/>
    </row>
    <row r="797" spans="1:8" x14ac:dyDescent="0.25">
      <c r="A797" s="1027"/>
      <c r="B797" s="1022"/>
      <c r="C797" s="1023"/>
      <c r="D797" s="1024"/>
      <c r="E797" s="1024"/>
      <c r="F797" s="1035"/>
      <c r="G797" s="1025"/>
    </row>
    <row r="798" spans="1:8" x14ac:dyDescent="0.25">
      <c r="A798" s="1008"/>
      <c r="B798" s="1009" t="s">
        <v>1075</v>
      </c>
      <c r="C798" s="1009"/>
      <c r="D798" s="1026"/>
      <c r="E798" s="1026"/>
      <c r="F798" s="1026">
        <f>SUM(F790:F796)</f>
        <v>283077.85866666667</v>
      </c>
      <c r="G798" s="1010"/>
    </row>
    <row r="799" spans="1:8" x14ac:dyDescent="0.25">
      <c r="A799" s="1002"/>
      <c r="B799" s="1003"/>
      <c r="C799" s="1004"/>
      <c r="D799" s="1003"/>
      <c r="E799" s="1003"/>
      <c r="F799" s="1003"/>
      <c r="G799" s="1005"/>
    </row>
    <row r="800" spans="1:8" x14ac:dyDescent="0.25">
      <c r="A800" s="1008" t="s">
        <v>1055</v>
      </c>
      <c r="B800" s="1009" t="s">
        <v>1076</v>
      </c>
      <c r="C800" s="1009" t="s">
        <v>3</v>
      </c>
      <c r="D800" s="1009" t="s">
        <v>1057</v>
      </c>
      <c r="E800" s="1009" t="s">
        <v>1058</v>
      </c>
      <c r="F800" s="1009" t="s">
        <v>1059</v>
      </c>
      <c r="G800" s="1010"/>
    </row>
    <row r="801" spans="1:7" x14ac:dyDescent="0.25">
      <c r="A801" s="1011"/>
      <c r="B801" s="1012"/>
      <c r="C801" s="1013"/>
      <c r="D801" s="1012"/>
      <c r="E801" s="1012"/>
      <c r="F801" s="1012"/>
      <c r="G801" s="1015"/>
    </row>
    <row r="802" spans="1:7" x14ac:dyDescent="0.25">
      <c r="A802" s="1027">
        <v>4</v>
      </c>
      <c r="B802" s="1028" t="s">
        <v>1077</v>
      </c>
      <c r="C802" s="1029" t="s">
        <v>1078</v>
      </c>
      <c r="D802" s="1036">
        <v>0.02</v>
      </c>
      <c r="E802" s="1030">
        <f>+F781</f>
        <v>29052</v>
      </c>
      <c r="F802" s="1030">
        <f>+E802*D802</f>
        <v>581.04</v>
      </c>
      <c r="G802" s="1034"/>
    </row>
    <row r="803" spans="1:7" x14ac:dyDescent="0.25">
      <c r="A803" s="1027">
        <v>5</v>
      </c>
      <c r="B803" s="1028" t="s">
        <v>1079</v>
      </c>
      <c r="C803" s="1029" t="s">
        <v>1078</v>
      </c>
      <c r="D803" s="1036">
        <v>0.1</v>
      </c>
      <c r="E803" s="1030">
        <f>+F798</f>
        <v>283077.85866666667</v>
      </c>
      <c r="F803" s="1030">
        <f>+E803*D803</f>
        <v>28307.785866666669</v>
      </c>
      <c r="G803" s="1034"/>
    </row>
    <row r="804" spans="1:7" x14ac:dyDescent="0.25">
      <c r="A804" s="1021" t="s">
        <v>1065</v>
      </c>
      <c r="B804" s="1022"/>
      <c r="C804" s="1023"/>
      <c r="D804" s="1024"/>
      <c r="E804" s="1024"/>
      <c r="F804" s="1024"/>
      <c r="G804" s="1025"/>
    </row>
    <row r="805" spans="1:7" x14ac:dyDescent="0.25">
      <c r="A805" s="1008"/>
      <c r="B805" s="1009" t="s">
        <v>1080</v>
      </c>
      <c r="C805" s="1009"/>
      <c r="D805" s="1026"/>
      <c r="E805" s="1026"/>
      <c r="F805" s="1026">
        <f>SUM(F802:F804)</f>
        <v>28888.82586666667</v>
      </c>
      <c r="G805" s="1010"/>
    </row>
    <row r="806" spans="1:7" x14ac:dyDescent="0.25">
      <c r="A806" s="1002"/>
      <c r="B806" s="1003"/>
      <c r="C806" s="1004"/>
      <c r="D806" s="1003"/>
      <c r="E806" s="1003"/>
      <c r="F806" s="1003"/>
      <c r="G806" s="1005"/>
    </row>
    <row r="807" spans="1:7" x14ac:dyDescent="0.25">
      <c r="A807" s="1037"/>
      <c r="B807" s="1038" t="s">
        <v>1081</v>
      </c>
      <c r="C807" s="1450" t="s">
        <v>1082</v>
      </c>
      <c r="D807" s="1450"/>
      <c r="E807" s="1038"/>
      <c r="F807" s="1039">
        <f>+F805+F798+F787+F781</f>
        <v>341018.68453333335</v>
      </c>
      <c r="G807" s="1040"/>
    </row>
    <row r="808" spans="1:7" x14ac:dyDescent="0.25">
      <c r="A808" s="1002"/>
      <c r="B808" s="1003"/>
      <c r="C808" s="1004"/>
      <c r="D808" s="1003"/>
      <c r="E808" s="1003"/>
      <c r="F808" s="1041"/>
      <c r="G808" s="1005"/>
    </row>
    <row r="809" spans="1:7" x14ac:dyDescent="0.25">
      <c r="A809" s="1037"/>
      <c r="B809" s="1038" t="s">
        <v>1083</v>
      </c>
      <c r="C809" s="1450">
        <v>0</v>
      </c>
      <c r="D809" s="1450" t="s">
        <v>1084</v>
      </c>
      <c r="E809" s="1038"/>
      <c r="F809" s="1039"/>
      <c r="G809" s="1040"/>
    </row>
    <row r="810" spans="1:7" x14ac:dyDescent="0.25">
      <c r="A810" s="1002"/>
      <c r="B810" s="1003"/>
      <c r="C810" s="1004"/>
      <c r="D810" s="1003"/>
      <c r="E810" s="1003"/>
      <c r="F810" s="1041"/>
      <c r="G810" s="1005"/>
    </row>
    <row r="811" spans="1:7" x14ac:dyDescent="0.25">
      <c r="A811" s="1037"/>
      <c r="B811" s="1038" t="s">
        <v>1085</v>
      </c>
      <c r="C811" s="1450" t="s">
        <v>1086</v>
      </c>
      <c r="D811" s="1450"/>
      <c r="E811" s="1038"/>
      <c r="F811" s="1039">
        <f>+F807+F809</f>
        <v>341018.68453333335</v>
      </c>
      <c r="G811" s="1040"/>
    </row>
    <row r="812" spans="1:7" x14ac:dyDescent="0.25">
      <c r="A812" s="1002"/>
      <c r="B812" s="1003"/>
      <c r="C812" s="1004"/>
      <c r="D812" s="1003"/>
      <c r="E812" s="1003"/>
      <c r="F812" s="1041"/>
      <c r="G812" s="1005"/>
    </row>
    <row r="813" spans="1:7" x14ac:dyDescent="0.25">
      <c r="A813" s="1037"/>
      <c r="B813" s="1038" t="s">
        <v>1087</v>
      </c>
      <c r="C813" s="1451" t="s">
        <v>1112</v>
      </c>
      <c r="D813" s="1451">
        <v>10</v>
      </c>
      <c r="E813" s="1042">
        <f>+C774</f>
        <v>10</v>
      </c>
      <c r="F813" s="1039">
        <f>+F811/E813</f>
        <v>34101.868453333336</v>
      </c>
      <c r="G813" s="1040"/>
    </row>
    <row r="814" spans="1:7" x14ac:dyDescent="0.25">
      <c r="A814" s="1002"/>
      <c r="B814" s="1003"/>
      <c r="C814" s="1043"/>
      <c r="D814" s="1043"/>
      <c r="E814" s="1044"/>
      <c r="F814" s="1041"/>
      <c r="G814" s="1005"/>
    </row>
    <row r="815" spans="1:7" ht="12.6" thickBot="1" x14ac:dyDescent="0.3">
      <c r="A815" s="1045"/>
      <c r="B815" s="1046" t="s">
        <v>1089</v>
      </c>
      <c r="C815" s="1452" t="s">
        <v>1113</v>
      </c>
      <c r="D815" s="1452"/>
      <c r="E815" s="1047" t="str">
        <f>+D774</f>
        <v>m2</v>
      </c>
      <c r="F815" s="1048">
        <f>+F813</f>
        <v>34101.868453333336</v>
      </c>
      <c r="G815" s="1049"/>
    </row>
    <row r="816" spans="1:7" x14ac:dyDescent="0.25">
      <c r="A816" s="997"/>
      <c r="B816" s="998" t="s">
        <v>1049</v>
      </c>
      <c r="C816" s="999"/>
      <c r="D816" s="998"/>
      <c r="E816" s="998"/>
      <c r="F816" s="998"/>
      <c r="G816" s="1000"/>
    </row>
    <row r="817" spans="1:7" x14ac:dyDescent="0.25">
      <c r="A817" s="1002"/>
      <c r="B817" s="1003" t="s">
        <v>1050</v>
      </c>
      <c r="C817" s="1004"/>
      <c r="D817" s="1003"/>
      <c r="E817" s="1003"/>
      <c r="F817" s="1003"/>
      <c r="G817" s="1005"/>
    </row>
    <row r="818" spans="1:7" x14ac:dyDescent="0.25">
      <c r="A818" s="1002"/>
      <c r="B818" s="1003" t="s">
        <v>1184</v>
      </c>
      <c r="C818" s="1006"/>
      <c r="D818" s="1006"/>
      <c r="E818" s="1006"/>
      <c r="F818" s="1006"/>
      <c r="G818" s="1007"/>
    </row>
    <row r="819" spans="1:7" x14ac:dyDescent="0.25">
      <c r="A819" s="1002"/>
      <c r="B819" s="1003" t="s">
        <v>1053</v>
      </c>
      <c r="C819" s="1004">
        <v>10</v>
      </c>
      <c r="D819" s="1003" t="s">
        <v>183</v>
      </c>
      <c r="E819" s="1003"/>
      <c r="F819" s="1003"/>
      <c r="G819" s="1005"/>
    </row>
    <row r="820" spans="1:7" x14ac:dyDescent="0.25">
      <c r="A820" s="1002"/>
      <c r="B820" s="1003" t="s">
        <v>1054</v>
      </c>
      <c r="C820" s="1004"/>
      <c r="D820" s="1003"/>
      <c r="E820" s="1003"/>
      <c r="F820" s="1003"/>
      <c r="G820" s="1005"/>
    </row>
    <row r="821" spans="1:7" x14ac:dyDescent="0.25">
      <c r="A821" s="1002"/>
      <c r="B821" s="1003"/>
      <c r="C821" s="1004"/>
      <c r="D821" s="1003"/>
      <c r="E821" s="1003"/>
      <c r="F821" s="1003"/>
      <c r="G821" s="1005"/>
    </row>
    <row r="822" spans="1:7" x14ac:dyDescent="0.25">
      <c r="A822" s="1008" t="s">
        <v>1055</v>
      </c>
      <c r="B822" s="1009" t="s">
        <v>1056</v>
      </c>
      <c r="C822" s="1009" t="s">
        <v>3</v>
      </c>
      <c r="D822" s="1009" t="s">
        <v>1057</v>
      </c>
      <c r="E822" s="1009" t="s">
        <v>1058</v>
      </c>
      <c r="F822" s="1009" t="s">
        <v>1059</v>
      </c>
      <c r="G822" s="1010" t="s">
        <v>1060</v>
      </c>
    </row>
    <row r="823" spans="1:7" x14ac:dyDescent="0.25">
      <c r="A823" s="1011"/>
      <c r="B823" s="1012"/>
      <c r="C823" s="1013"/>
      <c r="D823" s="1014"/>
      <c r="E823" s="1014"/>
      <c r="F823" s="1014"/>
      <c r="G823" s="1015"/>
    </row>
    <row r="824" spans="1:7" x14ac:dyDescent="0.25">
      <c r="A824" s="1016" t="s">
        <v>1061</v>
      </c>
      <c r="B824" s="1017" t="s">
        <v>1185</v>
      </c>
      <c r="C824" s="1018" t="s">
        <v>183</v>
      </c>
      <c r="D824" s="1019">
        <f>+C819</f>
        <v>10</v>
      </c>
      <c r="E824" s="1019">
        <f>+'RBD Material'!H34*10.76</f>
        <v>7532</v>
      </c>
      <c r="F824" s="1019">
        <f>+E824*D824</f>
        <v>75320</v>
      </c>
      <c r="G824" s="1020"/>
    </row>
    <row r="825" spans="1:7" x14ac:dyDescent="0.25">
      <c r="A825" s="1021"/>
      <c r="B825" s="1022"/>
      <c r="C825" s="1023"/>
      <c r="D825" s="1024"/>
      <c r="E825" s="1024"/>
      <c r="F825" s="1024"/>
      <c r="G825" s="1025"/>
    </row>
    <row r="826" spans="1:7" x14ac:dyDescent="0.25">
      <c r="A826" s="1008"/>
      <c r="B826" s="1009" t="s">
        <v>1063</v>
      </c>
      <c r="C826" s="1009"/>
      <c r="D826" s="1026"/>
      <c r="E826" s="1026"/>
      <c r="F826" s="1026">
        <f>SUM(F824:F825)</f>
        <v>75320</v>
      </c>
      <c r="G826" s="1010"/>
    </row>
    <row r="827" spans="1:7" x14ac:dyDescent="0.25">
      <c r="A827" s="1002"/>
      <c r="B827" s="1003"/>
      <c r="C827" s="1004"/>
      <c r="D827" s="1003"/>
      <c r="E827" s="1003"/>
      <c r="F827" s="1003"/>
      <c r="G827" s="1005"/>
    </row>
    <row r="828" spans="1:7" x14ac:dyDescent="0.25">
      <c r="A828" s="1008" t="s">
        <v>1055</v>
      </c>
      <c r="B828" s="1009" t="s">
        <v>1064</v>
      </c>
      <c r="C828" s="1009" t="s">
        <v>3</v>
      </c>
      <c r="D828" s="1009" t="s">
        <v>1057</v>
      </c>
      <c r="E828" s="1009" t="s">
        <v>1058</v>
      </c>
      <c r="F828" s="1009" t="s">
        <v>1059</v>
      </c>
      <c r="G828" s="1010"/>
    </row>
    <row r="829" spans="1:7" x14ac:dyDescent="0.25">
      <c r="A829" s="1011"/>
      <c r="B829" s="1012"/>
      <c r="C829" s="1013"/>
      <c r="D829" s="1012"/>
      <c r="E829" s="1012"/>
      <c r="F829" s="1012"/>
      <c r="G829" s="1015"/>
    </row>
    <row r="830" spans="1:7" x14ac:dyDescent="0.25">
      <c r="A830" s="1027"/>
      <c r="B830" s="1028"/>
      <c r="C830" s="1029"/>
      <c r="D830" s="1030"/>
      <c r="E830" s="1030"/>
      <c r="F830" s="1019"/>
      <c r="G830" s="1031"/>
    </row>
    <row r="831" spans="1:7" x14ac:dyDescent="0.25">
      <c r="A831" s="1021" t="s">
        <v>1065</v>
      </c>
      <c r="B831" s="1022"/>
      <c r="C831" s="1023"/>
      <c r="D831" s="1024"/>
      <c r="E831" s="1024"/>
      <c r="F831" s="1024"/>
      <c r="G831" s="1032"/>
    </row>
    <row r="832" spans="1:7" x14ac:dyDescent="0.25">
      <c r="A832" s="1008"/>
      <c r="B832" s="1009" t="s">
        <v>1066</v>
      </c>
      <c r="C832" s="1009"/>
      <c r="D832" s="1026"/>
      <c r="E832" s="1026"/>
      <c r="F832" s="1026">
        <f>SUM(F830:F831)</f>
        <v>0</v>
      </c>
      <c r="G832" s="1033"/>
    </row>
    <row r="833" spans="1:7" x14ac:dyDescent="0.25">
      <c r="A833" s="1002"/>
      <c r="B833" s="1003"/>
      <c r="C833" s="1004"/>
      <c r="D833" s="1003"/>
      <c r="E833" s="1003"/>
      <c r="F833" s="1003"/>
      <c r="G833" s="1005"/>
    </row>
    <row r="834" spans="1:7" x14ac:dyDescent="0.25">
      <c r="A834" s="1008" t="s">
        <v>1055</v>
      </c>
      <c r="B834" s="1009" t="s">
        <v>1067</v>
      </c>
      <c r="C834" s="1009" t="s">
        <v>3</v>
      </c>
      <c r="D834" s="1009" t="s">
        <v>1057</v>
      </c>
      <c r="E834" s="1009" t="s">
        <v>1058</v>
      </c>
      <c r="F834" s="1009" t="s">
        <v>1059</v>
      </c>
      <c r="G834" s="1010"/>
    </row>
    <row r="835" spans="1:7" x14ac:dyDescent="0.25">
      <c r="A835" s="1011"/>
      <c r="B835" s="1012"/>
      <c r="C835" s="1013"/>
      <c r="D835" s="1012"/>
      <c r="E835" s="1012"/>
      <c r="F835" s="1012"/>
      <c r="G835" s="1015"/>
    </row>
    <row r="836" spans="1:7" x14ac:dyDescent="0.25">
      <c r="A836" s="1027" t="s">
        <v>1068</v>
      </c>
      <c r="B836" s="1028" t="s">
        <v>1186</v>
      </c>
      <c r="C836" s="1029" t="s">
        <v>1122</v>
      </c>
      <c r="D836" s="1030">
        <f>+C819*10.76</f>
        <v>107.6</v>
      </c>
      <c r="E836" s="1030">
        <v>650</v>
      </c>
      <c r="F836" s="1019">
        <f>+E836*D836</f>
        <v>69940</v>
      </c>
      <c r="G836" s="1034"/>
    </row>
    <row r="837" spans="1:7" x14ac:dyDescent="0.25">
      <c r="A837" s="1027" t="s">
        <v>1073</v>
      </c>
      <c r="B837" s="1028" t="s">
        <v>1108</v>
      </c>
      <c r="C837" s="1029" t="s">
        <v>1094</v>
      </c>
      <c r="D837" s="1030">
        <v>2</v>
      </c>
      <c r="E837" s="1030">
        <f>+'RBD Material'!D6</f>
        <v>2320</v>
      </c>
      <c r="F837" s="1019">
        <f>+E837*D837</f>
        <v>4640</v>
      </c>
      <c r="G837" s="1034"/>
    </row>
    <row r="838" spans="1:7" x14ac:dyDescent="0.25">
      <c r="A838" s="1027" t="s">
        <v>1123</v>
      </c>
      <c r="B838" s="1028" t="s">
        <v>1159</v>
      </c>
      <c r="C838" s="1029" t="s">
        <v>1110</v>
      </c>
      <c r="D838" s="1030">
        <v>0.23</v>
      </c>
      <c r="E838" s="1030">
        <f>+'RBD Material'!D7</f>
        <v>24500</v>
      </c>
      <c r="F838" s="1019">
        <f>+E838*D838</f>
        <v>5635</v>
      </c>
      <c r="G838" s="1034"/>
    </row>
    <row r="839" spans="1:7" x14ac:dyDescent="0.25">
      <c r="A839" s="1027"/>
      <c r="B839" s="1022"/>
      <c r="C839" s="1023"/>
      <c r="D839" s="1024"/>
      <c r="E839" s="1024"/>
      <c r="F839" s="1035"/>
      <c r="G839" s="1025"/>
    </row>
    <row r="840" spans="1:7" x14ac:dyDescent="0.25">
      <c r="A840" s="1008"/>
      <c r="B840" s="1009" t="s">
        <v>1075</v>
      </c>
      <c r="C840" s="1009"/>
      <c r="D840" s="1026"/>
      <c r="E840" s="1026"/>
      <c r="F840" s="1026">
        <f>SUM(F835:F838)</f>
        <v>80215</v>
      </c>
      <c r="G840" s="1010"/>
    </row>
    <row r="841" spans="1:7" x14ac:dyDescent="0.25">
      <c r="A841" s="1002"/>
      <c r="B841" s="1003"/>
      <c r="C841" s="1004"/>
      <c r="D841" s="1003"/>
      <c r="E841" s="1003"/>
      <c r="F841" s="1003"/>
      <c r="G841" s="1005"/>
    </row>
    <row r="842" spans="1:7" x14ac:dyDescent="0.25">
      <c r="A842" s="1008" t="s">
        <v>1055</v>
      </c>
      <c r="B842" s="1009" t="s">
        <v>1076</v>
      </c>
      <c r="C842" s="1009" t="s">
        <v>3</v>
      </c>
      <c r="D842" s="1009" t="s">
        <v>1057</v>
      </c>
      <c r="E842" s="1009" t="s">
        <v>1058</v>
      </c>
      <c r="F842" s="1009" t="s">
        <v>1059</v>
      </c>
      <c r="G842" s="1010"/>
    </row>
    <row r="843" spans="1:7" x14ac:dyDescent="0.25">
      <c r="A843" s="1011"/>
      <c r="B843" s="1012"/>
      <c r="C843" s="1013"/>
      <c r="D843" s="1012"/>
      <c r="E843" s="1012"/>
      <c r="F843" s="1012"/>
      <c r="G843" s="1015"/>
    </row>
    <row r="844" spans="1:7" x14ac:dyDescent="0.25">
      <c r="A844" s="1027">
        <v>4</v>
      </c>
      <c r="B844" s="1028" t="s">
        <v>1077</v>
      </c>
      <c r="C844" s="1029" t="s">
        <v>1078</v>
      </c>
      <c r="D844" s="1036">
        <v>0.02</v>
      </c>
      <c r="E844" s="1030">
        <f>+F826</f>
        <v>75320</v>
      </c>
      <c r="F844" s="1030">
        <f>+E844*D844</f>
        <v>1506.4</v>
      </c>
      <c r="G844" s="1034"/>
    </row>
    <row r="845" spans="1:7" x14ac:dyDescent="0.25">
      <c r="A845" s="1027">
        <v>5</v>
      </c>
      <c r="B845" s="1028" t="s">
        <v>1079</v>
      </c>
      <c r="C845" s="1029" t="s">
        <v>1078</v>
      </c>
      <c r="D845" s="1036">
        <v>0.1</v>
      </c>
      <c r="E845" s="1030">
        <f>+F840</f>
        <v>80215</v>
      </c>
      <c r="F845" s="1030">
        <f>+E845*D845</f>
        <v>8021.5</v>
      </c>
      <c r="G845" s="1034"/>
    </row>
    <row r="846" spans="1:7" x14ac:dyDescent="0.25">
      <c r="A846" s="1021" t="s">
        <v>1065</v>
      </c>
      <c r="B846" s="1022"/>
      <c r="C846" s="1023"/>
      <c r="D846" s="1024"/>
      <c r="E846" s="1024"/>
      <c r="F846" s="1024"/>
      <c r="G846" s="1025"/>
    </row>
    <row r="847" spans="1:7" x14ac:dyDescent="0.25">
      <c r="A847" s="1008"/>
      <c r="B847" s="1009" t="s">
        <v>1080</v>
      </c>
      <c r="C847" s="1009"/>
      <c r="D847" s="1026"/>
      <c r="E847" s="1026"/>
      <c r="F847" s="1026">
        <f>SUM(F844:F846)</f>
        <v>9527.9</v>
      </c>
      <c r="G847" s="1010"/>
    </row>
    <row r="848" spans="1:7" x14ac:dyDescent="0.25">
      <c r="A848" s="1002"/>
      <c r="B848" s="1003"/>
      <c r="C848" s="1004"/>
      <c r="D848" s="1003"/>
      <c r="E848" s="1003"/>
      <c r="F848" s="1003"/>
      <c r="G848" s="1005"/>
    </row>
    <row r="849" spans="1:8" x14ac:dyDescent="0.25">
      <c r="A849" s="1037"/>
      <c r="B849" s="1038" t="s">
        <v>1081</v>
      </c>
      <c r="C849" s="1450" t="s">
        <v>1082</v>
      </c>
      <c r="D849" s="1450"/>
      <c r="E849" s="1038"/>
      <c r="F849" s="1039">
        <f>+F847+F840+F832+F826</f>
        <v>165062.9</v>
      </c>
      <c r="G849" s="1040"/>
    </row>
    <row r="850" spans="1:8" x14ac:dyDescent="0.25">
      <c r="A850" s="1002"/>
      <c r="B850" s="1003"/>
      <c r="C850" s="1004"/>
      <c r="D850" s="1003"/>
      <c r="E850" s="1003"/>
      <c r="F850" s="1041"/>
      <c r="G850" s="1005"/>
    </row>
    <row r="851" spans="1:8" x14ac:dyDescent="0.25">
      <c r="A851" s="1037"/>
      <c r="B851" s="1038" t="s">
        <v>1083</v>
      </c>
      <c r="C851" s="1450">
        <v>0</v>
      </c>
      <c r="D851" s="1450" t="s">
        <v>1084</v>
      </c>
      <c r="E851" s="1038"/>
      <c r="F851" s="1039"/>
      <c r="G851" s="1040"/>
    </row>
    <row r="852" spans="1:8" x14ac:dyDescent="0.25">
      <c r="A852" s="1002"/>
      <c r="B852" s="1003"/>
      <c r="C852" s="1004"/>
      <c r="D852" s="1003"/>
      <c r="E852" s="1003"/>
      <c r="F852" s="1041"/>
      <c r="G852" s="1005"/>
    </row>
    <row r="853" spans="1:8" x14ac:dyDescent="0.25">
      <c r="A853" s="1037"/>
      <c r="B853" s="1038" t="s">
        <v>1085</v>
      </c>
      <c r="C853" s="1450" t="s">
        <v>1086</v>
      </c>
      <c r="D853" s="1450"/>
      <c r="E853" s="1038"/>
      <c r="F853" s="1039">
        <f>+F849+F851</f>
        <v>165062.9</v>
      </c>
      <c r="G853" s="1040"/>
    </row>
    <row r="854" spans="1:8" x14ac:dyDescent="0.25">
      <c r="A854" s="1002"/>
      <c r="B854" s="1003"/>
      <c r="C854" s="1004"/>
      <c r="D854" s="1003"/>
      <c r="E854" s="1003"/>
      <c r="F854" s="1041"/>
      <c r="G854" s="1005"/>
    </row>
    <row r="855" spans="1:8" x14ac:dyDescent="0.25">
      <c r="A855" s="1037"/>
      <c r="B855" s="1038" t="s">
        <v>1087</v>
      </c>
      <c r="C855" s="1451" t="s">
        <v>1112</v>
      </c>
      <c r="D855" s="1451">
        <v>10</v>
      </c>
      <c r="E855" s="1042">
        <f>+C819</f>
        <v>10</v>
      </c>
      <c r="F855" s="1039">
        <f>+F853/E855</f>
        <v>16506.29</v>
      </c>
      <c r="G855" s="1040"/>
    </row>
    <row r="856" spans="1:8" x14ac:dyDescent="0.25">
      <c r="A856" s="1002"/>
      <c r="B856" s="1003"/>
      <c r="C856" s="1043"/>
      <c r="D856" s="1043"/>
      <c r="E856" s="1044"/>
      <c r="F856" s="1041"/>
      <c r="G856" s="1005"/>
    </row>
    <row r="857" spans="1:8" ht="12.6" thickBot="1" x14ac:dyDescent="0.3">
      <c r="A857" s="1045"/>
      <c r="B857" s="1046" t="s">
        <v>1089</v>
      </c>
      <c r="C857" s="1452" t="s">
        <v>1113</v>
      </c>
      <c r="D857" s="1452"/>
      <c r="E857" s="1047" t="str">
        <f>+D819</f>
        <v>m2</v>
      </c>
      <c r="F857" s="1048">
        <f>+F855</f>
        <v>16506.29</v>
      </c>
      <c r="G857" s="1049"/>
      <c r="H857" s="891">
        <f>+F857/10.76</f>
        <v>1534.0418215613383</v>
      </c>
    </row>
    <row r="858" spans="1:8" s="1054" customFormat="1" x14ac:dyDescent="0.25">
      <c r="A858" s="1050"/>
      <c r="B858" s="1051" t="s">
        <v>1049</v>
      </c>
      <c r="C858" s="1052"/>
      <c r="D858" s="1051"/>
      <c r="E858" s="1051"/>
      <c r="F858" s="1051"/>
      <c r="G858" s="1053"/>
    </row>
    <row r="859" spans="1:8" s="1054" customFormat="1" x14ac:dyDescent="0.25">
      <c r="A859" s="1055"/>
      <c r="B859" s="1056" t="s">
        <v>1050</v>
      </c>
      <c r="C859" s="1057"/>
      <c r="D859" s="1056"/>
      <c r="E859" s="1056"/>
      <c r="F859" s="1056"/>
      <c r="G859" s="1058"/>
    </row>
    <row r="860" spans="1:8" s="1054" customFormat="1" x14ac:dyDescent="0.25">
      <c r="A860" s="1055"/>
      <c r="B860" s="1056" t="s">
        <v>1051</v>
      </c>
      <c r="C860" s="1059" t="s">
        <v>1187</v>
      </c>
      <c r="D860" s="1059"/>
      <c r="E860" s="1059"/>
      <c r="F860" s="1059"/>
      <c r="G860" s="1060"/>
    </row>
    <row r="861" spans="1:8" s="1054" customFormat="1" x14ac:dyDescent="0.25">
      <c r="A861" s="1055"/>
      <c r="B861" s="1056"/>
      <c r="C861" s="1455"/>
      <c r="D861" s="1455"/>
      <c r="E861" s="1455"/>
      <c r="F861" s="1455"/>
      <c r="G861" s="1455"/>
    </row>
    <row r="862" spans="1:8" s="1054" customFormat="1" x14ac:dyDescent="0.25">
      <c r="A862" s="1055"/>
      <c r="B862" s="1056" t="s">
        <v>1053</v>
      </c>
      <c r="C862" s="1057">
        <v>10</v>
      </c>
      <c r="D862" s="1056" t="s">
        <v>183</v>
      </c>
      <c r="E862" s="1056"/>
      <c r="F862" s="1056"/>
      <c r="G862" s="1058"/>
    </row>
    <row r="863" spans="1:8" s="1054" customFormat="1" x14ac:dyDescent="0.25">
      <c r="A863" s="1055"/>
      <c r="B863" s="1056" t="s">
        <v>1054</v>
      </c>
      <c r="C863" s="1057"/>
      <c r="D863" s="1056"/>
      <c r="E863" s="1056"/>
      <c r="F863" s="1056"/>
      <c r="G863" s="1058"/>
    </row>
    <row r="864" spans="1:8" s="1054" customFormat="1" x14ac:dyDescent="0.25">
      <c r="A864" s="1055"/>
      <c r="B864" s="1056"/>
      <c r="C864" s="1057"/>
      <c r="D864" s="1056"/>
      <c r="E864" s="1056"/>
      <c r="F864" s="1056"/>
      <c r="G864" s="1058"/>
    </row>
    <row r="865" spans="1:11" s="1054" customFormat="1" x14ac:dyDescent="0.25">
      <c r="A865" s="1061" t="s">
        <v>1055</v>
      </c>
      <c r="B865" s="1062" t="s">
        <v>1056</v>
      </c>
      <c r="C865" s="1062" t="s">
        <v>3</v>
      </c>
      <c r="D865" s="1062" t="s">
        <v>1057</v>
      </c>
      <c r="E865" s="1062" t="s">
        <v>1058</v>
      </c>
      <c r="F865" s="1062" t="s">
        <v>1059</v>
      </c>
      <c r="G865" s="1063" t="s">
        <v>1060</v>
      </c>
    </row>
    <row r="866" spans="1:11" s="1054" customFormat="1" x14ac:dyDescent="0.25">
      <c r="A866" s="1064"/>
      <c r="B866" s="1065"/>
      <c r="C866" s="1066"/>
      <c r="D866" s="1067"/>
      <c r="E866" s="1067"/>
      <c r="F866" s="1067"/>
      <c r="G866" s="1068"/>
      <c r="K866" s="1054" t="s">
        <v>1188</v>
      </c>
    </row>
    <row r="867" spans="1:11" s="1054" customFormat="1" ht="24" x14ac:dyDescent="0.25">
      <c r="A867" s="1069" t="s">
        <v>1061</v>
      </c>
      <c r="B867" s="1070" t="s">
        <v>1188</v>
      </c>
      <c r="C867" s="1071" t="s">
        <v>1122</v>
      </c>
      <c r="D867" s="1072">
        <f>+C862*10.76</f>
        <v>107.6</v>
      </c>
      <c r="E867" s="1072">
        <f>+'RBD Material'!H37</f>
        <v>410</v>
      </c>
      <c r="F867" s="1072">
        <f>+E867*D867</f>
        <v>44116</v>
      </c>
      <c r="G867" s="1073"/>
      <c r="K867" s="1054" t="s">
        <v>1189</v>
      </c>
    </row>
    <row r="868" spans="1:11" s="1054" customFormat="1" x14ac:dyDescent="0.25">
      <c r="A868" s="1069" t="s">
        <v>1101</v>
      </c>
      <c r="B868" s="1070" t="s">
        <v>1189</v>
      </c>
      <c r="C868" s="1071" t="s">
        <v>1190</v>
      </c>
      <c r="D868" s="1072">
        <f>+C862*2</f>
        <v>20</v>
      </c>
      <c r="E868" s="1072">
        <f>+'RBD Material'!H39</f>
        <v>190</v>
      </c>
      <c r="F868" s="1072">
        <f>+E868*D868</f>
        <v>3800</v>
      </c>
      <c r="G868" s="1073"/>
    </row>
    <row r="869" spans="1:11" s="1054" customFormat="1" x14ac:dyDescent="0.25">
      <c r="A869" s="1074"/>
      <c r="B869" s="1075"/>
      <c r="C869" s="1076"/>
      <c r="D869" s="1077"/>
      <c r="E869" s="1077"/>
      <c r="F869" s="1077"/>
      <c r="G869" s="1078"/>
    </row>
    <row r="870" spans="1:11" s="1054" customFormat="1" x14ac:dyDescent="0.25">
      <c r="A870" s="1061"/>
      <c r="B870" s="1062" t="s">
        <v>1063</v>
      </c>
      <c r="C870" s="1062"/>
      <c r="D870" s="1079"/>
      <c r="E870" s="1079"/>
      <c r="F870" s="1079">
        <f>SUM(F867:F869)</f>
        <v>47916</v>
      </c>
      <c r="G870" s="1063"/>
    </row>
    <row r="871" spans="1:11" s="1054" customFormat="1" x14ac:dyDescent="0.25">
      <c r="A871" s="1055"/>
      <c r="B871" s="1056"/>
      <c r="C871" s="1057"/>
      <c r="D871" s="1056"/>
      <c r="E871" s="1056"/>
      <c r="F871" s="1056"/>
      <c r="G871" s="1058"/>
    </row>
    <row r="872" spans="1:11" s="1054" customFormat="1" x14ac:dyDescent="0.25">
      <c r="A872" s="1061" t="s">
        <v>1055</v>
      </c>
      <c r="B872" s="1062" t="s">
        <v>1064</v>
      </c>
      <c r="C872" s="1062" t="s">
        <v>3</v>
      </c>
      <c r="D872" s="1062" t="s">
        <v>1057</v>
      </c>
      <c r="E872" s="1062" t="s">
        <v>1058</v>
      </c>
      <c r="F872" s="1062" t="s">
        <v>1059</v>
      </c>
      <c r="G872" s="1063"/>
    </row>
    <row r="873" spans="1:11" s="1054" customFormat="1" x14ac:dyDescent="0.25">
      <c r="A873" s="1064"/>
      <c r="B873" s="1065"/>
      <c r="C873" s="1066"/>
      <c r="D873" s="1065"/>
      <c r="E873" s="1065"/>
      <c r="F873" s="1065"/>
      <c r="G873" s="1068"/>
    </row>
    <row r="874" spans="1:11" s="1054" customFormat="1" x14ac:dyDescent="0.25">
      <c r="A874" s="1080"/>
      <c r="B874" s="1081"/>
      <c r="C874" s="1082"/>
      <c r="D874" s="1083"/>
      <c r="E874" s="1083"/>
      <c r="F874" s="1072"/>
      <c r="G874" s="1084"/>
    </row>
    <row r="875" spans="1:11" s="1054" customFormat="1" x14ac:dyDescent="0.25">
      <c r="A875" s="1074" t="s">
        <v>1065</v>
      </c>
      <c r="B875" s="1075"/>
      <c r="C875" s="1076"/>
      <c r="D875" s="1077"/>
      <c r="E875" s="1077"/>
      <c r="F875" s="1077"/>
      <c r="G875" s="1085"/>
    </row>
    <row r="876" spans="1:11" s="1054" customFormat="1" x14ac:dyDescent="0.25">
      <c r="A876" s="1061"/>
      <c r="B876" s="1062" t="s">
        <v>1066</v>
      </c>
      <c r="C876" s="1062"/>
      <c r="D876" s="1079"/>
      <c r="E876" s="1079"/>
      <c r="F876" s="1079">
        <f>SUM(F874:F875)</f>
        <v>0</v>
      </c>
      <c r="G876" s="1086"/>
    </row>
    <row r="877" spans="1:11" s="1054" customFormat="1" x14ac:dyDescent="0.25">
      <c r="A877" s="1055"/>
      <c r="B877" s="1056"/>
      <c r="C877" s="1057"/>
      <c r="D877" s="1056"/>
      <c r="E877" s="1056"/>
      <c r="F877" s="1056"/>
      <c r="G877" s="1058"/>
    </row>
    <row r="878" spans="1:11" s="1054" customFormat="1" x14ac:dyDescent="0.25">
      <c r="A878" s="1061" t="s">
        <v>1055</v>
      </c>
      <c r="B878" s="1062" t="s">
        <v>1067</v>
      </c>
      <c r="C878" s="1062" t="s">
        <v>3</v>
      </c>
      <c r="D878" s="1062" t="s">
        <v>1057</v>
      </c>
      <c r="E878" s="1062" t="s">
        <v>1058</v>
      </c>
      <c r="F878" s="1062" t="s">
        <v>1059</v>
      </c>
      <c r="G878" s="1063"/>
    </row>
    <row r="879" spans="1:11" s="1054" customFormat="1" x14ac:dyDescent="0.25">
      <c r="A879" s="1064"/>
      <c r="B879" s="1065"/>
      <c r="C879" s="1066"/>
      <c r="D879" s="1065"/>
      <c r="E879" s="1065"/>
      <c r="F879" s="1065"/>
      <c r="G879" s="1068"/>
    </row>
    <row r="880" spans="1:11" s="1054" customFormat="1" x14ac:dyDescent="0.25">
      <c r="A880" s="1080" t="s">
        <v>1068</v>
      </c>
      <c r="B880" s="1081" t="s">
        <v>1108</v>
      </c>
      <c r="C880" s="1082" t="s">
        <v>1094</v>
      </c>
      <c r="D880" s="1083">
        <v>0.09</v>
      </c>
      <c r="E880" s="1083">
        <f>+'RBD Material'!D6</f>
        <v>2320</v>
      </c>
      <c r="F880" s="1072">
        <f t="shared" ref="F880:F881" si="20">+E880*D880</f>
        <v>208.79999999999998</v>
      </c>
      <c r="G880" s="1087"/>
    </row>
    <row r="881" spans="1:7" s="1054" customFormat="1" x14ac:dyDescent="0.25">
      <c r="A881" s="1080" t="s">
        <v>1070</v>
      </c>
      <c r="B881" s="1081" t="s">
        <v>1159</v>
      </c>
      <c r="C881" s="1082" t="s">
        <v>1110</v>
      </c>
      <c r="D881" s="1083">
        <v>5.0000000000000001E-3</v>
      </c>
      <c r="E881" s="1083">
        <f>+'RBD Material'!D7</f>
        <v>24500</v>
      </c>
      <c r="F881" s="1072">
        <f t="shared" si="20"/>
        <v>122.5</v>
      </c>
      <c r="G881" s="1087"/>
    </row>
    <row r="882" spans="1:7" s="1054" customFormat="1" x14ac:dyDescent="0.25">
      <c r="A882" s="1080"/>
      <c r="B882" s="1075"/>
      <c r="C882" s="1076"/>
      <c r="D882" s="1077"/>
      <c r="E882" s="1077"/>
      <c r="F882" s="1088"/>
      <c r="G882" s="1078"/>
    </row>
    <row r="883" spans="1:7" s="1054" customFormat="1" x14ac:dyDescent="0.25">
      <c r="A883" s="1061"/>
      <c r="B883" s="1062" t="s">
        <v>1075</v>
      </c>
      <c r="C883" s="1062"/>
      <c r="D883" s="1079"/>
      <c r="E883" s="1079"/>
      <c r="F883" s="1079">
        <f>SUM(F879:F881)</f>
        <v>331.29999999999995</v>
      </c>
      <c r="G883" s="1063"/>
    </row>
    <row r="884" spans="1:7" s="1054" customFormat="1" x14ac:dyDescent="0.25">
      <c r="A884" s="1055"/>
      <c r="B884" s="1056"/>
      <c r="C884" s="1057"/>
      <c r="D884" s="1056"/>
      <c r="E884" s="1056"/>
      <c r="F884" s="1056"/>
      <c r="G884" s="1058"/>
    </row>
    <row r="885" spans="1:7" s="1054" customFormat="1" x14ac:dyDescent="0.25">
      <c r="A885" s="1061" t="s">
        <v>1055</v>
      </c>
      <c r="B885" s="1062" t="s">
        <v>1076</v>
      </c>
      <c r="C885" s="1062" t="s">
        <v>3</v>
      </c>
      <c r="D885" s="1062" t="s">
        <v>1057</v>
      </c>
      <c r="E885" s="1062" t="s">
        <v>1058</v>
      </c>
      <c r="F885" s="1062" t="s">
        <v>1059</v>
      </c>
      <c r="G885" s="1063"/>
    </row>
    <row r="886" spans="1:7" s="1054" customFormat="1" x14ac:dyDescent="0.25">
      <c r="A886" s="1064"/>
      <c r="B886" s="1065"/>
      <c r="C886" s="1066"/>
      <c r="D886" s="1065"/>
      <c r="E886" s="1065"/>
      <c r="F886" s="1065"/>
      <c r="G886" s="1068"/>
    </row>
    <row r="887" spans="1:7" s="1054" customFormat="1" x14ac:dyDescent="0.25">
      <c r="A887" s="1080">
        <v>4</v>
      </c>
      <c r="B887" s="1081" t="s">
        <v>1077</v>
      </c>
      <c r="C887" s="1082" t="s">
        <v>1078</v>
      </c>
      <c r="D887" s="1089">
        <v>0</v>
      </c>
      <c r="E887" s="1083">
        <f>+F870</f>
        <v>47916</v>
      </c>
      <c r="F887" s="1083">
        <f>+E887*D887</f>
        <v>0</v>
      </c>
      <c r="G887" s="1087"/>
    </row>
    <row r="888" spans="1:7" s="1054" customFormat="1" x14ac:dyDescent="0.25">
      <c r="A888" s="1080">
        <v>5</v>
      </c>
      <c r="B888" s="1081" t="s">
        <v>1079</v>
      </c>
      <c r="C888" s="1082" t="s">
        <v>1078</v>
      </c>
      <c r="D888" s="1089">
        <v>0.1</v>
      </c>
      <c r="E888" s="1083">
        <f>+F883</f>
        <v>331.29999999999995</v>
      </c>
      <c r="F888" s="1083">
        <f>+E888*D888</f>
        <v>33.129999999999995</v>
      </c>
      <c r="G888" s="1087"/>
    </row>
    <row r="889" spans="1:7" s="1054" customFormat="1" x14ac:dyDescent="0.25">
      <c r="A889" s="1074" t="s">
        <v>1065</v>
      </c>
      <c r="B889" s="1075"/>
      <c r="C889" s="1076"/>
      <c r="D889" s="1077"/>
      <c r="E889" s="1077"/>
      <c r="F889" s="1077"/>
      <c r="G889" s="1078"/>
    </row>
    <row r="890" spans="1:7" s="1054" customFormat="1" x14ac:dyDescent="0.25">
      <c r="A890" s="1061"/>
      <c r="B890" s="1062" t="s">
        <v>1080</v>
      </c>
      <c r="C890" s="1062"/>
      <c r="D890" s="1079"/>
      <c r="E890" s="1079"/>
      <c r="F890" s="1079">
        <f>SUM(F887:F889)</f>
        <v>33.129999999999995</v>
      </c>
      <c r="G890" s="1063"/>
    </row>
    <row r="891" spans="1:7" s="1054" customFormat="1" x14ac:dyDescent="0.25">
      <c r="A891" s="1055"/>
      <c r="B891" s="1056"/>
      <c r="C891" s="1057"/>
      <c r="D891" s="1056"/>
      <c r="E891" s="1056"/>
      <c r="F891" s="1056"/>
      <c r="G891" s="1058"/>
    </row>
    <row r="892" spans="1:7" s="1054" customFormat="1" x14ac:dyDescent="0.25">
      <c r="A892" s="1090"/>
      <c r="B892" s="1091" t="s">
        <v>1081</v>
      </c>
      <c r="C892" s="1456" t="s">
        <v>1082</v>
      </c>
      <c r="D892" s="1456"/>
      <c r="E892" s="1091"/>
      <c r="F892" s="1092">
        <f>+F890+F883+F876+F870</f>
        <v>48280.43</v>
      </c>
      <c r="G892" s="1093"/>
    </row>
    <row r="893" spans="1:7" s="1054" customFormat="1" x14ac:dyDescent="0.25">
      <c r="A893" s="1055"/>
      <c r="B893" s="1056"/>
      <c r="C893" s="1057"/>
      <c r="D893" s="1056"/>
      <c r="E893" s="1056"/>
      <c r="F893" s="1094"/>
      <c r="G893" s="1058"/>
    </row>
    <row r="894" spans="1:7" s="1054" customFormat="1" x14ac:dyDescent="0.25">
      <c r="A894" s="1090"/>
      <c r="B894" s="1091" t="s">
        <v>1083</v>
      </c>
      <c r="C894" s="1456">
        <v>0</v>
      </c>
      <c r="D894" s="1456" t="s">
        <v>1084</v>
      </c>
      <c r="E894" s="1091"/>
      <c r="F894" s="1092"/>
      <c r="G894" s="1093"/>
    </row>
    <row r="895" spans="1:7" s="1054" customFormat="1" x14ac:dyDescent="0.25">
      <c r="A895" s="1055"/>
      <c r="B895" s="1056"/>
      <c r="C895" s="1057"/>
      <c r="D895" s="1056"/>
      <c r="E895" s="1056"/>
      <c r="F895" s="1094"/>
      <c r="G895" s="1058"/>
    </row>
    <row r="896" spans="1:7" s="1054" customFormat="1" x14ac:dyDescent="0.25">
      <c r="A896" s="1090"/>
      <c r="B896" s="1091" t="s">
        <v>1085</v>
      </c>
      <c r="C896" s="1456" t="s">
        <v>1086</v>
      </c>
      <c r="D896" s="1456"/>
      <c r="E896" s="1091"/>
      <c r="F896" s="1092">
        <f>+F892+F894</f>
        <v>48280.43</v>
      </c>
      <c r="G896" s="1093"/>
    </row>
    <row r="897" spans="1:7" s="1054" customFormat="1" x14ac:dyDescent="0.25">
      <c r="A897" s="1055"/>
      <c r="B897" s="1056"/>
      <c r="C897" s="1057"/>
      <c r="D897" s="1056"/>
      <c r="E897" s="1056"/>
      <c r="F897" s="1094"/>
      <c r="G897" s="1058"/>
    </row>
    <row r="898" spans="1:7" s="1054" customFormat="1" x14ac:dyDescent="0.25">
      <c r="A898" s="1090"/>
      <c r="B898" s="1091" t="s">
        <v>1087</v>
      </c>
      <c r="C898" s="1460" t="s">
        <v>1112</v>
      </c>
      <c r="D898" s="1460">
        <v>10</v>
      </c>
      <c r="E898" s="1095">
        <f>+C862</f>
        <v>10</v>
      </c>
      <c r="F898" s="1092">
        <f>+F896/E898</f>
        <v>4828.0429999999997</v>
      </c>
      <c r="G898" s="1093"/>
    </row>
    <row r="899" spans="1:7" s="1054" customFormat="1" x14ac:dyDescent="0.25">
      <c r="A899" s="1055"/>
      <c r="B899" s="1056"/>
      <c r="C899" s="1096"/>
      <c r="D899" s="1096"/>
      <c r="E899" s="1097"/>
      <c r="F899" s="1094"/>
      <c r="G899" s="1058"/>
    </row>
    <row r="900" spans="1:7" s="1054" customFormat="1" ht="12.6" thickBot="1" x14ac:dyDescent="0.3">
      <c r="A900" s="1098"/>
      <c r="B900" s="1099" t="s">
        <v>1089</v>
      </c>
      <c r="C900" s="1461" t="s">
        <v>1113</v>
      </c>
      <c r="D900" s="1461"/>
      <c r="E900" s="1100" t="str">
        <f>+D862</f>
        <v>m2</v>
      </c>
      <c r="F900" s="1101">
        <f>+F898</f>
        <v>4828.0429999999997</v>
      </c>
      <c r="G900" s="1102"/>
    </row>
    <row r="901" spans="1:7" s="1054" customFormat="1" x14ac:dyDescent="0.25">
      <c r="A901" s="1050"/>
      <c r="B901" s="1051" t="s">
        <v>1049</v>
      </c>
      <c r="C901" s="1052"/>
      <c r="D901" s="1051"/>
      <c r="E901" s="1051"/>
      <c r="F901" s="1051"/>
      <c r="G901" s="1053"/>
    </row>
    <row r="902" spans="1:7" s="1054" customFormat="1" x14ac:dyDescent="0.25">
      <c r="A902" s="1055"/>
      <c r="B902" s="1056" t="s">
        <v>1050</v>
      </c>
      <c r="C902" s="1057"/>
      <c r="D902" s="1056"/>
      <c r="E902" s="1056"/>
      <c r="F902" s="1056"/>
      <c r="G902" s="1058"/>
    </row>
    <row r="903" spans="1:7" s="1054" customFormat="1" x14ac:dyDescent="0.25">
      <c r="A903" s="1055"/>
      <c r="B903" s="1056" t="s">
        <v>1051</v>
      </c>
      <c r="C903" s="1059" t="s">
        <v>1242</v>
      </c>
      <c r="D903" s="1059"/>
      <c r="E903" s="1059"/>
      <c r="F903" s="1059"/>
      <c r="G903" s="1060"/>
    </row>
    <row r="904" spans="1:7" s="1054" customFormat="1" x14ac:dyDescent="0.25">
      <c r="A904" s="1055"/>
      <c r="B904" s="1056"/>
      <c r="C904" s="1455"/>
      <c r="D904" s="1455"/>
      <c r="E904" s="1455"/>
      <c r="F904" s="1455"/>
      <c r="G904" s="1455"/>
    </row>
    <row r="905" spans="1:7" s="1054" customFormat="1" x14ac:dyDescent="0.25">
      <c r="A905" s="1055"/>
      <c r="B905" s="1056" t="s">
        <v>1053</v>
      </c>
      <c r="C905" s="1057">
        <v>10</v>
      </c>
      <c r="D905" s="1056" t="s">
        <v>183</v>
      </c>
      <c r="E905" s="1056"/>
      <c r="F905" s="1056"/>
      <c r="G905" s="1058"/>
    </row>
    <row r="906" spans="1:7" s="1054" customFormat="1" x14ac:dyDescent="0.25">
      <c r="A906" s="1055"/>
      <c r="B906" s="1056" t="s">
        <v>1054</v>
      </c>
      <c r="C906" s="1057"/>
      <c r="D906" s="1056"/>
      <c r="E906" s="1056"/>
      <c r="F906" s="1056"/>
      <c r="G906" s="1058"/>
    </row>
    <row r="907" spans="1:7" s="1054" customFormat="1" x14ac:dyDescent="0.25">
      <c r="A907" s="1055"/>
      <c r="B907" s="1056"/>
      <c r="C907" s="1057"/>
      <c r="D907" s="1056"/>
      <c r="E907" s="1056"/>
      <c r="F907" s="1056"/>
      <c r="G907" s="1058"/>
    </row>
    <row r="908" spans="1:7" s="1054" customFormat="1" x14ac:dyDescent="0.25">
      <c r="A908" s="1061" t="s">
        <v>1055</v>
      </c>
      <c r="B908" s="1062" t="s">
        <v>1056</v>
      </c>
      <c r="C908" s="1062" t="s">
        <v>3</v>
      </c>
      <c r="D908" s="1062" t="s">
        <v>1057</v>
      </c>
      <c r="E908" s="1062" t="s">
        <v>1058</v>
      </c>
      <c r="F908" s="1062" t="s">
        <v>1059</v>
      </c>
      <c r="G908" s="1063" t="s">
        <v>1060</v>
      </c>
    </row>
    <row r="909" spans="1:7" s="1054" customFormat="1" x14ac:dyDescent="0.25">
      <c r="A909" s="1064"/>
      <c r="B909" s="1065"/>
      <c r="C909" s="1066"/>
      <c r="D909" s="1067"/>
      <c r="E909" s="1067"/>
      <c r="F909" s="1067"/>
      <c r="G909" s="1068"/>
    </row>
    <row r="910" spans="1:7" s="1054" customFormat="1" ht="24" x14ac:dyDescent="0.25">
      <c r="A910" s="1069" t="s">
        <v>1061</v>
      </c>
      <c r="B910" s="1070" t="s">
        <v>1188</v>
      </c>
      <c r="C910" s="1071" t="s">
        <v>1122</v>
      </c>
      <c r="D910" s="1072">
        <f>+C905*10.76</f>
        <v>107.6</v>
      </c>
      <c r="E910" s="1072">
        <f>+'RBD Material'!H36</f>
        <v>310</v>
      </c>
      <c r="F910" s="1072">
        <f>+E910*D910</f>
        <v>33356</v>
      </c>
      <c r="G910" s="1073"/>
    </row>
    <row r="911" spans="1:7" s="1054" customFormat="1" x14ac:dyDescent="0.25">
      <c r="A911" s="1069" t="s">
        <v>1101</v>
      </c>
      <c r="B911" s="1070" t="s">
        <v>1189</v>
      </c>
      <c r="C911" s="1071" t="s">
        <v>1190</v>
      </c>
      <c r="D911" s="1072">
        <v>5</v>
      </c>
      <c r="E911" s="1072">
        <f>+'RBD Material'!H39</f>
        <v>190</v>
      </c>
      <c r="F911" s="1072">
        <f>+E911*D911</f>
        <v>950</v>
      </c>
      <c r="G911" s="1073"/>
    </row>
    <row r="912" spans="1:7" s="1054" customFormat="1" x14ac:dyDescent="0.25">
      <c r="A912" s="1074"/>
      <c r="B912" s="1075"/>
      <c r="C912" s="1076"/>
      <c r="D912" s="1077"/>
      <c r="E912" s="1077"/>
      <c r="F912" s="1077"/>
      <c r="G912" s="1078"/>
    </row>
    <row r="913" spans="1:7" s="1054" customFormat="1" x14ac:dyDescent="0.25">
      <c r="A913" s="1061"/>
      <c r="B913" s="1062" t="s">
        <v>1063</v>
      </c>
      <c r="C913" s="1062"/>
      <c r="D913" s="1079"/>
      <c r="E913" s="1079"/>
      <c r="F913" s="1079">
        <f>SUM(F910:F912)</f>
        <v>34306</v>
      </c>
      <c r="G913" s="1063"/>
    </row>
    <row r="914" spans="1:7" s="1054" customFormat="1" x14ac:dyDescent="0.25">
      <c r="A914" s="1055"/>
      <c r="B914" s="1056"/>
      <c r="C914" s="1057"/>
      <c r="D914" s="1056"/>
      <c r="E914" s="1056"/>
      <c r="F914" s="1056"/>
      <c r="G914" s="1058"/>
    </row>
    <row r="915" spans="1:7" s="1054" customFormat="1" x14ac:dyDescent="0.25">
      <c r="A915" s="1061" t="s">
        <v>1055</v>
      </c>
      <c r="B915" s="1062" t="s">
        <v>1064</v>
      </c>
      <c r="C915" s="1062" t="s">
        <v>3</v>
      </c>
      <c r="D915" s="1062" t="s">
        <v>1057</v>
      </c>
      <c r="E915" s="1062" t="s">
        <v>1058</v>
      </c>
      <c r="F915" s="1062" t="s">
        <v>1059</v>
      </c>
      <c r="G915" s="1063"/>
    </row>
    <row r="916" spans="1:7" s="1054" customFormat="1" x14ac:dyDescent="0.25">
      <c r="A916" s="1064"/>
      <c r="B916" s="1065"/>
      <c r="C916" s="1066"/>
      <c r="D916" s="1065"/>
      <c r="E916" s="1065"/>
      <c r="F916" s="1065"/>
      <c r="G916" s="1068"/>
    </row>
    <row r="917" spans="1:7" s="1054" customFormat="1" x14ac:dyDescent="0.25">
      <c r="A917" s="1080"/>
      <c r="B917" s="1081"/>
      <c r="C917" s="1082"/>
      <c r="D917" s="1083"/>
      <c r="E917" s="1083"/>
      <c r="F917" s="1072"/>
      <c r="G917" s="1084"/>
    </row>
    <row r="918" spans="1:7" s="1054" customFormat="1" x14ac:dyDescent="0.25">
      <c r="A918" s="1074" t="s">
        <v>1065</v>
      </c>
      <c r="B918" s="1075"/>
      <c r="C918" s="1076"/>
      <c r="D918" s="1077"/>
      <c r="E918" s="1077"/>
      <c r="F918" s="1077"/>
      <c r="G918" s="1085"/>
    </row>
    <row r="919" spans="1:7" s="1054" customFormat="1" x14ac:dyDescent="0.25">
      <c r="A919" s="1061"/>
      <c r="B919" s="1062" t="s">
        <v>1066</v>
      </c>
      <c r="C919" s="1062"/>
      <c r="D919" s="1079"/>
      <c r="E919" s="1079"/>
      <c r="F919" s="1079">
        <f>SUM(F917:F918)</f>
        <v>0</v>
      </c>
      <c r="G919" s="1086"/>
    </row>
    <row r="920" spans="1:7" s="1054" customFormat="1" x14ac:dyDescent="0.25">
      <c r="A920" s="1055"/>
      <c r="B920" s="1056"/>
      <c r="C920" s="1057"/>
      <c r="D920" s="1056"/>
      <c r="E920" s="1056"/>
      <c r="F920" s="1056"/>
      <c r="G920" s="1058"/>
    </row>
    <row r="921" spans="1:7" s="1054" customFormat="1" x14ac:dyDescent="0.25">
      <c r="A921" s="1061" t="s">
        <v>1055</v>
      </c>
      <c r="B921" s="1062" t="s">
        <v>1067</v>
      </c>
      <c r="C921" s="1062" t="s">
        <v>3</v>
      </c>
      <c r="D921" s="1062" t="s">
        <v>1057</v>
      </c>
      <c r="E921" s="1062" t="s">
        <v>1058</v>
      </c>
      <c r="F921" s="1062" t="s">
        <v>1059</v>
      </c>
      <c r="G921" s="1063"/>
    </row>
    <row r="922" spans="1:7" s="1054" customFormat="1" x14ac:dyDescent="0.25">
      <c r="A922" s="1064"/>
      <c r="B922" s="1065"/>
      <c r="C922" s="1066"/>
      <c r="D922" s="1065"/>
      <c r="E922" s="1065"/>
      <c r="F922" s="1065"/>
      <c r="G922" s="1068"/>
    </row>
    <row r="923" spans="1:7" s="1054" customFormat="1" x14ac:dyDescent="0.25">
      <c r="A923" s="1080" t="s">
        <v>1068</v>
      </c>
      <c r="B923" s="1081" t="s">
        <v>1108</v>
      </c>
      <c r="C923" s="1082" t="s">
        <v>1094</v>
      </c>
      <c r="D923" s="1083">
        <v>0.09</v>
      </c>
      <c r="E923" s="1083">
        <f>+'RBD Material'!D6</f>
        <v>2320</v>
      </c>
      <c r="F923" s="1072">
        <f t="shared" ref="F923:F924" si="21">+E923*D923</f>
        <v>208.79999999999998</v>
      </c>
      <c r="G923" s="1087"/>
    </row>
    <row r="924" spans="1:7" s="1054" customFormat="1" x14ac:dyDescent="0.25">
      <c r="A924" s="1080" t="s">
        <v>1070</v>
      </c>
      <c r="B924" s="1081" t="s">
        <v>1159</v>
      </c>
      <c r="C924" s="1082" t="s">
        <v>1110</v>
      </c>
      <c r="D924" s="1083">
        <v>5.0000000000000001E-3</v>
      </c>
      <c r="E924" s="1083">
        <f>+'RBD Material'!D7</f>
        <v>24500</v>
      </c>
      <c r="F924" s="1072">
        <f t="shared" si="21"/>
        <v>122.5</v>
      </c>
      <c r="G924" s="1087"/>
    </row>
    <row r="925" spans="1:7" s="1054" customFormat="1" x14ac:dyDescent="0.25">
      <c r="A925" s="1080"/>
      <c r="B925" s="1075"/>
      <c r="C925" s="1076"/>
      <c r="D925" s="1077"/>
      <c r="E925" s="1077"/>
      <c r="F925" s="1088"/>
      <c r="G925" s="1078"/>
    </row>
    <row r="926" spans="1:7" s="1054" customFormat="1" x14ac:dyDescent="0.25">
      <c r="A926" s="1061"/>
      <c r="B926" s="1062" t="s">
        <v>1075</v>
      </c>
      <c r="C926" s="1062"/>
      <c r="D926" s="1079"/>
      <c r="E926" s="1079"/>
      <c r="F926" s="1079">
        <f>SUM(F922:F924)</f>
        <v>331.29999999999995</v>
      </c>
      <c r="G926" s="1063"/>
    </row>
    <row r="927" spans="1:7" s="1054" customFormat="1" x14ac:dyDescent="0.25">
      <c r="A927" s="1055"/>
      <c r="B927" s="1056"/>
      <c r="C927" s="1057"/>
      <c r="D927" s="1056"/>
      <c r="E927" s="1056"/>
      <c r="F927" s="1056"/>
      <c r="G927" s="1058"/>
    </row>
    <row r="928" spans="1:7" s="1054" customFormat="1" x14ac:dyDescent="0.25">
      <c r="A928" s="1061" t="s">
        <v>1055</v>
      </c>
      <c r="B928" s="1062" t="s">
        <v>1076</v>
      </c>
      <c r="C928" s="1062" t="s">
        <v>3</v>
      </c>
      <c r="D928" s="1062" t="s">
        <v>1057</v>
      </c>
      <c r="E928" s="1062" t="s">
        <v>1058</v>
      </c>
      <c r="F928" s="1062" t="s">
        <v>1059</v>
      </c>
      <c r="G928" s="1063"/>
    </row>
    <row r="929" spans="1:7" s="1054" customFormat="1" x14ac:dyDescent="0.25">
      <c r="A929" s="1064"/>
      <c r="B929" s="1065"/>
      <c r="C929" s="1066"/>
      <c r="D929" s="1065"/>
      <c r="E929" s="1065"/>
      <c r="F929" s="1065"/>
      <c r="G929" s="1068"/>
    </row>
    <row r="930" spans="1:7" s="1054" customFormat="1" x14ac:dyDescent="0.25">
      <c r="A930" s="1080">
        <v>4</v>
      </c>
      <c r="B930" s="1081" t="s">
        <v>1077</v>
      </c>
      <c r="C930" s="1082" t="s">
        <v>1078</v>
      </c>
      <c r="D930" s="1089">
        <v>0</v>
      </c>
      <c r="E930" s="1083">
        <f>+F913</f>
        <v>34306</v>
      </c>
      <c r="F930" s="1083">
        <f>+E930*D930</f>
        <v>0</v>
      </c>
      <c r="G930" s="1087"/>
    </row>
    <row r="931" spans="1:7" s="1054" customFormat="1" x14ac:dyDescent="0.25">
      <c r="A931" s="1080">
        <v>5</v>
      </c>
      <c r="B931" s="1081" t="s">
        <v>1079</v>
      </c>
      <c r="C931" s="1082" t="s">
        <v>1078</v>
      </c>
      <c r="D931" s="1089">
        <v>0.1</v>
      </c>
      <c r="E931" s="1083">
        <f>+F926</f>
        <v>331.29999999999995</v>
      </c>
      <c r="F931" s="1083">
        <f>+E931*D931</f>
        <v>33.129999999999995</v>
      </c>
      <c r="G931" s="1087"/>
    </row>
    <row r="932" spans="1:7" s="1054" customFormat="1" x14ac:dyDescent="0.25">
      <c r="A932" s="1074" t="s">
        <v>1065</v>
      </c>
      <c r="B932" s="1075"/>
      <c r="C932" s="1076"/>
      <c r="D932" s="1077"/>
      <c r="E932" s="1077"/>
      <c r="F932" s="1077"/>
      <c r="G932" s="1078"/>
    </row>
    <row r="933" spans="1:7" s="1054" customFormat="1" x14ac:dyDescent="0.25">
      <c r="A933" s="1061"/>
      <c r="B933" s="1062" t="s">
        <v>1080</v>
      </c>
      <c r="C933" s="1062"/>
      <c r="D933" s="1079"/>
      <c r="E933" s="1079"/>
      <c r="F933" s="1079">
        <f>SUM(F930:F932)</f>
        <v>33.129999999999995</v>
      </c>
      <c r="G933" s="1063"/>
    </row>
    <row r="934" spans="1:7" s="1054" customFormat="1" x14ac:dyDescent="0.25">
      <c r="A934" s="1055"/>
      <c r="B934" s="1056"/>
      <c r="C934" s="1057"/>
      <c r="D934" s="1056"/>
      <c r="E934" s="1056"/>
      <c r="F934" s="1056"/>
      <c r="G934" s="1058"/>
    </row>
    <row r="935" spans="1:7" s="1054" customFormat="1" x14ac:dyDescent="0.25">
      <c r="A935" s="1090"/>
      <c r="B935" s="1091" t="s">
        <v>1081</v>
      </c>
      <c r="C935" s="1456" t="s">
        <v>1082</v>
      </c>
      <c r="D935" s="1456"/>
      <c r="E935" s="1091"/>
      <c r="F935" s="1092">
        <f>+F933+F926+F919+F913</f>
        <v>34670.43</v>
      </c>
      <c r="G935" s="1093"/>
    </row>
    <row r="936" spans="1:7" s="1054" customFormat="1" x14ac:dyDescent="0.25">
      <c r="A936" s="1055"/>
      <c r="B936" s="1056"/>
      <c r="C936" s="1057"/>
      <c r="D936" s="1056"/>
      <c r="E936" s="1056"/>
      <c r="F936" s="1094"/>
      <c r="G936" s="1058"/>
    </row>
    <row r="937" spans="1:7" s="1054" customFormat="1" x14ac:dyDescent="0.25">
      <c r="A937" s="1090"/>
      <c r="B937" s="1091" t="s">
        <v>1083</v>
      </c>
      <c r="C937" s="1456">
        <v>0</v>
      </c>
      <c r="D937" s="1456" t="s">
        <v>1084</v>
      </c>
      <c r="E937" s="1091"/>
      <c r="F937" s="1092"/>
      <c r="G937" s="1093"/>
    </row>
    <row r="938" spans="1:7" s="1054" customFormat="1" x14ac:dyDescent="0.25">
      <c r="A938" s="1055"/>
      <c r="B938" s="1056"/>
      <c r="C938" s="1057"/>
      <c r="D938" s="1056"/>
      <c r="E938" s="1056"/>
      <c r="F938" s="1094"/>
      <c r="G938" s="1058"/>
    </row>
    <row r="939" spans="1:7" s="1054" customFormat="1" x14ac:dyDescent="0.25">
      <c r="A939" s="1090"/>
      <c r="B939" s="1091" t="s">
        <v>1085</v>
      </c>
      <c r="C939" s="1456" t="s">
        <v>1086</v>
      </c>
      <c r="D939" s="1456"/>
      <c r="E939" s="1091"/>
      <c r="F939" s="1092">
        <f>+F935+F937</f>
        <v>34670.43</v>
      </c>
      <c r="G939" s="1093"/>
    </row>
    <row r="940" spans="1:7" s="1054" customFormat="1" x14ac:dyDescent="0.25">
      <c r="A940" s="1055"/>
      <c r="B940" s="1056"/>
      <c r="C940" s="1057"/>
      <c r="D940" s="1056"/>
      <c r="E940" s="1056"/>
      <c r="F940" s="1094"/>
      <c r="G940" s="1058"/>
    </row>
    <row r="941" spans="1:7" s="1054" customFormat="1" x14ac:dyDescent="0.25">
      <c r="A941" s="1090"/>
      <c r="B941" s="1091" t="s">
        <v>1087</v>
      </c>
      <c r="C941" s="1460" t="s">
        <v>1112</v>
      </c>
      <c r="D941" s="1460">
        <v>10</v>
      </c>
      <c r="E941" s="1095">
        <f>+C905</f>
        <v>10</v>
      </c>
      <c r="F941" s="1092">
        <f>+F939/E941</f>
        <v>3467.0430000000001</v>
      </c>
      <c r="G941" s="1093"/>
    </row>
    <row r="942" spans="1:7" s="1054" customFormat="1" x14ac:dyDescent="0.25">
      <c r="A942" s="1055"/>
      <c r="B942" s="1056"/>
      <c r="C942" s="1096"/>
      <c r="D942" s="1096"/>
      <c r="E942" s="1097"/>
      <c r="F942" s="1094"/>
      <c r="G942" s="1058"/>
    </row>
    <row r="943" spans="1:7" s="1107" customFormat="1" ht="12.6" thickBot="1" x14ac:dyDescent="0.3">
      <c r="A943" s="1098"/>
      <c r="B943" s="1099" t="s">
        <v>1089</v>
      </c>
      <c r="C943" s="1461" t="s">
        <v>1113</v>
      </c>
      <c r="D943" s="1461"/>
      <c r="E943" s="1100" t="str">
        <f>+D905</f>
        <v>m2</v>
      </c>
      <c r="F943" s="1101">
        <f>+F941</f>
        <v>3467.0430000000001</v>
      </c>
      <c r="G943" s="1102"/>
    </row>
    <row r="944" spans="1:7" s="1107" customFormat="1" x14ac:dyDescent="0.25">
      <c r="A944" s="1108"/>
      <c r="B944" s="1109" t="s">
        <v>1050</v>
      </c>
      <c r="C944" s="1110"/>
      <c r="D944" s="1109"/>
      <c r="E944" s="1109"/>
      <c r="F944" s="1109"/>
      <c r="G944" s="1111"/>
    </row>
    <row r="945" spans="1:7" s="1234" customFormat="1" ht="24" customHeight="1" x14ac:dyDescent="0.25">
      <c r="A945" s="1232"/>
      <c r="B945" s="1233" t="s">
        <v>1051</v>
      </c>
      <c r="C945" s="1462" t="s">
        <v>623</v>
      </c>
      <c r="D945" s="1462"/>
      <c r="E945" s="1462"/>
      <c r="F945" s="1462"/>
      <c r="G945" s="1463"/>
    </row>
    <row r="946" spans="1:7" s="1107" customFormat="1" x14ac:dyDescent="0.25">
      <c r="A946" s="1108"/>
      <c r="B946" s="1109" t="s">
        <v>1053</v>
      </c>
      <c r="C946" s="1110">
        <v>100</v>
      </c>
      <c r="D946" s="1109" t="s">
        <v>183</v>
      </c>
      <c r="E946" s="1109"/>
      <c r="F946" s="1109"/>
      <c r="G946" s="1111"/>
    </row>
    <row r="947" spans="1:7" s="1107" customFormat="1" x14ac:dyDescent="0.25">
      <c r="A947" s="1108"/>
      <c r="B947" s="1109" t="s">
        <v>1054</v>
      </c>
      <c r="C947" s="1110"/>
      <c r="D947" s="1109"/>
      <c r="E947" s="1109"/>
      <c r="F947" s="1109"/>
      <c r="G947" s="1111"/>
    </row>
    <row r="948" spans="1:7" s="1107" customFormat="1" x14ac:dyDescent="0.25">
      <c r="A948" s="1108"/>
      <c r="B948" s="1109"/>
      <c r="C948" s="1110"/>
      <c r="D948" s="1109"/>
      <c r="E948" s="1109"/>
      <c r="F948" s="1109"/>
      <c r="G948" s="1111"/>
    </row>
    <row r="949" spans="1:7" s="1107" customFormat="1" x14ac:dyDescent="0.25">
      <c r="A949" s="1114" t="s">
        <v>1055</v>
      </c>
      <c r="B949" s="1115" t="s">
        <v>1056</v>
      </c>
      <c r="C949" s="1115" t="s">
        <v>3</v>
      </c>
      <c r="D949" s="1115" t="s">
        <v>1057</v>
      </c>
      <c r="E949" s="1115" t="s">
        <v>1058</v>
      </c>
      <c r="F949" s="1115" t="s">
        <v>1059</v>
      </c>
      <c r="G949" s="1116" t="s">
        <v>1060</v>
      </c>
    </row>
    <row r="950" spans="1:7" s="1107" customFormat="1" x14ac:dyDescent="0.25">
      <c r="A950" s="1117"/>
      <c r="B950" s="1118"/>
      <c r="C950" s="1119"/>
      <c r="D950" s="1120"/>
      <c r="E950" s="1120"/>
      <c r="F950" s="1120"/>
      <c r="G950" s="1121"/>
    </row>
    <row r="951" spans="1:7" s="1107" customFormat="1" x14ac:dyDescent="0.25">
      <c r="A951" s="1122" t="s">
        <v>1061</v>
      </c>
      <c r="B951" s="1123" t="s">
        <v>1194</v>
      </c>
      <c r="C951" s="1124" t="s">
        <v>1105</v>
      </c>
      <c r="D951" s="1125">
        <v>3</v>
      </c>
      <c r="E951" s="1125">
        <v>2500</v>
      </c>
      <c r="F951" s="1125">
        <f>+E951*D951</f>
        <v>7500</v>
      </c>
      <c r="G951" s="1126"/>
    </row>
    <row r="952" spans="1:7" s="1107" customFormat="1" x14ac:dyDescent="0.25">
      <c r="A952" s="1122"/>
      <c r="B952" s="1123"/>
      <c r="C952" s="1124"/>
      <c r="D952" s="1125"/>
      <c r="E952" s="1125"/>
      <c r="F952" s="1125"/>
      <c r="G952" s="1126"/>
    </row>
    <row r="953" spans="1:7" s="1107" customFormat="1" x14ac:dyDescent="0.25">
      <c r="A953" s="1127"/>
      <c r="B953" s="1128"/>
      <c r="C953" s="1129"/>
      <c r="D953" s="1130"/>
      <c r="E953" s="1130"/>
      <c r="F953" s="1130"/>
      <c r="G953" s="1131"/>
    </row>
    <row r="954" spans="1:7" s="1107" customFormat="1" x14ac:dyDescent="0.25">
      <c r="A954" s="1114"/>
      <c r="B954" s="1115" t="s">
        <v>1063</v>
      </c>
      <c r="C954" s="1115"/>
      <c r="D954" s="1132"/>
      <c r="E954" s="1132"/>
      <c r="F954" s="1132">
        <f>SUM(F951:F953)</f>
        <v>7500</v>
      </c>
      <c r="G954" s="1116"/>
    </row>
    <row r="955" spans="1:7" s="1107" customFormat="1" x14ac:dyDescent="0.25">
      <c r="A955" s="1108"/>
      <c r="B955" s="1109"/>
      <c r="C955" s="1110"/>
      <c r="D955" s="1109"/>
      <c r="E955" s="1109"/>
      <c r="F955" s="1109"/>
      <c r="G955" s="1111"/>
    </row>
    <row r="956" spans="1:7" s="1107" customFormat="1" x14ac:dyDescent="0.25">
      <c r="A956" s="1114" t="s">
        <v>1055</v>
      </c>
      <c r="B956" s="1115" t="s">
        <v>1064</v>
      </c>
      <c r="C956" s="1115" t="s">
        <v>3</v>
      </c>
      <c r="D956" s="1115" t="s">
        <v>1057</v>
      </c>
      <c r="E956" s="1115" t="s">
        <v>1058</v>
      </c>
      <c r="F956" s="1115" t="s">
        <v>1059</v>
      </c>
      <c r="G956" s="1116"/>
    </row>
    <row r="957" spans="1:7" s="1107" customFormat="1" x14ac:dyDescent="0.25">
      <c r="A957" s="1117"/>
      <c r="B957" s="1118"/>
      <c r="C957" s="1119"/>
      <c r="D957" s="1118"/>
      <c r="E957" s="1118"/>
      <c r="F957" s="1118"/>
      <c r="G957" s="1121"/>
    </row>
    <row r="958" spans="1:7" s="1107" customFormat="1" x14ac:dyDescent="0.25">
      <c r="A958" s="1133" t="s">
        <v>1103</v>
      </c>
      <c r="B958" s="1134" t="s">
        <v>1247</v>
      </c>
      <c r="C958" s="1135" t="s">
        <v>1248</v>
      </c>
      <c r="D958" s="1136">
        <v>1</v>
      </c>
      <c r="E958" s="1125">
        <f>+'RBD Material'!L6</f>
        <v>5500</v>
      </c>
      <c r="F958" s="1125">
        <f>+E958*D958</f>
        <v>5500</v>
      </c>
      <c r="G958" s="1137"/>
    </row>
    <row r="959" spans="1:7" s="1107" customFormat="1" x14ac:dyDescent="0.25">
      <c r="A959" s="1127" t="s">
        <v>1065</v>
      </c>
      <c r="B959" s="1128"/>
      <c r="C959" s="1129"/>
      <c r="D959" s="1130"/>
      <c r="E959" s="1130"/>
      <c r="F959" s="1130"/>
      <c r="G959" s="1138"/>
    </row>
    <row r="960" spans="1:7" s="1107" customFormat="1" x14ac:dyDescent="0.25">
      <c r="A960" s="1114"/>
      <c r="B960" s="1115" t="s">
        <v>1066</v>
      </c>
      <c r="C960" s="1115"/>
      <c r="D960" s="1132"/>
      <c r="E960" s="1132"/>
      <c r="F960" s="1132">
        <f>SUM(F958:F959)</f>
        <v>5500</v>
      </c>
      <c r="G960" s="1139"/>
    </row>
    <row r="961" spans="1:7" s="1107" customFormat="1" x14ac:dyDescent="0.25">
      <c r="A961" s="1108"/>
      <c r="B961" s="1109"/>
      <c r="C961" s="1110"/>
      <c r="D961" s="1109"/>
      <c r="E961" s="1109"/>
      <c r="F961" s="1109"/>
      <c r="G961" s="1111"/>
    </row>
    <row r="962" spans="1:7" s="1107" customFormat="1" x14ac:dyDescent="0.25">
      <c r="A962" s="1114" t="s">
        <v>1055</v>
      </c>
      <c r="B962" s="1115" t="s">
        <v>1067</v>
      </c>
      <c r="C962" s="1115" t="s">
        <v>3</v>
      </c>
      <c r="D962" s="1115" t="s">
        <v>1057</v>
      </c>
      <c r="E962" s="1115" t="s">
        <v>1058</v>
      </c>
      <c r="F962" s="1115" t="s">
        <v>1059</v>
      </c>
      <c r="G962" s="1116"/>
    </row>
    <row r="963" spans="1:7" s="1107" customFormat="1" x14ac:dyDescent="0.25">
      <c r="A963" s="1117"/>
      <c r="B963" s="1118"/>
      <c r="C963" s="1119"/>
      <c r="D963" s="1118"/>
      <c r="E963" s="1118"/>
      <c r="F963" s="1118"/>
      <c r="G963" s="1121"/>
    </row>
    <row r="964" spans="1:7" s="1107" customFormat="1" x14ac:dyDescent="0.25">
      <c r="A964" s="1133"/>
      <c r="B964" s="1134"/>
      <c r="C964" s="1135"/>
      <c r="D964" s="1136"/>
      <c r="E964" s="1136"/>
      <c r="F964" s="1125"/>
      <c r="G964" s="1140"/>
    </row>
    <row r="965" spans="1:7" s="1107" customFormat="1" x14ac:dyDescent="0.25">
      <c r="A965" s="1133"/>
      <c r="B965" s="1134"/>
      <c r="C965" s="1135"/>
      <c r="D965" s="1136"/>
      <c r="E965" s="1136"/>
      <c r="F965" s="1125"/>
      <c r="G965" s="1140"/>
    </row>
    <row r="966" spans="1:7" s="1107" customFormat="1" x14ac:dyDescent="0.25">
      <c r="A966" s="1133"/>
      <c r="B966" s="1128"/>
      <c r="C966" s="1129"/>
      <c r="D966" s="1130"/>
      <c r="E966" s="1130"/>
      <c r="F966" s="1141"/>
      <c r="G966" s="1131"/>
    </row>
    <row r="967" spans="1:7" s="1107" customFormat="1" x14ac:dyDescent="0.25">
      <c r="A967" s="1114"/>
      <c r="B967" s="1115" t="s">
        <v>1075</v>
      </c>
      <c r="C967" s="1115"/>
      <c r="D967" s="1132"/>
      <c r="E967" s="1132"/>
      <c r="F967" s="1132">
        <f>SUM(F963:F965)</f>
        <v>0</v>
      </c>
      <c r="G967" s="1116"/>
    </row>
    <row r="968" spans="1:7" s="1107" customFormat="1" x14ac:dyDescent="0.25">
      <c r="A968" s="1108"/>
      <c r="B968" s="1109"/>
      <c r="C968" s="1110"/>
      <c r="D968" s="1109"/>
      <c r="E968" s="1109"/>
      <c r="F968" s="1109"/>
      <c r="G968" s="1111"/>
    </row>
    <row r="969" spans="1:7" s="1107" customFormat="1" x14ac:dyDescent="0.25">
      <c r="A969" s="1114" t="s">
        <v>1055</v>
      </c>
      <c r="B969" s="1115" t="s">
        <v>1076</v>
      </c>
      <c r="C969" s="1115" t="s">
        <v>3</v>
      </c>
      <c r="D969" s="1115" t="s">
        <v>1057</v>
      </c>
      <c r="E969" s="1115" t="s">
        <v>1058</v>
      </c>
      <c r="F969" s="1115" t="s">
        <v>1059</v>
      </c>
      <c r="G969" s="1116"/>
    </row>
    <row r="970" spans="1:7" s="1107" customFormat="1" x14ac:dyDescent="0.25">
      <c r="A970" s="1117"/>
      <c r="B970" s="1118"/>
      <c r="C970" s="1119"/>
      <c r="D970" s="1118"/>
      <c r="E970" s="1118"/>
      <c r="F970" s="1118"/>
      <c r="G970" s="1121"/>
    </row>
    <row r="971" spans="1:7" s="1107" customFormat="1" x14ac:dyDescent="0.25">
      <c r="A971" s="1133">
        <v>4</v>
      </c>
      <c r="B971" s="1134" t="s">
        <v>1077</v>
      </c>
      <c r="C971" s="1135" t="s">
        <v>1078</v>
      </c>
      <c r="D971" s="1142">
        <v>0</v>
      </c>
      <c r="E971" s="1136">
        <f>+F954</f>
        <v>7500</v>
      </c>
      <c r="F971" s="1136">
        <f>+E971*D971</f>
        <v>0</v>
      </c>
      <c r="G971" s="1140"/>
    </row>
    <row r="972" spans="1:7" s="1107" customFormat="1" x14ac:dyDescent="0.25">
      <c r="A972" s="1133">
        <v>5</v>
      </c>
      <c r="B972" s="1134" t="s">
        <v>1079</v>
      </c>
      <c r="C972" s="1135" t="s">
        <v>1078</v>
      </c>
      <c r="D972" s="1142">
        <v>0</v>
      </c>
      <c r="E972" s="1136">
        <f>+F967</f>
        <v>0</v>
      </c>
      <c r="F972" s="1136">
        <f>+E972*D972</f>
        <v>0</v>
      </c>
      <c r="G972" s="1140"/>
    </row>
    <row r="973" spans="1:7" s="1107" customFormat="1" x14ac:dyDescent="0.25">
      <c r="A973" s="1133">
        <v>6</v>
      </c>
      <c r="B973" s="1134" t="s">
        <v>1193</v>
      </c>
      <c r="C973" s="1135" t="s">
        <v>1078</v>
      </c>
      <c r="D973" s="1142">
        <v>0.05</v>
      </c>
      <c r="E973" s="1136">
        <f>+F951</f>
        <v>7500</v>
      </c>
      <c r="F973" s="1136">
        <f>+E973*D973</f>
        <v>375</v>
      </c>
      <c r="G973" s="1140"/>
    </row>
    <row r="974" spans="1:7" s="1107" customFormat="1" x14ac:dyDescent="0.25">
      <c r="A974" s="1127" t="s">
        <v>1065</v>
      </c>
      <c r="B974" s="1128"/>
      <c r="C974" s="1129"/>
      <c r="D974" s="1130"/>
      <c r="E974" s="1130"/>
      <c r="F974" s="1130"/>
      <c r="G974" s="1131"/>
    </row>
    <row r="975" spans="1:7" s="1107" customFormat="1" x14ac:dyDescent="0.25">
      <c r="A975" s="1114"/>
      <c r="B975" s="1115" t="s">
        <v>1080</v>
      </c>
      <c r="C975" s="1115"/>
      <c r="D975" s="1132"/>
      <c r="E975" s="1132"/>
      <c r="F975" s="1132">
        <f>SUM(F971:F974)</f>
        <v>375</v>
      </c>
      <c r="G975" s="1116"/>
    </row>
    <row r="976" spans="1:7" s="1107" customFormat="1" x14ac:dyDescent="0.25">
      <c r="A976" s="1108"/>
      <c r="B976" s="1109"/>
      <c r="C976" s="1110"/>
      <c r="D976" s="1109"/>
      <c r="E976" s="1109"/>
      <c r="F976" s="1109"/>
      <c r="G976" s="1111"/>
    </row>
    <row r="977" spans="1:7" s="1107" customFormat="1" x14ac:dyDescent="0.25">
      <c r="A977" s="1143"/>
      <c r="B977" s="1144" t="s">
        <v>1081</v>
      </c>
      <c r="C977" s="1458" t="s">
        <v>1082</v>
      </c>
      <c r="D977" s="1458"/>
      <c r="E977" s="1144"/>
      <c r="F977" s="1145">
        <f>+F975+F967+F960+F954</f>
        <v>13375</v>
      </c>
      <c r="G977" s="1146"/>
    </row>
    <row r="978" spans="1:7" s="1107" customFormat="1" x14ac:dyDescent="0.25">
      <c r="A978" s="1108"/>
      <c r="B978" s="1109"/>
      <c r="C978" s="1110"/>
      <c r="D978" s="1109"/>
      <c r="E978" s="1109"/>
      <c r="F978" s="1147"/>
      <c r="G978" s="1111"/>
    </row>
    <row r="979" spans="1:7" s="1107" customFormat="1" x14ac:dyDescent="0.25">
      <c r="A979" s="1143"/>
      <c r="B979" s="1144" t="s">
        <v>1083</v>
      </c>
      <c r="C979" s="1458">
        <v>0</v>
      </c>
      <c r="D979" s="1458" t="s">
        <v>1084</v>
      </c>
      <c r="E979" s="1144"/>
      <c r="F979" s="1145"/>
      <c r="G979" s="1146"/>
    </row>
    <row r="980" spans="1:7" s="1107" customFormat="1" x14ac:dyDescent="0.25">
      <c r="A980" s="1108"/>
      <c r="B980" s="1109"/>
      <c r="C980" s="1110"/>
      <c r="D980" s="1109"/>
      <c r="E980" s="1109"/>
      <c r="F980" s="1147"/>
      <c r="G980" s="1111"/>
    </row>
    <row r="981" spans="1:7" s="1107" customFormat="1" x14ac:dyDescent="0.25">
      <c r="A981" s="1143"/>
      <c r="B981" s="1144" t="s">
        <v>1085</v>
      </c>
      <c r="C981" s="1458" t="s">
        <v>1086</v>
      </c>
      <c r="D981" s="1458"/>
      <c r="E981" s="1144"/>
      <c r="F981" s="1145">
        <f>+F977+F979</f>
        <v>13375</v>
      </c>
      <c r="G981" s="1146"/>
    </row>
    <row r="982" spans="1:7" s="1107" customFormat="1" x14ac:dyDescent="0.25">
      <c r="A982" s="1108"/>
      <c r="B982" s="1109"/>
      <c r="C982" s="1110"/>
      <c r="D982" s="1109"/>
      <c r="E982" s="1109"/>
      <c r="F982" s="1147"/>
      <c r="G982" s="1111"/>
    </row>
    <row r="983" spans="1:7" s="1107" customFormat="1" x14ac:dyDescent="0.25">
      <c r="A983" s="1143"/>
      <c r="B983" s="1144" t="s">
        <v>1087</v>
      </c>
      <c r="C983" s="1459" t="s">
        <v>1112</v>
      </c>
      <c r="D983" s="1459">
        <v>10</v>
      </c>
      <c r="E983" s="1148">
        <f>+C946</f>
        <v>100</v>
      </c>
      <c r="F983" s="1145">
        <f>+F981/E983</f>
        <v>133.75</v>
      </c>
      <c r="G983" s="1146"/>
    </row>
    <row r="984" spans="1:7" s="1107" customFormat="1" x14ac:dyDescent="0.25">
      <c r="A984" s="1108"/>
      <c r="B984" s="1109"/>
      <c r="C984" s="1149"/>
      <c r="D984" s="1149"/>
      <c r="E984" s="1150"/>
      <c r="F984" s="1147"/>
      <c r="G984" s="1111"/>
    </row>
    <row r="985" spans="1:7" s="1107" customFormat="1" ht="12.6" thickBot="1" x14ac:dyDescent="0.3">
      <c r="A985" s="1151"/>
      <c r="B985" s="1152" t="s">
        <v>1089</v>
      </c>
      <c r="C985" s="1457" t="s">
        <v>1113</v>
      </c>
      <c r="D985" s="1457"/>
      <c r="E985" s="1153" t="str">
        <f>+D946</f>
        <v>m2</v>
      </c>
      <c r="F985" s="1154">
        <f>+F983</f>
        <v>133.75</v>
      </c>
      <c r="G985" s="1155"/>
    </row>
    <row r="986" spans="1:7" s="1107" customFormat="1" x14ac:dyDescent="0.25">
      <c r="A986" s="1108"/>
      <c r="B986" s="1109"/>
      <c r="C986" s="1149"/>
      <c r="D986" s="1149"/>
      <c r="E986" s="1150"/>
      <c r="F986" s="1147"/>
      <c r="G986" s="1111"/>
    </row>
    <row r="987" spans="1:7" s="1107" customFormat="1" x14ac:dyDescent="0.25">
      <c r="A987" s="1108"/>
      <c r="B987" s="1109" t="s">
        <v>1050</v>
      </c>
      <c r="C987" s="1110"/>
      <c r="D987" s="1109"/>
      <c r="E987" s="1109"/>
      <c r="F987" s="1109"/>
      <c r="G987" s="1111"/>
    </row>
    <row r="988" spans="1:7" s="1107" customFormat="1" ht="12" customHeight="1" x14ac:dyDescent="0.25">
      <c r="A988" s="1232"/>
      <c r="B988" s="1233" t="s">
        <v>1051</v>
      </c>
      <c r="C988" s="1462" t="s">
        <v>1250</v>
      </c>
      <c r="D988" s="1462"/>
      <c r="E988" s="1462"/>
      <c r="F988" s="1462"/>
      <c r="G988" s="1463"/>
    </row>
    <row r="989" spans="1:7" s="1107" customFormat="1" x14ac:dyDescent="0.25">
      <c r="A989" s="1108"/>
      <c r="B989" s="1109" t="s">
        <v>1053</v>
      </c>
      <c r="C989" s="1110">
        <v>75</v>
      </c>
      <c r="D989" s="1109" t="s">
        <v>183</v>
      </c>
      <c r="E989" s="1109"/>
      <c r="F989" s="1109"/>
      <c r="G989" s="1111"/>
    </row>
    <row r="990" spans="1:7" s="1107" customFormat="1" x14ac:dyDescent="0.25">
      <c r="A990" s="1108"/>
      <c r="B990" s="1109" t="s">
        <v>1054</v>
      </c>
      <c r="C990" s="1110"/>
      <c r="D990" s="1109"/>
      <c r="E990" s="1109"/>
      <c r="F990" s="1109"/>
      <c r="G990" s="1111"/>
    </row>
    <row r="991" spans="1:7" s="1107" customFormat="1" x14ac:dyDescent="0.25">
      <c r="A991" s="1108"/>
      <c r="B991" s="1109"/>
      <c r="C991" s="1110"/>
      <c r="D991" s="1109"/>
      <c r="E991" s="1109"/>
      <c r="F991" s="1109"/>
      <c r="G991" s="1111"/>
    </row>
    <row r="992" spans="1:7" s="1107" customFormat="1" x14ac:dyDescent="0.25">
      <c r="A992" s="1114" t="s">
        <v>1055</v>
      </c>
      <c r="B992" s="1115" t="s">
        <v>1056</v>
      </c>
      <c r="C992" s="1115" t="s">
        <v>3</v>
      </c>
      <c r="D992" s="1115" t="s">
        <v>1057</v>
      </c>
      <c r="E992" s="1115" t="s">
        <v>1058</v>
      </c>
      <c r="F992" s="1115" t="s">
        <v>1059</v>
      </c>
      <c r="G992" s="1116" t="s">
        <v>1060</v>
      </c>
    </row>
    <row r="993" spans="1:7" s="1107" customFormat="1" x14ac:dyDescent="0.25">
      <c r="A993" s="1117"/>
      <c r="B993" s="1118"/>
      <c r="C993" s="1119"/>
      <c r="D993" s="1120"/>
      <c r="E993" s="1120"/>
      <c r="F993" s="1120"/>
      <c r="G993" s="1121"/>
    </row>
    <row r="994" spans="1:7" s="1107" customFormat="1" x14ac:dyDescent="0.25">
      <c r="A994" s="1122" t="s">
        <v>1061</v>
      </c>
      <c r="B994" s="1123" t="s">
        <v>1194</v>
      </c>
      <c r="C994" s="1124" t="s">
        <v>1105</v>
      </c>
      <c r="D994" s="1125">
        <v>3</v>
      </c>
      <c r="E994" s="1125">
        <v>2500</v>
      </c>
      <c r="F994" s="1125">
        <f>+E994*D994</f>
        <v>7500</v>
      </c>
      <c r="G994" s="1126"/>
    </row>
    <row r="995" spans="1:7" s="1107" customFormat="1" x14ac:dyDescent="0.25">
      <c r="A995" s="1127"/>
      <c r="B995" s="1128"/>
      <c r="C995" s="1129"/>
      <c r="D995" s="1130"/>
      <c r="E995" s="1130"/>
      <c r="F995" s="1130"/>
      <c r="G995" s="1131"/>
    </row>
    <row r="996" spans="1:7" s="1107" customFormat="1" x14ac:dyDescent="0.25">
      <c r="A996" s="1114"/>
      <c r="B996" s="1115" t="s">
        <v>1063</v>
      </c>
      <c r="C996" s="1115"/>
      <c r="D996" s="1132"/>
      <c r="E996" s="1132"/>
      <c r="F996" s="1132">
        <f>SUM(F994:F995)</f>
        <v>7500</v>
      </c>
      <c r="G996" s="1116"/>
    </row>
    <row r="997" spans="1:7" s="1107" customFormat="1" x14ac:dyDescent="0.25">
      <c r="A997" s="1108"/>
      <c r="B997" s="1109"/>
      <c r="C997" s="1110"/>
      <c r="D997" s="1109"/>
      <c r="E997" s="1109"/>
      <c r="F997" s="1109"/>
      <c r="G997" s="1111"/>
    </row>
    <row r="998" spans="1:7" s="1107" customFormat="1" x14ac:dyDescent="0.25">
      <c r="A998" s="1114" t="s">
        <v>1055</v>
      </c>
      <c r="B998" s="1115" t="s">
        <v>1064</v>
      </c>
      <c r="C998" s="1115" t="s">
        <v>3</v>
      </c>
      <c r="D998" s="1115" t="s">
        <v>1057</v>
      </c>
      <c r="E998" s="1115" t="s">
        <v>1058</v>
      </c>
      <c r="F998" s="1115" t="s">
        <v>1059</v>
      </c>
      <c r="G998" s="1116"/>
    </row>
    <row r="999" spans="1:7" s="1107" customFormat="1" x14ac:dyDescent="0.25">
      <c r="A999" s="1117"/>
      <c r="B999" s="1118"/>
      <c r="C999" s="1119"/>
      <c r="D999" s="1118"/>
      <c r="E999" s="1118"/>
      <c r="F999" s="1118"/>
      <c r="G999" s="1121"/>
    </row>
    <row r="1000" spans="1:7" s="1107" customFormat="1" x14ac:dyDescent="0.25">
      <c r="A1000" s="1133" t="s">
        <v>1103</v>
      </c>
      <c r="B1000" s="1134" t="s">
        <v>1247</v>
      </c>
      <c r="C1000" s="1135" t="s">
        <v>1248</v>
      </c>
      <c r="D1000" s="1136">
        <v>2</v>
      </c>
      <c r="E1000" s="1125">
        <f>+'RBD Material'!L6</f>
        <v>5500</v>
      </c>
      <c r="F1000" s="1125">
        <f>+E1000*D1000</f>
        <v>11000</v>
      </c>
      <c r="G1000" s="1137"/>
    </row>
    <row r="1001" spans="1:7" s="1107" customFormat="1" x14ac:dyDescent="0.25">
      <c r="A1001" s="1133" t="s">
        <v>1106</v>
      </c>
      <c r="B1001" s="1134" t="s">
        <v>1251</v>
      </c>
      <c r="C1001" s="1135" t="s">
        <v>1252</v>
      </c>
      <c r="D1001" s="1136">
        <v>1</v>
      </c>
      <c r="E1001" s="1125">
        <f>+'RBD Material'!L7</f>
        <v>6000</v>
      </c>
      <c r="F1001" s="1125">
        <f>+E1001*D1001</f>
        <v>6000</v>
      </c>
      <c r="G1001" s="1137"/>
    </row>
    <row r="1002" spans="1:7" s="1107" customFormat="1" x14ac:dyDescent="0.25">
      <c r="A1002" s="1127" t="s">
        <v>1065</v>
      </c>
      <c r="B1002" s="1128"/>
      <c r="C1002" s="1129"/>
      <c r="D1002" s="1130"/>
      <c r="E1002" s="1130"/>
      <c r="F1002" s="1130"/>
      <c r="G1002" s="1138"/>
    </row>
    <row r="1003" spans="1:7" s="1107" customFormat="1" x14ac:dyDescent="0.25">
      <c r="A1003" s="1114"/>
      <c r="B1003" s="1115" t="s">
        <v>1066</v>
      </c>
      <c r="C1003" s="1115"/>
      <c r="D1003" s="1132"/>
      <c r="E1003" s="1132"/>
      <c r="F1003" s="1132">
        <f>SUM(F1000:F1002)</f>
        <v>17000</v>
      </c>
      <c r="G1003" s="1139"/>
    </row>
    <row r="1004" spans="1:7" s="1107" customFormat="1" x14ac:dyDescent="0.25">
      <c r="A1004" s="1108"/>
      <c r="B1004" s="1109"/>
      <c r="C1004" s="1110"/>
      <c r="D1004" s="1109"/>
      <c r="E1004" s="1109"/>
      <c r="F1004" s="1109"/>
      <c r="G1004" s="1111"/>
    </row>
    <row r="1005" spans="1:7" s="1107" customFormat="1" x14ac:dyDescent="0.25">
      <c r="A1005" s="1114" t="s">
        <v>1055</v>
      </c>
      <c r="B1005" s="1115" t="s">
        <v>1067</v>
      </c>
      <c r="C1005" s="1115" t="s">
        <v>3</v>
      </c>
      <c r="D1005" s="1115" t="s">
        <v>1057</v>
      </c>
      <c r="E1005" s="1115" t="s">
        <v>1058</v>
      </c>
      <c r="F1005" s="1115" t="s">
        <v>1059</v>
      </c>
      <c r="G1005" s="1116"/>
    </row>
    <row r="1006" spans="1:7" s="1107" customFormat="1" x14ac:dyDescent="0.25">
      <c r="A1006" s="1117"/>
      <c r="B1006" s="1118"/>
      <c r="C1006" s="1119"/>
      <c r="D1006" s="1118"/>
      <c r="E1006" s="1118"/>
      <c r="F1006" s="1118"/>
      <c r="G1006" s="1121"/>
    </row>
    <row r="1007" spans="1:7" s="1107" customFormat="1" x14ac:dyDescent="0.25">
      <c r="A1007" s="1133"/>
      <c r="B1007" s="1134"/>
      <c r="C1007" s="1135"/>
      <c r="D1007" s="1136"/>
      <c r="E1007" s="1136"/>
      <c r="F1007" s="1125"/>
      <c r="G1007" s="1140"/>
    </row>
    <row r="1008" spans="1:7" s="1107" customFormat="1" x14ac:dyDescent="0.25">
      <c r="A1008" s="1133"/>
      <c r="B1008" s="1134"/>
      <c r="C1008" s="1135"/>
      <c r="D1008" s="1136"/>
      <c r="E1008" s="1136"/>
      <c r="F1008" s="1125"/>
      <c r="G1008" s="1140"/>
    </row>
    <row r="1009" spans="1:7" s="1107" customFormat="1" x14ac:dyDescent="0.25">
      <c r="A1009" s="1133"/>
      <c r="B1009" s="1128"/>
      <c r="C1009" s="1129"/>
      <c r="D1009" s="1130"/>
      <c r="E1009" s="1130"/>
      <c r="F1009" s="1141"/>
      <c r="G1009" s="1131"/>
    </row>
    <row r="1010" spans="1:7" s="1107" customFormat="1" x14ac:dyDescent="0.25">
      <c r="A1010" s="1114"/>
      <c r="B1010" s="1115" t="s">
        <v>1075</v>
      </c>
      <c r="C1010" s="1115"/>
      <c r="D1010" s="1132"/>
      <c r="E1010" s="1132"/>
      <c r="F1010" s="1132">
        <f>SUM(F1006:F1008)</f>
        <v>0</v>
      </c>
      <c r="G1010" s="1116"/>
    </row>
    <row r="1011" spans="1:7" s="1107" customFormat="1" x14ac:dyDescent="0.25">
      <c r="A1011" s="1108"/>
      <c r="B1011" s="1109"/>
      <c r="C1011" s="1110"/>
      <c r="D1011" s="1109"/>
      <c r="E1011" s="1109"/>
      <c r="F1011" s="1109"/>
      <c r="G1011" s="1111"/>
    </row>
    <row r="1012" spans="1:7" s="1107" customFormat="1" x14ac:dyDescent="0.25">
      <c r="A1012" s="1114" t="s">
        <v>1055</v>
      </c>
      <c r="B1012" s="1115" t="s">
        <v>1076</v>
      </c>
      <c r="C1012" s="1115" t="s">
        <v>3</v>
      </c>
      <c r="D1012" s="1115" t="s">
        <v>1057</v>
      </c>
      <c r="E1012" s="1115" t="s">
        <v>1058</v>
      </c>
      <c r="F1012" s="1115" t="s">
        <v>1059</v>
      </c>
      <c r="G1012" s="1116"/>
    </row>
    <row r="1013" spans="1:7" s="1107" customFormat="1" x14ac:dyDescent="0.25">
      <c r="A1013" s="1117"/>
      <c r="B1013" s="1118"/>
      <c r="C1013" s="1119"/>
      <c r="D1013" s="1118"/>
      <c r="E1013" s="1118"/>
      <c r="F1013" s="1118"/>
      <c r="G1013" s="1121"/>
    </row>
    <row r="1014" spans="1:7" s="1107" customFormat="1" x14ac:dyDescent="0.25">
      <c r="A1014" s="1133">
        <v>4</v>
      </c>
      <c r="B1014" s="1134" t="s">
        <v>1077</v>
      </c>
      <c r="C1014" s="1135" t="s">
        <v>1078</v>
      </c>
      <c r="D1014" s="1142">
        <v>0</v>
      </c>
      <c r="E1014" s="1136">
        <f>+F996</f>
        <v>7500</v>
      </c>
      <c r="F1014" s="1136">
        <f>+E1014*D1014</f>
        <v>0</v>
      </c>
      <c r="G1014" s="1140"/>
    </row>
    <row r="1015" spans="1:7" s="1107" customFormat="1" x14ac:dyDescent="0.25">
      <c r="A1015" s="1133">
        <v>5</v>
      </c>
      <c r="B1015" s="1134" t="s">
        <v>1079</v>
      </c>
      <c r="C1015" s="1135" t="s">
        <v>1078</v>
      </c>
      <c r="D1015" s="1142">
        <v>0</v>
      </c>
      <c r="E1015" s="1136">
        <f>+F1010</f>
        <v>0</v>
      </c>
      <c r="F1015" s="1136">
        <f>+E1015*D1015</f>
        <v>0</v>
      </c>
      <c r="G1015" s="1140"/>
    </row>
    <row r="1016" spans="1:7" s="1107" customFormat="1" x14ac:dyDescent="0.25">
      <c r="A1016" s="1133">
        <v>6</v>
      </c>
      <c r="B1016" s="1134" t="s">
        <v>1193</v>
      </c>
      <c r="C1016" s="1135" t="s">
        <v>1078</v>
      </c>
      <c r="D1016" s="1142">
        <v>0.05</v>
      </c>
      <c r="E1016" s="1136">
        <f>+F994</f>
        <v>7500</v>
      </c>
      <c r="F1016" s="1136">
        <f>+E1016*D1016</f>
        <v>375</v>
      </c>
      <c r="G1016" s="1140"/>
    </row>
    <row r="1017" spans="1:7" s="1107" customFormat="1" x14ac:dyDescent="0.25">
      <c r="A1017" s="1127" t="s">
        <v>1065</v>
      </c>
      <c r="B1017" s="1128"/>
      <c r="C1017" s="1129"/>
      <c r="D1017" s="1130"/>
      <c r="E1017" s="1130"/>
      <c r="F1017" s="1130"/>
      <c r="G1017" s="1131"/>
    </row>
    <row r="1018" spans="1:7" s="1107" customFormat="1" x14ac:dyDescent="0.25">
      <c r="A1018" s="1114"/>
      <c r="B1018" s="1115" t="s">
        <v>1080</v>
      </c>
      <c r="C1018" s="1115"/>
      <c r="D1018" s="1132"/>
      <c r="E1018" s="1132"/>
      <c r="F1018" s="1132">
        <f>SUM(F1014:F1017)</f>
        <v>375</v>
      </c>
      <c r="G1018" s="1116"/>
    </row>
    <row r="1019" spans="1:7" s="1107" customFormat="1" x14ac:dyDescent="0.25">
      <c r="A1019" s="1108"/>
      <c r="B1019" s="1109"/>
      <c r="C1019" s="1110"/>
      <c r="D1019" s="1109"/>
      <c r="E1019" s="1109"/>
      <c r="F1019" s="1109"/>
      <c r="G1019" s="1111"/>
    </row>
    <row r="1020" spans="1:7" s="1107" customFormat="1" x14ac:dyDescent="0.25">
      <c r="A1020" s="1143"/>
      <c r="B1020" s="1144" t="s">
        <v>1081</v>
      </c>
      <c r="C1020" s="1458" t="s">
        <v>1082</v>
      </c>
      <c r="D1020" s="1458"/>
      <c r="E1020" s="1144"/>
      <c r="F1020" s="1145">
        <f>+F1018+F1010+F1003+F996</f>
        <v>24875</v>
      </c>
      <c r="G1020" s="1146"/>
    </row>
    <row r="1021" spans="1:7" s="1107" customFormat="1" x14ac:dyDescent="0.25">
      <c r="A1021" s="1108"/>
      <c r="B1021" s="1109"/>
      <c r="C1021" s="1110"/>
      <c r="D1021" s="1109"/>
      <c r="E1021" s="1109"/>
      <c r="F1021" s="1147"/>
      <c r="G1021" s="1111"/>
    </row>
    <row r="1022" spans="1:7" s="1107" customFormat="1" x14ac:dyDescent="0.25">
      <c r="A1022" s="1143"/>
      <c r="B1022" s="1144" t="s">
        <v>1083</v>
      </c>
      <c r="C1022" s="1458">
        <v>0</v>
      </c>
      <c r="D1022" s="1458" t="s">
        <v>1084</v>
      </c>
      <c r="E1022" s="1144"/>
      <c r="F1022" s="1145"/>
      <c r="G1022" s="1146"/>
    </row>
    <row r="1023" spans="1:7" s="1107" customFormat="1" x14ac:dyDescent="0.25">
      <c r="A1023" s="1108"/>
      <c r="B1023" s="1109"/>
      <c r="C1023" s="1110"/>
      <c r="D1023" s="1109"/>
      <c r="E1023" s="1109"/>
      <c r="F1023" s="1147"/>
      <c r="G1023" s="1111"/>
    </row>
    <row r="1024" spans="1:7" s="1107" customFormat="1" x14ac:dyDescent="0.25">
      <c r="A1024" s="1143"/>
      <c r="B1024" s="1144" t="s">
        <v>1085</v>
      </c>
      <c r="C1024" s="1458" t="s">
        <v>1086</v>
      </c>
      <c r="D1024" s="1458"/>
      <c r="E1024" s="1144"/>
      <c r="F1024" s="1145">
        <f>+F1020+F1022</f>
        <v>24875</v>
      </c>
      <c r="G1024" s="1146"/>
    </row>
    <row r="1025" spans="1:7" s="1107" customFormat="1" x14ac:dyDescent="0.25">
      <c r="A1025" s="1108"/>
      <c r="B1025" s="1109"/>
      <c r="C1025" s="1110"/>
      <c r="D1025" s="1109"/>
      <c r="E1025" s="1109"/>
      <c r="F1025" s="1147"/>
      <c r="G1025" s="1111"/>
    </row>
    <row r="1026" spans="1:7" s="1107" customFormat="1" x14ac:dyDescent="0.25">
      <c r="A1026" s="1143"/>
      <c r="B1026" s="1144" t="s">
        <v>1087</v>
      </c>
      <c r="C1026" s="1459" t="s">
        <v>1112</v>
      </c>
      <c r="D1026" s="1459">
        <v>10</v>
      </c>
      <c r="E1026" s="1148">
        <f>+C989</f>
        <v>75</v>
      </c>
      <c r="F1026" s="1145">
        <f>+F1024/E1026</f>
        <v>331.66666666666669</v>
      </c>
      <c r="G1026" s="1146"/>
    </row>
    <row r="1027" spans="1:7" s="1107" customFormat="1" x14ac:dyDescent="0.25">
      <c r="A1027" s="1108"/>
      <c r="B1027" s="1109"/>
      <c r="C1027" s="1149"/>
      <c r="D1027" s="1149"/>
      <c r="E1027" s="1150"/>
      <c r="F1027" s="1147"/>
      <c r="G1027" s="1111"/>
    </row>
    <row r="1028" spans="1:7" s="1107" customFormat="1" ht="12.6" thickBot="1" x14ac:dyDescent="0.3">
      <c r="A1028" s="1151"/>
      <c r="B1028" s="1152" t="s">
        <v>1089</v>
      </c>
      <c r="C1028" s="1457" t="s">
        <v>1113</v>
      </c>
      <c r="D1028" s="1457"/>
      <c r="E1028" s="1153" t="str">
        <f>+D989</f>
        <v>m2</v>
      </c>
      <c r="F1028" s="1154">
        <f>+F1026</f>
        <v>331.66666666666669</v>
      </c>
      <c r="G1028" s="1155"/>
    </row>
    <row r="1029" spans="1:7" s="1107" customFormat="1" x14ac:dyDescent="0.25">
      <c r="A1029" s="1108"/>
      <c r="B1029" s="1109" t="s">
        <v>1050</v>
      </c>
      <c r="C1029" s="1110"/>
      <c r="D1029" s="1109"/>
      <c r="E1029" s="1109"/>
      <c r="F1029" s="1109"/>
      <c r="G1029" s="1111"/>
    </row>
    <row r="1030" spans="1:7" s="1107" customFormat="1" x14ac:dyDescent="0.25">
      <c r="A1030" s="1108"/>
      <c r="B1030" s="1109" t="s">
        <v>1051</v>
      </c>
      <c r="C1030" s="1112" t="s">
        <v>1191</v>
      </c>
      <c r="D1030" s="1112"/>
      <c r="E1030" s="1112"/>
      <c r="F1030" s="1112"/>
      <c r="G1030" s="1113"/>
    </row>
    <row r="1031" spans="1:7" s="1107" customFormat="1" x14ac:dyDescent="0.25">
      <c r="A1031" s="1108"/>
      <c r="B1031" s="1109" t="s">
        <v>1053</v>
      </c>
      <c r="C1031" s="1110">
        <v>5</v>
      </c>
      <c r="D1031" s="1109" t="s">
        <v>872</v>
      </c>
      <c r="E1031" s="1109"/>
      <c r="F1031" s="1109"/>
      <c r="G1031" s="1111"/>
    </row>
    <row r="1032" spans="1:7" s="1107" customFormat="1" x14ac:dyDescent="0.25">
      <c r="A1032" s="1108"/>
      <c r="B1032" s="1109" t="s">
        <v>1054</v>
      </c>
      <c r="C1032" s="1110"/>
      <c r="D1032" s="1109"/>
      <c r="E1032" s="1109"/>
      <c r="F1032" s="1109"/>
      <c r="G1032" s="1111"/>
    </row>
    <row r="1033" spans="1:7" s="1107" customFormat="1" x14ac:dyDescent="0.25">
      <c r="A1033" s="1108"/>
      <c r="B1033" s="1109"/>
      <c r="C1033" s="1110"/>
      <c r="D1033" s="1109"/>
      <c r="E1033" s="1109"/>
      <c r="F1033" s="1109"/>
      <c r="G1033" s="1111"/>
    </row>
    <row r="1034" spans="1:7" s="1107" customFormat="1" x14ac:dyDescent="0.25">
      <c r="A1034" s="1114" t="s">
        <v>1055</v>
      </c>
      <c r="B1034" s="1115" t="s">
        <v>1056</v>
      </c>
      <c r="C1034" s="1115" t="s">
        <v>3</v>
      </c>
      <c r="D1034" s="1115" t="s">
        <v>1057</v>
      </c>
      <c r="E1034" s="1115" t="s">
        <v>1058</v>
      </c>
      <c r="F1034" s="1115" t="s">
        <v>1059</v>
      </c>
      <c r="G1034" s="1116" t="s">
        <v>1060</v>
      </c>
    </row>
    <row r="1035" spans="1:7" s="1107" customFormat="1" x14ac:dyDescent="0.25">
      <c r="A1035" s="1117"/>
      <c r="B1035" s="1118"/>
      <c r="C1035" s="1119"/>
      <c r="D1035" s="1120"/>
      <c r="E1035" s="1120"/>
      <c r="F1035" s="1120"/>
      <c r="G1035" s="1121"/>
    </row>
    <row r="1036" spans="1:7" s="1107" customFormat="1" x14ac:dyDescent="0.25">
      <c r="A1036" s="1122" t="s">
        <v>1061</v>
      </c>
      <c r="B1036" s="1123" t="s">
        <v>1192</v>
      </c>
      <c r="C1036" s="1124" t="s">
        <v>872</v>
      </c>
      <c r="D1036" s="1125">
        <v>5</v>
      </c>
      <c r="E1036" s="1125">
        <v>2200</v>
      </c>
      <c r="F1036" s="1125">
        <f>+E1036*D1036</f>
        <v>11000</v>
      </c>
      <c r="G1036" s="1126"/>
    </row>
    <row r="1037" spans="1:7" s="1107" customFormat="1" x14ac:dyDescent="0.25">
      <c r="A1037" s="1127"/>
      <c r="B1037" s="1128"/>
      <c r="C1037" s="1129"/>
      <c r="D1037" s="1130"/>
      <c r="E1037" s="1130"/>
      <c r="F1037" s="1130"/>
      <c r="G1037" s="1131"/>
    </row>
    <row r="1038" spans="1:7" s="1107" customFormat="1" x14ac:dyDescent="0.25">
      <c r="A1038" s="1114"/>
      <c r="B1038" s="1115" t="s">
        <v>1063</v>
      </c>
      <c r="C1038" s="1115"/>
      <c r="D1038" s="1132"/>
      <c r="E1038" s="1132"/>
      <c r="F1038" s="1132">
        <f>SUM(F1036:F1037)</f>
        <v>11000</v>
      </c>
      <c r="G1038" s="1116"/>
    </row>
    <row r="1039" spans="1:7" s="1107" customFormat="1" x14ac:dyDescent="0.25">
      <c r="A1039" s="1108"/>
      <c r="B1039" s="1109"/>
      <c r="C1039" s="1110"/>
      <c r="D1039" s="1109"/>
      <c r="E1039" s="1109"/>
      <c r="F1039" s="1109"/>
      <c r="G1039" s="1111"/>
    </row>
    <row r="1040" spans="1:7" s="1107" customFormat="1" x14ac:dyDescent="0.25">
      <c r="A1040" s="1114" t="s">
        <v>1055</v>
      </c>
      <c r="B1040" s="1115" t="s">
        <v>1064</v>
      </c>
      <c r="C1040" s="1115" t="s">
        <v>3</v>
      </c>
      <c r="D1040" s="1115" t="s">
        <v>1057</v>
      </c>
      <c r="E1040" s="1115" t="s">
        <v>1058</v>
      </c>
      <c r="F1040" s="1115" t="s">
        <v>1059</v>
      </c>
      <c r="G1040" s="1116"/>
    </row>
    <row r="1041" spans="1:7" s="1107" customFormat="1" x14ac:dyDescent="0.25">
      <c r="A1041" s="1117"/>
      <c r="B1041" s="1118"/>
      <c r="C1041" s="1119"/>
      <c r="D1041" s="1118"/>
      <c r="E1041" s="1118"/>
      <c r="F1041" s="1118"/>
      <c r="G1041" s="1121"/>
    </row>
    <row r="1042" spans="1:7" s="1107" customFormat="1" x14ac:dyDescent="0.25">
      <c r="A1042" s="1133"/>
      <c r="B1042" s="1134"/>
      <c r="C1042" s="1135"/>
      <c r="D1042" s="1136"/>
      <c r="E1042" s="1136"/>
      <c r="F1042" s="1125"/>
      <c r="G1042" s="1137"/>
    </row>
    <row r="1043" spans="1:7" s="1107" customFormat="1" x14ac:dyDescent="0.25">
      <c r="A1043" s="1127" t="s">
        <v>1065</v>
      </c>
      <c r="B1043" s="1128"/>
      <c r="C1043" s="1129"/>
      <c r="D1043" s="1130"/>
      <c r="E1043" s="1130"/>
      <c r="F1043" s="1130"/>
      <c r="G1043" s="1138"/>
    </row>
    <row r="1044" spans="1:7" s="1107" customFormat="1" x14ac:dyDescent="0.25">
      <c r="A1044" s="1114"/>
      <c r="B1044" s="1115" t="s">
        <v>1066</v>
      </c>
      <c r="C1044" s="1115"/>
      <c r="D1044" s="1132"/>
      <c r="E1044" s="1132"/>
      <c r="F1044" s="1132">
        <f>SUM(F1042:F1043)</f>
        <v>0</v>
      </c>
      <c r="G1044" s="1139"/>
    </row>
    <row r="1045" spans="1:7" s="1107" customFormat="1" x14ac:dyDescent="0.25">
      <c r="A1045" s="1108"/>
      <c r="B1045" s="1109"/>
      <c r="C1045" s="1110"/>
      <c r="D1045" s="1109"/>
      <c r="E1045" s="1109"/>
      <c r="F1045" s="1109"/>
      <c r="G1045" s="1111"/>
    </row>
    <row r="1046" spans="1:7" s="1107" customFormat="1" x14ac:dyDescent="0.25">
      <c r="A1046" s="1114" t="s">
        <v>1055</v>
      </c>
      <c r="B1046" s="1115" t="s">
        <v>1067</v>
      </c>
      <c r="C1046" s="1115" t="s">
        <v>3</v>
      </c>
      <c r="D1046" s="1115" t="s">
        <v>1057</v>
      </c>
      <c r="E1046" s="1115" t="s">
        <v>1058</v>
      </c>
      <c r="F1046" s="1115" t="s">
        <v>1059</v>
      </c>
      <c r="G1046" s="1116"/>
    </row>
    <row r="1047" spans="1:7" s="1107" customFormat="1" x14ac:dyDescent="0.25">
      <c r="A1047" s="1117"/>
      <c r="B1047" s="1118"/>
      <c r="C1047" s="1119"/>
      <c r="D1047" s="1118"/>
      <c r="E1047" s="1118"/>
      <c r="F1047" s="1118"/>
      <c r="G1047" s="1121"/>
    </row>
    <row r="1048" spans="1:7" s="1107" customFormat="1" x14ac:dyDescent="0.25">
      <c r="A1048" s="1133"/>
      <c r="B1048" s="1134"/>
      <c r="C1048" s="1135"/>
      <c r="D1048" s="1136"/>
      <c r="E1048" s="1136"/>
      <c r="F1048" s="1125"/>
      <c r="G1048" s="1140"/>
    </row>
    <row r="1049" spans="1:7" s="1107" customFormat="1" x14ac:dyDescent="0.25">
      <c r="A1049" s="1133"/>
      <c r="B1049" s="1134"/>
      <c r="C1049" s="1135"/>
      <c r="D1049" s="1136"/>
      <c r="E1049" s="1136"/>
      <c r="F1049" s="1125"/>
      <c r="G1049" s="1140"/>
    </row>
    <row r="1050" spans="1:7" s="1107" customFormat="1" x14ac:dyDescent="0.25">
      <c r="A1050" s="1133"/>
      <c r="B1050" s="1128"/>
      <c r="C1050" s="1129"/>
      <c r="D1050" s="1130"/>
      <c r="E1050" s="1130"/>
      <c r="F1050" s="1141"/>
      <c r="G1050" s="1131"/>
    </row>
    <row r="1051" spans="1:7" s="1107" customFormat="1" x14ac:dyDescent="0.25">
      <c r="A1051" s="1114"/>
      <c r="B1051" s="1115" t="s">
        <v>1075</v>
      </c>
      <c r="C1051" s="1115"/>
      <c r="D1051" s="1132"/>
      <c r="E1051" s="1132"/>
      <c r="F1051" s="1132">
        <f>SUM(F1047:F1049)</f>
        <v>0</v>
      </c>
      <c r="G1051" s="1116"/>
    </row>
    <row r="1052" spans="1:7" s="1107" customFormat="1" x14ac:dyDescent="0.25">
      <c r="A1052" s="1108"/>
      <c r="B1052" s="1109"/>
      <c r="C1052" s="1110"/>
      <c r="D1052" s="1109"/>
      <c r="E1052" s="1109"/>
      <c r="F1052" s="1109"/>
      <c r="G1052" s="1111"/>
    </row>
    <row r="1053" spans="1:7" s="1107" customFormat="1" x14ac:dyDescent="0.25">
      <c r="A1053" s="1114" t="s">
        <v>1055</v>
      </c>
      <c r="B1053" s="1115" t="s">
        <v>1076</v>
      </c>
      <c r="C1053" s="1115" t="s">
        <v>3</v>
      </c>
      <c r="D1053" s="1115" t="s">
        <v>1057</v>
      </c>
      <c r="E1053" s="1115" t="s">
        <v>1058</v>
      </c>
      <c r="F1053" s="1115" t="s">
        <v>1059</v>
      </c>
      <c r="G1053" s="1116"/>
    </row>
    <row r="1054" spans="1:7" s="1107" customFormat="1" x14ac:dyDescent="0.25">
      <c r="A1054" s="1117"/>
      <c r="B1054" s="1118"/>
      <c r="C1054" s="1119"/>
      <c r="D1054" s="1118"/>
      <c r="E1054" s="1118"/>
      <c r="F1054" s="1118"/>
      <c r="G1054" s="1121"/>
    </row>
    <row r="1055" spans="1:7" s="1107" customFormat="1" x14ac:dyDescent="0.25">
      <c r="A1055" s="1133">
        <v>4</v>
      </c>
      <c r="B1055" s="1134" t="s">
        <v>1077</v>
      </c>
      <c r="C1055" s="1135" t="s">
        <v>1078</v>
      </c>
      <c r="D1055" s="1142">
        <v>0</v>
      </c>
      <c r="E1055" s="1136">
        <f>+F1038</f>
        <v>11000</v>
      </c>
      <c r="F1055" s="1136">
        <f>+E1055*D1055</f>
        <v>0</v>
      </c>
      <c r="G1055" s="1140"/>
    </row>
    <row r="1056" spans="1:7" s="1107" customFormat="1" x14ac:dyDescent="0.25">
      <c r="A1056" s="1133">
        <v>5</v>
      </c>
      <c r="B1056" s="1134" t="s">
        <v>1079</v>
      </c>
      <c r="C1056" s="1135" t="s">
        <v>1078</v>
      </c>
      <c r="D1056" s="1142">
        <v>0</v>
      </c>
      <c r="E1056" s="1136">
        <f>+F1051</f>
        <v>0</v>
      </c>
      <c r="F1056" s="1136">
        <f>+E1056*D1056</f>
        <v>0</v>
      </c>
      <c r="G1056" s="1140"/>
    </row>
    <row r="1057" spans="1:7" s="1107" customFormat="1" x14ac:dyDescent="0.25">
      <c r="A1057" s="1133">
        <v>6</v>
      </c>
      <c r="B1057" s="1134" t="s">
        <v>1193</v>
      </c>
      <c r="C1057" s="1135" t="s">
        <v>1078</v>
      </c>
      <c r="D1057" s="1142">
        <v>0.05</v>
      </c>
      <c r="E1057" s="1136">
        <f>+F1036</f>
        <v>11000</v>
      </c>
      <c r="F1057" s="1136">
        <f>+E1057*D1057</f>
        <v>550</v>
      </c>
      <c r="G1057" s="1140"/>
    </row>
    <row r="1058" spans="1:7" s="1107" customFormat="1" x14ac:dyDescent="0.25">
      <c r="A1058" s="1127" t="s">
        <v>1065</v>
      </c>
      <c r="B1058" s="1128"/>
      <c r="C1058" s="1129"/>
      <c r="D1058" s="1130"/>
      <c r="E1058" s="1130"/>
      <c r="F1058" s="1130"/>
      <c r="G1058" s="1131"/>
    </row>
    <row r="1059" spans="1:7" s="1107" customFormat="1" x14ac:dyDescent="0.25">
      <c r="A1059" s="1114"/>
      <c r="B1059" s="1115" t="s">
        <v>1080</v>
      </c>
      <c r="C1059" s="1115"/>
      <c r="D1059" s="1132"/>
      <c r="E1059" s="1132"/>
      <c r="F1059" s="1132">
        <f>SUM(F1055:F1058)</f>
        <v>550</v>
      </c>
      <c r="G1059" s="1116"/>
    </row>
    <row r="1060" spans="1:7" s="1107" customFormat="1" x14ac:dyDescent="0.25">
      <c r="A1060" s="1108"/>
      <c r="B1060" s="1109"/>
      <c r="C1060" s="1110"/>
      <c r="D1060" s="1109"/>
      <c r="E1060" s="1109"/>
      <c r="F1060" s="1109"/>
      <c r="G1060" s="1111"/>
    </row>
    <row r="1061" spans="1:7" s="1107" customFormat="1" x14ac:dyDescent="0.25">
      <c r="A1061" s="1143"/>
      <c r="B1061" s="1144" t="s">
        <v>1081</v>
      </c>
      <c r="C1061" s="1458" t="s">
        <v>1082</v>
      </c>
      <c r="D1061" s="1458"/>
      <c r="E1061" s="1144"/>
      <c r="F1061" s="1145">
        <f>+F1059+F1051+F1044+F1038</f>
        <v>11550</v>
      </c>
      <c r="G1061" s="1146"/>
    </row>
    <row r="1062" spans="1:7" s="1107" customFormat="1" x14ac:dyDescent="0.25">
      <c r="A1062" s="1108"/>
      <c r="B1062" s="1109"/>
      <c r="C1062" s="1110"/>
      <c r="D1062" s="1109"/>
      <c r="E1062" s="1109"/>
      <c r="F1062" s="1147"/>
      <c r="G1062" s="1111"/>
    </row>
    <row r="1063" spans="1:7" s="1107" customFormat="1" x14ac:dyDescent="0.25">
      <c r="A1063" s="1143"/>
      <c r="B1063" s="1144" t="s">
        <v>1083</v>
      </c>
      <c r="C1063" s="1458">
        <v>0</v>
      </c>
      <c r="D1063" s="1458" t="s">
        <v>1084</v>
      </c>
      <c r="E1063" s="1144"/>
      <c r="F1063" s="1145"/>
      <c r="G1063" s="1146"/>
    </row>
    <row r="1064" spans="1:7" s="1107" customFormat="1" x14ac:dyDescent="0.25">
      <c r="A1064" s="1108"/>
      <c r="B1064" s="1109"/>
      <c r="C1064" s="1110"/>
      <c r="D1064" s="1109"/>
      <c r="E1064" s="1109"/>
      <c r="F1064" s="1147"/>
      <c r="G1064" s="1111"/>
    </row>
    <row r="1065" spans="1:7" s="1107" customFormat="1" x14ac:dyDescent="0.25">
      <c r="A1065" s="1143"/>
      <c r="B1065" s="1144" t="s">
        <v>1085</v>
      </c>
      <c r="C1065" s="1458" t="s">
        <v>1086</v>
      </c>
      <c r="D1065" s="1458"/>
      <c r="E1065" s="1144"/>
      <c r="F1065" s="1145">
        <f>+F1061+F1063</f>
        <v>11550</v>
      </c>
      <c r="G1065" s="1146"/>
    </row>
    <row r="1066" spans="1:7" s="1107" customFormat="1" x14ac:dyDescent="0.25">
      <c r="A1066" s="1108"/>
      <c r="B1066" s="1109"/>
      <c r="C1066" s="1110"/>
      <c r="D1066" s="1109"/>
      <c r="E1066" s="1109"/>
      <c r="F1066" s="1147"/>
      <c r="G1066" s="1111"/>
    </row>
    <row r="1067" spans="1:7" s="1107" customFormat="1" x14ac:dyDescent="0.25">
      <c r="A1067" s="1143"/>
      <c r="B1067" s="1144" t="s">
        <v>1087</v>
      </c>
      <c r="C1067" s="1459" t="s">
        <v>1112</v>
      </c>
      <c r="D1067" s="1459">
        <v>10</v>
      </c>
      <c r="E1067" s="1148">
        <f>+C1031</f>
        <v>5</v>
      </c>
      <c r="F1067" s="1145">
        <f>+F1065/E1067</f>
        <v>2310</v>
      </c>
      <c r="G1067" s="1146"/>
    </row>
    <row r="1068" spans="1:7" s="1107" customFormat="1" x14ac:dyDescent="0.25">
      <c r="A1068" s="1108"/>
      <c r="B1068" s="1109"/>
      <c r="C1068" s="1149"/>
      <c r="D1068" s="1149"/>
      <c r="E1068" s="1150"/>
      <c r="F1068" s="1147"/>
      <c r="G1068" s="1111"/>
    </row>
    <row r="1069" spans="1:7" s="1107" customFormat="1" ht="12.6" thickBot="1" x14ac:dyDescent="0.3">
      <c r="A1069" s="1151"/>
      <c r="B1069" s="1152" t="s">
        <v>1089</v>
      </c>
      <c r="C1069" s="1457" t="s">
        <v>1113</v>
      </c>
      <c r="D1069" s="1457"/>
      <c r="E1069" s="1153" t="str">
        <f>+D1031</f>
        <v>m3</v>
      </c>
      <c r="F1069" s="1154">
        <f>+F1067</f>
        <v>2310</v>
      </c>
      <c r="G1069" s="1155"/>
    </row>
    <row r="1070" spans="1:7" x14ac:dyDescent="0.25">
      <c r="A1070" s="1103"/>
      <c r="B1070" s="1104" t="s">
        <v>1049</v>
      </c>
      <c r="C1070" s="1105"/>
      <c r="D1070" s="1104"/>
      <c r="E1070" s="1104"/>
      <c r="F1070" s="1104"/>
      <c r="G1070" s="1106"/>
    </row>
    <row r="1071" spans="1:7" x14ac:dyDescent="0.25">
      <c r="A1071" s="1108"/>
      <c r="B1071" s="1109" t="s">
        <v>1050</v>
      </c>
      <c r="C1071" s="1110"/>
      <c r="D1071" s="1109"/>
      <c r="E1071" s="1109"/>
      <c r="F1071" s="1109"/>
      <c r="G1071" s="1111"/>
    </row>
    <row r="1072" spans="1:7" ht="16.8" customHeight="1" x14ac:dyDescent="0.25">
      <c r="A1072" s="1108"/>
      <c r="B1072" s="1109" t="s">
        <v>1051</v>
      </c>
      <c r="C1072" s="1112" t="s">
        <v>501</v>
      </c>
      <c r="D1072" s="1112"/>
      <c r="E1072" s="1112"/>
      <c r="F1072" s="1112"/>
      <c r="G1072" s="1113"/>
    </row>
    <row r="1073" spans="1:7" x14ac:dyDescent="0.25">
      <c r="A1073" s="1108"/>
      <c r="B1073" s="1109" t="s">
        <v>1053</v>
      </c>
      <c r="C1073" s="1110">
        <v>10</v>
      </c>
      <c r="D1073" s="1109" t="s">
        <v>872</v>
      </c>
      <c r="E1073" s="1109"/>
      <c r="F1073" s="1109"/>
      <c r="G1073" s="1111"/>
    </row>
    <row r="1074" spans="1:7" x14ac:dyDescent="0.25">
      <c r="A1074" s="1108"/>
      <c r="B1074" s="1109" t="s">
        <v>1054</v>
      </c>
      <c r="C1074" s="1110"/>
      <c r="D1074" s="1109"/>
      <c r="E1074" s="1109"/>
      <c r="F1074" s="1109"/>
      <c r="G1074" s="1111"/>
    </row>
    <row r="1075" spans="1:7" x14ac:dyDescent="0.25">
      <c r="A1075" s="1108"/>
      <c r="B1075" s="1109"/>
      <c r="C1075" s="1110"/>
      <c r="D1075" s="1109"/>
      <c r="E1075" s="1109"/>
      <c r="F1075" s="1109"/>
      <c r="G1075" s="1111"/>
    </row>
    <row r="1076" spans="1:7" x14ac:dyDescent="0.25">
      <c r="A1076" s="1114" t="s">
        <v>1055</v>
      </c>
      <c r="B1076" s="1115" t="s">
        <v>1056</v>
      </c>
      <c r="C1076" s="1115" t="s">
        <v>3</v>
      </c>
      <c r="D1076" s="1115" t="s">
        <v>1057</v>
      </c>
      <c r="E1076" s="1115" t="s">
        <v>1058</v>
      </c>
      <c r="F1076" s="1115" t="s">
        <v>1059</v>
      </c>
      <c r="G1076" s="1116" t="s">
        <v>1060</v>
      </c>
    </row>
    <row r="1077" spans="1:7" x14ac:dyDescent="0.25">
      <c r="A1077" s="1117"/>
      <c r="B1077" s="1118"/>
      <c r="C1077" s="1119"/>
      <c r="D1077" s="1120"/>
      <c r="E1077" s="1120"/>
      <c r="F1077" s="1120"/>
      <c r="G1077" s="1121"/>
    </row>
    <row r="1078" spans="1:7" x14ac:dyDescent="0.25">
      <c r="A1078" s="1122" t="s">
        <v>1061</v>
      </c>
      <c r="B1078" s="1123" t="s">
        <v>1194</v>
      </c>
      <c r="C1078" s="1124" t="s">
        <v>1105</v>
      </c>
      <c r="D1078" s="1125">
        <v>4</v>
      </c>
      <c r="E1078" s="1125">
        <v>2500</v>
      </c>
      <c r="F1078" s="1125">
        <f>+E1078*D1078</f>
        <v>10000</v>
      </c>
      <c r="G1078" s="1126"/>
    </row>
    <row r="1079" spans="1:7" x14ac:dyDescent="0.25">
      <c r="A1079" s="1127"/>
      <c r="B1079" s="1128"/>
      <c r="C1079" s="1129"/>
      <c r="D1079" s="1130"/>
      <c r="E1079" s="1130"/>
      <c r="F1079" s="1130"/>
      <c r="G1079" s="1131"/>
    </row>
    <row r="1080" spans="1:7" x14ac:dyDescent="0.25">
      <c r="A1080" s="1114"/>
      <c r="B1080" s="1115" t="s">
        <v>1063</v>
      </c>
      <c r="C1080" s="1115"/>
      <c r="D1080" s="1132"/>
      <c r="E1080" s="1132"/>
      <c r="F1080" s="1132">
        <f>SUM(F1078:F1079)</f>
        <v>10000</v>
      </c>
      <c r="G1080" s="1116"/>
    </row>
    <row r="1081" spans="1:7" x14ac:dyDescent="0.25">
      <c r="A1081" s="1108"/>
      <c r="B1081" s="1109"/>
      <c r="C1081" s="1110"/>
      <c r="D1081" s="1109"/>
      <c r="E1081" s="1109"/>
      <c r="F1081" s="1109"/>
      <c r="G1081" s="1111"/>
    </row>
    <row r="1082" spans="1:7" x14ac:dyDescent="0.25">
      <c r="A1082" s="1114" t="s">
        <v>1055</v>
      </c>
      <c r="B1082" s="1115" t="s">
        <v>1064</v>
      </c>
      <c r="C1082" s="1115" t="s">
        <v>3</v>
      </c>
      <c r="D1082" s="1115" t="s">
        <v>1057</v>
      </c>
      <c r="E1082" s="1115" t="s">
        <v>1058</v>
      </c>
      <c r="F1082" s="1115" t="s">
        <v>1059</v>
      </c>
      <c r="G1082" s="1116"/>
    </row>
    <row r="1083" spans="1:7" x14ac:dyDescent="0.25">
      <c r="A1083" s="1117"/>
      <c r="B1083" s="1118"/>
      <c r="C1083" s="1119"/>
      <c r="D1083" s="1118"/>
      <c r="E1083" s="1118"/>
      <c r="F1083" s="1118"/>
      <c r="G1083" s="1121"/>
    </row>
    <row r="1084" spans="1:7" x14ac:dyDescent="0.25">
      <c r="A1084" s="1133" t="s">
        <v>1106</v>
      </c>
      <c r="B1084" s="1134" t="s">
        <v>1195</v>
      </c>
      <c r="C1084" s="1135" t="s">
        <v>1105</v>
      </c>
      <c r="D1084" s="1136">
        <v>0.4</v>
      </c>
      <c r="E1084" s="1136">
        <f>+'RBD Material'!L5</f>
        <v>5000</v>
      </c>
      <c r="F1084" s="1125">
        <f>+E1084*D1084</f>
        <v>2000</v>
      </c>
      <c r="G1084" s="1137"/>
    </row>
    <row r="1085" spans="1:7" x14ac:dyDescent="0.25">
      <c r="A1085" s="1127" t="s">
        <v>1065</v>
      </c>
      <c r="B1085" s="1128"/>
      <c r="C1085" s="1129"/>
      <c r="D1085" s="1130"/>
      <c r="E1085" s="1130"/>
      <c r="F1085" s="1130"/>
      <c r="G1085" s="1138"/>
    </row>
    <row r="1086" spans="1:7" x14ac:dyDescent="0.25">
      <c r="A1086" s="1114"/>
      <c r="B1086" s="1115" t="s">
        <v>1066</v>
      </c>
      <c r="C1086" s="1115"/>
      <c r="D1086" s="1132"/>
      <c r="E1086" s="1132"/>
      <c r="F1086" s="1132">
        <f>SUM(F1084:F1085)</f>
        <v>2000</v>
      </c>
      <c r="G1086" s="1139"/>
    </row>
    <row r="1087" spans="1:7" x14ac:dyDescent="0.25">
      <c r="A1087" s="1108"/>
      <c r="B1087" s="1109"/>
      <c r="C1087" s="1110"/>
      <c r="D1087" s="1109"/>
      <c r="E1087" s="1109"/>
      <c r="F1087" s="1109"/>
      <c r="G1087" s="1111"/>
    </row>
    <row r="1088" spans="1:7" x14ac:dyDescent="0.25">
      <c r="A1088" s="1114" t="s">
        <v>1055</v>
      </c>
      <c r="B1088" s="1115" t="s">
        <v>1067</v>
      </c>
      <c r="C1088" s="1115" t="s">
        <v>3</v>
      </c>
      <c r="D1088" s="1115" t="s">
        <v>1057</v>
      </c>
      <c r="E1088" s="1115" t="s">
        <v>1058</v>
      </c>
      <c r="F1088" s="1115" t="s">
        <v>1059</v>
      </c>
      <c r="G1088" s="1116"/>
    </row>
    <row r="1089" spans="1:7" x14ac:dyDescent="0.25">
      <c r="A1089" s="1117"/>
      <c r="B1089" s="1118"/>
      <c r="C1089" s="1119"/>
      <c r="D1089" s="1118"/>
      <c r="E1089" s="1118"/>
      <c r="F1089" s="1118"/>
      <c r="G1089" s="1121"/>
    </row>
    <row r="1090" spans="1:7" x14ac:dyDescent="0.25">
      <c r="A1090" s="1133" t="s">
        <v>1068</v>
      </c>
      <c r="B1090" s="1134" t="s">
        <v>1196</v>
      </c>
      <c r="C1090" s="1135" t="s">
        <v>1110</v>
      </c>
      <c r="D1090" s="1136">
        <f>+C1073/2.83*1.35</f>
        <v>4.7703180212014136</v>
      </c>
      <c r="E1090" s="1136">
        <f>+'RBD Material'!D26</f>
        <v>8000</v>
      </c>
      <c r="F1090" s="1125">
        <f>+E1090*D1090</f>
        <v>38162.544169611312</v>
      </c>
      <c r="G1090" s="1140"/>
    </row>
    <row r="1091" spans="1:7" x14ac:dyDescent="0.25">
      <c r="A1091" s="1133"/>
      <c r="B1091" s="1128"/>
      <c r="C1091" s="1129"/>
      <c r="D1091" s="1130"/>
      <c r="E1091" s="1130"/>
      <c r="F1091" s="1141"/>
      <c r="G1091" s="1131"/>
    </row>
    <row r="1092" spans="1:7" x14ac:dyDescent="0.25">
      <c r="A1092" s="1114"/>
      <c r="B1092" s="1115" t="s">
        <v>1075</v>
      </c>
      <c r="C1092" s="1115"/>
      <c r="D1092" s="1132"/>
      <c r="E1092" s="1132"/>
      <c r="F1092" s="1132">
        <f>SUM(F1089:F1090)</f>
        <v>38162.544169611312</v>
      </c>
      <c r="G1092" s="1116"/>
    </row>
    <row r="1093" spans="1:7" x14ac:dyDescent="0.25">
      <c r="A1093" s="1108"/>
      <c r="B1093" s="1109"/>
      <c r="C1093" s="1110"/>
      <c r="D1093" s="1109"/>
      <c r="E1093" s="1109"/>
      <c r="F1093" s="1109"/>
      <c r="G1093" s="1111"/>
    </row>
    <row r="1094" spans="1:7" x14ac:dyDescent="0.25">
      <c r="A1094" s="1114" t="s">
        <v>1055</v>
      </c>
      <c r="B1094" s="1115" t="s">
        <v>1076</v>
      </c>
      <c r="C1094" s="1115" t="s">
        <v>3</v>
      </c>
      <c r="D1094" s="1115" t="s">
        <v>1057</v>
      </c>
      <c r="E1094" s="1115" t="s">
        <v>1058</v>
      </c>
      <c r="F1094" s="1115" t="s">
        <v>1059</v>
      </c>
      <c r="G1094" s="1116"/>
    </row>
    <row r="1095" spans="1:7" x14ac:dyDescent="0.25">
      <c r="A1095" s="1117"/>
      <c r="B1095" s="1118"/>
      <c r="C1095" s="1119"/>
      <c r="D1095" s="1118"/>
      <c r="E1095" s="1118"/>
      <c r="F1095" s="1118"/>
      <c r="G1095" s="1121"/>
    </row>
    <row r="1096" spans="1:7" x14ac:dyDescent="0.25">
      <c r="A1096" s="1133">
        <v>4</v>
      </c>
      <c r="B1096" s="1134" t="s">
        <v>1077</v>
      </c>
      <c r="C1096" s="1135" t="s">
        <v>1078</v>
      </c>
      <c r="D1096" s="1142">
        <v>0</v>
      </c>
      <c r="E1096" s="1136">
        <f>+F1080</f>
        <v>10000</v>
      </c>
      <c r="F1096" s="1136">
        <f>+E1096*D1096</f>
        <v>0</v>
      </c>
      <c r="G1096" s="1140"/>
    </row>
    <row r="1097" spans="1:7" x14ac:dyDescent="0.25">
      <c r="A1097" s="1133">
        <v>5</v>
      </c>
      <c r="B1097" s="1134" t="s">
        <v>1079</v>
      </c>
      <c r="C1097" s="1135" t="s">
        <v>1078</v>
      </c>
      <c r="D1097" s="1142">
        <v>0</v>
      </c>
      <c r="E1097" s="1136">
        <f>+F1092</f>
        <v>38162.544169611312</v>
      </c>
      <c r="F1097" s="1136">
        <f>+E1097*D1097</f>
        <v>0</v>
      </c>
      <c r="G1097" s="1140"/>
    </row>
    <row r="1098" spans="1:7" x14ac:dyDescent="0.25">
      <c r="A1098" s="1133">
        <v>6</v>
      </c>
      <c r="B1098" s="1134" t="s">
        <v>1193</v>
      </c>
      <c r="C1098" s="1135" t="s">
        <v>1078</v>
      </c>
      <c r="D1098" s="1142">
        <v>0.05</v>
      </c>
      <c r="E1098" s="1136">
        <f>+F1092</f>
        <v>38162.544169611312</v>
      </c>
      <c r="F1098" s="1136">
        <f>+E1098*D1098</f>
        <v>1908.1272084805657</v>
      </c>
      <c r="G1098" s="1140"/>
    </row>
    <row r="1099" spans="1:7" x14ac:dyDescent="0.25">
      <c r="A1099" s="1127" t="s">
        <v>1065</v>
      </c>
      <c r="B1099" s="1128"/>
      <c r="C1099" s="1129"/>
      <c r="D1099" s="1130"/>
      <c r="E1099" s="1130"/>
      <c r="F1099" s="1130"/>
      <c r="G1099" s="1131"/>
    </row>
    <row r="1100" spans="1:7" x14ac:dyDescent="0.25">
      <c r="A1100" s="1114"/>
      <c r="B1100" s="1115" t="s">
        <v>1080</v>
      </c>
      <c r="C1100" s="1115"/>
      <c r="D1100" s="1132"/>
      <c r="E1100" s="1132"/>
      <c r="F1100" s="1132">
        <f>SUM(F1096:F1099)</f>
        <v>1908.1272084805657</v>
      </c>
      <c r="G1100" s="1116"/>
    </row>
    <row r="1101" spans="1:7" x14ac:dyDescent="0.25">
      <c r="A1101" s="1108"/>
      <c r="B1101" s="1109"/>
      <c r="C1101" s="1110"/>
      <c r="D1101" s="1109"/>
      <c r="E1101" s="1109"/>
      <c r="F1101" s="1109"/>
      <c r="G1101" s="1111"/>
    </row>
    <row r="1102" spans="1:7" x14ac:dyDescent="0.25">
      <c r="A1102" s="1143"/>
      <c r="B1102" s="1144" t="s">
        <v>1081</v>
      </c>
      <c r="C1102" s="1458" t="s">
        <v>1082</v>
      </c>
      <c r="D1102" s="1458"/>
      <c r="E1102" s="1144"/>
      <c r="F1102" s="1145">
        <f>+F1100+F1092+F1086+F1080</f>
        <v>52070.67137809188</v>
      </c>
      <c r="G1102" s="1146"/>
    </row>
    <row r="1103" spans="1:7" x14ac:dyDescent="0.25">
      <c r="A1103" s="1108"/>
      <c r="B1103" s="1109"/>
      <c r="C1103" s="1110"/>
      <c r="D1103" s="1109"/>
      <c r="E1103" s="1109"/>
      <c r="F1103" s="1147"/>
      <c r="G1103" s="1111"/>
    </row>
    <row r="1104" spans="1:7" x14ac:dyDescent="0.25">
      <c r="A1104" s="1143"/>
      <c r="B1104" s="1144" t="s">
        <v>1083</v>
      </c>
      <c r="C1104" s="1458">
        <v>0</v>
      </c>
      <c r="D1104" s="1458" t="s">
        <v>1084</v>
      </c>
      <c r="E1104" s="1144"/>
      <c r="F1104" s="1145"/>
      <c r="G1104" s="1146"/>
    </row>
    <row r="1105" spans="1:7" x14ac:dyDescent="0.25">
      <c r="A1105" s="1108"/>
      <c r="B1105" s="1109"/>
      <c r="C1105" s="1110"/>
      <c r="D1105" s="1109"/>
      <c r="E1105" s="1109"/>
      <c r="F1105" s="1147"/>
      <c r="G1105" s="1111"/>
    </row>
    <row r="1106" spans="1:7" x14ac:dyDescent="0.25">
      <c r="A1106" s="1143"/>
      <c r="B1106" s="1144" t="s">
        <v>1085</v>
      </c>
      <c r="C1106" s="1458" t="s">
        <v>1086</v>
      </c>
      <c r="D1106" s="1458"/>
      <c r="E1106" s="1144"/>
      <c r="F1106" s="1145">
        <f>+F1102+F1104</f>
        <v>52070.67137809188</v>
      </c>
      <c r="G1106" s="1146"/>
    </row>
    <row r="1107" spans="1:7" x14ac:dyDescent="0.25">
      <c r="A1107" s="1108"/>
      <c r="B1107" s="1109"/>
      <c r="C1107" s="1110"/>
      <c r="D1107" s="1109"/>
      <c r="E1107" s="1109"/>
      <c r="F1107" s="1147"/>
      <c r="G1107" s="1111"/>
    </row>
    <row r="1108" spans="1:7" x14ac:dyDescent="0.25">
      <c r="A1108" s="1143"/>
      <c r="B1108" s="1144" t="s">
        <v>1087</v>
      </c>
      <c r="C1108" s="1459" t="s">
        <v>1112</v>
      </c>
      <c r="D1108" s="1459">
        <v>10</v>
      </c>
      <c r="E1108" s="1148">
        <f>+C1073</f>
        <v>10</v>
      </c>
      <c r="F1108" s="1145">
        <f>+F1106/E1108</f>
        <v>5207.0671378091884</v>
      </c>
      <c r="G1108" s="1146"/>
    </row>
    <row r="1109" spans="1:7" x14ac:dyDescent="0.25">
      <c r="A1109" s="1108"/>
      <c r="B1109" s="1109"/>
      <c r="C1109" s="1149"/>
      <c r="D1109" s="1149"/>
      <c r="E1109" s="1150"/>
      <c r="F1109" s="1147"/>
      <c r="G1109" s="1111"/>
    </row>
    <row r="1110" spans="1:7" ht="12.6" thickBot="1" x14ac:dyDescent="0.3">
      <c r="A1110" s="1151"/>
      <c r="B1110" s="1152" t="s">
        <v>1089</v>
      </c>
      <c r="C1110" s="1457" t="s">
        <v>1113</v>
      </c>
      <c r="D1110" s="1457"/>
      <c r="E1110" s="1153" t="str">
        <f>+D1073</f>
        <v>m3</v>
      </c>
      <c r="F1110" s="1154">
        <f>+F1108</f>
        <v>5207.0671378091884</v>
      </c>
      <c r="G1110" s="1155"/>
    </row>
  </sheetData>
  <mergeCells count="150">
    <mergeCell ref="C941:D941"/>
    <mergeCell ref="C943:D943"/>
    <mergeCell ref="C977:D977"/>
    <mergeCell ref="C979:D979"/>
    <mergeCell ref="C981:D981"/>
    <mergeCell ref="C983:D983"/>
    <mergeCell ref="C1069:D1069"/>
    <mergeCell ref="C1102:D1102"/>
    <mergeCell ref="C1104:D1104"/>
    <mergeCell ref="C1106:D1106"/>
    <mergeCell ref="C1108:D1108"/>
    <mergeCell ref="C1110:D1110"/>
    <mergeCell ref="C898:D898"/>
    <mergeCell ref="C900:D900"/>
    <mergeCell ref="C1061:D1061"/>
    <mergeCell ref="C1063:D1063"/>
    <mergeCell ref="C1065:D1065"/>
    <mergeCell ref="C1067:D1067"/>
    <mergeCell ref="C904:G904"/>
    <mergeCell ref="C935:D935"/>
    <mergeCell ref="C937:D937"/>
    <mergeCell ref="C939:D939"/>
    <mergeCell ref="C1026:D1026"/>
    <mergeCell ref="C1028:D1028"/>
    <mergeCell ref="C988:G988"/>
    <mergeCell ref="C1020:D1020"/>
    <mergeCell ref="C1022:D1022"/>
    <mergeCell ref="C1024:D1024"/>
    <mergeCell ref="C985:D985"/>
    <mergeCell ref="C945:G945"/>
    <mergeCell ref="C855:D855"/>
    <mergeCell ref="C857:D857"/>
    <mergeCell ref="C861:G861"/>
    <mergeCell ref="C892:D892"/>
    <mergeCell ref="C894:D894"/>
    <mergeCell ref="C896:D896"/>
    <mergeCell ref="C811:D811"/>
    <mergeCell ref="C813:D813"/>
    <mergeCell ref="C815:D815"/>
    <mergeCell ref="C849:D849"/>
    <mergeCell ref="C851:D851"/>
    <mergeCell ref="C853:D853"/>
    <mergeCell ref="C765:D765"/>
    <mergeCell ref="C767:D767"/>
    <mergeCell ref="C769:D769"/>
    <mergeCell ref="C773:G773"/>
    <mergeCell ref="C807:D807"/>
    <mergeCell ref="C809:D809"/>
    <mergeCell ref="C719:D719"/>
    <mergeCell ref="C721:D721"/>
    <mergeCell ref="C723:D723"/>
    <mergeCell ref="C727:G727"/>
    <mergeCell ref="C761:D761"/>
    <mergeCell ref="C763:D763"/>
    <mergeCell ref="C675:D675"/>
    <mergeCell ref="C677:D677"/>
    <mergeCell ref="C679:D679"/>
    <mergeCell ref="C683:G683"/>
    <mergeCell ref="C715:D715"/>
    <mergeCell ref="C717:D717"/>
    <mergeCell ref="C629:D629"/>
    <mergeCell ref="C631:D631"/>
    <mergeCell ref="C633:D633"/>
    <mergeCell ref="C637:G637"/>
    <mergeCell ref="C671:D671"/>
    <mergeCell ref="C673:D673"/>
    <mergeCell ref="C585:D585"/>
    <mergeCell ref="C587:D587"/>
    <mergeCell ref="C589:D589"/>
    <mergeCell ref="C593:G593"/>
    <mergeCell ref="C625:D625"/>
    <mergeCell ref="C627:D627"/>
    <mergeCell ref="C539:D539"/>
    <mergeCell ref="C541:D541"/>
    <mergeCell ref="C543:D543"/>
    <mergeCell ref="C547:G547"/>
    <mergeCell ref="C581:D581"/>
    <mergeCell ref="C583:D583"/>
    <mergeCell ref="C496:D496"/>
    <mergeCell ref="C498:D498"/>
    <mergeCell ref="C500:D500"/>
    <mergeCell ref="C504:G504"/>
    <mergeCell ref="C535:D535"/>
    <mergeCell ref="C537:D537"/>
    <mergeCell ref="C451:D451"/>
    <mergeCell ref="C453:D453"/>
    <mergeCell ref="C455:D455"/>
    <mergeCell ref="C459:G459"/>
    <mergeCell ref="C492:D492"/>
    <mergeCell ref="C494:D494"/>
    <mergeCell ref="C406:D406"/>
    <mergeCell ref="C408:D408"/>
    <mergeCell ref="C410:D410"/>
    <mergeCell ref="C414:G414"/>
    <mergeCell ref="C447:D447"/>
    <mergeCell ref="C449:D449"/>
    <mergeCell ref="C365:D365"/>
    <mergeCell ref="C367:D367"/>
    <mergeCell ref="C369:D369"/>
    <mergeCell ref="C371:D371"/>
    <mergeCell ref="C402:D402"/>
    <mergeCell ref="C404:D404"/>
    <mergeCell ref="C324:D324"/>
    <mergeCell ref="C326:D326"/>
    <mergeCell ref="C328:D328"/>
    <mergeCell ref="C330:D330"/>
    <mergeCell ref="C332:D332"/>
    <mergeCell ref="C363:D363"/>
    <mergeCell ref="C249:D249"/>
    <mergeCell ref="C280:D280"/>
    <mergeCell ref="C282:D282"/>
    <mergeCell ref="C284:D284"/>
    <mergeCell ref="C286:D286"/>
    <mergeCell ref="C288:D288"/>
    <mergeCell ref="C202:D202"/>
    <mergeCell ref="C204:D204"/>
    <mergeCell ref="C241:D241"/>
    <mergeCell ref="C243:D243"/>
    <mergeCell ref="C245:D245"/>
    <mergeCell ref="C247:D247"/>
    <mergeCell ref="C158:D158"/>
    <mergeCell ref="C160:D160"/>
    <mergeCell ref="C163:E163"/>
    <mergeCell ref="C196:D196"/>
    <mergeCell ref="C198:D198"/>
    <mergeCell ref="C200:D200"/>
    <mergeCell ref="C114:D114"/>
    <mergeCell ref="C116:D116"/>
    <mergeCell ref="C119:E119"/>
    <mergeCell ref="C152:D152"/>
    <mergeCell ref="C154:D154"/>
    <mergeCell ref="C156:D156"/>
    <mergeCell ref="A71:E71"/>
    <mergeCell ref="A72:E72"/>
    <mergeCell ref="C75:E75"/>
    <mergeCell ref="C108:D108"/>
    <mergeCell ref="C110:D110"/>
    <mergeCell ref="C112:D112"/>
    <mergeCell ref="C51:D51"/>
    <mergeCell ref="C53:D53"/>
    <mergeCell ref="C55:D55"/>
    <mergeCell ref="C57:D57"/>
    <mergeCell ref="A59:G59"/>
    <mergeCell ref="A62:B62"/>
    <mergeCell ref="A1:G1"/>
    <mergeCell ref="A4:B4"/>
    <mergeCell ref="A13:E13"/>
    <mergeCell ref="A14:E14"/>
    <mergeCell ref="C17:E17"/>
    <mergeCell ref="C49:D49"/>
  </mergeCells>
  <pageMargins left="0.7" right="0.7" top="0.75" bottom="0.75" header="0.3" footer="0.3"/>
  <pageSetup orientation="portrait" verticalDpi="0" r:id="rId1"/>
  <rowBreaks count="24" manualBreakCount="24">
    <brk id="57" max="16383" man="1"/>
    <brk id="116" max="16383" man="1"/>
    <brk id="160" max="16383" man="1"/>
    <brk id="204" max="16383" man="1"/>
    <brk id="249" max="6" man="1"/>
    <brk id="288" max="6" man="1"/>
    <brk id="332" max="6" man="1"/>
    <brk id="371" max="6" man="1"/>
    <brk id="410" max="6" man="1"/>
    <brk id="455" max="6" man="1"/>
    <brk id="500" max="6" man="1"/>
    <brk id="543" max="6" man="1"/>
    <brk id="589" max="6" man="1"/>
    <brk id="633" max="6" man="1"/>
    <brk id="679" max="6" man="1"/>
    <brk id="723" max="6" man="1"/>
    <brk id="769" max="6" man="1"/>
    <brk id="815" max="6" man="1"/>
    <brk id="857" max="6" man="1"/>
    <brk id="900" max="6" man="1"/>
    <brk id="943" max="6" man="1"/>
    <brk id="985" max="6" man="1"/>
    <brk id="1028" max="6" man="1"/>
    <brk id="1069" max="6"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F0"/>
  </sheetPr>
  <dimension ref="A1:Q30"/>
  <sheetViews>
    <sheetView view="pageBreakPreview" topLeftCell="A7" zoomScale="85" zoomScaleNormal="85" zoomScaleSheetLayoutView="85" workbookViewId="0">
      <selection activeCell="H31" sqref="H31"/>
    </sheetView>
  </sheetViews>
  <sheetFormatPr defaultColWidth="9.21875" defaultRowHeight="13.8" x14ac:dyDescent="0.25"/>
  <cols>
    <col min="1" max="1" width="7.5546875" style="7" customWidth="1"/>
    <col min="2" max="2" width="52.21875" style="6" customWidth="1"/>
    <col min="3" max="3" width="8" style="8" customWidth="1"/>
    <col min="4" max="4" width="6.6640625" style="7" customWidth="1"/>
    <col min="5" max="6" width="10.6640625" style="1181" customWidth="1"/>
    <col min="7" max="7" width="10.44140625" style="34" bestFit="1" customWidth="1"/>
    <col min="8" max="8" width="12.6640625" style="8" bestFit="1" customWidth="1"/>
    <col min="9" max="13" width="12.6640625" style="8" customWidth="1"/>
    <col min="14" max="17" width="11.6640625" style="8" customWidth="1"/>
    <col min="18" max="18" width="12.6640625" style="4" bestFit="1" customWidth="1"/>
    <col min="19" max="19" width="12.44140625" style="4" bestFit="1" customWidth="1"/>
    <col min="20" max="20" width="11.6640625" style="4" bestFit="1" customWidth="1"/>
    <col min="21" max="21" width="12.6640625" style="4" bestFit="1" customWidth="1"/>
    <col min="22" max="23" width="12.88671875" style="4" bestFit="1" customWidth="1"/>
    <col min="24" max="25" width="11.6640625" style="4" bestFit="1" customWidth="1"/>
    <col min="26" max="16384" width="9.21875" style="4"/>
  </cols>
  <sheetData>
    <row r="1" spans="1:17" s="3" customFormat="1" ht="14.4" thickBot="1" x14ac:dyDescent="0.3">
      <c r="A1" s="9" t="s">
        <v>0</v>
      </c>
      <c r="B1" s="10" t="s">
        <v>1</v>
      </c>
      <c r="C1" s="11" t="s">
        <v>2</v>
      </c>
      <c r="D1" s="12" t="s">
        <v>3</v>
      </c>
      <c r="E1" s="1176" t="s">
        <v>1238</v>
      </c>
      <c r="F1" s="1176" t="s">
        <v>1239</v>
      </c>
      <c r="G1" s="30" t="s">
        <v>4</v>
      </c>
      <c r="H1" s="13" t="s">
        <v>5</v>
      </c>
      <c r="I1" s="38">
        <f>+summary!D12</f>
        <v>0.75</v>
      </c>
      <c r="J1" s="38"/>
      <c r="K1" s="38"/>
      <c r="L1" s="38"/>
      <c r="M1" s="38"/>
      <c r="N1" s="38"/>
      <c r="O1" s="38"/>
      <c r="P1" s="38"/>
      <c r="Q1" s="38"/>
    </row>
    <row r="2" spans="1:17" s="3" customFormat="1" ht="16.2" thickBot="1" x14ac:dyDescent="0.3">
      <c r="A2" s="656"/>
      <c r="B2" s="114" t="s">
        <v>194</v>
      </c>
      <c r="C2" s="115"/>
      <c r="D2" s="116"/>
      <c r="E2" s="1177"/>
      <c r="F2" s="1177"/>
      <c r="G2" s="117"/>
      <c r="H2" s="540"/>
      <c r="I2" s="8"/>
      <c r="J2" s="8"/>
      <c r="K2" s="8"/>
      <c r="L2" s="8"/>
      <c r="M2" s="8"/>
      <c r="N2" s="8"/>
      <c r="O2" s="8"/>
      <c r="P2" s="8"/>
      <c r="Q2" s="8"/>
    </row>
    <row r="3" spans="1:17" s="3" customFormat="1" ht="15.6" x14ac:dyDescent="0.25">
      <c r="A3" s="720" t="s">
        <v>160</v>
      </c>
      <c r="B3" s="103" t="s">
        <v>169</v>
      </c>
      <c r="C3" s="104"/>
      <c r="D3" s="36"/>
      <c r="E3" s="1178"/>
      <c r="F3" s="1178"/>
      <c r="G3" s="75"/>
      <c r="H3" s="541"/>
      <c r="I3" s="8"/>
      <c r="J3" s="8"/>
      <c r="K3" s="8"/>
      <c r="L3" s="8"/>
      <c r="M3" s="8"/>
      <c r="N3" s="8"/>
      <c r="O3" s="8"/>
      <c r="P3" s="8"/>
      <c r="Q3" s="8"/>
    </row>
    <row r="4" spans="1:17" s="3" customFormat="1" ht="15.6" x14ac:dyDescent="0.25">
      <c r="A4" s="149">
        <v>1</v>
      </c>
      <c r="B4" s="118" t="s">
        <v>90</v>
      </c>
      <c r="C4" s="104"/>
      <c r="D4" s="36"/>
      <c r="E4" s="1178"/>
      <c r="F4" s="1178"/>
      <c r="G4" s="75"/>
      <c r="H4" s="541"/>
      <c r="I4" s="8"/>
      <c r="J4" s="8"/>
      <c r="K4" s="8"/>
      <c r="L4" s="8"/>
      <c r="M4" s="8"/>
      <c r="N4" s="8"/>
      <c r="O4" s="8"/>
      <c r="P4" s="8"/>
      <c r="Q4" s="8"/>
    </row>
    <row r="5" spans="1:17" s="3" customFormat="1" ht="15.6" x14ac:dyDescent="0.25">
      <c r="A5" s="149"/>
      <c r="B5" s="119" t="s">
        <v>185</v>
      </c>
      <c r="C5" s="104"/>
      <c r="D5" s="36"/>
      <c r="E5" s="1178"/>
      <c r="F5" s="1178"/>
      <c r="G5" s="75"/>
      <c r="H5" s="541"/>
      <c r="I5" s="8"/>
      <c r="J5" s="8"/>
      <c r="K5" s="8"/>
      <c r="L5" s="8"/>
      <c r="M5" s="8"/>
      <c r="N5" s="8"/>
      <c r="O5" s="8"/>
      <c r="P5" s="8"/>
      <c r="Q5" s="8"/>
    </row>
    <row r="6" spans="1:17" s="3" customFormat="1" ht="15.6" x14ac:dyDescent="0.25">
      <c r="A6" s="149"/>
      <c r="B6" s="119" t="s">
        <v>186</v>
      </c>
      <c r="C6" s="104"/>
      <c r="D6" s="36"/>
      <c r="E6" s="1178"/>
      <c r="F6" s="1178"/>
      <c r="G6" s="75"/>
      <c r="H6" s="541"/>
      <c r="I6" s="8"/>
      <c r="J6" s="8"/>
      <c r="K6" s="8"/>
      <c r="L6" s="8"/>
      <c r="M6" s="8"/>
      <c r="N6" s="8"/>
      <c r="O6" s="8"/>
      <c r="P6" s="8"/>
      <c r="Q6" s="8"/>
    </row>
    <row r="7" spans="1:17" s="3" customFormat="1" ht="15.6" x14ac:dyDescent="0.25">
      <c r="A7" s="149"/>
      <c r="B7" s="119" t="s">
        <v>187</v>
      </c>
      <c r="C7" s="104"/>
      <c r="D7" s="36"/>
      <c r="E7" s="1178"/>
      <c r="F7" s="1178"/>
      <c r="G7" s="75"/>
      <c r="H7" s="541"/>
      <c r="I7" s="8"/>
      <c r="J7" s="8"/>
      <c r="K7" s="8"/>
      <c r="L7" s="8"/>
      <c r="M7" s="8"/>
      <c r="N7" s="8"/>
      <c r="O7" s="8"/>
      <c r="P7" s="8"/>
      <c r="Q7" s="8"/>
    </row>
    <row r="8" spans="1:17" s="3" customFormat="1" ht="15.6" x14ac:dyDescent="0.25">
      <c r="A8" s="149"/>
      <c r="B8" s="119" t="s">
        <v>188</v>
      </c>
      <c r="C8" s="104"/>
      <c r="D8" s="36"/>
      <c r="E8" s="1178"/>
      <c r="F8" s="1178"/>
      <c r="G8" s="75"/>
      <c r="H8" s="541"/>
      <c r="I8" s="8"/>
      <c r="J8" s="8"/>
      <c r="K8" s="8"/>
      <c r="L8" s="8"/>
      <c r="M8" s="8"/>
      <c r="N8" s="8"/>
      <c r="O8" s="8"/>
      <c r="P8" s="8"/>
      <c r="Q8" s="8"/>
    </row>
    <row r="9" spans="1:17" s="3" customFormat="1" ht="10.8" customHeight="1" x14ac:dyDescent="0.25">
      <c r="A9" s="149"/>
      <c r="B9" s="103"/>
      <c r="C9" s="104"/>
      <c r="D9" s="36"/>
      <c r="E9" s="1178"/>
      <c r="F9" s="1178"/>
      <c r="G9" s="75"/>
      <c r="H9" s="541"/>
      <c r="I9" s="8"/>
      <c r="J9" s="8"/>
      <c r="K9" s="8"/>
      <c r="L9" s="8"/>
      <c r="M9" s="8"/>
      <c r="N9" s="8"/>
      <c r="O9" s="8"/>
      <c r="P9" s="8"/>
      <c r="Q9" s="8"/>
    </row>
    <row r="10" spans="1:17" s="3" customFormat="1" ht="15.6" x14ac:dyDescent="0.25">
      <c r="A10" s="149"/>
      <c r="B10" s="119" t="s">
        <v>195</v>
      </c>
      <c r="C10" s="104"/>
      <c r="D10" s="36"/>
      <c r="E10" s="1178"/>
      <c r="F10" s="1178"/>
      <c r="G10" s="75"/>
      <c r="H10" s="541"/>
      <c r="I10" s="8"/>
      <c r="J10" s="8"/>
      <c r="K10" s="8"/>
      <c r="L10" s="8"/>
      <c r="M10" s="8"/>
      <c r="N10" s="8"/>
      <c r="O10" s="8"/>
      <c r="P10" s="8"/>
      <c r="Q10" s="8"/>
    </row>
    <row r="11" spans="1:17" s="3" customFormat="1" ht="28.8" customHeight="1" x14ac:dyDescent="0.25">
      <c r="A11" s="149">
        <f>A4+0.01</f>
        <v>1.01</v>
      </c>
      <c r="B11" s="100" t="s">
        <v>754</v>
      </c>
      <c r="C11" s="101">
        <f>'m shet Mr Ratheshon'!N30</f>
        <v>221</v>
      </c>
      <c r="D11" s="87" t="s">
        <v>577</v>
      </c>
      <c r="E11" s="1188">
        <f>+'Rate Breakdowns'!G669</f>
        <v>5906.8083961248658</v>
      </c>
      <c r="F11" s="1182">
        <f>+$I$1</f>
        <v>0.75</v>
      </c>
      <c r="G11" s="1183">
        <f>ROUNDUP(E11/F11,-1)</f>
        <v>7880</v>
      </c>
      <c r="H11" s="1184">
        <f>+G11*C11</f>
        <v>1741480</v>
      </c>
      <c r="I11" s="1231"/>
      <c r="J11" s="1231"/>
      <c r="K11" s="1231"/>
      <c r="L11" s="1231"/>
      <c r="M11" s="1231"/>
      <c r="N11" s="1231"/>
      <c r="O11" s="1231"/>
      <c r="P11" s="1231"/>
      <c r="Q11" s="1231"/>
    </row>
    <row r="12" spans="1:17" s="3" customFormat="1" x14ac:dyDescent="0.25">
      <c r="A12" s="149"/>
      <c r="B12" s="100"/>
      <c r="C12" s="101"/>
      <c r="D12" s="87"/>
      <c r="E12" s="1188"/>
      <c r="F12" s="1188"/>
      <c r="G12" s="714"/>
      <c r="H12" s="715"/>
      <c r="I12" s="1231"/>
      <c r="J12" s="1231"/>
      <c r="K12" s="1231"/>
      <c r="L12" s="1231"/>
      <c r="M12" s="1231"/>
      <c r="N12" s="1231"/>
      <c r="O12" s="1231"/>
      <c r="P12" s="1231"/>
      <c r="Q12" s="1231"/>
    </row>
    <row r="13" spans="1:17" s="3" customFormat="1" ht="27.6" x14ac:dyDescent="0.25">
      <c r="A13" s="149">
        <f>A11+0.01</f>
        <v>1.02</v>
      </c>
      <c r="B13" s="100" t="s">
        <v>755</v>
      </c>
      <c r="C13" s="101">
        <f>'m shet Mr Ratheshon'!N46</f>
        <v>227</v>
      </c>
      <c r="D13" s="87" t="s">
        <v>577</v>
      </c>
      <c r="E13" s="1188">
        <f>+E11*1.05</f>
        <v>6202.1488159311093</v>
      </c>
      <c r="F13" s="1182">
        <f>+$I$1</f>
        <v>0.75</v>
      </c>
      <c r="G13" s="1183">
        <f>ROUNDUP(E13/F13,-1)</f>
        <v>8270</v>
      </c>
      <c r="H13" s="1184">
        <f>+G13*C13</f>
        <v>1877290</v>
      </c>
      <c r="I13" s="1231"/>
      <c r="J13" s="1231"/>
      <c r="K13" s="1231"/>
      <c r="L13" s="1231"/>
      <c r="M13" s="1231"/>
      <c r="N13" s="1231"/>
      <c r="O13" s="1231"/>
      <c r="P13" s="1231"/>
      <c r="Q13" s="1231"/>
    </row>
    <row r="14" spans="1:17" s="3" customFormat="1" x14ac:dyDescent="0.25">
      <c r="A14" s="149"/>
      <c r="B14" s="100"/>
      <c r="C14" s="101"/>
      <c r="D14" s="87"/>
      <c r="E14" s="1188"/>
      <c r="F14" s="1188"/>
      <c r="G14" s="714"/>
      <c r="H14" s="715"/>
      <c r="I14" s="1231"/>
      <c r="J14" s="1231"/>
      <c r="K14" s="1231"/>
      <c r="L14" s="1231"/>
      <c r="M14" s="1231"/>
      <c r="N14" s="1231"/>
      <c r="O14" s="1231"/>
      <c r="P14" s="1231"/>
      <c r="Q14" s="1231"/>
    </row>
    <row r="15" spans="1:17" s="3" customFormat="1" ht="27.6" x14ac:dyDescent="0.25">
      <c r="A15" s="149">
        <f>A13+0.01</f>
        <v>1.03</v>
      </c>
      <c r="B15" s="100" t="s">
        <v>778</v>
      </c>
      <c r="C15" s="101">
        <f>'m shet Mr Ratheshon'!N53</f>
        <v>58</v>
      </c>
      <c r="D15" s="87" t="s">
        <v>577</v>
      </c>
      <c r="E15" s="1188">
        <f>+E11*1.1</f>
        <v>6497.4892357373528</v>
      </c>
      <c r="F15" s="1182">
        <f>+$I$1</f>
        <v>0.75</v>
      </c>
      <c r="G15" s="1183">
        <f>ROUNDUP(E15/F15,-1)</f>
        <v>8670</v>
      </c>
      <c r="H15" s="1184">
        <f>+G15*C15</f>
        <v>502860</v>
      </c>
      <c r="I15" s="1231"/>
      <c r="J15" s="1231"/>
      <c r="K15" s="1231"/>
      <c r="L15" s="1231"/>
      <c r="M15" s="1231"/>
      <c r="N15" s="1231"/>
      <c r="O15" s="1231"/>
      <c r="P15" s="1231"/>
      <c r="Q15" s="1231"/>
    </row>
    <row r="16" spans="1:17" s="3" customFormat="1" x14ac:dyDescent="0.25">
      <c r="A16" s="149"/>
      <c r="B16" s="1413"/>
      <c r="C16" s="101"/>
      <c r="D16" s="87"/>
      <c r="E16" s="1188"/>
      <c r="F16" s="1188"/>
      <c r="G16" s="714"/>
      <c r="H16" s="715"/>
      <c r="I16" s="1231"/>
      <c r="J16" s="1231"/>
      <c r="K16" s="1231"/>
      <c r="L16" s="1231"/>
      <c r="M16" s="1231"/>
      <c r="N16" s="1231"/>
      <c r="O16" s="1231"/>
      <c r="P16" s="1231"/>
      <c r="Q16" s="1231"/>
    </row>
    <row r="17" spans="1:17" s="3" customFormat="1" x14ac:dyDescent="0.25">
      <c r="A17" s="149"/>
      <c r="B17" s="171" t="s">
        <v>822</v>
      </c>
      <c r="C17" s="101"/>
      <c r="D17" s="87"/>
      <c r="E17" s="1188"/>
      <c r="F17" s="1188"/>
      <c r="G17" s="714"/>
      <c r="H17" s="715"/>
      <c r="I17" s="1231"/>
      <c r="J17" s="1231"/>
      <c r="K17" s="1231"/>
      <c r="L17" s="1231"/>
      <c r="M17" s="1231"/>
      <c r="N17" s="1231"/>
      <c r="O17" s="1231"/>
      <c r="P17" s="1231"/>
      <c r="Q17" s="1231"/>
    </row>
    <row r="18" spans="1:17" s="3" customFormat="1" ht="27.6" x14ac:dyDescent="0.25">
      <c r="A18" s="149">
        <f>A15+0.01</f>
        <v>1.04</v>
      </c>
      <c r="B18" s="100" t="s">
        <v>823</v>
      </c>
      <c r="C18" s="101">
        <f>'m shet Mr Ratheshon'!N65</f>
        <v>70</v>
      </c>
      <c r="D18" s="87" t="s">
        <v>577</v>
      </c>
      <c r="E18" s="1188">
        <f>+'Rate Breakdowns'!G696</f>
        <v>4023.0287944025836</v>
      </c>
      <c r="F18" s="1182">
        <f>+$I$1</f>
        <v>0.75</v>
      </c>
      <c r="G18" s="1183">
        <f>ROUNDUP(E18/F18,-1)</f>
        <v>5370</v>
      </c>
      <c r="H18" s="1184">
        <f>+G18*C18</f>
        <v>375900</v>
      </c>
      <c r="I18" s="1231"/>
      <c r="J18" s="1231"/>
      <c r="K18" s="1231"/>
      <c r="L18" s="1231"/>
      <c r="M18" s="1231"/>
      <c r="N18" s="1231"/>
      <c r="O18" s="1231"/>
      <c r="P18" s="1231"/>
      <c r="Q18" s="1231"/>
    </row>
    <row r="19" spans="1:17" s="3" customFormat="1" x14ac:dyDescent="0.25">
      <c r="A19" s="149"/>
      <c r="B19" s="1413"/>
      <c r="C19" s="101"/>
      <c r="D19" s="87"/>
      <c r="E19" s="1188"/>
      <c r="F19" s="1188"/>
      <c r="G19" s="714"/>
      <c r="H19" s="715"/>
      <c r="I19" s="1231"/>
      <c r="J19" s="1231"/>
      <c r="K19" s="1231"/>
      <c r="L19" s="1231"/>
      <c r="M19" s="1231"/>
      <c r="N19" s="1231"/>
      <c r="O19" s="1231"/>
      <c r="P19" s="1231"/>
      <c r="Q19" s="1231"/>
    </row>
    <row r="20" spans="1:17" s="3" customFormat="1" ht="27.6" x14ac:dyDescent="0.25">
      <c r="A20" s="149">
        <f>A18+0.01</f>
        <v>1.05</v>
      </c>
      <c r="B20" s="100" t="s">
        <v>825</v>
      </c>
      <c r="C20" s="101">
        <f>'m shet Mr Ratheshon'!N76</f>
        <v>119</v>
      </c>
      <c r="D20" s="87" t="s">
        <v>577</v>
      </c>
      <c r="E20" s="1188">
        <f>+E18*1.05</f>
        <v>4224.180234122713</v>
      </c>
      <c r="F20" s="1182">
        <f>+$I$1</f>
        <v>0.75</v>
      </c>
      <c r="G20" s="1183">
        <f>ROUNDUP(E20/F20,-1)</f>
        <v>5640</v>
      </c>
      <c r="H20" s="1184">
        <f>+G20*C20</f>
        <v>671160</v>
      </c>
      <c r="I20" s="1231"/>
      <c r="J20" s="1231"/>
      <c r="K20" s="1231"/>
      <c r="L20" s="1231"/>
      <c r="M20" s="1231"/>
      <c r="N20" s="1231"/>
      <c r="O20" s="1231"/>
      <c r="P20" s="1231"/>
      <c r="Q20" s="1231"/>
    </row>
    <row r="21" spans="1:17" s="3" customFormat="1" x14ac:dyDescent="0.25">
      <c r="A21" s="149"/>
      <c r="B21" s="100"/>
      <c r="C21" s="101"/>
      <c r="D21" s="87"/>
      <c r="E21" s="1188"/>
      <c r="F21" s="1188"/>
      <c r="G21" s="714"/>
      <c r="H21" s="715"/>
      <c r="I21" s="1231"/>
      <c r="J21" s="1231"/>
      <c r="K21" s="1231"/>
      <c r="L21" s="1231"/>
      <c r="M21" s="1231"/>
      <c r="N21" s="1231"/>
      <c r="O21" s="1231"/>
      <c r="P21" s="1231"/>
      <c r="Q21" s="1231"/>
    </row>
    <row r="22" spans="1:17" s="3" customFormat="1" ht="27.6" x14ac:dyDescent="0.25">
      <c r="A22" s="149">
        <f>A20+0.01</f>
        <v>1.06</v>
      </c>
      <c r="B22" s="100" t="s">
        <v>827</v>
      </c>
      <c r="C22" s="101">
        <f>'m shet Mr Ratheshon'!N85</f>
        <v>70</v>
      </c>
      <c r="D22" s="87" t="s">
        <v>577</v>
      </c>
      <c r="E22" s="1188">
        <f>+E18*1.1</f>
        <v>4425.3316738428421</v>
      </c>
      <c r="F22" s="1182">
        <f>+$I$1</f>
        <v>0.75</v>
      </c>
      <c r="G22" s="1183">
        <f>ROUNDUP(E22/F22,-1)</f>
        <v>5910</v>
      </c>
      <c r="H22" s="1184">
        <f>+G22*C22</f>
        <v>413700</v>
      </c>
      <c r="I22" s="1231"/>
      <c r="J22" s="1231"/>
      <c r="K22" s="1231"/>
      <c r="L22" s="1231"/>
      <c r="M22" s="1231"/>
      <c r="N22" s="1231"/>
      <c r="O22" s="1231"/>
      <c r="P22" s="1231"/>
      <c r="Q22" s="1231"/>
    </row>
    <row r="23" spans="1:17" s="3" customFormat="1" x14ac:dyDescent="0.25">
      <c r="A23" s="149"/>
      <c r="B23" s="1413"/>
      <c r="C23" s="101"/>
      <c r="D23" s="87"/>
      <c r="E23" s="1188"/>
      <c r="F23" s="1188"/>
      <c r="G23" s="714"/>
      <c r="H23" s="715"/>
      <c r="I23" s="1231"/>
      <c r="J23" s="1231"/>
      <c r="K23" s="1231"/>
      <c r="L23" s="1231"/>
      <c r="M23" s="1231"/>
      <c r="N23" s="1231"/>
      <c r="O23" s="1231"/>
      <c r="P23" s="1231"/>
      <c r="Q23" s="1231"/>
    </row>
    <row r="24" spans="1:17" s="3" customFormat="1" x14ac:dyDescent="0.25">
      <c r="A24" s="149"/>
      <c r="B24" s="171" t="s">
        <v>197</v>
      </c>
      <c r="C24" s="101"/>
      <c r="D24" s="87"/>
      <c r="E24" s="1188"/>
      <c r="F24" s="1188"/>
      <c r="G24" s="714"/>
      <c r="H24" s="715"/>
      <c r="I24" s="1231"/>
      <c r="J24" s="1231"/>
      <c r="K24" s="1231"/>
      <c r="L24" s="1231"/>
      <c r="M24" s="1231"/>
      <c r="N24" s="1231"/>
      <c r="O24" s="1231"/>
      <c r="P24" s="1231"/>
      <c r="Q24" s="1231"/>
    </row>
    <row r="25" spans="1:17" s="3" customFormat="1" ht="27.6" x14ac:dyDescent="0.25">
      <c r="A25" s="149">
        <f>A22+0.01</f>
        <v>1.07</v>
      </c>
      <c r="B25" s="100" t="s">
        <v>820</v>
      </c>
      <c r="C25" s="101">
        <f>'m shet Mr Ratheshon'!N95</f>
        <v>68</v>
      </c>
      <c r="D25" s="87" t="s">
        <v>577</v>
      </c>
      <c r="E25" s="1188">
        <f>+'Rate Breakdowns'!G722</f>
        <v>2960.7649354144241</v>
      </c>
      <c r="F25" s="1182">
        <f>+$I$1</f>
        <v>0.75</v>
      </c>
      <c r="G25" s="1183">
        <f>ROUNDUP(E25/F25,-1)</f>
        <v>3950</v>
      </c>
      <c r="H25" s="1184">
        <f>+G25*C25</f>
        <v>268600</v>
      </c>
      <c r="I25" s="1231"/>
      <c r="J25" s="1231"/>
      <c r="K25" s="1231"/>
      <c r="L25" s="1231"/>
      <c r="M25" s="1231"/>
      <c r="N25" s="1231"/>
      <c r="O25" s="1231"/>
      <c r="P25" s="1231"/>
      <c r="Q25" s="1231"/>
    </row>
    <row r="26" spans="1:17" s="3" customFormat="1" x14ac:dyDescent="0.25">
      <c r="A26" s="149"/>
      <c r="B26" s="100"/>
      <c r="C26" s="101"/>
      <c r="D26" s="87"/>
      <c r="E26" s="1188"/>
      <c r="F26" s="1188"/>
      <c r="G26" s="714"/>
      <c r="H26" s="715"/>
      <c r="I26" s="1231"/>
      <c r="J26" s="1231"/>
      <c r="K26" s="1231"/>
      <c r="L26" s="1231"/>
      <c r="M26" s="1231"/>
      <c r="N26" s="1231"/>
      <c r="O26" s="1231"/>
      <c r="P26" s="1231"/>
      <c r="Q26" s="1231"/>
    </row>
    <row r="27" spans="1:17" s="3" customFormat="1" ht="15.6" x14ac:dyDescent="0.25">
      <c r="A27" s="149"/>
      <c r="B27" s="103" t="s">
        <v>537</v>
      </c>
      <c r="C27" s="104"/>
      <c r="D27" s="87"/>
      <c r="E27" s="1188"/>
      <c r="F27" s="1188"/>
      <c r="G27" s="714"/>
      <c r="H27" s="715"/>
      <c r="I27" s="1231"/>
      <c r="J27" s="1231"/>
      <c r="K27" s="1231"/>
      <c r="L27" s="1231"/>
      <c r="M27" s="1231"/>
      <c r="N27" s="1231"/>
      <c r="O27" s="1231"/>
      <c r="P27" s="1231"/>
      <c r="Q27" s="1231"/>
    </row>
    <row r="28" spans="1:17" s="1414" customFormat="1" ht="27.6" x14ac:dyDescent="0.25">
      <c r="A28" s="149" t="s">
        <v>79</v>
      </c>
      <c r="B28" s="100" t="s">
        <v>336</v>
      </c>
      <c r="C28" s="101">
        <v>80</v>
      </c>
      <c r="D28" s="87" t="s">
        <v>607</v>
      </c>
      <c r="E28" s="1188">
        <f>+'Rate Breakdowns'!G644</f>
        <v>17854.461130742049</v>
      </c>
      <c r="F28" s="1182">
        <f>+$I$1</f>
        <v>0.75</v>
      </c>
      <c r="G28" s="1183">
        <f>ROUNDUP(E28/F28,-1)</f>
        <v>23810</v>
      </c>
      <c r="H28" s="1184">
        <f>+G28*C28</f>
        <v>1904800</v>
      </c>
      <c r="I28" s="1231"/>
      <c r="J28" s="1231"/>
      <c r="K28" s="1231"/>
      <c r="L28" s="1231"/>
      <c r="M28" s="1231"/>
      <c r="N28" s="1231"/>
      <c r="O28" s="1231"/>
      <c r="P28" s="1231"/>
      <c r="Q28" s="1231"/>
    </row>
    <row r="29" spans="1:17" s="6" customFormat="1" ht="14.4" thickBot="1" x14ac:dyDescent="0.3">
      <c r="A29" s="542"/>
      <c r="B29" s="95"/>
      <c r="C29" s="96"/>
      <c r="D29" s="36"/>
      <c r="E29" s="1178"/>
      <c r="F29" s="1178"/>
      <c r="G29" s="75"/>
      <c r="H29" s="541"/>
      <c r="I29" s="8"/>
      <c r="J29" s="8"/>
      <c r="K29" s="8"/>
      <c r="L29" s="8"/>
      <c r="M29" s="8"/>
      <c r="N29" s="8"/>
      <c r="O29" s="8"/>
      <c r="P29" s="8"/>
      <c r="Q29" s="8"/>
    </row>
    <row r="30" spans="1:17" s="3" customFormat="1" ht="14.4" thickBot="1" x14ac:dyDescent="0.3">
      <c r="A30" s="105"/>
      <c r="B30" s="112" t="s">
        <v>219</v>
      </c>
      <c r="C30" s="106"/>
      <c r="D30" s="107"/>
      <c r="E30" s="1180"/>
      <c r="F30" s="1180"/>
      <c r="G30" s="108"/>
      <c r="H30" s="109">
        <f>SUM(H9:H28)</f>
        <v>7755790</v>
      </c>
      <c r="I30" s="39"/>
      <c r="J30" s="39"/>
      <c r="K30" s="39"/>
      <c r="L30" s="39"/>
      <c r="M30" s="39"/>
      <c r="N30" s="39"/>
      <c r="O30" s="39"/>
      <c r="P30" s="39"/>
      <c r="Q30" s="39"/>
    </row>
  </sheetData>
  <pageMargins left="0.5" right="0.5" top="0.25" bottom="0.25" header="0.5" footer="0.5"/>
  <pageSetup scale="88" orientation="portrait" r:id="rId1"/>
  <headerFooter alignWithMargins="0">
    <oddFooter>&amp;C&amp;P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F0"/>
  </sheetPr>
  <dimension ref="A1:M132"/>
  <sheetViews>
    <sheetView view="pageBreakPreview" topLeftCell="A37" zoomScale="98" zoomScaleNormal="85" zoomScaleSheetLayoutView="98" workbookViewId="0">
      <selection activeCell="E128" sqref="E128"/>
    </sheetView>
  </sheetViews>
  <sheetFormatPr defaultColWidth="9.21875" defaultRowHeight="13.8" x14ac:dyDescent="0.25"/>
  <cols>
    <col min="1" max="1" width="5" style="7" bestFit="1" customWidth="1"/>
    <col min="2" max="2" width="52.5546875" style="6" customWidth="1"/>
    <col min="3" max="3" width="7.21875" style="143" bestFit="1" customWidth="1"/>
    <col min="4" max="4" width="5.5546875" style="143" bestFit="1" customWidth="1"/>
    <col min="5" max="5" width="10.33203125" style="1209" bestFit="1" customWidth="1"/>
    <col min="6" max="6" width="7.21875" style="1209" customWidth="1"/>
    <col min="7" max="7" width="13.33203125" style="144" bestFit="1" customWidth="1"/>
    <col min="8" max="8" width="12.88671875" style="143" bestFit="1" customWidth="1"/>
    <col min="9" max="9" width="9.21875" style="4"/>
    <col min="10" max="10" width="88.44140625" style="150" customWidth="1"/>
    <col min="11" max="11" width="10" style="4" bestFit="1" customWidth="1"/>
    <col min="12" max="12" width="11" style="4" bestFit="1" customWidth="1"/>
    <col min="13" max="14" width="12.88671875" style="4" bestFit="1" customWidth="1"/>
    <col min="15" max="15" width="10.33203125" style="4" bestFit="1" customWidth="1"/>
    <col min="16" max="16384" width="9.21875" style="4"/>
  </cols>
  <sheetData>
    <row r="1" spans="1:10" s="3" customFormat="1" ht="14.4" thickBot="1" x14ac:dyDescent="0.3">
      <c r="A1" s="9" t="s">
        <v>0</v>
      </c>
      <c r="B1" s="10" t="s">
        <v>1</v>
      </c>
      <c r="C1" s="553" t="s">
        <v>2</v>
      </c>
      <c r="D1" s="554" t="s">
        <v>3</v>
      </c>
      <c r="E1" s="1176" t="s">
        <v>1238</v>
      </c>
      <c r="F1" s="1176" t="s">
        <v>1239</v>
      </c>
      <c r="G1" s="555" t="s">
        <v>4</v>
      </c>
      <c r="H1" s="556" t="s">
        <v>5</v>
      </c>
      <c r="I1" s="3">
        <f>+summary!D15</f>
        <v>0.75</v>
      </c>
      <c r="J1" s="312"/>
    </row>
    <row r="2" spans="1:10" s="3" customFormat="1" ht="15.6" x14ac:dyDescent="0.25">
      <c r="A2" s="557"/>
      <c r="B2" s="204" t="s">
        <v>227</v>
      </c>
      <c r="C2" s="205"/>
      <c r="D2" s="206"/>
      <c r="E2" s="1245"/>
      <c r="F2" s="1245"/>
      <c r="G2" s="207"/>
      <c r="H2" s="558"/>
      <c r="J2" s="312"/>
    </row>
    <row r="3" spans="1:10" s="3" customFormat="1" ht="15.6" x14ac:dyDescent="0.25">
      <c r="A3" s="559"/>
      <c r="B3" s="208" t="s">
        <v>416</v>
      </c>
      <c r="C3" s="209"/>
      <c r="D3" s="210"/>
      <c r="E3" s="1246"/>
      <c r="F3" s="1246"/>
      <c r="G3" s="211"/>
      <c r="H3" s="560"/>
      <c r="J3" s="312"/>
    </row>
    <row r="4" spans="1:10" s="3" customFormat="1" ht="15.6" x14ac:dyDescent="0.25">
      <c r="A4" s="149"/>
      <c r="B4" s="103" t="s">
        <v>90</v>
      </c>
      <c r="C4" s="212"/>
      <c r="D4" s="87"/>
      <c r="E4" s="1188"/>
      <c r="F4" s="1188"/>
      <c r="G4" s="191"/>
      <c r="H4" s="654"/>
      <c r="J4" s="312"/>
    </row>
    <row r="5" spans="1:10" s="3" customFormat="1" ht="109.2" x14ac:dyDescent="0.25">
      <c r="A5" s="149"/>
      <c r="B5" s="213" t="s">
        <v>441</v>
      </c>
      <c r="C5" s="212"/>
      <c r="D5" s="87"/>
      <c r="E5" s="1188"/>
      <c r="F5" s="1188"/>
      <c r="G5" s="191"/>
      <c r="H5" s="654"/>
      <c r="J5" s="312"/>
    </row>
    <row r="6" spans="1:10" s="3" customFormat="1" ht="15.6" x14ac:dyDescent="0.25">
      <c r="A6" s="149"/>
      <c r="B6" s="1283"/>
      <c r="C6" s="212"/>
      <c r="D6" s="87"/>
      <c r="E6" s="1188"/>
      <c r="F6" s="1188"/>
      <c r="G6" s="191"/>
      <c r="H6" s="654"/>
      <c r="J6" s="312"/>
    </row>
    <row r="7" spans="1:10" s="3" customFormat="1" ht="109.2" x14ac:dyDescent="0.25">
      <c r="A7" s="149"/>
      <c r="B7" s="213" t="s">
        <v>446</v>
      </c>
      <c r="C7" s="212"/>
      <c r="D7" s="87"/>
      <c r="E7" s="1188"/>
      <c r="F7" s="1188"/>
      <c r="G7" s="191"/>
      <c r="H7" s="654"/>
      <c r="J7" s="312"/>
    </row>
    <row r="8" spans="1:10" s="3" customFormat="1" ht="15.6" x14ac:dyDescent="0.25">
      <c r="A8" s="149"/>
      <c r="B8" s="1283"/>
      <c r="C8" s="212"/>
      <c r="D8" s="87"/>
      <c r="E8" s="1188"/>
      <c r="F8" s="1188"/>
      <c r="G8" s="191"/>
      <c r="H8" s="654"/>
      <c r="J8" s="312"/>
    </row>
    <row r="9" spans="1:10" s="3" customFormat="1" ht="46.8" x14ac:dyDescent="0.25">
      <c r="A9" s="149"/>
      <c r="B9" s="213" t="s">
        <v>442</v>
      </c>
      <c r="C9" s="212"/>
      <c r="D9" s="87"/>
      <c r="E9" s="1188"/>
      <c r="F9" s="1188"/>
      <c r="G9" s="191"/>
      <c r="H9" s="654"/>
      <c r="J9" s="312"/>
    </row>
    <row r="10" spans="1:10" s="3" customFormat="1" ht="15.6" x14ac:dyDescent="0.25">
      <c r="A10" s="149"/>
      <c r="B10" s="213" t="s">
        <v>417</v>
      </c>
      <c r="C10" s="212"/>
      <c r="D10" s="87"/>
      <c r="E10" s="1188"/>
      <c r="F10" s="1188"/>
      <c r="G10" s="191"/>
      <c r="H10" s="654"/>
      <c r="J10" s="312"/>
    </row>
    <row r="11" spans="1:10" s="3" customFormat="1" ht="46.8" x14ac:dyDescent="0.25">
      <c r="A11" s="149"/>
      <c r="B11" s="213" t="s">
        <v>418</v>
      </c>
      <c r="C11" s="212"/>
      <c r="D11" s="87"/>
      <c r="E11" s="1188"/>
      <c r="F11" s="1188"/>
      <c r="G11" s="191"/>
      <c r="H11" s="654"/>
      <c r="J11" s="312"/>
    </row>
    <row r="12" spans="1:10" s="3" customFormat="1" ht="31.2" x14ac:dyDescent="0.25">
      <c r="A12" s="149"/>
      <c r="B12" s="213" t="s">
        <v>419</v>
      </c>
      <c r="C12" s="212"/>
      <c r="D12" s="87"/>
      <c r="E12" s="1188"/>
      <c r="F12" s="1188"/>
      <c r="G12" s="191"/>
      <c r="H12" s="654"/>
      <c r="J12" s="312"/>
    </row>
    <row r="13" spans="1:10" s="3" customFormat="1" ht="46.8" x14ac:dyDescent="0.25">
      <c r="A13" s="149"/>
      <c r="B13" s="213" t="s">
        <v>420</v>
      </c>
      <c r="C13" s="212"/>
      <c r="D13" s="87"/>
      <c r="E13" s="1188"/>
      <c r="F13" s="1188"/>
      <c r="G13" s="191"/>
      <c r="H13" s="654"/>
      <c r="J13" s="312"/>
    </row>
    <row r="14" spans="1:10" s="3" customFormat="1" ht="46.8" x14ac:dyDescent="0.25">
      <c r="A14" s="149"/>
      <c r="B14" s="213" t="s">
        <v>421</v>
      </c>
      <c r="C14" s="212"/>
      <c r="D14" s="87"/>
      <c r="E14" s="1188"/>
      <c r="F14" s="1188"/>
      <c r="G14" s="191"/>
      <c r="H14" s="654"/>
      <c r="J14" s="312"/>
    </row>
    <row r="15" spans="1:10" s="3" customFormat="1" ht="62.4" x14ac:dyDescent="0.25">
      <c r="A15" s="149"/>
      <c r="B15" s="213" t="s">
        <v>422</v>
      </c>
      <c r="C15" s="212"/>
      <c r="D15" s="87"/>
      <c r="E15" s="1188"/>
      <c r="F15" s="1188"/>
      <c r="G15" s="191"/>
      <c r="H15" s="654"/>
      <c r="J15" s="312"/>
    </row>
    <row r="16" spans="1:10" s="3" customFormat="1" ht="15.6" x14ac:dyDescent="0.25">
      <c r="A16" s="149"/>
      <c r="B16" s="1283"/>
      <c r="C16" s="212"/>
      <c r="D16" s="87"/>
      <c r="E16" s="1188"/>
      <c r="F16" s="1188"/>
      <c r="G16" s="191"/>
      <c r="H16" s="654"/>
      <c r="J16" s="312"/>
    </row>
    <row r="17" spans="1:10" s="3" customFormat="1" ht="15.6" x14ac:dyDescent="0.25">
      <c r="A17" s="149"/>
      <c r="B17" s="1283" t="s">
        <v>423</v>
      </c>
      <c r="C17" s="212"/>
      <c r="D17" s="87"/>
      <c r="E17" s="1188"/>
      <c r="F17" s="1188"/>
      <c r="G17" s="191"/>
      <c r="H17" s="654"/>
      <c r="J17" s="312"/>
    </row>
    <row r="18" spans="1:10" s="3" customFormat="1" ht="31.2" x14ac:dyDescent="0.25">
      <c r="A18" s="149"/>
      <c r="B18" s="213" t="s">
        <v>424</v>
      </c>
      <c r="C18" s="212"/>
      <c r="D18" s="87"/>
      <c r="E18" s="1188"/>
      <c r="F18" s="1188"/>
      <c r="G18" s="191"/>
      <c r="H18" s="654"/>
      <c r="J18" s="312"/>
    </row>
    <row r="19" spans="1:10" s="3" customFormat="1" ht="78" x14ac:dyDescent="0.25">
      <c r="A19" s="149"/>
      <c r="B19" s="213" t="s">
        <v>447</v>
      </c>
      <c r="C19" s="212"/>
      <c r="D19" s="87"/>
      <c r="E19" s="1188"/>
      <c r="F19" s="1188"/>
      <c r="G19" s="191"/>
      <c r="H19" s="654"/>
      <c r="J19" s="312"/>
    </row>
    <row r="20" spans="1:10" s="3" customFormat="1" ht="16.2" thickBot="1" x14ac:dyDescent="0.3">
      <c r="A20" s="561"/>
      <c r="B20" s="712" t="s">
        <v>425</v>
      </c>
      <c r="C20" s="562"/>
      <c r="D20" s="215"/>
      <c r="E20" s="1247"/>
      <c r="F20" s="1247"/>
      <c r="G20" s="216"/>
      <c r="H20" s="563"/>
      <c r="J20" s="312"/>
    </row>
    <row r="21" spans="1:10" s="3" customFormat="1" ht="46.8" x14ac:dyDescent="0.25">
      <c r="A21" s="148"/>
      <c r="B21" s="1284" t="s">
        <v>448</v>
      </c>
      <c r="C21" s="564"/>
      <c r="D21" s="113"/>
      <c r="E21" s="1248"/>
      <c r="F21" s="1248"/>
      <c r="G21" s="218"/>
      <c r="H21" s="565"/>
      <c r="J21" s="312"/>
    </row>
    <row r="22" spans="1:10" s="3" customFormat="1" ht="31.2" x14ac:dyDescent="0.25">
      <c r="A22" s="149"/>
      <c r="B22" s="213" t="s">
        <v>426</v>
      </c>
      <c r="C22" s="212"/>
      <c r="D22" s="87"/>
      <c r="E22" s="1188"/>
      <c r="F22" s="1188"/>
      <c r="G22" s="191"/>
      <c r="H22" s="654"/>
      <c r="J22" s="312"/>
    </row>
    <row r="23" spans="1:10" s="3" customFormat="1" ht="15.6" x14ac:dyDescent="0.25">
      <c r="A23" s="149"/>
      <c r="B23" s="125"/>
      <c r="C23" s="212"/>
      <c r="D23" s="87"/>
      <c r="E23" s="1188"/>
      <c r="F23" s="1188"/>
      <c r="G23" s="191"/>
      <c r="H23" s="654"/>
      <c r="J23" s="312"/>
    </row>
    <row r="24" spans="1:10" s="3" customFormat="1" ht="140.4" x14ac:dyDescent="0.25">
      <c r="A24" s="149" t="s">
        <v>93</v>
      </c>
      <c r="B24" s="213" t="s">
        <v>759</v>
      </c>
      <c r="C24" s="212"/>
      <c r="D24" s="87"/>
      <c r="E24" s="1188"/>
      <c r="F24" s="1188"/>
      <c r="G24" s="191"/>
      <c r="H24" s="654"/>
      <c r="J24" s="312"/>
    </row>
    <row r="25" spans="1:10" s="3" customFormat="1" ht="15.6" x14ac:dyDescent="0.25">
      <c r="A25" s="149"/>
      <c r="B25" s="213" t="s">
        <v>201</v>
      </c>
      <c r="C25" s="212">
        <v>4</v>
      </c>
      <c r="D25" s="87" t="s">
        <v>26</v>
      </c>
      <c r="E25" s="1188">
        <f>40000+4500</f>
        <v>44500</v>
      </c>
      <c r="F25" s="1182">
        <f>+$I$1</f>
        <v>0.75</v>
      </c>
      <c r="G25" s="1183">
        <f>ROUNDUP(E25/F25,-1)</f>
        <v>59340</v>
      </c>
      <c r="H25" s="1184">
        <f>+G25*C25</f>
        <v>237360</v>
      </c>
      <c r="J25" s="312"/>
    </row>
    <row r="26" spans="1:10" s="3" customFormat="1" ht="15.6" x14ac:dyDescent="0.25">
      <c r="A26" s="149"/>
      <c r="B26" s="213" t="s">
        <v>202</v>
      </c>
      <c r="C26" s="212">
        <v>3</v>
      </c>
      <c r="D26" s="87" t="s">
        <v>26</v>
      </c>
      <c r="E26" s="1188">
        <f>+E25*1.03</f>
        <v>45835</v>
      </c>
      <c r="F26" s="1182">
        <f>+$I$1</f>
        <v>0.75</v>
      </c>
      <c r="G26" s="1183">
        <f>ROUNDUP(E26/F26,-1)</f>
        <v>61120</v>
      </c>
      <c r="H26" s="1184">
        <f>+G26*C26</f>
        <v>183360</v>
      </c>
      <c r="J26" s="312"/>
    </row>
    <row r="27" spans="1:10" s="3" customFormat="1" ht="15.6" x14ac:dyDescent="0.25">
      <c r="A27" s="149"/>
      <c r="B27" s="213" t="s">
        <v>196</v>
      </c>
      <c r="C27" s="212">
        <v>1</v>
      </c>
      <c r="D27" s="87" t="s">
        <v>26</v>
      </c>
      <c r="E27" s="1188">
        <f>+E25*1.06</f>
        <v>47170</v>
      </c>
      <c r="F27" s="1182">
        <f>+$I$1</f>
        <v>0.75</v>
      </c>
      <c r="G27" s="1183">
        <f>ROUNDUP(E27/F27,-1)</f>
        <v>62900</v>
      </c>
      <c r="H27" s="1184">
        <f>+G27*C27</f>
        <v>62900</v>
      </c>
      <c r="J27" s="312"/>
    </row>
    <row r="28" spans="1:10" s="3" customFormat="1" ht="15.6" x14ac:dyDescent="0.25">
      <c r="A28" s="149"/>
      <c r="B28" s="213"/>
      <c r="C28" s="212"/>
      <c r="D28" s="87"/>
      <c r="E28" s="1188"/>
      <c r="F28" s="1188"/>
      <c r="G28" s="191"/>
      <c r="H28" s="654"/>
      <c r="J28" s="312"/>
    </row>
    <row r="29" spans="1:10" s="3" customFormat="1" ht="140.4" x14ac:dyDescent="0.25">
      <c r="A29" s="149" t="s">
        <v>94</v>
      </c>
      <c r="B29" s="213" t="s">
        <v>752</v>
      </c>
      <c r="C29" s="212"/>
      <c r="D29" s="87"/>
      <c r="E29" s="1188"/>
      <c r="F29" s="1188"/>
      <c r="G29" s="191"/>
      <c r="H29" s="654"/>
      <c r="J29" s="312"/>
    </row>
    <row r="30" spans="1:10" s="3" customFormat="1" ht="15.6" x14ac:dyDescent="0.25">
      <c r="A30" s="149"/>
      <c r="B30" s="213" t="s">
        <v>201</v>
      </c>
      <c r="C30" s="212">
        <v>3</v>
      </c>
      <c r="D30" s="87" t="s">
        <v>26</v>
      </c>
      <c r="E30" s="1188">
        <f>60000+4800</f>
        <v>64800</v>
      </c>
      <c r="F30" s="1182">
        <f>+$I$1</f>
        <v>0.75</v>
      </c>
      <c r="G30" s="1183">
        <f>ROUNDUP(E30/F30,-1)</f>
        <v>86400</v>
      </c>
      <c r="H30" s="1184">
        <f>+G30*C30</f>
        <v>259200</v>
      </c>
      <c r="J30" s="312"/>
    </row>
    <row r="31" spans="1:10" s="3" customFormat="1" ht="15.6" x14ac:dyDescent="0.25">
      <c r="A31" s="149"/>
      <c r="B31" s="213" t="s">
        <v>202</v>
      </c>
      <c r="C31" s="212">
        <v>3</v>
      </c>
      <c r="D31" s="87" t="s">
        <v>26</v>
      </c>
      <c r="E31" s="1188">
        <f>+E30*1.03</f>
        <v>66744</v>
      </c>
      <c r="F31" s="1182">
        <f>+$I$1</f>
        <v>0.75</v>
      </c>
      <c r="G31" s="1183">
        <f>ROUNDUP(E31/F31,-1)</f>
        <v>89000</v>
      </c>
      <c r="H31" s="1184">
        <f>+G31*C31</f>
        <v>267000</v>
      </c>
      <c r="J31" s="312"/>
    </row>
    <row r="32" spans="1:10" s="3" customFormat="1" ht="15.6" x14ac:dyDescent="0.25">
      <c r="A32" s="149"/>
      <c r="B32" s="213" t="s">
        <v>196</v>
      </c>
      <c r="C32" s="212">
        <v>1</v>
      </c>
      <c r="D32" s="87" t="s">
        <v>26</v>
      </c>
      <c r="E32" s="1188">
        <f>+E30*1.06</f>
        <v>68688</v>
      </c>
      <c r="F32" s="1182">
        <f>+$I$1</f>
        <v>0.75</v>
      </c>
      <c r="G32" s="1183">
        <f>ROUNDUP(E32/F32,-1)</f>
        <v>91590</v>
      </c>
      <c r="H32" s="1184">
        <f>+G32*C32</f>
        <v>91590</v>
      </c>
      <c r="J32" s="312"/>
    </row>
    <row r="33" spans="1:10" s="3" customFormat="1" ht="15.6" x14ac:dyDescent="0.25">
      <c r="A33" s="149"/>
      <c r="B33" s="103"/>
      <c r="C33" s="212"/>
      <c r="D33" s="87"/>
      <c r="E33" s="1188"/>
      <c r="F33" s="1188"/>
      <c r="G33" s="191"/>
      <c r="H33" s="654"/>
      <c r="J33" s="312"/>
    </row>
    <row r="34" spans="1:10" s="3" customFormat="1" ht="62.4" x14ac:dyDescent="0.25">
      <c r="A34" s="149" t="s">
        <v>95</v>
      </c>
      <c r="B34" s="213" t="s">
        <v>644</v>
      </c>
      <c r="C34" s="212"/>
      <c r="D34" s="87"/>
      <c r="E34" s="1188"/>
      <c r="F34" s="1188"/>
      <c r="G34" s="191"/>
      <c r="H34" s="654"/>
      <c r="J34" s="312"/>
    </row>
    <row r="35" spans="1:10" s="3" customFormat="1" ht="15.6" x14ac:dyDescent="0.25">
      <c r="A35" s="149"/>
      <c r="B35" s="213" t="s">
        <v>201</v>
      </c>
      <c r="C35" s="212">
        <v>4</v>
      </c>
      <c r="D35" s="87" t="s">
        <v>26</v>
      </c>
      <c r="E35" s="1188">
        <f>2500+450</f>
        <v>2950</v>
      </c>
      <c r="F35" s="1182">
        <f>+$I$1</f>
        <v>0.75</v>
      </c>
      <c r="G35" s="1183">
        <f>ROUNDUP(E35/F35,-1)</f>
        <v>3940</v>
      </c>
      <c r="H35" s="1184">
        <f>+G35*C35</f>
        <v>15760</v>
      </c>
      <c r="J35" s="312"/>
    </row>
    <row r="36" spans="1:10" s="3" customFormat="1" ht="15.6" x14ac:dyDescent="0.25">
      <c r="A36" s="149"/>
      <c r="B36" s="213" t="s">
        <v>202</v>
      </c>
      <c r="C36" s="212">
        <v>3</v>
      </c>
      <c r="D36" s="87" t="s">
        <v>26</v>
      </c>
      <c r="E36" s="1188">
        <f>+E35*1.03</f>
        <v>3038.5</v>
      </c>
      <c r="F36" s="1182">
        <f>+$I$1</f>
        <v>0.75</v>
      </c>
      <c r="G36" s="1183">
        <f>ROUNDUP(E36/F36,-1)</f>
        <v>4060</v>
      </c>
      <c r="H36" s="1184">
        <f>+G36*C36</f>
        <v>12180</v>
      </c>
      <c r="J36" s="312"/>
    </row>
    <row r="37" spans="1:10" s="3" customFormat="1" ht="15.6" x14ac:dyDescent="0.25">
      <c r="A37" s="149"/>
      <c r="B37" s="213" t="s">
        <v>196</v>
      </c>
      <c r="C37" s="212">
        <v>1</v>
      </c>
      <c r="D37" s="87" t="s">
        <v>26</v>
      </c>
      <c r="E37" s="1188">
        <f>+E35*1.06</f>
        <v>3127</v>
      </c>
      <c r="F37" s="1182">
        <f>+$I$1</f>
        <v>0.75</v>
      </c>
      <c r="G37" s="1183">
        <f>ROUNDUP(E37/F37,-1)</f>
        <v>4170</v>
      </c>
      <c r="H37" s="1184">
        <f>+G37*C37</f>
        <v>4170</v>
      </c>
      <c r="J37" s="312"/>
    </row>
    <row r="38" spans="1:10" s="3" customFormat="1" ht="15.6" x14ac:dyDescent="0.25">
      <c r="A38" s="149"/>
      <c r="B38" s="213"/>
      <c r="C38" s="212"/>
      <c r="D38" s="87"/>
      <c r="E38" s="1188"/>
      <c r="F38" s="1188"/>
      <c r="G38" s="191"/>
      <c r="H38" s="654"/>
      <c r="J38" s="312"/>
    </row>
    <row r="39" spans="1:10" s="3" customFormat="1" ht="62.4" x14ac:dyDescent="0.25">
      <c r="A39" s="149" t="s">
        <v>96</v>
      </c>
      <c r="B39" s="213" t="s">
        <v>645</v>
      </c>
      <c r="C39" s="212"/>
      <c r="D39" s="87"/>
      <c r="E39" s="1188"/>
      <c r="F39" s="1188"/>
      <c r="G39" s="191"/>
      <c r="H39" s="654"/>
      <c r="J39" s="312"/>
    </row>
    <row r="40" spans="1:10" s="3" customFormat="1" ht="15.6" x14ac:dyDescent="0.25">
      <c r="A40" s="149"/>
      <c r="B40" s="213" t="s">
        <v>201</v>
      </c>
      <c r="C40" s="212">
        <v>3</v>
      </c>
      <c r="D40" s="87" t="s">
        <v>26</v>
      </c>
      <c r="E40" s="1188">
        <f>2500+400</f>
        <v>2900</v>
      </c>
      <c r="F40" s="1182">
        <f>+$I$1</f>
        <v>0.75</v>
      </c>
      <c r="G40" s="1183">
        <f>ROUNDUP(E40/F40,-1)</f>
        <v>3870</v>
      </c>
      <c r="H40" s="1184">
        <f>+G40*C40</f>
        <v>11610</v>
      </c>
      <c r="J40" s="312"/>
    </row>
    <row r="41" spans="1:10" s="3" customFormat="1" ht="15.6" x14ac:dyDescent="0.25">
      <c r="A41" s="149"/>
      <c r="B41" s="213" t="s">
        <v>202</v>
      </c>
      <c r="C41" s="212">
        <v>3</v>
      </c>
      <c r="D41" s="87" t="s">
        <v>26</v>
      </c>
      <c r="E41" s="1188">
        <f>+E40*1.03</f>
        <v>2987</v>
      </c>
      <c r="F41" s="1182">
        <f>+$I$1</f>
        <v>0.75</v>
      </c>
      <c r="G41" s="1183">
        <f>ROUNDUP(E41/F41,-1)</f>
        <v>3990</v>
      </c>
      <c r="H41" s="1184">
        <f>+G41*C41</f>
        <v>11970</v>
      </c>
      <c r="J41" s="312"/>
    </row>
    <row r="42" spans="1:10" s="3" customFormat="1" ht="15.6" x14ac:dyDescent="0.25">
      <c r="A42" s="149"/>
      <c r="B42" s="213" t="s">
        <v>196</v>
      </c>
      <c r="C42" s="212">
        <v>1</v>
      </c>
      <c r="D42" s="87" t="s">
        <v>26</v>
      </c>
      <c r="E42" s="1188">
        <f>+E40*1.06</f>
        <v>3074</v>
      </c>
      <c r="F42" s="1182">
        <f>+$I$1</f>
        <v>0.75</v>
      </c>
      <c r="G42" s="1183">
        <f>ROUNDUP(E42/F42,-1)</f>
        <v>4100</v>
      </c>
      <c r="H42" s="1184">
        <f>+G42*C42</f>
        <v>4100</v>
      </c>
      <c r="J42" s="312"/>
    </row>
    <row r="43" spans="1:10" s="3" customFormat="1" ht="16.2" thickBot="1" x14ac:dyDescent="0.3">
      <c r="A43" s="561"/>
      <c r="B43" s="712"/>
      <c r="C43" s="562"/>
      <c r="D43" s="215"/>
      <c r="E43" s="1247"/>
      <c r="F43" s="1247"/>
      <c r="G43" s="216"/>
      <c r="H43" s="563"/>
      <c r="J43" s="312"/>
    </row>
    <row r="44" spans="1:10" s="3" customFormat="1" ht="62.4" x14ac:dyDescent="0.25">
      <c r="A44" s="149" t="s">
        <v>97</v>
      </c>
      <c r="B44" s="213" t="s">
        <v>646</v>
      </c>
      <c r="C44" s="212"/>
      <c r="D44" s="87"/>
      <c r="E44" s="1188"/>
      <c r="F44" s="1188"/>
      <c r="G44" s="191"/>
      <c r="H44" s="654"/>
      <c r="J44" s="312"/>
    </row>
    <row r="45" spans="1:10" s="3" customFormat="1" ht="15.6" x14ac:dyDescent="0.25">
      <c r="A45" s="149"/>
      <c r="B45" s="213" t="s">
        <v>201</v>
      </c>
      <c r="C45" s="212">
        <v>4</v>
      </c>
      <c r="D45" s="87" t="s">
        <v>26</v>
      </c>
      <c r="E45" s="1188">
        <f>3000+450</f>
        <v>3450</v>
      </c>
      <c r="F45" s="1182">
        <f>+$I$1</f>
        <v>0.75</v>
      </c>
      <c r="G45" s="1183">
        <f>ROUNDUP(E45/F45,-1)</f>
        <v>4600</v>
      </c>
      <c r="H45" s="1184">
        <f>+G45*C45</f>
        <v>18400</v>
      </c>
      <c r="J45" s="312"/>
    </row>
    <row r="46" spans="1:10" s="3" customFormat="1" ht="15.6" x14ac:dyDescent="0.25">
      <c r="A46" s="149"/>
      <c r="B46" s="213" t="s">
        <v>202</v>
      </c>
      <c r="C46" s="212">
        <v>3</v>
      </c>
      <c r="D46" s="87" t="s">
        <v>26</v>
      </c>
      <c r="E46" s="1188">
        <f>+E45*1.03</f>
        <v>3553.5</v>
      </c>
      <c r="F46" s="1182">
        <f>+$I$1</f>
        <v>0.75</v>
      </c>
      <c r="G46" s="1183">
        <f>ROUNDUP(E46/F46,-1)</f>
        <v>4740</v>
      </c>
      <c r="H46" s="1184">
        <f>+G46*C46</f>
        <v>14220</v>
      </c>
      <c r="J46" s="312"/>
    </row>
    <row r="47" spans="1:10" s="3" customFormat="1" ht="15.6" x14ac:dyDescent="0.25">
      <c r="A47" s="149"/>
      <c r="B47" s="213" t="s">
        <v>196</v>
      </c>
      <c r="C47" s="212">
        <v>1</v>
      </c>
      <c r="D47" s="87" t="s">
        <v>26</v>
      </c>
      <c r="E47" s="1188">
        <f>+E45*1.06</f>
        <v>3657</v>
      </c>
      <c r="F47" s="1182">
        <f>+$I$1</f>
        <v>0.75</v>
      </c>
      <c r="G47" s="1183">
        <f>ROUNDUP(E47/F47,-1)</f>
        <v>4880</v>
      </c>
      <c r="H47" s="1184">
        <f>+G47*C47</f>
        <v>4880</v>
      </c>
      <c r="J47" s="312"/>
    </row>
    <row r="48" spans="1:10" s="3" customFormat="1" ht="15.6" x14ac:dyDescent="0.25">
      <c r="A48" s="149"/>
      <c r="B48" s="213"/>
      <c r="C48" s="212"/>
      <c r="D48" s="87"/>
      <c r="E48" s="1188"/>
      <c r="F48" s="1188"/>
      <c r="G48" s="191"/>
      <c r="H48" s="654"/>
      <c r="J48" s="312"/>
    </row>
    <row r="49" spans="1:10" s="3" customFormat="1" ht="46.8" x14ac:dyDescent="0.25">
      <c r="A49" s="149" t="s">
        <v>98</v>
      </c>
      <c r="B49" s="238" t="s">
        <v>760</v>
      </c>
      <c r="C49" s="212"/>
      <c r="D49" s="87"/>
      <c r="E49" s="1188"/>
      <c r="F49" s="1188"/>
      <c r="G49" s="191"/>
      <c r="H49" s="654"/>
      <c r="J49" s="312"/>
    </row>
    <row r="50" spans="1:10" s="3" customFormat="1" ht="15.6" x14ac:dyDescent="0.25">
      <c r="A50" s="149"/>
      <c r="B50" s="213" t="s">
        <v>201</v>
      </c>
      <c r="C50" s="212">
        <v>3</v>
      </c>
      <c r="D50" s="87" t="s">
        <v>26</v>
      </c>
      <c r="E50" s="1188">
        <f>5000+500</f>
        <v>5500</v>
      </c>
      <c r="F50" s="1182">
        <f>+$I$1</f>
        <v>0.75</v>
      </c>
      <c r="G50" s="1183">
        <f>ROUNDUP(E50/F50,-1)</f>
        <v>7340</v>
      </c>
      <c r="H50" s="1184">
        <f>+G50*C50</f>
        <v>22020</v>
      </c>
      <c r="J50" s="312"/>
    </row>
    <row r="51" spans="1:10" s="3" customFormat="1" ht="15.6" x14ac:dyDescent="0.25">
      <c r="A51" s="149"/>
      <c r="B51" s="213" t="s">
        <v>202</v>
      </c>
      <c r="C51" s="212">
        <v>3</v>
      </c>
      <c r="D51" s="87" t="s">
        <v>26</v>
      </c>
      <c r="E51" s="1188">
        <f>+E50*1.03</f>
        <v>5665</v>
      </c>
      <c r="F51" s="1182">
        <f>+$I$1</f>
        <v>0.75</v>
      </c>
      <c r="G51" s="1183">
        <f>ROUNDUP(E51/F51,-1)</f>
        <v>7560</v>
      </c>
      <c r="H51" s="1184">
        <f>+G51*C51</f>
        <v>22680</v>
      </c>
      <c r="J51" s="312"/>
    </row>
    <row r="52" spans="1:10" s="3" customFormat="1" ht="15.6" x14ac:dyDescent="0.25">
      <c r="A52" s="149"/>
      <c r="B52" s="213" t="s">
        <v>196</v>
      </c>
      <c r="C52" s="212">
        <v>1</v>
      </c>
      <c r="D52" s="87" t="s">
        <v>26</v>
      </c>
      <c r="E52" s="1188">
        <f>+E50*1.06</f>
        <v>5830</v>
      </c>
      <c r="F52" s="1182">
        <f>+$I$1</f>
        <v>0.75</v>
      </c>
      <c r="G52" s="1183">
        <f>ROUNDUP(E52/F52,-1)</f>
        <v>7780</v>
      </c>
      <c r="H52" s="1184">
        <f>+G52*C52</f>
        <v>7780</v>
      </c>
      <c r="J52" s="312"/>
    </row>
    <row r="53" spans="1:10" s="3" customFormat="1" ht="15.6" x14ac:dyDescent="0.25">
      <c r="A53" s="149"/>
      <c r="B53" s="213"/>
      <c r="C53" s="212"/>
      <c r="D53" s="87"/>
      <c r="E53" s="1188"/>
      <c r="F53" s="1188"/>
      <c r="G53" s="191"/>
      <c r="H53" s="654"/>
      <c r="J53" s="312"/>
    </row>
    <row r="54" spans="1:10" s="3" customFormat="1" ht="46.8" hidden="1" x14ac:dyDescent="0.25">
      <c r="A54" s="149" t="s">
        <v>100</v>
      </c>
      <c r="B54" s="213" t="s">
        <v>604</v>
      </c>
      <c r="C54" s="212"/>
      <c r="D54" s="87"/>
      <c r="E54" s="1188"/>
      <c r="F54" s="1188"/>
      <c r="G54" s="191"/>
      <c r="H54" s="654"/>
      <c r="J54" s="312"/>
    </row>
    <row r="55" spans="1:10" s="3" customFormat="1" ht="15.6" hidden="1" x14ac:dyDescent="0.25">
      <c r="A55" s="149"/>
      <c r="B55" s="213" t="s">
        <v>201</v>
      </c>
      <c r="C55" s="212"/>
      <c r="D55" s="87" t="s">
        <v>26</v>
      </c>
      <c r="E55" s="1188"/>
      <c r="F55" s="1188"/>
      <c r="G55" s="191"/>
      <c r="H55" s="654"/>
      <c r="J55" s="312"/>
    </row>
    <row r="56" spans="1:10" s="3" customFormat="1" ht="15.6" hidden="1" x14ac:dyDescent="0.25">
      <c r="A56" s="149"/>
      <c r="B56" s="213" t="s">
        <v>202</v>
      </c>
      <c r="C56" s="212"/>
      <c r="D56" s="87" t="s">
        <v>26</v>
      </c>
      <c r="E56" s="1188"/>
      <c r="F56" s="1188"/>
      <c r="G56" s="191"/>
      <c r="H56" s="654"/>
      <c r="J56" s="312"/>
    </row>
    <row r="57" spans="1:10" s="3" customFormat="1" ht="15.6" hidden="1" x14ac:dyDescent="0.25">
      <c r="A57" s="149"/>
      <c r="B57" s="213" t="s">
        <v>633</v>
      </c>
      <c r="C57" s="212"/>
      <c r="D57" s="87" t="s">
        <v>26</v>
      </c>
      <c r="E57" s="1188"/>
      <c r="F57" s="1188"/>
      <c r="G57" s="191"/>
      <c r="H57" s="654"/>
      <c r="J57" s="312"/>
    </row>
    <row r="58" spans="1:10" s="3" customFormat="1" ht="15.6" hidden="1" x14ac:dyDescent="0.25">
      <c r="A58" s="149"/>
      <c r="B58" s="213" t="s">
        <v>634</v>
      </c>
      <c r="C58" s="212"/>
      <c r="D58" s="87" t="s">
        <v>26</v>
      </c>
      <c r="E58" s="1188"/>
      <c r="F58" s="1188"/>
      <c r="G58" s="191"/>
      <c r="H58" s="654"/>
      <c r="J58" s="312"/>
    </row>
    <row r="59" spans="1:10" s="3" customFormat="1" ht="15.6" hidden="1" x14ac:dyDescent="0.25">
      <c r="A59" s="149"/>
      <c r="B59" s="213"/>
      <c r="C59" s="212"/>
      <c r="D59" s="87"/>
      <c r="E59" s="1188"/>
      <c r="F59" s="1188"/>
      <c r="G59" s="191"/>
      <c r="H59" s="654"/>
      <c r="J59" s="312"/>
    </row>
    <row r="60" spans="1:10" s="3" customFormat="1" ht="62.4" x14ac:dyDescent="0.25">
      <c r="A60" s="149" t="s">
        <v>99</v>
      </c>
      <c r="B60" s="213" t="s">
        <v>647</v>
      </c>
      <c r="C60" s="212"/>
      <c r="D60" s="87"/>
      <c r="E60" s="1188"/>
      <c r="F60" s="1188"/>
      <c r="G60" s="191"/>
      <c r="H60" s="654"/>
      <c r="J60" s="312"/>
    </row>
    <row r="61" spans="1:10" s="3" customFormat="1" ht="15.6" x14ac:dyDescent="0.25">
      <c r="A61" s="149"/>
      <c r="B61" s="213" t="s">
        <v>201</v>
      </c>
      <c r="C61" s="212">
        <v>3</v>
      </c>
      <c r="D61" s="87" t="s">
        <v>26</v>
      </c>
      <c r="E61" s="1188">
        <f>6000+550</f>
        <v>6550</v>
      </c>
      <c r="F61" s="1182">
        <f>+$I$1</f>
        <v>0.75</v>
      </c>
      <c r="G61" s="1183">
        <f>ROUNDUP(E61/F61,-1)</f>
        <v>8740</v>
      </c>
      <c r="H61" s="1184">
        <f>+G61*C61</f>
        <v>26220</v>
      </c>
      <c r="J61" s="312"/>
    </row>
    <row r="62" spans="1:10" s="3" customFormat="1" ht="15.6" x14ac:dyDescent="0.25">
      <c r="A62" s="149"/>
      <c r="B62" s="213" t="s">
        <v>202</v>
      </c>
      <c r="C62" s="212">
        <v>3</v>
      </c>
      <c r="D62" s="87" t="s">
        <v>26</v>
      </c>
      <c r="E62" s="1188">
        <f>+E61*1.03</f>
        <v>6746.5</v>
      </c>
      <c r="F62" s="1182">
        <f>+$I$1</f>
        <v>0.75</v>
      </c>
      <c r="G62" s="1183">
        <f>ROUNDUP(E62/F62,-1)</f>
        <v>9000</v>
      </c>
      <c r="H62" s="1184">
        <f>+G62*C62</f>
        <v>27000</v>
      </c>
      <c r="J62" s="312"/>
    </row>
    <row r="63" spans="1:10" s="3" customFormat="1" ht="15.6" x14ac:dyDescent="0.25">
      <c r="A63" s="149"/>
      <c r="B63" s="213" t="s">
        <v>196</v>
      </c>
      <c r="C63" s="212">
        <v>1</v>
      </c>
      <c r="D63" s="87" t="s">
        <v>26</v>
      </c>
      <c r="E63" s="1188">
        <f>+E61*1.06</f>
        <v>6943</v>
      </c>
      <c r="F63" s="1182">
        <f>+$I$1</f>
        <v>0.75</v>
      </c>
      <c r="G63" s="1183">
        <f>ROUNDUP(E63/F63,-1)</f>
        <v>9260</v>
      </c>
      <c r="H63" s="1184">
        <f>+G63*C63</f>
        <v>9260</v>
      </c>
      <c r="J63" s="312"/>
    </row>
    <row r="64" spans="1:10" s="3" customFormat="1" ht="15.6" x14ac:dyDescent="0.25">
      <c r="A64" s="149"/>
      <c r="B64" s="213"/>
      <c r="C64" s="212"/>
      <c r="D64" s="87"/>
      <c r="E64" s="1188"/>
      <c r="F64" s="1188"/>
      <c r="G64" s="191"/>
      <c r="H64" s="654"/>
      <c r="J64" s="312"/>
    </row>
    <row r="65" spans="1:10" s="3" customFormat="1" ht="46.8" x14ac:dyDescent="0.25">
      <c r="A65" s="149" t="s">
        <v>100</v>
      </c>
      <c r="B65" s="213" t="s">
        <v>761</v>
      </c>
      <c r="C65" s="212"/>
      <c r="D65" s="87"/>
      <c r="E65" s="1188"/>
      <c r="F65" s="1188"/>
      <c r="G65" s="191"/>
      <c r="H65" s="654"/>
      <c r="J65" s="312"/>
    </row>
    <row r="66" spans="1:10" s="3" customFormat="1" ht="15.6" x14ac:dyDescent="0.25">
      <c r="A66" s="149"/>
      <c r="B66" s="213" t="s">
        <v>201</v>
      </c>
      <c r="C66" s="212">
        <v>3</v>
      </c>
      <c r="D66" s="87" t="s">
        <v>26</v>
      </c>
      <c r="E66" s="1188">
        <f>5000+550</f>
        <v>5550</v>
      </c>
      <c r="F66" s="1182">
        <f>+$I$1</f>
        <v>0.75</v>
      </c>
      <c r="G66" s="1183">
        <f>ROUNDUP(E66/F66,-1)</f>
        <v>7400</v>
      </c>
      <c r="H66" s="1184">
        <f>+G66*C66</f>
        <v>22200</v>
      </c>
      <c r="J66" s="312"/>
    </row>
    <row r="67" spans="1:10" s="3" customFormat="1" ht="15.6" x14ac:dyDescent="0.25">
      <c r="A67" s="149"/>
      <c r="B67" s="213" t="s">
        <v>202</v>
      </c>
      <c r="C67" s="212">
        <v>3</v>
      </c>
      <c r="D67" s="87" t="s">
        <v>26</v>
      </c>
      <c r="E67" s="1188">
        <f>+E66*1.03</f>
        <v>5716.5</v>
      </c>
      <c r="F67" s="1182">
        <f>+$I$1</f>
        <v>0.75</v>
      </c>
      <c r="G67" s="1183">
        <f>ROUNDUP(E67/F67,-1)</f>
        <v>7630</v>
      </c>
      <c r="H67" s="1184">
        <f>+G67*C67</f>
        <v>22890</v>
      </c>
      <c r="J67" s="312"/>
    </row>
    <row r="68" spans="1:10" s="3" customFormat="1" ht="15.6" x14ac:dyDescent="0.25">
      <c r="A68" s="149"/>
      <c r="B68" s="213" t="s">
        <v>196</v>
      </c>
      <c r="C68" s="212">
        <v>1</v>
      </c>
      <c r="D68" s="87" t="s">
        <v>26</v>
      </c>
      <c r="E68" s="1188">
        <f>+E66*1.06</f>
        <v>5883</v>
      </c>
      <c r="F68" s="1182">
        <f>+$I$1</f>
        <v>0.75</v>
      </c>
      <c r="G68" s="1183">
        <f>ROUNDUP(E68/F68,-1)</f>
        <v>7850</v>
      </c>
      <c r="H68" s="1184">
        <f>+G68*C68</f>
        <v>7850</v>
      </c>
      <c r="J68" s="312"/>
    </row>
    <row r="69" spans="1:10" s="3" customFormat="1" ht="15.6" x14ac:dyDescent="0.25">
      <c r="A69" s="149"/>
      <c r="B69" s="213"/>
      <c r="C69" s="212"/>
      <c r="D69" s="87"/>
      <c r="E69" s="1188"/>
      <c r="F69" s="1188"/>
      <c r="G69" s="191"/>
      <c r="H69" s="654"/>
      <c r="J69" s="312"/>
    </row>
    <row r="70" spans="1:10" s="3" customFormat="1" ht="15.6" x14ac:dyDescent="0.25">
      <c r="A70" s="149"/>
      <c r="B70" s="103" t="s">
        <v>428</v>
      </c>
      <c r="C70" s="212"/>
      <c r="D70" s="87"/>
      <c r="E70" s="1188"/>
      <c r="F70" s="1188"/>
      <c r="G70" s="191"/>
      <c r="H70" s="654"/>
      <c r="J70" s="312"/>
    </row>
    <row r="71" spans="1:10" s="3" customFormat="1" ht="46.8" x14ac:dyDescent="0.25">
      <c r="A71" s="149" t="s">
        <v>101</v>
      </c>
      <c r="B71" s="238" t="s">
        <v>648</v>
      </c>
      <c r="C71" s="212"/>
      <c r="D71" s="87"/>
      <c r="E71" s="1188"/>
      <c r="F71" s="1188"/>
      <c r="G71" s="191"/>
      <c r="H71" s="654"/>
      <c r="J71" s="312"/>
    </row>
    <row r="72" spans="1:10" s="3" customFormat="1" ht="15.6" x14ac:dyDescent="0.25">
      <c r="A72" s="149"/>
      <c r="B72" s="213" t="s">
        <v>201</v>
      </c>
      <c r="C72" s="212">
        <v>6</v>
      </c>
      <c r="D72" s="87" t="s">
        <v>26</v>
      </c>
      <c r="E72" s="1188">
        <f>3500+450</f>
        <v>3950</v>
      </c>
      <c r="F72" s="1182">
        <f>+$I$1</f>
        <v>0.75</v>
      </c>
      <c r="G72" s="1183">
        <f>ROUNDUP(E72/F72,-1)</f>
        <v>5270</v>
      </c>
      <c r="H72" s="1184">
        <f>+G72*C72</f>
        <v>31620</v>
      </c>
      <c r="J72" s="312"/>
    </row>
    <row r="73" spans="1:10" s="3" customFormat="1" ht="15.6" x14ac:dyDescent="0.25">
      <c r="A73" s="149"/>
      <c r="B73" s="213" t="s">
        <v>202</v>
      </c>
      <c r="C73" s="212">
        <v>6</v>
      </c>
      <c r="D73" s="87" t="s">
        <v>26</v>
      </c>
      <c r="E73" s="1188">
        <f>+E72*1.02</f>
        <v>4029</v>
      </c>
      <c r="F73" s="1182">
        <f>+$I$1</f>
        <v>0.75</v>
      </c>
      <c r="G73" s="1183">
        <f>ROUNDUP(E73/F73,-1)</f>
        <v>5380</v>
      </c>
      <c r="H73" s="1184">
        <f>+G73*C73</f>
        <v>32280</v>
      </c>
      <c r="J73" s="312"/>
    </row>
    <row r="74" spans="1:10" s="3" customFormat="1" ht="15.6" x14ac:dyDescent="0.25">
      <c r="A74" s="149"/>
      <c r="B74" s="213" t="s">
        <v>196</v>
      </c>
      <c r="C74" s="212">
        <v>2</v>
      </c>
      <c r="D74" s="87" t="s">
        <v>26</v>
      </c>
      <c r="E74" s="1188">
        <f>+E72*1.04</f>
        <v>4108</v>
      </c>
      <c r="F74" s="1182">
        <f>+$I$1</f>
        <v>0.75</v>
      </c>
      <c r="G74" s="1183">
        <f>ROUNDUP(E74/F74,-1)</f>
        <v>5480</v>
      </c>
      <c r="H74" s="1184">
        <f>+G74*C74</f>
        <v>10960</v>
      </c>
      <c r="J74" s="312"/>
    </row>
    <row r="75" spans="1:10" s="3" customFormat="1" ht="9" customHeight="1" x14ac:dyDescent="0.25">
      <c r="A75" s="149"/>
      <c r="B75" s="213"/>
      <c r="C75" s="212"/>
      <c r="D75" s="87"/>
      <c r="E75" s="1188"/>
      <c r="F75" s="1188"/>
      <c r="G75" s="191"/>
      <c r="H75" s="654"/>
      <c r="J75" s="312"/>
    </row>
    <row r="76" spans="1:10" s="3" customFormat="1" ht="46.8" x14ac:dyDescent="0.25">
      <c r="A76" s="149" t="s">
        <v>427</v>
      </c>
      <c r="B76" s="238" t="s">
        <v>762</v>
      </c>
      <c r="C76" s="212"/>
      <c r="D76" s="87"/>
      <c r="E76" s="1188"/>
      <c r="F76" s="1188"/>
      <c r="G76" s="191"/>
      <c r="H76" s="654"/>
      <c r="J76" s="312"/>
    </row>
    <row r="77" spans="1:10" s="3" customFormat="1" ht="15.6" x14ac:dyDescent="0.25">
      <c r="A77" s="149"/>
      <c r="B77" s="213" t="s">
        <v>201</v>
      </c>
      <c r="C77" s="212">
        <v>6</v>
      </c>
      <c r="D77" s="87" t="s">
        <v>26</v>
      </c>
      <c r="E77" s="1188">
        <f>3500+650</f>
        <v>4150</v>
      </c>
      <c r="F77" s="1182">
        <f>+$I$1</f>
        <v>0.75</v>
      </c>
      <c r="G77" s="1183">
        <f>ROUNDUP(E77/F77,-1)</f>
        <v>5540</v>
      </c>
      <c r="H77" s="1184">
        <f>+G77*C77</f>
        <v>33240</v>
      </c>
      <c r="J77" s="312"/>
    </row>
    <row r="78" spans="1:10" s="3" customFormat="1" ht="15.6" x14ac:dyDescent="0.25">
      <c r="A78" s="149"/>
      <c r="B78" s="213" t="s">
        <v>202</v>
      </c>
      <c r="C78" s="212">
        <v>6</v>
      </c>
      <c r="D78" s="87" t="s">
        <v>26</v>
      </c>
      <c r="E78" s="1188">
        <f>+E77*1.02</f>
        <v>4233</v>
      </c>
      <c r="F78" s="1182">
        <f>+$I$1</f>
        <v>0.75</v>
      </c>
      <c r="G78" s="1183">
        <f>ROUNDUP(E78/F78,-1)</f>
        <v>5650</v>
      </c>
      <c r="H78" s="1184">
        <f>+G78*C78</f>
        <v>33900</v>
      </c>
      <c r="J78" s="312"/>
    </row>
    <row r="79" spans="1:10" s="3" customFormat="1" ht="15.6" x14ac:dyDescent="0.25">
      <c r="A79" s="149"/>
      <c r="B79" s="213" t="s">
        <v>196</v>
      </c>
      <c r="C79" s="212">
        <v>2</v>
      </c>
      <c r="D79" s="87" t="s">
        <v>26</v>
      </c>
      <c r="E79" s="1188">
        <f>+E77*1.04</f>
        <v>4316</v>
      </c>
      <c r="F79" s="1182">
        <f>+$I$1</f>
        <v>0.75</v>
      </c>
      <c r="G79" s="1183">
        <f>ROUNDUP(E79/F79,-1)</f>
        <v>5760</v>
      </c>
      <c r="H79" s="1184">
        <f>+G79*C79</f>
        <v>11520</v>
      </c>
      <c r="J79" s="312"/>
    </row>
    <row r="80" spans="1:10" s="3" customFormat="1" ht="12" customHeight="1" x14ac:dyDescent="0.25">
      <c r="A80" s="149"/>
      <c r="B80" s="213"/>
      <c r="C80" s="212"/>
      <c r="D80" s="87"/>
      <c r="E80" s="1188"/>
      <c r="F80" s="1188"/>
      <c r="G80" s="191"/>
      <c r="H80" s="654"/>
      <c r="J80" s="312"/>
    </row>
    <row r="81" spans="1:10" s="3" customFormat="1" ht="62.4" x14ac:dyDescent="0.25">
      <c r="A81" s="149" t="s">
        <v>429</v>
      </c>
      <c r="B81" s="213" t="s">
        <v>649</v>
      </c>
      <c r="C81" s="212"/>
      <c r="D81" s="87"/>
      <c r="E81" s="1188"/>
      <c r="F81" s="1188"/>
      <c r="G81" s="191"/>
      <c r="H81" s="654"/>
      <c r="J81" s="312"/>
    </row>
    <row r="82" spans="1:10" s="3" customFormat="1" ht="15.6" x14ac:dyDescent="0.25">
      <c r="A82" s="149"/>
      <c r="B82" s="213" t="s">
        <v>201</v>
      </c>
      <c r="C82" s="212">
        <v>3</v>
      </c>
      <c r="D82" s="87" t="s">
        <v>26</v>
      </c>
      <c r="E82" s="1188">
        <f>3500+600</f>
        <v>4100</v>
      </c>
      <c r="F82" s="1182">
        <f>+$I$1</f>
        <v>0.75</v>
      </c>
      <c r="G82" s="1183">
        <f>ROUNDUP(E82/F82,-1)</f>
        <v>5470</v>
      </c>
      <c r="H82" s="1184">
        <f>+G82*C82</f>
        <v>16410</v>
      </c>
      <c r="J82" s="312"/>
    </row>
    <row r="83" spans="1:10" s="3" customFormat="1" ht="15.6" x14ac:dyDescent="0.25">
      <c r="A83" s="149"/>
      <c r="B83" s="213" t="s">
        <v>202</v>
      </c>
      <c r="C83" s="212">
        <v>3</v>
      </c>
      <c r="D83" s="87" t="s">
        <v>26</v>
      </c>
      <c r="E83" s="1188">
        <f>+E82*1.02</f>
        <v>4182</v>
      </c>
      <c r="F83" s="1182">
        <f>+$I$1</f>
        <v>0.75</v>
      </c>
      <c r="G83" s="1183">
        <f>ROUNDUP(E83/F83,-1)</f>
        <v>5580</v>
      </c>
      <c r="H83" s="1184">
        <f>+G83*C83</f>
        <v>16740</v>
      </c>
      <c r="J83" s="312"/>
    </row>
    <row r="84" spans="1:10" s="3" customFormat="1" ht="16.2" thickBot="1" x14ac:dyDescent="0.3">
      <c r="A84" s="561"/>
      <c r="B84" s="712" t="s">
        <v>196</v>
      </c>
      <c r="C84" s="217">
        <v>1</v>
      </c>
      <c r="D84" s="215" t="s">
        <v>26</v>
      </c>
      <c r="E84" s="1188">
        <f>+E82*1.04</f>
        <v>4264</v>
      </c>
      <c r="F84" s="1182">
        <f>+$I$1</f>
        <v>0.75</v>
      </c>
      <c r="G84" s="1183">
        <f>ROUNDUP(E84/F84,-1)</f>
        <v>5690</v>
      </c>
      <c r="H84" s="1184">
        <f>+G84*C84</f>
        <v>5690</v>
      </c>
      <c r="J84" s="312"/>
    </row>
    <row r="85" spans="1:10" s="3" customFormat="1" ht="15.6" x14ac:dyDescent="0.25">
      <c r="A85" s="149"/>
      <c r="B85" s="213"/>
      <c r="C85" s="212"/>
      <c r="D85" s="87"/>
      <c r="E85" s="1188"/>
      <c r="F85" s="1188"/>
      <c r="G85" s="191"/>
      <c r="H85" s="654"/>
      <c r="J85" s="312"/>
    </row>
    <row r="86" spans="1:10" s="3" customFormat="1" ht="78" x14ac:dyDescent="0.25">
      <c r="A86" s="149" t="s">
        <v>787</v>
      </c>
      <c r="B86" s="213" t="s">
        <v>650</v>
      </c>
      <c r="C86" s="212"/>
      <c r="D86" s="87"/>
      <c r="E86" s="1188"/>
      <c r="F86" s="1188"/>
      <c r="G86" s="191"/>
      <c r="H86" s="654"/>
      <c r="J86" s="312"/>
    </row>
    <row r="87" spans="1:10" s="3" customFormat="1" ht="15.6" x14ac:dyDescent="0.25">
      <c r="A87" s="149"/>
      <c r="B87" s="213" t="s">
        <v>201</v>
      </c>
      <c r="C87" s="212">
        <v>6</v>
      </c>
      <c r="D87" s="87" t="s">
        <v>26</v>
      </c>
      <c r="E87" s="1188">
        <f>8000+950</f>
        <v>8950</v>
      </c>
      <c r="F87" s="1182">
        <f>+$I$1</f>
        <v>0.75</v>
      </c>
      <c r="G87" s="1183">
        <f>ROUNDUP(E87/F87,-1)</f>
        <v>11940</v>
      </c>
      <c r="H87" s="1184">
        <f>+G87*C87</f>
        <v>71640</v>
      </c>
      <c r="J87" s="312"/>
    </row>
    <row r="88" spans="1:10" s="3" customFormat="1" ht="15.6" x14ac:dyDescent="0.25">
      <c r="A88" s="149"/>
      <c r="B88" s="213" t="s">
        <v>202</v>
      </c>
      <c r="C88" s="212">
        <v>6</v>
      </c>
      <c r="D88" s="87" t="s">
        <v>26</v>
      </c>
      <c r="E88" s="1188">
        <f>+E87*1.02</f>
        <v>9129</v>
      </c>
      <c r="F88" s="1182">
        <f>+$I$1</f>
        <v>0.75</v>
      </c>
      <c r="G88" s="1183">
        <f>ROUNDUP(E88/F88,-1)</f>
        <v>12180</v>
      </c>
      <c r="H88" s="1184">
        <f>+G88*C88</f>
        <v>73080</v>
      </c>
      <c r="J88" s="312"/>
    </row>
    <row r="89" spans="1:10" s="3" customFormat="1" ht="15.6" x14ac:dyDescent="0.25">
      <c r="A89" s="149"/>
      <c r="B89" s="213" t="s">
        <v>196</v>
      </c>
      <c r="C89" s="212">
        <v>2</v>
      </c>
      <c r="D89" s="87" t="s">
        <v>26</v>
      </c>
      <c r="E89" s="1188">
        <f>+E87*1.04</f>
        <v>9308</v>
      </c>
      <c r="F89" s="1182">
        <f>+$I$1</f>
        <v>0.75</v>
      </c>
      <c r="G89" s="1183">
        <f>ROUNDUP(E89/F89,-1)</f>
        <v>12420</v>
      </c>
      <c r="H89" s="1184">
        <f>+G89*C89</f>
        <v>24840</v>
      </c>
      <c r="J89" s="312"/>
    </row>
    <row r="90" spans="1:10" s="3" customFormat="1" ht="15.6" x14ac:dyDescent="0.25">
      <c r="A90" s="149"/>
      <c r="B90" s="213"/>
      <c r="C90" s="212"/>
      <c r="D90" s="87"/>
      <c r="E90" s="1188"/>
      <c r="F90" s="1188"/>
      <c r="G90" s="191"/>
      <c r="H90" s="654"/>
      <c r="J90" s="312"/>
    </row>
    <row r="91" spans="1:10" s="3" customFormat="1" ht="62.4" x14ac:dyDescent="0.25">
      <c r="A91" s="149" t="s">
        <v>430</v>
      </c>
      <c r="B91" s="213" t="s">
        <v>651</v>
      </c>
      <c r="C91" s="212"/>
      <c r="D91" s="87"/>
      <c r="E91" s="1188"/>
      <c r="F91" s="1188"/>
      <c r="G91" s="191"/>
      <c r="H91" s="654"/>
      <c r="J91" s="312"/>
    </row>
    <row r="92" spans="1:10" s="3" customFormat="1" ht="15.6" x14ac:dyDescent="0.25">
      <c r="A92" s="149"/>
      <c r="B92" s="213" t="s">
        <v>201</v>
      </c>
      <c r="C92" s="212">
        <v>3</v>
      </c>
      <c r="D92" s="87" t="s">
        <v>26</v>
      </c>
      <c r="E92" s="1188">
        <f>3000+450</f>
        <v>3450</v>
      </c>
      <c r="F92" s="1182">
        <f t="shared" ref="F92:F94" si="0">+$I$1</f>
        <v>0.75</v>
      </c>
      <c r="G92" s="1183">
        <f t="shared" ref="G92:G94" si="1">ROUNDUP(E92/F92,-1)</f>
        <v>4600</v>
      </c>
      <c r="H92" s="1184">
        <f t="shared" ref="H92:H94" si="2">+G92*C92</f>
        <v>13800</v>
      </c>
      <c r="J92" s="312"/>
    </row>
    <row r="93" spans="1:10" s="3" customFormat="1" ht="15.6" x14ac:dyDescent="0.25">
      <c r="A93" s="149"/>
      <c r="B93" s="213" t="s">
        <v>202</v>
      </c>
      <c r="C93" s="212">
        <v>3</v>
      </c>
      <c r="D93" s="87" t="s">
        <v>26</v>
      </c>
      <c r="E93" s="1188">
        <f>+E92*1.02</f>
        <v>3519</v>
      </c>
      <c r="F93" s="1182">
        <f t="shared" si="0"/>
        <v>0.75</v>
      </c>
      <c r="G93" s="1183">
        <f t="shared" si="1"/>
        <v>4700</v>
      </c>
      <c r="H93" s="1184">
        <f t="shared" si="2"/>
        <v>14100</v>
      </c>
      <c r="J93" s="312"/>
    </row>
    <row r="94" spans="1:10" s="3" customFormat="1" ht="15.6" x14ac:dyDescent="0.25">
      <c r="A94" s="149"/>
      <c r="B94" s="213" t="str">
        <f>B89</f>
        <v>Second Floor</v>
      </c>
      <c r="C94" s="212">
        <v>1</v>
      </c>
      <c r="D94" s="87" t="s">
        <v>26</v>
      </c>
      <c r="E94" s="1188">
        <f>+E92*1.04</f>
        <v>3588</v>
      </c>
      <c r="F94" s="1182">
        <f t="shared" si="0"/>
        <v>0.75</v>
      </c>
      <c r="G94" s="1183">
        <f t="shared" si="1"/>
        <v>4790</v>
      </c>
      <c r="H94" s="1184">
        <f t="shared" si="2"/>
        <v>4790</v>
      </c>
      <c r="J94" s="312"/>
    </row>
    <row r="95" spans="1:10" s="3" customFormat="1" ht="15.6" x14ac:dyDescent="0.25">
      <c r="A95" s="149"/>
      <c r="B95" s="213"/>
      <c r="C95" s="212"/>
      <c r="D95" s="87"/>
      <c r="E95" s="1188"/>
      <c r="F95" s="1188"/>
      <c r="G95" s="191"/>
      <c r="H95" s="654"/>
      <c r="J95" s="312"/>
    </row>
    <row r="96" spans="1:10" s="3" customFormat="1" ht="15.6" x14ac:dyDescent="0.25">
      <c r="A96" s="149"/>
      <c r="B96" s="103" t="s">
        <v>102</v>
      </c>
      <c r="C96" s="212"/>
      <c r="D96" s="87"/>
      <c r="E96" s="1188"/>
      <c r="F96" s="1188"/>
      <c r="G96" s="191"/>
      <c r="H96" s="654"/>
      <c r="J96" s="312"/>
    </row>
    <row r="97" spans="1:10" s="3" customFormat="1" ht="31.2" x14ac:dyDescent="0.25">
      <c r="A97" s="149"/>
      <c r="B97" s="213" t="s">
        <v>443</v>
      </c>
      <c r="C97" s="212"/>
      <c r="D97" s="87"/>
      <c r="E97" s="1188"/>
      <c r="F97" s="1188"/>
      <c r="G97" s="191"/>
      <c r="H97" s="654"/>
      <c r="J97" s="312"/>
    </row>
    <row r="98" spans="1:10" s="3" customFormat="1" ht="15.6" x14ac:dyDescent="0.25">
      <c r="A98" s="149"/>
      <c r="B98" s="213"/>
      <c r="C98" s="212"/>
      <c r="D98" s="87"/>
      <c r="E98" s="1188"/>
      <c r="F98" s="1188"/>
      <c r="G98" s="191"/>
      <c r="H98" s="654"/>
      <c r="J98" s="312"/>
    </row>
    <row r="99" spans="1:10" s="3" customFormat="1" ht="31.2" hidden="1" x14ac:dyDescent="0.25">
      <c r="A99" s="149"/>
      <c r="B99" s="213" t="s">
        <v>444</v>
      </c>
      <c r="C99" s="212"/>
      <c r="D99" s="87"/>
      <c r="E99" s="1188"/>
      <c r="F99" s="1188"/>
      <c r="G99" s="191"/>
      <c r="H99" s="654"/>
      <c r="J99" s="312"/>
    </row>
    <row r="100" spans="1:10" s="3" customFormat="1" ht="15.6" hidden="1" x14ac:dyDescent="0.25">
      <c r="A100" s="149"/>
      <c r="B100" s="213"/>
      <c r="C100" s="212"/>
      <c r="D100" s="87"/>
      <c r="E100" s="1188"/>
      <c r="F100" s="1188"/>
      <c r="G100" s="191"/>
      <c r="H100" s="654"/>
      <c r="J100" s="312"/>
    </row>
    <row r="101" spans="1:10" s="3" customFormat="1" ht="62.4" x14ac:dyDescent="0.25">
      <c r="A101" s="149"/>
      <c r="B101" s="213" t="s">
        <v>445</v>
      </c>
      <c r="C101" s="212"/>
      <c r="D101" s="87"/>
      <c r="E101" s="1188"/>
      <c r="F101" s="1188"/>
      <c r="G101" s="191"/>
      <c r="H101" s="654"/>
      <c r="J101" s="312"/>
    </row>
    <row r="102" spans="1:10" s="3" customFormat="1" ht="15.6" x14ac:dyDescent="0.25">
      <c r="A102" s="149"/>
      <c r="B102" s="125"/>
      <c r="C102" s="212"/>
      <c r="D102" s="87"/>
      <c r="E102" s="1188"/>
      <c r="F102" s="1188"/>
      <c r="G102" s="191"/>
      <c r="H102" s="654"/>
      <c r="J102" s="312"/>
    </row>
    <row r="103" spans="1:10" s="3" customFormat="1" ht="62.4" x14ac:dyDescent="0.25">
      <c r="A103" s="149" t="s">
        <v>431</v>
      </c>
      <c r="B103" s="213" t="s">
        <v>652</v>
      </c>
      <c r="C103" s="212">
        <v>1</v>
      </c>
      <c r="D103" s="87" t="s">
        <v>26</v>
      </c>
      <c r="E103" s="1188">
        <f>95000+32500</f>
        <v>127500</v>
      </c>
      <c r="F103" s="1182">
        <f>+$I$1</f>
        <v>0.75</v>
      </c>
      <c r="G103" s="1183">
        <f>ROUNDUP(E103/F103,-1)</f>
        <v>170000</v>
      </c>
      <c r="H103" s="1184">
        <f>+G103*C103</f>
        <v>170000</v>
      </c>
      <c r="J103" s="312"/>
    </row>
    <row r="104" spans="1:10" s="3" customFormat="1" ht="15.6" x14ac:dyDescent="0.25">
      <c r="A104" s="149"/>
      <c r="B104" s="103"/>
      <c r="C104" s="212"/>
      <c r="D104" s="87"/>
      <c r="E104" s="1188"/>
      <c r="F104" s="1188"/>
      <c r="G104" s="225"/>
      <c r="H104" s="654"/>
      <c r="J104" s="312"/>
    </row>
    <row r="105" spans="1:10" s="3" customFormat="1" x14ac:dyDescent="0.25">
      <c r="A105" s="149"/>
      <c r="B105" s="94" t="s">
        <v>52</v>
      </c>
      <c r="C105" s="223"/>
      <c r="D105" s="224"/>
      <c r="E105" s="1188"/>
      <c r="F105" s="1188"/>
      <c r="G105" s="225"/>
      <c r="H105" s="567"/>
      <c r="J105" s="312"/>
    </row>
    <row r="106" spans="1:10" s="3" customFormat="1" x14ac:dyDescent="0.25">
      <c r="A106" s="149" t="s">
        <v>432</v>
      </c>
      <c r="B106" s="100" t="s">
        <v>103</v>
      </c>
      <c r="C106" s="223">
        <v>1</v>
      </c>
      <c r="D106" s="224" t="s">
        <v>10</v>
      </c>
      <c r="E106" s="1188">
        <v>35000</v>
      </c>
      <c r="F106" s="1182">
        <f>+$I$1</f>
        <v>0.75</v>
      </c>
      <c r="G106" s="1183">
        <f>ROUNDUP(E106/F106,-1)</f>
        <v>46670</v>
      </c>
      <c r="H106" s="1184">
        <f>+G106*C106</f>
        <v>46670</v>
      </c>
      <c r="J106" s="312"/>
    </row>
    <row r="107" spans="1:10" s="3" customFormat="1" x14ac:dyDescent="0.25">
      <c r="A107" s="542"/>
      <c r="B107" s="100"/>
      <c r="C107" s="223"/>
      <c r="D107" s="224"/>
      <c r="E107" s="1188"/>
      <c r="F107" s="1182"/>
      <c r="G107" s="1183"/>
      <c r="H107" s="1184"/>
      <c r="J107" s="312"/>
    </row>
    <row r="108" spans="1:10" s="3" customFormat="1" x14ac:dyDescent="0.25">
      <c r="A108" s="149" t="s">
        <v>433</v>
      </c>
      <c r="B108" s="100" t="s">
        <v>490</v>
      </c>
      <c r="C108" s="223">
        <v>1</v>
      </c>
      <c r="D108" s="224" t="s">
        <v>10</v>
      </c>
      <c r="E108" s="1188">
        <v>30000</v>
      </c>
      <c r="F108" s="1182">
        <f>+$I$1</f>
        <v>0.75</v>
      </c>
      <c r="G108" s="1183">
        <f>ROUNDUP(E108/F108,-1)</f>
        <v>40000</v>
      </c>
      <c r="H108" s="1184">
        <f>+G108*C108</f>
        <v>40000</v>
      </c>
      <c r="J108" s="312"/>
    </row>
    <row r="109" spans="1:10" s="3" customFormat="1" x14ac:dyDescent="0.25">
      <c r="A109" s="542"/>
      <c r="B109" s="100"/>
      <c r="C109" s="223"/>
      <c r="D109" s="224"/>
      <c r="E109" s="1188"/>
      <c r="F109" s="1188"/>
      <c r="G109" s="225"/>
      <c r="H109" s="567"/>
      <c r="J109" s="312"/>
    </row>
    <row r="110" spans="1:10" s="3" customFormat="1" x14ac:dyDescent="0.25">
      <c r="A110" s="542"/>
      <c r="B110" s="102" t="s">
        <v>749</v>
      </c>
      <c r="C110" s="223"/>
      <c r="D110" s="224"/>
      <c r="E110" s="1188"/>
      <c r="F110" s="1188"/>
      <c r="G110" s="225"/>
      <c r="H110" s="567"/>
      <c r="J110" s="312"/>
    </row>
    <row r="111" spans="1:10" s="3" customFormat="1" x14ac:dyDescent="0.25">
      <c r="A111" s="149" t="s">
        <v>434</v>
      </c>
      <c r="B111" s="100" t="s">
        <v>672</v>
      </c>
      <c r="C111" s="223">
        <v>1</v>
      </c>
      <c r="D111" s="224" t="s">
        <v>488</v>
      </c>
      <c r="E111" s="1188">
        <v>610000</v>
      </c>
      <c r="F111" s="1182">
        <f>+$I$1</f>
        <v>0.75</v>
      </c>
      <c r="G111" s="1183">
        <f>ROUNDUP(E111/F111,-1)</f>
        <v>813340</v>
      </c>
      <c r="H111" s="1184">
        <f>+G111*C111</f>
        <v>813340</v>
      </c>
      <c r="J111" s="312"/>
    </row>
    <row r="112" spans="1:10" s="3" customFormat="1" ht="15.6" x14ac:dyDescent="0.25">
      <c r="A112" s="149"/>
      <c r="B112" s="103" t="s">
        <v>170</v>
      </c>
      <c r="C112" s="301"/>
      <c r="D112" s="224"/>
      <c r="E112" s="1188"/>
      <c r="F112" s="1188"/>
      <c r="G112" s="225"/>
      <c r="H112" s="567"/>
      <c r="J112" s="312"/>
    </row>
    <row r="113" spans="1:13" s="3" customFormat="1" ht="15.6" x14ac:dyDescent="0.25">
      <c r="A113" s="149"/>
      <c r="B113" s="103" t="s">
        <v>439</v>
      </c>
      <c r="C113" s="212"/>
      <c r="D113" s="87"/>
      <c r="E113" s="1188"/>
      <c r="F113" s="1188"/>
      <c r="G113" s="191"/>
      <c r="H113" s="654"/>
      <c r="J113" s="312"/>
    </row>
    <row r="114" spans="1:13" s="302" customFormat="1" ht="140.4" x14ac:dyDescent="0.25">
      <c r="A114" s="149" t="s">
        <v>435</v>
      </c>
      <c r="B114" s="300" t="s">
        <v>653</v>
      </c>
      <c r="C114" s="301">
        <v>4</v>
      </c>
      <c r="D114" s="224" t="s">
        <v>26</v>
      </c>
      <c r="E114" s="1188">
        <v>25500</v>
      </c>
      <c r="F114" s="1182">
        <f>+$I$1</f>
        <v>0.75</v>
      </c>
      <c r="G114" s="1183">
        <f>ROUNDUP(E114/F114,-1)</f>
        <v>34000</v>
      </c>
      <c r="H114" s="1184">
        <f>+G114*C114</f>
        <v>136000</v>
      </c>
      <c r="J114" s="313"/>
    </row>
    <row r="115" spans="1:13" s="3" customFormat="1" ht="15.6" x14ac:dyDescent="0.25">
      <c r="A115" s="149"/>
      <c r="B115" s="103"/>
      <c r="C115" s="212"/>
      <c r="D115" s="87"/>
      <c r="E115" s="1188"/>
      <c r="F115" s="1188"/>
      <c r="G115" s="191"/>
      <c r="H115" s="654"/>
      <c r="J115" s="312"/>
    </row>
    <row r="116" spans="1:13" s="3" customFormat="1" ht="16.2" thickBot="1" x14ac:dyDescent="0.3">
      <c r="A116" s="561"/>
      <c r="B116" s="718"/>
      <c r="C116" s="562"/>
      <c r="D116" s="215"/>
      <c r="E116" s="1247"/>
      <c r="F116" s="1247"/>
      <c r="G116" s="216"/>
      <c r="H116" s="563"/>
      <c r="J116" s="312"/>
    </row>
    <row r="117" spans="1:13" s="3" customFormat="1" ht="15.6" x14ac:dyDescent="0.25">
      <c r="A117" s="149"/>
      <c r="B117" s="103" t="s">
        <v>440</v>
      </c>
      <c r="C117" s="212"/>
      <c r="D117" s="87"/>
      <c r="E117" s="1188"/>
      <c r="F117" s="1188"/>
      <c r="G117" s="191"/>
      <c r="H117" s="654"/>
      <c r="J117" s="312"/>
    </row>
    <row r="118" spans="1:13" s="302" customFormat="1" ht="140.4" x14ac:dyDescent="0.25">
      <c r="A118" s="149" t="s">
        <v>436</v>
      </c>
      <c r="B118" s="300" t="s">
        <v>669</v>
      </c>
      <c r="C118" s="301">
        <v>1</v>
      </c>
      <c r="D118" s="224" t="s">
        <v>10</v>
      </c>
      <c r="E118" s="1188">
        <f>11000*7+25000+22000</f>
        <v>124000</v>
      </c>
      <c r="F118" s="1182">
        <f>+$I$1</f>
        <v>0.75</v>
      </c>
      <c r="G118" s="1183">
        <f>ROUNDUP(E118/F118,-1)</f>
        <v>165340</v>
      </c>
      <c r="H118" s="1184">
        <f>+G118*C118</f>
        <v>165340</v>
      </c>
      <c r="J118" s="320"/>
    </row>
    <row r="119" spans="1:13" s="302" customFormat="1" ht="15.6" x14ac:dyDescent="0.25">
      <c r="A119" s="568"/>
      <c r="B119" s="300"/>
      <c r="C119" s="301"/>
      <c r="D119" s="224"/>
      <c r="E119" s="1188"/>
      <c r="F119" s="1188"/>
      <c r="G119" s="225"/>
      <c r="H119" s="567"/>
      <c r="J119" s="320"/>
    </row>
    <row r="120" spans="1:13" s="302" customFormat="1" ht="15.6" x14ac:dyDescent="0.25">
      <c r="A120" s="568"/>
      <c r="B120" s="713" t="s">
        <v>104</v>
      </c>
      <c r="C120" s="301"/>
      <c r="D120" s="224"/>
      <c r="E120" s="1188"/>
      <c r="F120" s="1188"/>
      <c r="G120" s="225"/>
      <c r="H120" s="567"/>
      <c r="J120" s="313"/>
    </row>
    <row r="121" spans="1:13" s="302" customFormat="1" ht="93.6" x14ac:dyDescent="0.25">
      <c r="A121" s="149" t="s">
        <v>437</v>
      </c>
      <c r="B121" s="321" t="s">
        <v>670</v>
      </c>
      <c r="C121" s="301">
        <v>1</v>
      </c>
      <c r="D121" s="224" t="s">
        <v>10</v>
      </c>
      <c r="E121" s="1188">
        <v>630000</v>
      </c>
      <c r="F121" s="1182">
        <f>+$I$1</f>
        <v>0.75</v>
      </c>
      <c r="G121" s="1183">
        <f>ROUNDUP(E121/F121,-1)</f>
        <v>840000</v>
      </c>
      <c r="H121" s="1184">
        <f>+G121*C121</f>
        <v>840000</v>
      </c>
      <c r="J121" s="313"/>
      <c r="L121" s="302">
        <f>10*4.5*8</f>
        <v>360</v>
      </c>
      <c r="M121" s="302" t="e">
        <f>G121/J121*L121</f>
        <v>#DIV/0!</v>
      </c>
    </row>
    <row r="122" spans="1:13" s="3" customFormat="1" ht="15.6" x14ac:dyDescent="0.25">
      <c r="A122" s="149"/>
      <c r="B122" s="213"/>
      <c r="C122" s="212"/>
      <c r="D122" s="87"/>
      <c r="E122" s="1188"/>
      <c r="F122" s="1188"/>
      <c r="G122" s="191"/>
      <c r="H122" s="654"/>
      <c r="J122" s="312"/>
    </row>
    <row r="123" spans="1:13" s="3" customFormat="1" ht="15.6" x14ac:dyDescent="0.25">
      <c r="A123" s="149"/>
      <c r="B123" s="103" t="s">
        <v>489</v>
      </c>
      <c r="C123" s="212"/>
      <c r="D123" s="87"/>
      <c r="E123" s="1188"/>
      <c r="F123" s="1188"/>
      <c r="G123" s="191"/>
      <c r="H123" s="654"/>
      <c r="J123" s="312"/>
    </row>
    <row r="124" spans="1:13" s="302" customFormat="1" ht="140.4" x14ac:dyDescent="0.25">
      <c r="A124" s="149" t="s">
        <v>438</v>
      </c>
      <c r="B124" s="300" t="s">
        <v>630</v>
      </c>
      <c r="C124" s="301">
        <v>1</v>
      </c>
      <c r="D124" s="224" t="s">
        <v>10</v>
      </c>
      <c r="E124" s="1188">
        <f>11000*2+15000+12500</f>
        <v>49500</v>
      </c>
      <c r="F124" s="1182">
        <f>+$I$1</f>
        <v>0.75</v>
      </c>
      <c r="G124" s="1183">
        <f>ROUNDUP(E124/F124,-1)</f>
        <v>66000</v>
      </c>
      <c r="H124" s="1184">
        <f>+G124*C124</f>
        <v>66000</v>
      </c>
      <c r="J124" s="313"/>
    </row>
    <row r="125" spans="1:13" s="302" customFormat="1" ht="15.6" x14ac:dyDescent="0.25">
      <c r="A125" s="149"/>
      <c r="B125" s="300"/>
      <c r="C125" s="301"/>
      <c r="D125" s="224"/>
      <c r="E125" s="1188"/>
      <c r="F125" s="1188"/>
      <c r="G125" s="225"/>
      <c r="H125" s="567"/>
      <c r="J125" s="313"/>
    </row>
    <row r="126" spans="1:13" x14ac:dyDescent="0.25">
      <c r="A126" s="542"/>
      <c r="B126" s="203" t="s">
        <v>498</v>
      </c>
      <c r="C126" s="190"/>
      <c r="D126" s="87"/>
      <c r="E126" s="1188"/>
      <c r="F126" s="1188"/>
      <c r="G126" s="191"/>
      <c r="H126" s="654"/>
    </row>
    <row r="127" spans="1:13" ht="69" customHeight="1" x14ac:dyDescent="0.25">
      <c r="A127" s="149" t="s">
        <v>788</v>
      </c>
      <c r="B127" s="95" t="s">
        <v>789</v>
      </c>
      <c r="C127" s="190">
        <v>1</v>
      </c>
      <c r="D127" s="87" t="s">
        <v>449</v>
      </c>
      <c r="E127" s="1188">
        <f>246000+45000</f>
        <v>291000</v>
      </c>
      <c r="F127" s="1182">
        <f>+$I$1</f>
        <v>0.75</v>
      </c>
      <c r="G127" s="1183">
        <f>ROUNDUP(E127/F127,-1)</f>
        <v>388000</v>
      </c>
      <c r="H127" s="1184">
        <f>+G127*C127</f>
        <v>388000</v>
      </c>
    </row>
    <row r="128" spans="1:13" ht="14.4" thickBot="1" x14ac:dyDescent="0.3">
      <c r="A128" s="545"/>
      <c r="B128" s="198"/>
      <c r="C128" s="214"/>
      <c r="D128" s="215"/>
      <c r="E128" s="1247"/>
      <c r="F128" s="1247"/>
      <c r="G128" s="216"/>
      <c r="H128" s="563"/>
    </row>
    <row r="129" spans="1:10" s="3" customFormat="1" ht="36" customHeight="1" thickBot="1" x14ac:dyDescent="0.3">
      <c r="A129" s="574"/>
      <c r="B129" s="575" t="s">
        <v>228</v>
      </c>
      <c r="C129" s="576"/>
      <c r="D129" s="574"/>
      <c r="E129" s="1249"/>
      <c r="F129" s="1249"/>
      <c r="G129" s="577"/>
      <c r="H129" s="574">
        <f>SUM(H5:H128)</f>
        <v>4426560</v>
      </c>
      <c r="J129" s="312"/>
    </row>
    <row r="132" spans="1:10" x14ac:dyDescent="0.25">
      <c r="H132" s="322"/>
    </row>
  </sheetData>
  <pageMargins left="0.5" right="0.5" top="0.25" bottom="0.25" header="0.5" footer="0.5"/>
  <pageSetup orientation="portrait" r:id="rId1"/>
  <headerFooter alignWithMargins="0">
    <oddFooter>&amp;C&amp;P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F0"/>
  </sheetPr>
  <dimension ref="A1:L131"/>
  <sheetViews>
    <sheetView view="pageBreakPreview" topLeftCell="A22" zoomScale="98" zoomScaleNormal="85" zoomScaleSheetLayoutView="98" workbookViewId="0">
      <selection activeCell="N121" sqref="N121"/>
    </sheetView>
  </sheetViews>
  <sheetFormatPr defaultColWidth="9.21875" defaultRowHeight="13.8" x14ac:dyDescent="0.25"/>
  <cols>
    <col min="1" max="1" width="6.5546875" style="535" bestFit="1" customWidth="1"/>
    <col min="2" max="2" width="53" style="536" customWidth="1"/>
    <col min="3" max="3" width="6" style="537" bestFit="1" customWidth="1"/>
    <col min="4" max="4" width="4.88671875" style="538" bestFit="1" customWidth="1"/>
    <col min="5" max="5" width="11.88671875" style="1209" bestFit="1" customWidth="1"/>
    <col min="6" max="6" width="7.33203125" style="1209" customWidth="1"/>
    <col min="7" max="7" width="13.33203125" style="537" bestFit="1" customWidth="1"/>
    <col min="8" max="8" width="13.33203125" style="538" bestFit="1" customWidth="1"/>
    <col min="9" max="9" width="11.21875" style="168" bestFit="1" customWidth="1"/>
    <col min="10" max="10" width="12.5546875" style="168" bestFit="1" customWidth="1"/>
    <col min="11" max="11" width="10.44140625" style="168" bestFit="1" customWidth="1"/>
    <col min="12" max="12" width="13.33203125" style="168" bestFit="1" customWidth="1"/>
    <col min="13" max="14" width="13" style="168" bestFit="1" customWidth="1"/>
    <col min="15" max="15" width="12.88671875" style="168" bestFit="1" customWidth="1"/>
    <col min="16" max="16" width="10.109375" style="168" bestFit="1" customWidth="1"/>
    <col min="17" max="17" width="9.33203125" style="168" bestFit="1" customWidth="1"/>
    <col min="18" max="16384" width="9.21875" style="168"/>
  </cols>
  <sheetData>
    <row r="1" spans="1:9" s="302" customFormat="1" ht="14.4" thickBot="1" x14ac:dyDescent="0.3">
      <c r="A1" s="592" t="s">
        <v>0</v>
      </c>
      <c r="B1" s="593" t="s">
        <v>1</v>
      </c>
      <c r="C1" s="594" t="s">
        <v>2</v>
      </c>
      <c r="D1" s="595" t="s">
        <v>3</v>
      </c>
      <c r="E1" s="1176" t="s">
        <v>1238</v>
      </c>
      <c r="F1" s="1176" t="s">
        <v>1239</v>
      </c>
      <c r="G1" s="594" t="s">
        <v>4</v>
      </c>
      <c r="H1" s="596" t="s">
        <v>5</v>
      </c>
      <c r="I1" s="302">
        <f>+summary!D17</f>
        <v>0.85</v>
      </c>
    </row>
    <row r="2" spans="1:9" x14ac:dyDescent="0.25">
      <c r="A2" s="597"/>
      <c r="B2" s="510" t="s">
        <v>106</v>
      </c>
      <c r="C2" s="511"/>
      <c r="D2" s="512"/>
      <c r="E2" s="1245"/>
      <c r="F2" s="1245"/>
      <c r="G2" s="513"/>
      <c r="H2" s="598"/>
    </row>
    <row r="3" spans="1:9" x14ac:dyDescent="0.25">
      <c r="A3" s="599"/>
      <c r="B3" s="514" t="s">
        <v>64</v>
      </c>
      <c r="C3" s="515"/>
      <c r="D3" s="516"/>
      <c r="E3" s="1246"/>
      <c r="F3" s="1246"/>
      <c r="G3" s="517"/>
      <c r="H3" s="600"/>
    </row>
    <row r="4" spans="1:9" ht="33" customHeight="1" x14ac:dyDescent="0.25">
      <c r="A4" s="543"/>
      <c r="B4" s="222" t="s">
        <v>532</v>
      </c>
      <c r="C4" s="519"/>
      <c r="D4" s="224"/>
      <c r="E4" s="1188"/>
      <c r="F4" s="1188"/>
      <c r="G4" s="225"/>
      <c r="H4" s="567"/>
    </row>
    <row r="5" spans="1:9" x14ac:dyDescent="0.25">
      <c r="A5" s="543"/>
      <c r="B5" s="222"/>
      <c r="C5" s="519"/>
      <c r="D5" s="224"/>
      <c r="E5" s="1188"/>
      <c r="F5" s="1188"/>
      <c r="G5" s="225"/>
      <c r="H5" s="567"/>
    </row>
    <row r="6" spans="1:9" ht="27.6" x14ac:dyDescent="0.25">
      <c r="A6" s="543"/>
      <c r="B6" s="222" t="s">
        <v>545</v>
      </c>
      <c r="C6" s="519"/>
      <c r="D6" s="224"/>
      <c r="E6" s="1188"/>
      <c r="F6" s="1188"/>
      <c r="G6" s="225"/>
      <c r="H6" s="567"/>
    </row>
    <row r="7" spans="1:9" x14ac:dyDescent="0.25">
      <c r="A7" s="543"/>
      <c r="B7" s="222"/>
      <c r="C7" s="519"/>
      <c r="D7" s="224"/>
      <c r="E7" s="1188"/>
      <c r="F7" s="1188"/>
      <c r="G7" s="225"/>
      <c r="H7" s="567"/>
    </row>
    <row r="8" spans="1:9" x14ac:dyDescent="0.25">
      <c r="A8" s="543"/>
      <c r="B8" s="222" t="s">
        <v>450</v>
      </c>
      <c r="C8" s="519"/>
      <c r="D8" s="224"/>
      <c r="E8" s="1188"/>
      <c r="F8" s="1188"/>
      <c r="G8" s="225"/>
      <c r="H8" s="567"/>
    </row>
    <row r="9" spans="1:9" x14ac:dyDescent="0.25">
      <c r="A9" s="543"/>
      <c r="B9" s="222"/>
      <c r="C9" s="519"/>
      <c r="D9" s="224"/>
      <c r="E9" s="1188"/>
      <c r="F9" s="1188"/>
      <c r="G9" s="225"/>
      <c r="H9" s="567"/>
    </row>
    <row r="10" spans="1:9" ht="163.80000000000001" customHeight="1" x14ac:dyDescent="0.25">
      <c r="A10" s="543"/>
      <c r="B10" s="222" t="s">
        <v>451</v>
      </c>
      <c r="C10" s="519"/>
      <c r="D10" s="224"/>
      <c r="E10" s="1188"/>
      <c r="F10" s="1188"/>
      <c r="G10" s="225"/>
      <c r="H10" s="567"/>
    </row>
    <row r="11" spans="1:9" x14ac:dyDescent="0.25">
      <c r="A11" s="543"/>
      <c r="B11" s="1285"/>
      <c r="C11" s="519"/>
      <c r="D11" s="224"/>
      <c r="E11" s="1188"/>
      <c r="F11" s="1188"/>
      <c r="G11" s="225"/>
      <c r="H11" s="567"/>
    </row>
    <row r="12" spans="1:9" ht="27.6" x14ac:dyDescent="0.25">
      <c r="A12" s="543"/>
      <c r="B12" s="222" t="s">
        <v>452</v>
      </c>
      <c r="C12" s="519"/>
      <c r="D12" s="224"/>
      <c r="E12" s="1188"/>
      <c r="F12" s="1188"/>
      <c r="G12" s="225"/>
      <c r="H12" s="567"/>
    </row>
    <row r="13" spans="1:9" ht="27.6" x14ac:dyDescent="0.25">
      <c r="A13" s="543"/>
      <c r="B13" s="222" t="s">
        <v>453</v>
      </c>
      <c r="C13" s="519"/>
      <c r="D13" s="224"/>
      <c r="E13" s="1188"/>
      <c r="F13" s="1188"/>
      <c r="G13" s="225"/>
      <c r="H13" s="567"/>
    </row>
    <row r="14" spans="1:9" x14ac:dyDescent="0.25">
      <c r="A14" s="543"/>
      <c r="B14" s="222" t="s">
        <v>454</v>
      </c>
      <c r="C14" s="519"/>
      <c r="D14" s="224"/>
      <c r="E14" s="1188"/>
      <c r="F14" s="1188"/>
      <c r="G14" s="225"/>
      <c r="H14" s="567"/>
    </row>
    <row r="15" spans="1:9" ht="42" customHeight="1" x14ac:dyDescent="0.25">
      <c r="A15" s="543"/>
      <c r="B15" s="222" t="s">
        <v>528</v>
      </c>
      <c r="C15" s="519"/>
      <c r="D15" s="224"/>
      <c r="E15" s="1188"/>
      <c r="F15" s="1188"/>
      <c r="G15" s="225"/>
      <c r="H15" s="567"/>
    </row>
    <row r="16" spans="1:9" ht="27.6" x14ac:dyDescent="0.25">
      <c r="A16" s="543"/>
      <c r="B16" s="222" t="s">
        <v>529</v>
      </c>
      <c r="C16" s="519"/>
      <c r="D16" s="224"/>
      <c r="E16" s="1188"/>
      <c r="F16" s="1188"/>
      <c r="G16" s="225"/>
      <c r="H16" s="567"/>
    </row>
    <row r="17" spans="1:8" x14ac:dyDescent="0.25">
      <c r="A17" s="543"/>
      <c r="B17" s="222"/>
      <c r="C17" s="519"/>
      <c r="D17" s="224"/>
      <c r="E17" s="1188"/>
      <c r="F17" s="1188"/>
      <c r="G17" s="225"/>
      <c r="H17" s="567"/>
    </row>
    <row r="18" spans="1:8" x14ac:dyDescent="0.25">
      <c r="A18" s="543"/>
      <c r="B18" s="222" t="s">
        <v>457</v>
      </c>
      <c r="C18" s="519"/>
      <c r="D18" s="224"/>
      <c r="E18" s="1188"/>
      <c r="F18" s="1188"/>
      <c r="G18" s="225"/>
      <c r="H18" s="567"/>
    </row>
    <row r="19" spans="1:8" x14ac:dyDescent="0.25">
      <c r="A19" s="543"/>
      <c r="B19" s="222" t="s">
        <v>455</v>
      </c>
      <c r="C19" s="519"/>
      <c r="D19" s="224"/>
      <c r="E19" s="1188"/>
      <c r="F19" s="1188"/>
      <c r="G19" s="225"/>
      <c r="H19" s="567"/>
    </row>
    <row r="20" spans="1:8" x14ac:dyDescent="0.25">
      <c r="A20" s="543"/>
      <c r="B20" s="222" t="s">
        <v>456</v>
      </c>
      <c r="C20" s="519"/>
      <c r="D20" s="224"/>
      <c r="E20" s="1188"/>
      <c r="F20" s="1188"/>
      <c r="G20" s="225"/>
      <c r="H20" s="567"/>
    </row>
    <row r="21" spans="1:8" x14ac:dyDescent="0.25">
      <c r="A21" s="543"/>
      <c r="B21" s="222"/>
      <c r="C21" s="519"/>
      <c r="D21" s="224"/>
      <c r="E21" s="1188"/>
      <c r="F21" s="1188"/>
      <c r="G21" s="225"/>
      <c r="H21" s="567"/>
    </row>
    <row r="22" spans="1:8" x14ac:dyDescent="0.25">
      <c r="A22" s="543"/>
      <c r="B22" s="222" t="s">
        <v>458</v>
      </c>
      <c r="C22" s="519"/>
      <c r="D22" s="224"/>
      <c r="E22" s="1188"/>
      <c r="F22" s="1188"/>
      <c r="G22" s="225"/>
      <c r="H22" s="567"/>
    </row>
    <row r="23" spans="1:8" ht="32.4" customHeight="1" x14ac:dyDescent="0.25">
      <c r="A23" s="543"/>
      <c r="B23" s="222" t="s">
        <v>530</v>
      </c>
      <c r="C23" s="519"/>
      <c r="D23" s="224"/>
      <c r="E23" s="1188"/>
      <c r="F23" s="1188"/>
      <c r="G23" s="225"/>
      <c r="H23" s="567"/>
    </row>
    <row r="24" spans="1:8" ht="31.8" customHeight="1" x14ac:dyDescent="0.25">
      <c r="A24" s="543"/>
      <c r="B24" s="222" t="s">
        <v>531</v>
      </c>
      <c r="C24" s="519"/>
      <c r="D24" s="224"/>
      <c r="E24" s="1188"/>
      <c r="F24" s="1188"/>
      <c r="G24" s="225"/>
      <c r="H24" s="567"/>
    </row>
    <row r="25" spans="1:8" x14ac:dyDescent="0.25">
      <c r="A25" s="543"/>
      <c r="B25" s="222"/>
      <c r="C25" s="519"/>
      <c r="D25" s="224"/>
      <c r="E25" s="1188"/>
      <c r="F25" s="1188"/>
      <c r="G25" s="225"/>
      <c r="H25" s="567"/>
    </row>
    <row r="26" spans="1:8" ht="27.6" x14ac:dyDescent="0.25">
      <c r="A26" s="543"/>
      <c r="B26" s="222" t="s">
        <v>546</v>
      </c>
      <c r="C26" s="519"/>
      <c r="D26" s="224"/>
      <c r="E26" s="1188"/>
      <c r="F26" s="1188"/>
      <c r="G26" s="225"/>
      <c r="H26" s="567"/>
    </row>
    <row r="27" spans="1:8" x14ac:dyDescent="0.25">
      <c r="A27" s="543"/>
      <c r="B27" s="222"/>
      <c r="C27" s="519"/>
      <c r="D27" s="224"/>
      <c r="E27" s="1188"/>
      <c r="F27" s="1188"/>
      <c r="G27" s="225"/>
      <c r="H27" s="567"/>
    </row>
    <row r="28" spans="1:8" ht="27.6" x14ac:dyDescent="0.25">
      <c r="A28" s="543"/>
      <c r="B28" s="280" t="s">
        <v>543</v>
      </c>
      <c r="C28" s="519"/>
      <c r="D28" s="224"/>
      <c r="E28" s="1188"/>
      <c r="F28" s="1188"/>
      <c r="G28" s="225"/>
      <c r="H28" s="567"/>
    </row>
    <row r="29" spans="1:8" x14ac:dyDescent="0.25">
      <c r="A29" s="543"/>
      <c r="B29" s="280"/>
      <c r="C29" s="519"/>
      <c r="D29" s="224"/>
      <c r="E29" s="1188"/>
      <c r="F29" s="1188"/>
      <c r="G29" s="225"/>
      <c r="H29" s="567"/>
    </row>
    <row r="30" spans="1:8" ht="33" customHeight="1" x14ac:dyDescent="0.25">
      <c r="A30" s="543"/>
      <c r="B30" s="280" t="s">
        <v>544</v>
      </c>
      <c r="C30" s="519"/>
      <c r="D30" s="224"/>
      <c r="E30" s="1188"/>
      <c r="F30" s="1188"/>
      <c r="G30" s="225"/>
      <c r="H30" s="567"/>
    </row>
    <row r="31" spans="1:8" ht="14.4" thickBot="1" x14ac:dyDescent="0.3">
      <c r="A31" s="551"/>
      <c r="B31" s="548"/>
      <c r="C31" s="601"/>
      <c r="D31" s="569"/>
      <c r="E31" s="1247"/>
      <c r="F31" s="1247"/>
      <c r="G31" s="570"/>
      <c r="H31" s="571"/>
    </row>
    <row r="32" spans="1:8" ht="14.4" hidden="1" thickBot="1" x14ac:dyDescent="0.3">
      <c r="A32" s="522">
        <v>1</v>
      </c>
      <c r="B32" s="662" t="s">
        <v>558</v>
      </c>
      <c r="C32" s="519"/>
      <c r="D32" s="224"/>
      <c r="E32" s="1188"/>
      <c r="F32" s="1188"/>
      <c r="G32" s="225"/>
      <c r="H32" s="224"/>
    </row>
    <row r="33" spans="1:8" ht="100.2" hidden="1" customHeight="1" x14ac:dyDescent="0.25">
      <c r="A33" s="165">
        <f>A32+0.01</f>
        <v>1.01</v>
      </c>
      <c r="B33" s="520" t="s">
        <v>559</v>
      </c>
      <c r="C33" s="519"/>
      <c r="D33" s="224"/>
      <c r="E33" s="1188"/>
      <c r="F33" s="1188"/>
      <c r="G33" s="225"/>
      <c r="H33" s="224"/>
    </row>
    <row r="34" spans="1:8" ht="14.4" hidden="1" thickBot="1" x14ac:dyDescent="0.3">
      <c r="A34" s="165"/>
      <c r="B34" s="280" t="s">
        <v>547</v>
      </c>
      <c r="C34" s="519"/>
      <c r="D34" s="224" t="s">
        <v>36</v>
      </c>
      <c r="E34" s="1188"/>
      <c r="F34" s="1188"/>
      <c r="G34" s="225"/>
      <c r="H34" s="224"/>
    </row>
    <row r="35" spans="1:8" ht="14.4" hidden="1" thickBot="1" x14ac:dyDescent="0.3">
      <c r="A35" s="165"/>
      <c r="B35" s="280"/>
      <c r="C35" s="519"/>
      <c r="D35" s="224"/>
      <c r="E35" s="1188"/>
      <c r="F35" s="1188"/>
      <c r="G35" s="225"/>
      <c r="H35" s="224"/>
    </row>
    <row r="36" spans="1:8" ht="14.4" hidden="1" thickBot="1" x14ac:dyDescent="0.3">
      <c r="A36" s="165"/>
      <c r="B36" s="521" t="s">
        <v>323</v>
      </c>
      <c r="C36" s="519"/>
      <c r="D36" s="224"/>
      <c r="E36" s="1188"/>
      <c r="F36" s="1188"/>
      <c r="G36" s="225"/>
      <c r="H36" s="224"/>
    </row>
    <row r="37" spans="1:8" ht="154.19999999999999" hidden="1" customHeight="1" x14ac:dyDescent="0.25">
      <c r="A37" s="165">
        <f>A32+0.01</f>
        <v>1.01</v>
      </c>
      <c r="B37" s="280" t="s">
        <v>618</v>
      </c>
      <c r="C37" s="519"/>
      <c r="D37" s="224"/>
      <c r="E37" s="1188"/>
      <c r="F37" s="1188"/>
      <c r="G37" s="225"/>
      <c r="H37" s="224"/>
    </row>
    <row r="38" spans="1:8" ht="14.4" hidden="1" thickBot="1" x14ac:dyDescent="0.3">
      <c r="A38" s="165"/>
      <c r="B38" s="280" t="s">
        <v>548</v>
      </c>
      <c r="C38" s="519"/>
      <c r="D38" s="224" t="s">
        <v>577</v>
      </c>
      <c r="E38" s="1188"/>
      <c r="F38" s="1188"/>
      <c r="G38" s="225"/>
      <c r="H38" s="224"/>
    </row>
    <row r="39" spans="1:8" ht="14.4" hidden="1" thickBot="1" x14ac:dyDescent="0.3">
      <c r="A39" s="165"/>
      <c r="B39" s="280"/>
      <c r="C39" s="519"/>
      <c r="D39" s="224"/>
      <c r="E39" s="1188"/>
      <c r="F39" s="1188"/>
      <c r="G39" s="225"/>
      <c r="H39" s="224"/>
    </row>
    <row r="40" spans="1:8" x14ac:dyDescent="0.25">
      <c r="A40" s="603">
        <v>1</v>
      </c>
      <c r="B40" s="604" t="s">
        <v>322</v>
      </c>
      <c r="C40" s="605"/>
      <c r="D40" s="572"/>
      <c r="E40" s="1248"/>
      <c r="F40" s="1248"/>
      <c r="G40" s="566"/>
      <c r="H40" s="573"/>
    </row>
    <row r="41" spans="1:8" x14ac:dyDescent="0.25">
      <c r="A41" s="543"/>
      <c r="B41" s="518" t="s">
        <v>477</v>
      </c>
      <c r="C41" s="519"/>
      <c r="D41" s="224"/>
      <c r="E41" s="1188"/>
      <c r="F41" s="1188"/>
      <c r="G41" s="225"/>
      <c r="H41" s="567"/>
    </row>
    <row r="42" spans="1:8" x14ac:dyDescent="0.25">
      <c r="A42" s="543">
        <f>A40+0.01</f>
        <v>1.01</v>
      </c>
      <c r="B42" s="222" t="s">
        <v>750</v>
      </c>
      <c r="C42" s="519">
        <v>1</v>
      </c>
      <c r="D42" s="224" t="s">
        <v>488</v>
      </c>
      <c r="E42" s="1188">
        <f>45*11500*3.28</f>
        <v>1697400</v>
      </c>
      <c r="F42" s="1188">
        <f>+$I$1</f>
        <v>0.85</v>
      </c>
      <c r="G42" s="1267">
        <f>ROUNDUP(E42/F42,-1)</f>
        <v>1996950</v>
      </c>
      <c r="H42" s="1184">
        <f>+G42*C42</f>
        <v>1996950</v>
      </c>
    </row>
    <row r="43" spans="1:8" x14ac:dyDescent="0.25">
      <c r="A43" s="543"/>
      <c r="B43" s="222"/>
      <c r="C43" s="519"/>
      <c r="D43" s="224"/>
      <c r="E43" s="1188"/>
      <c r="F43" s="1188"/>
      <c r="G43" s="225"/>
      <c r="H43" s="567"/>
    </row>
    <row r="44" spans="1:8" hidden="1" x14ac:dyDescent="0.25">
      <c r="A44" s="543">
        <f>A42+0.01</f>
        <v>1.02</v>
      </c>
      <c r="B44" s="518" t="s">
        <v>560</v>
      </c>
      <c r="C44" s="519"/>
      <c r="D44" s="224"/>
      <c r="E44" s="1188"/>
      <c r="F44" s="1188"/>
      <c r="G44" s="225"/>
      <c r="H44" s="567"/>
    </row>
    <row r="45" spans="1:8" ht="136.80000000000001" hidden="1" customHeight="1" x14ac:dyDescent="0.25">
      <c r="A45" s="543"/>
      <c r="B45" s="222" t="s">
        <v>591</v>
      </c>
      <c r="C45" s="519"/>
      <c r="D45" s="224"/>
      <c r="E45" s="1188"/>
      <c r="F45" s="1188"/>
      <c r="G45" s="225"/>
      <c r="H45" s="567"/>
    </row>
    <row r="46" spans="1:8" hidden="1" x14ac:dyDescent="0.25">
      <c r="A46" s="543"/>
      <c r="B46" s="518"/>
      <c r="C46" s="519"/>
      <c r="D46" s="224"/>
      <c r="E46" s="1188"/>
      <c r="F46" s="1188"/>
      <c r="G46" s="225"/>
      <c r="H46" s="567"/>
    </row>
    <row r="47" spans="1:8" hidden="1" x14ac:dyDescent="0.25">
      <c r="A47" s="606">
        <v>3</v>
      </c>
      <c r="B47" s="282" t="s">
        <v>478</v>
      </c>
      <c r="C47" s="519"/>
      <c r="D47" s="224"/>
      <c r="E47" s="1188"/>
      <c r="F47" s="1188"/>
      <c r="G47" s="225"/>
      <c r="H47" s="567"/>
    </row>
    <row r="48" spans="1:8" hidden="1" x14ac:dyDescent="0.25">
      <c r="A48" s="543"/>
      <c r="B48" s="280"/>
      <c r="C48" s="519"/>
      <c r="D48" s="224"/>
      <c r="E48" s="1188"/>
      <c r="F48" s="1188"/>
      <c r="G48" s="225"/>
      <c r="H48" s="567"/>
    </row>
    <row r="49" spans="1:12" hidden="1" x14ac:dyDescent="0.25">
      <c r="A49" s="543">
        <f>A47+0.01</f>
        <v>3.01</v>
      </c>
      <c r="B49" s="521" t="s">
        <v>561</v>
      </c>
      <c r="C49" s="519"/>
      <c r="D49" s="224"/>
      <c r="E49" s="1188"/>
      <c r="F49" s="1188"/>
      <c r="G49" s="225"/>
      <c r="H49" s="567"/>
    </row>
    <row r="50" spans="1:12" ht="76.2" hidden="1" customHeight="1" x14ac:dyDescent="0.25">
      <c r="A50" s="543"/>
      <c r="B50" s="523" t="s">
        <v>562</v>
      </c>
      <c r="C50" s="524"/>
      <c r="D50" s="224" t="s">
        <v>36</v>
      </c>
      <c r="E50" s="1188"/>
      <c r="F50" s="1188"/>
      <c r="G50" s="525"/>
      <c r="H50" s="607"/>
      <c r="I50" s="602"/>
    </row>
    <row r="51" spans="1:12" hidden="1" x14ac:dyDescent="0.25">
      <c r="A51" s="543"/>
      <c r="B51" s="521"/>
      <c r="C51" s="519"/>
      <c r="D51" s="224"/>
      <c r="E51" s="1188"/>
      <c r="F51" s="1188"/>
      <c r="G51" s="225"/>
      <c r="H51" s="567"/>
    </row>
    <row r="52" spans="1:12" hidden="1" x14ac:dyDescent="0.25">
      <c r="A52" s="543">
        <f>A49+0.01</f>
        <v>3.0199999999999996</v>
      </c>
      <c r="B52" s="526" t="s">
        <v>628</v>
      </c>
      <c r="C52" s="519"/>
      <c r="D52" s="224"/>
      <c r="E52" s="1188"/>
      <c r="F52" s="1188"/>
      <c r="G52" s="225"/>
      <c r="H52" s="567"/>
    </row>
    <row r="53" spans="1:12" hidden="1" x14ac:dyDescent="0.25">
      <c r="A53" s="543"/>
      <c r="B53" s="527"/>
      <c r="C53" s="519"/>
      <c r="D53" s="224"/>
      <c r="E53" s="1188"/>
      <c r="F53" s="1188"/>
      <c r="G53" s="225"/>
      <c r="H53" s="567"/>
    </row>
    <row r="54" spans="1:12" hidden="1" x14ac:dyDescent="0.25">
      <c r="A54" s="543"/>
      <c r="B54" s="222" t="s">
        <v>202</v>
      </c>
      <c r="C54" s="519"/>
      <c r="D54" s="165" t="s">
        <v>577</v>
      </c>
      <c r="E54" s="1178"/>
      <c r="F54" s="1178"/>
      <c r="G54" s="225"/>
      <c r="H54" s="567"/>
    </row>
    <row r="55" spans="1:12" hidden="1" x14ac:dyDescent="0.25">
      <c r="A55" s="543"/>
      <c r="B55" s="222"/>
      <c r="C55" s="519"/>
      <c r="D55" s="224"/>
      <c r="E55" s="1188"/>
      <c r="F55" s="1188"/>
      <c r="G55" s="225"/>
      <c r="H55" s="567"/>
    </row>
    <row r="56" spans="1:12" hidden="1" x14ac:dyDescent="0.25">
      <c r="A56" s="543">
        <f>A52+0.01</f>
        <v>3.0299999999999994</v>
      </c>
      <c r="B56" s="521" t="s">
        <v>588</v>
      </c>
      <c r="C56" s="519"/>
      <c r="D56" s="224"/>
      <c r="E56" s="1188"/>
      <c r="F56" s="1188"/>
      <c r="G56" s="225"/>
      <c r="H56" s="567"/>
    </row>
    <row r="57" spans="1:12" ht="55.2" hidden="1" x14ac:dyDescent="0.25">
      <c r="A57" s="543"/>
      <c r="B57" s="523" t="s">
        <v>589</v>
      </c>
      <c r="C57" s="519"/>
      <c r="D57" s="224"/>
      <c r="E57" s="1188"/>
      <c r="F57" s="1188"/>
      <c r="G57" s="225"/>
      <c r="H57" s="567"/>
    </row>
    <row r="58" spans="1:12" hidden="1" x14ac:dyDescent="0.25">
      <c r="A58" s="543"/>
      <c r="B58" s="222" t="s">
        <v>196</v>
      </c>
      <c r="C58" s="524"/>
      <c r="D58" s="224" t="s">
        <v>36</v>
      </c>
      <c r="E58" s="1188"/>
      <c r="F58" s="1188"/>
      <c r="G58" s="525"/>
      <c r="H58" s="607"/>
    </row>
    <row r="59" spans="1:12" hidden="1" x14ac:dyDescent="0.25">
      <c r="A59" s="543"/>
      <c r="B59" s="518"/>
      <c r="C59" s="519"/>
      <c r="D59" s="224"/>
      <c r="E59" s="1188"/>
      <c r="F59" s="1188"/>
      <c r="G59" s="225"/>
      <c r="H59" s="567"/>
    </row>
    <row r="60" spans="1:12" x14ac:dyDescent="0.25">
      <c r="A60" s="606">
        <v>2</v>
      </c>
      <c r="B60" s="282" t="s">
        <v>482</v>
      </c>
      <c r="C60" s="519"/>
      <c r="D60" s="224"/>
      <c r="E60" s="1188"/>
      <c r="F60" s="1188"/>
      <c r="G60" s="225"/>
      <c r="H60" s="567"/>
    </row>
    <row r="61" spans="1:12" x14ac:dyDescent="0.25">
      <c r="A61" s="606"/>
      <c r="B61" s="282" t="s">
        <v>483</v>
      </c>
      <c r="C61" s="519"/>
      <c r="D61" s="224"/>
      <c r="E61" s="1188"/>
      <c r="F61" s="1188"/>
      <c r="G61" s="225"/>
      <c r="H61" s="567"/>
    </row>
    <row r="62" spans="1:12" x14ac:dyDescent="0.25">
      <c r="A62" s="606"/>
      <c r="B62" s="282"/>
      <c r="C62" s="519"/>
      <c r="D62" s="224"/>
      <c r="E62" s="1188"/>
      <c r="F62" s="1188"/>
      <c r="G62" s="225"/>
      <c r="H62" s="567"/>
    </row>
    <row r="63" spans="1:12" ht="43.8" customHeight="1" x14ac:dyDescent="0.25">
      <c r="A63" s="606">
        <f>A60+0.01</f>
        <v>2.0099999999999998</v>
      </c>
      <c r="B63" s="528" t="s">
        <v>1002</v>
      </c>
      <c r="C63" s="225">
        <v>1</v>
      </c>
      <c r="D63" s="529" t="s">
        <v>449</v>
      </c>
      <c r="E63" s="1287">
        <f>+K63</f>
        <v>320734.08000000002</v>
      </c>
      <c r="F63" s="1188">
        <f>+$I$1</f>
        <v>0.85</v>
      </c>
      <c r="G63" s="1267">
        <f>ROUNDUP(E63/F63,-1)</f>
        <v>377340</v>
      </c>
      <c r="H63" s="1184">
        <f>+G63*C63</f>
        <v>377340</v>
      </c>
      <c r="I63" s="1286">
        <f>1.2*3.6*10.76</f>
        <v>46.483200000000004</v>
      </c>
      <c r="J63" s="534">
        <v>6900</v>
      </c>
      <c r="K63" s="1286">
        <f>+J63*I63</f>
        <v>320734.08000000002</v>
      </c>
      <c r="L63" s="530"/>
    </row>
    <row r="64" spans="1:12" x14ac:dyDescent="0.25">
      <c r="A64" s="606"/>
      <c r="B64" s="528"/>
      <c r="C64" s="225"/>
      <c r="D64" s="529"/>
      <c r="E64" s="1287"/>
      <c r="F64" s="1287"/>
      <c r="G64" s="524"/>
      <c r="H64" s="608"/>
      <c r="I64" s="531"/>
      <c r="J64" s="532"/>
      <c r="K64" s="531"/>
      <c r="L64" s="533"/>
    </row>
    <row r="65" spans="1:12" ht="41.4" x14ac:dyDescent="0.25">
      <c r="A65" s="606">
        <f>A63+0.01</f>
        <v>2.0199999999999996</v>
      </c>
      <c r="B65" s="528" t="s">
        <v>845</v>
      </c>
      <c r="C65" s="225">
        <v>1</v>
      </c>
      <c r="D65" s="529" t="str">
        <f>D63</f>
        <v>nr</v>
      </c>
      <c r="E65" s="1287">
        <f>+K65</f>
        <v>157365.00000000003</v>
      </c>
      <c r="F65" s="1188">
        <f>+$I$1</f>
        <v>0.85</v>
      </c>
      <c r="G65" s="1267">
        <f>ROUNDUP(E65/F65,-1)</f>
        <v>185140</v>
      </c>
      <c r="H65" s="1184">
        <f>+G65*C65</f>
        <v>185140</v>
      </c>
      <c r="I65" s="1286">
        <f>0.9*2.6*10.76</f>
        <v>25.178400000000003</v>
      </c>
      <c r="J65" s="534">
        <v>6250</v>
      </c>
      <c r="K65" s="1286">
        <f>+J65*I65</f>
        <v>157365.00000000003</v>
      </c>
      <c r="L65" s="530"/>
    </row>
    <row r="66" spans="1:12" x14ac:dyDescent="0.25">
      <c r="A66" s="606"/>
      <c r="B66" s="528"/>
      <c r="C66" s="225"/>
      <c r="D66" s="529"/>
      <c r="E66" s="1287"/>
      <c r="F66" s="1287"/>
      <c r="G66" s="524"/>
      <c r="H66" s="608"/>
      <c r="I66" s="531"/>
      <c r="J66" s="532"/>
      <c r="K66" s="531"/>
      <c r="L66" s="533"/>
    </row>
    <row r="67" spans="1:12" ht="41.4" x14ac:dyDescent="0.25">
      <c r="A67" s="606">
        <f>A65+0.01</f>
        <v>2.0299999999999994</v>
      </c>
      <c r="B67" s="528" t="s">
        <v>846</v>
      </c>
      <c r="C67" s="225">
        <v>1</v>
      </c>
      <c r="D67" s="529" t="str">
        <f>D65</f>
        <v>nr</v>
      </c>
      <c r="E67" s="1287">
        <f>+K67</f>
        <v>181575</v>
      </c>
      <c r="F67" s="1188">
        <f>+$I$1</f>
        <v>0.85</v>
      </c>
      <c r="G67" s="1267">
        <f>ROUNDUP(E67/F67,-1)</f>
        <v>213620</v>
      </c>
      <c r="H67" s="1184">
        <f>+G67*C67</f>
        <v>213620</v>
      </c>
      <c r="I67" s="1286">
        <f>0.9*3*10.76</f>
        <v>29.052</v>
      </c>
      <c r="J67" s="534">
        <v>6250</v>
      </c>
      <c r="K67" s="1286">
        <f>+J67*I67</f>
        <v>181575</v>
      </c>
      <c r="L67" s="530"/>
    </row>
    <row r="68" spans="1:12" x14ac:dyDescent="0.25">
      <c r="A68" s="606"/>
      <c r="B68" s="222"/>
      <c r="C68" s="225"/>
      <c r="D68" s="529"/>
      <c r="E68" s="1287"/>
      <c r="F68" s="1287"/>
      <c r="G68" s="524"/>
      <c r="H68" s="608"/>
      <c r="I68" s="531"/>
      <c r="J68" s="532"/>
      <c r="K68" s="531"/>
      <c r="L68" s="533"/>
    </row>
    <row r="69" spans="1:12" ht="41.4" x14ac:dyDescent="0.25">
      <c r="A69" s="606">
        <f>A67+0.01</f>
        <v>2.0399999999999991</v>
      </c>
      <c r="B69" s="528" t="s">
        <v>847</v>
      </c>
      <c r="C69" s="225">
        <v>5</v>
      </c>
      <c r="D69" s="529" t="str">
        <f>D67</f>
        <v>nr</v>
      </c>
      <c r="E69" s="1287">
        <f>+K69</f>
        <v>127102.5</v>
      </c>
      <c r="F69" s="1188">
        <f>+$I$1</f>
        <v>0.85</v>
      </c>
      <c r="G69" s="1267">
        <f>ROUNDUP(E69/F69,-1)</f>
        <v>149540</v>
      </c>
      <c r="H69" s="1184">
        <f>+G69*C69</f>
        <v>747700</v>
      </c>
      <c r="I69" s="1286">
        <f>0.9*2.1*10.76</f>
        <v>20.336400000000001</v>
      </c>
      <c r="J69" s="534">
        <v>6250</v>
      </c>
      <c r="K69" s="1286">
        <f>+J69*I69</f>
        <v>127102.5</v>
      </c>
      <c r="L69" s="530"/>
    </row>
    <row r="70" spans="1:12" x14ac:dyDescent="0.25">
      <c r="A70" s="606"/>
      <c r="B70" s="222"/>
      <c r="C70" s="225"/>
      <c r="D70" s="529"/>
      <c r="E70" s="1287"/>
      <c r="F70" s="1287"/>
      <c r="G70" s="524"/>
      <c r="H70" s="608"/>
      <c r="I70" s="531"/>
      <c r="J70" s="532"/>
      <c r="K70" s="531"/>
      <c r="L70" s="533"/>
    </row>
    <row r="71" spans="1:12" ht="41.4" x14ac:dyDescent="0.25">
      <c r="A71" s="606">
        <f>A69+0.01</f>
        <v>2.0499999999999989</v>
      </c>
      <c r="B71" s="528" t="s">
        <v>848</v>
      </c>
      <c r="C71" s="225">
        <v>7</v>
      </c>
      <c r="D71" s="529" t="str">
        <f>D69</f>
        <v>nr</v>
      </c>
      <c r="E71" s="1287">
        <f>+K71</f>
        <v>105918.75000000001</v>
      </c>
      <c r="F71" s="1188">
        <f>+$I$1</f>
        <v>0.85</v>
      </c>
      <c r="G71" s="1267">
        <f>ROUNDUP(E71/F71,-1)</f>
        <v>124620</v>
      </c>
      <c r="H71" s="1184">
        <f>+G71*C71</f>
        <v>872340</v>
      </c>
      <c r="I71" s="1286">
        <f>0.75*2.1*10.76</f>
        <v>16.947000000000003</v>
      </c>
      <c r="J71" s="534">
        <v>6250</v>
      </c>
      <c r="K71" s="1286">
        <f>+J71*I71</f>
        <v>105918.75000000001</v>
      </c>
      <c r="L71" s="533"/>
    </row>
    <row r="72" spans="1:12" x14ac:dyDescent="0.25">
      <c r="A72" s="606"/>
      <c r="B72" s="528"/>
      <c r="C72" s="225"/>
      <c r="D72" s="529"/>
      <c r="E72" s="1287"/>
      <c r="F72" s="1287"/>
      <c r="G72" s="524"/>
      <c r="H72" s="567"/>
      <c r="I72" s="531"/>
      <c r="J72" s="532"/>
      <c r="K72" s="531"/>
      <c r="L72" s="533"/>
    </row>
    <row r="73" spans="1:12" ht="41.4" x14ac:dyDescent="0.25">
      <c r="A73" s="606">
        <f t="shared" ref="A73" si="0">A71+0.01</f>
        <v>2.0599999999999987</v>
      </c>
      <c r="B73" s="528" t="s">
        <v>849</v>
      </c>
      <c r="C73" s="225">
        <v>1</v>
      </c>
      <c r="D73" s="529" t="str">
        <f t="shared" ref="D73" si="1">D71</f>
        <v>nr</v>
      </c>
      <c r="E73" s="1287">
        <f>+K73</f>
        <v>266310</v>
      </c>
      <c r="F73" s="1188">
        <f>+$I$1</f>
        <v>0.85</v>
      </c>
      <c r="G73" s="1267">
        <f>ROUNDUP(E73/F73,-1)</f>
        <v>313310</v>
      </c>
      <c r="H73" s="1184">
        <f>+G73*C73</f>
        <v>313310</v>
      </c>
      <c r="I73" s="1286">
        <f>1.32*3*10.76</f>
        <v>42.6096</v>
      </c>
      <c r="J73" s="534">
        <v>6250</v>
      </c>
      <c r="K73" s="1286">
        <f>+J73*I73</f>
        <v>266310</v>
      </c>
      <c r="L73" s="533"/>
    </row>
    <row r="74" spans="1:12" x14ac:dyDescent="0.25">
      <c r="A74" s="606"/>
      <c r="B74" s="528"/>
      <c r="C74" s="225"/>
      <c r="D74" s="529"/>
      <c r="E74" s="1287"/>
      <c r="F74" s="1287"/>
      <c r="G74" s="524"/>
      <c r="H74" s="567"/>
      <c r="I74" s="531"/>
      <c r="J74" s="532"/>
      <c r="K74" s="531"/>
      <c r="L74" s="533"/>
    </row>
    <row r="75" spans="1:12" ht="27.6" x14ac:dyDescent="0.25">
      <c r="A75" s="606">
        <f t="shared" ref="A75" si="2">A73+0.01</f>
        <v>2.0699999999999985</v>
      </c>
      <c r="B75" s="528" t="s">
        <v>1003</v>
      </c>
      <c r="C75" s="225">
        <v>1</v>
      </c>
      <c r="D75" s="529" t="str">
        <f t="shared" ref="D75" si="3">D73</f>
        <v>nr</v>
      </c>
      <c r="E75" s="1287">
        <f>+K75</f>
        <v>271273.05</v>
      </c>
      <c r="F75" s="1188">
        <f>+$I$1</f>
        <v>0.85</v>
      </c>
      <c r="G75" s="1267">
        <f>ROUNDUP(E75/F75,-1)</f>
        <v>319150</v>
      </c>
      <c r="H75" s="1184">
        <f>+G75*C75</f>
        <v>319150</v>
      </c>
      <c r="I75" s="1286">
        <f>2.025*3*10.76</f>
        <v>65.36699999999999</v>
      </c>
      <c r="J75" s="534">
        <v>4150</v>
      </c>
      <c r="K75" s="1286">
        <f>+J75*I75</f>
        <v>271273.05</v>
      </c>
      <c r="L75" s="533"/>
    </row>
    <row r="76" spans="1:12" x14ac:dyDescent="0.25">
      <c r="A76" s="606"/>
      <c r="B76" s="528"/>
      <c r="C76" s="225"/>
      <c r="D76" s="529"/>
      <c r="E76" s="1287"/>
      <c r="F76" s="1287"/>
      <c r="G76" s="524"/>
      <c r="H76" s="567"/>
      <c r="I76" s="531"/>
      <c r="J76" s="532"/>
      <c r="K76" s="531"/>
      <c r="L76" s="533"/>
    </row>
    <row r="77" spans="1:12" ht="27.6" x14ac:dyDescent="0.25">
      <c r="A77" s="606">
        <f t="shared" ref="A77" si="4">A75+0.01</f>
        <v>2.0799999999999983</v>
      </c>
      <c r="B77" s="528" t="s">
        <v>1004</v>
      </c>
      <c r="C77" s="225">
        <v>1</v>
      </c>
      <c r="D77" s="529" t="str">
        <f t="shared" ref="D77" si="5">D75</f>
        <v>nr</v>
      </c>
      <c r="E77" s="1287">
        <f>+K77</f>
        <v>178169.45999999996</v>
      </c>
      <c r="F77" s="1188">
        <f>+$I$1</f>
        <v>0.85</v>
      </c>
      <c r="G77" s="1267">
        <f>ROUNDUP(E77/F77,-1)</f>
        <v>209620</v>
      </c>
      <c r="H77" s="1184">
        <f>+G77*C77</f>
        <v>209620</v>
      </c>
      <c r="I77" s="1286">
        <f>1.9*2.1*10.76</f>
        <v>42.932399999999994</v>
      </c>
      <c r="J77" s="534">
        <v>4150</v>
      </c>
      <c r="K77" s="1286">
        <f>+J77*I77</f>
        <v>178169.45999999996</v>
      </c>
      <c r="L77" s="533"/>
    </row>
    <row r="78" spans="1:12" x14ac:dyDescent="0.25">
      <c r="A78" s="606"/>
      <c r="B78" s="528"/>
      <c r="C78" s="225"/>
      <c r="D78" s="529"/>
      <c r="E78" s="1287"/>
      <c r="F78" s="1287"/>
      <c r="G78" s="524"/>
      <c r="H78" s="567"/>
      <c r="I78" s="531"/>
      <c r="J78" s="532"/>
      <c r="K78" s="531"/>
      <c r="L78" s="533"/>
    </row>
    <row r="79" spans="1:12" ht="27.6" x14ac:dyDescent="0.25">
      <c r="A79" s="606">
        <f t="shared" ref="A79:A109" si="6">A77+0.01</f>
        <v>2.0899999999999981</v>
      </c>
      <c r="B79" s="528" t="s">
        <v>1005</v>
      </c>
      <c r="C79" s="225">
        <v>1</v>
      </c>
      <c r="D79" s="529" t="str">
        <f t="shared" ref="D79:D83" si="7">D77</f>
        <v>nr</v>
      </c>
      <c r="E79" s="1287">
        <f>+K79</f>
        <v>120565.8</v>
      </c>
      <c r="F79" s="1188">
        <f>+$I$1</f>
        <v>0.85</v>
      </c>
      <c r="G79" s="1267">
        <f>ROUNDUP(E79/F79,-1)</f>
        <v>141850</v>
      </c>
      <c r="H79" s="1184">
        <f>+G79*C79</f>
        <v>141850</v>
      </c>
      <c r="I79" s="1286">
        <f>0.9*3*10.76</f>
        <v>29.052</v>
      </c>
      <c r="J79" s="534">
        <v>4150</v>
      </c>
      <c r="K79" s="1286">
        <f>+J79*I79</f>
        <v>120565.8</v>
      </c>
      <c r="L79" s="533"/>
    </row>
    <row r="80" spans="1:12" x14ac:dyDescent="0.25">
      <c r="A80" s="606"/>
      <c r="B80" s="528"/>
      <c r="C80" s="225"/>
      <c r="D80" s="529"/>
      <c r="E80" s="1287"/>
      <c r="F80" s="1287"/>
      <c r="G80" s="524"/>
      <c r="H80" s="567"/>
      <c r="I80" s="531"/>
      <c r="J80" s="532"/>
      <c r="K80" s="531"/>
      <c r="L80" s="533"/>
    </row>
    <row r="81" spans="1:12" ht="27.6" x14ac:dyDescent="0.25">
      <c r="A81" s="606">
        <f t="shared" si="6"/>
        <v>2.0999999999999979</v>
      </c>
      <c r="B81" s="528" t="s">
        <v>1006</v>
      </c>
      <c r="C81" s="225">
        <v>1</v>
      </c>
      <c r="D81" s="529" t="str">
        <f t="shared" si="7"/>
        <v>nr</v>
      </c>
      <c r="E81" s="1287">
        <f>+K81</f>
        <v>147358.20000000001</v>
      </c>
      <c r="F81" s="1188">
        <f>+$I$1</f>
        <v>0.85</v>
      </c>
      <c r="G81" s="1267">
        <f>ROUNDUP(E81/F81,-1)</f>
        <v>173370</v>
      </c>
      <c r="H81" s="1184">
        <f>+G81*C81</f>
        <v>173370</v>
      </c>
      <c r="I81" s="1286">
        <f>1.1*3*10.76</f>
        <v>35.508000000000003</v>
      </c>
      <c r="J81" s="534">
        <v>4150</v>
      </c>
      <c r="K81" s="1286">
        <f>+J81*I81</f>
        <v>147358.20000000001</v>
      </c>
      <c r="L81" s="533"/>
    </row>
    <row r="82" spans="1:12" x14ac:dyDescent="0.25">
      <c r="A82" s="606"/>
      <c r="B82" s="528"/>
      <c r="C82" s="225"/>
      <c r="D82" s="529"/>
      <c r="E82" s="1287"/>
      <c r="F82" s="1287"/>
      <c r="G82" s="524"/>
      <c r="H82" s="567"/>
      <c r="I82" s="531"/>
      <c r="J82" s="532"/>
      <c r="K82" s="531"/>
      <c r="L82" s="533"/>
    </row>
    <row r="83" spans="1:12" ht="27.6" x14ac:dyDescent="0.25">
      <c r="A83" s="606">
        <f t="shared" si="6"/>
        <v>2.1099999999999977</v>
      </c>
      <c r="B83" s="528" t="s">
        <v>1007</v>
      </c>
      <c r="C83" s="225">
        <v>1</v>
      </c>
      <c r="D83" s="529" t="str">
        <f t="shared" si="7"/>
        <v>nr</v>
      </c>
      <c r="E83" s="1287">
        <f>+K83</f>
        <v>147358.20000000001</v>
      </c>
      <c r="F83" s="1188">
        <f>+$I$1</f>
        <v>0.85</v>
      </c>
      <c r="G83" s="1267">
        <f>ROUNDUP(E83/F83,-1)</f>
        <v>173370</v>
      </c>
      <c r="H83" s="1184">
        <f>+G83*C83</f>
        <v>173370</v>
      </c>
      <c r="I83" s="1286">
        <f>1.1*3*10.76</f>
        <v>35.508000000000003</v>
      </c>
      <c r="J83" s="534">
        <v>4150</v>
      </c>
      <c r="K83" s="1286">
        <f>+J83*I83</f>
        <v>147358.20000000001</v>
      </c>
      <c r="L83" s="533"/>
    </row>
    <row r="84" spans="1:12" x14ac:dyDescent="0.25">
      <c r="A84" s="606"/>
      <c r="B84" s="528"/>
      <c r="C84" s="225"/>
      <c r="D84" s="529"/>
      <c r="E84" s="1287"/>
      <c r="F84" s="1287"/>
      <c r="G84" s="524"/>
      <c r="H84" s="567"/>
      <c r="I84" s="531"/>
      <c r="J84" s="532"/>
      <c r="K84" s="531"/>
      <c r="L84" s="533"/>
    </row>
    <row r="85" spans="1:12" x14ac:dyDescent="0.25">
      <c r="A85" s="606">
        <v>3</v>
      </c>
      <c r="B85" s="539" t="s">
        <v>484</v>
      </c>
      <c r="C85" s="225"/>
      <c r="D85" s="529"/>
      <c r="E85" s="1287"/>
      <c r="F85" s="1287"/>
      <c r="G85" s="524"/>
      <c r="H85" s="567"/>
      <c r="I85" s="531"/>
      <c r="J85" s="532"/>
      <c r="K85" s="531"/>
      <c r="L85" s="533"/>
    </row>
    <row r="86" spans="1:12" x14ac:dyDescent="0.25">
      <c r="A86" s="606"/>
      <c r="B86" s="528"/>
      <c r="C86" s="225"/>
      <c r="D86" s="529"/>
      <c r="E86" s="1287"/>
      <c r="F86" s="1287"/>
      <c r="G86" s="524"/>
      <c r="H86" s="567"/>
      <c r="I86" s="531"/>
      <c r="J86" s="532"/>
      <c r="K86" s="531"/>
      <c r="L86" s="533"/>
    </row>
    <row r="87" spans="1:12" ht="41.4" x14ac:dyDescent="0.25">
      <c r="A87" s="606">
        <f t="shared" si="6"/>
        <v>3.01</v>
      </c>
      <c r="B87" s="528" t="s">
        <v>1008</v>
      </c>
      <c r="C87" s="225">
        <v>2</v>
      </c>
      <c r="D87" s="529" t="s">
        <v>449</v>
      </c>
      <c r="E87" s="1287">
        <f>+K87</f>
        <v>416412</v>
      </c>
      <c r="F87" s="1188">
        <f>+$I$1</f>
        <v>0.85</v>
      </c>
      <c r="G87" s="1267">
        <f>ROUNDUP(E87/F87,-1)</f>
        <v>489900</v>
      </c>
      <c r="H87" s="1184">
        <f>+G87*C87</f>
        <v>979800</v>
      </c>
      <c r="I87" s="1286">
        <f>3*3*10.76</f>
        <v>96.84</v>
      </c>
      <c r="J87" s="534">
        <v>4300</v>
      </c>
      <c r="K87" s="1286">
        <f>+J87*I87</f>
        <v>416412</v>
      </c>
      <c r="L87" s="533"/>
    </row>
    <row r="88" spans="1:12" x14ac:dyDescent="0.25">
      <c r="A88" s="606"/>
      <c r="B88" s="528"/>
      <c r="C88" s="225"/>
      <c r="D88" s="529"/>
      <c r="E88" s="1287"/>
      <c r="F88" s="1287"/>
      <c r="G88" s="524"/>
      <c r="H88" s="567"/>
      <c r="I88" s="531"/>
      <c r="J88" s="534"/>
      <c r="K88" s="531"/>
      <c r="L88" s="533"/>
    </row>
    <row r="89" spans="1:12" ht="41.4" x14ac:dyDescent="0.25">
      <c r="A89" s="606">
        <f t="shared" si="6"/>
        <v>3.0199999999999996</v>
      </c>
      <c r="B89" s="528" t="s">
        <v>1009</v>
      </c>
      <c r="C89" s="225">
        <v>1</v>
      </c>
      <c r="D89" s="529" t="s">
        <v>449</v>
      </c>
      <c r="E89" s="1287">
        <f>+K89</f>
        <v>291488.40000000002</v>
      </c>
      <c r="F89" s="1188">
        <f>+$I$1</f>
        <v>0.85</v>
      </c>
      <c r="G89" s="1267">
        <f>ROUNDUP(E89/F89,-1)</f>
        <v>342930</v>
      </c>
      <c r="H89" s="1184">
        <f>+G89*C89</f>
        <v>342930</v>
      </c>
      <c r="I89" s="1286">
        <f>2.1*3*10.76</f>
        <v>67.788000000000011</v>
      </c>
      <c r="J89" s="534">
        <v>4300</v>
      </c>
      <c r="K89" s="1286">
        <f>+J89*I89</f>
        <v>291488.40000000002</v>
      </c>
      <c r="L89" s="533"/>
    </row>
    <row r="90" spans="1:12" ht="14.4" thickBot="1" x14ac:dyDescent="0.3">
      <c r="A90" s="609"/>
      <c r="B90" s="748"/>
      <c r="C90" s="570"/>
      <c r="D90" s="610"/>
      <c r="E90" s="1288"/>
      <c r="F90" s="1288"/>
      <c r="G90" s="611"/>
      <c r="H90" s="571"/>
      <c r="I90" s="531"/>
      <c r="J90" s="534"/>
      <c r="K90" s="531"/>
      <c r="L90" s="533"/>
    </row>
    <row r="91" spans="1:12" ht="41.4" x14ac:dyDescent="0.25">
      <c r="A91" s="603">
        <f t="shared" si="6"/>
        <v>3.0299999999999994</v>
      </c>
      <c r="B91" s="749" t="s">
        <v>1010</v>
      </c>
      <c r="C91" s="566">
        <v>1</v>
      </c>
      <c r="D91" s="750" t="s">
        <v>449</v>
      </c>
      <c r="E91" s="1287">
        <f>+K91</f>
        <v>288018.30000000005</v>
      </c>
      <c r="F91" s="1188">
        <f>+$I$1</f>
        <v>0.85</v>
      </c>
      <c r="G91" s="1267">
        <f>ROUNDUP(E91/F91,-1)</f>
        <v>338850</v>
      </c>
      <c r="H91" s="1184">
        <f>+G91*C91</f>
        <v>338850</v>
      </c>
      <c r="I91" s="1286">
        <f>2.075*3*10.76</f>
        <v>66.981000000000009</v>
      </c>
      <c r="J91" s="534">
        <v>4300</v>
      </c>
      <c r="K91" s="1286">
        <f>+J91*I91</f>
        <v>288018.30000000005</v>
      </c>
      <c r="L91" s="533"/>
    </row>
    <row r="92" spans="1:12" x14ac:dyDescent="0.25">
      <c r="A92" s="606"/>
      <c r="B92" s="528"/>
      <c r="C92" s="225"/>
      <c r="D92" s="529"/>
      <c r="E92" s="1287"/>
      <c r="F92" s="1287"/>
      <c r="G92" s="524"/>
      <c r="H92" s="567"/>
      <c r="I92" s="531"/>
      <c r="J92" s="534"/>
      <c r="K92" s="531"/>
      <c r="L92" s="533"/>
    </row>
    <row r="93" spans="1:12" ht="41.4" x14ac:dyDescent="0.25">
      <c r="A93" s="606">
        <f t="shared" si="6"/>
        <v>3.0399999999999991</v>
      </c>
      <c r="B93" s="528" t="s">
        <v>1011</v>
      </c>
      <c r="C93" s="225">
        <v>1</v>
      </c>
      <c r="D93" s="529" t="s">
        <v>449</v>
      </c>
      <c r="E93" s="1287">
        <f>+K93</f>
        <v>416412</v>
      </c>
      <c r="F93" s="1188">
        <f>+$I$1</f>
        <v>0.85</v>
      </c>
      <c r="G93" s="1267">
        <f>ROUNDUP(E93/F93,-1)</f>
        <v>489900</v>
      </c>
      <c r="H93" s="1184">
        <f>+G93*C93</f>
        <v>489900</v>
      </c>
      <c r="I93" s="1286">
        <f>3*3*10.76</f>
        <v>96.84</v>
      </c>
      <c r="J93" s="534">
        <v>4300</v>
      </c>
      <c r="K93" s="1286">
        <f>+J93*I93</f>
        <v>416412</v>
      </c>
      <c r="L93" s="533"/>
    </row>
    <row r="94" spans="1:12" x14ac:dyDescent="0.25">
      <c r="A94" s="606"/>
      <c r="B94" s="528"/>
      <c r="C94" s="225"/>
      <c r="D94" s="529"/>
      <c r="E94" s="1287"/>
      <c r="F94" s="1287"/>
      <c r="G94" s="524"/>
      <c r="H94" s="567"/>
      <c r="I94" s="531"/>
      <c r="J94" s="534"/>
      <c r="K94" s="531"/>
      <c r="L94" s="533"/>
    </row>
    <row r="95" spans="1:12" ht="41.4" x14ac:dyDescent="0.25">
      <c r="A95" s="606">
        <f t="shared" si="6"/>
        <v>3.0499999999999989</v>
      </c>
      <c r="B95" s="528" t="s">
        <v>1012</v>
      </c>
      <c r="C95" s="225">
        <v>1</v>
      </c>
      <c r="D95" s="529" t="s">
        <v>449</v>
      </c>
      <c r="E95" s="1287">
        <f>+K95</f>
        <v>291488.40000000002</v>
      </c>
      <c r="F95" s="1188">
        <f>+$I$1</f>
        <v>0.85</v>
      </c>
      <c r="G95" s="1267">
        <f>ROUNDUP(E95/F95,-1)</f>
        <v>342930</v>
      </c>
      <c r="H95" s="1184">
        <f>+G95*C95</f>
        <v>342930</v>
      </c>
      <c r="I95" s="1286">
        <f>2.1*3*10.76</f>
        <v>67.788000000000011</v>
      </c>
      <c r="J95" s="534">
        <v>4300</v>
      </c>
      <c r="K95" s="1286">
        <f>+J95*I95</f>
        <v>291488.40000000002</v>
      </c>
      <c r="L95" s="533"/>
    </row>
    <row r="96" spans="1:12" x14ac:dyDescent="0.25">
      <c r="A96" s="606"/>
      <c r="B96" s="528"/>
      <c r="C96" s="225"/>
      <c r="D96" s="529"/>
      <c r="E96" s="1287"/>
      <c r="F96" s="1287"/>
      <c r="G96" s="524"/>
      <c r="H96" s="567"/>
      <c r="I96" s="531"/>
      <c r="J96" s="534"/>
      <c r="K96" s="531"/>
      <c r="L96" s="533"/>
    </row>
    <row r="97" spans="1:12" ht="41.4" x14ac:dyDescent="0.25">
      <c r="A97" s="606">
        <f t="shared" si="6"/>
        <v>3.0599999999999987</v>
      </c>
      <c r="B97" s="528" t="s">
        <v>1013</v>
      </c>
      <c r="C97" s="225">
        <v>2</v>
      </c>
      <c r="D97" s="529" t="s">
        <v>449</v>
      </c>
      <c r="E97" s="1287">
        <f>+K97</f>
        <v>801593.10000000009</v>
      </c>
      <c r="F97" s="1188">
        <f>+$I$1</f>
        <v>0.85</v>
      </c>
      <c r="G97" s="1267">
        <f>ROUNDUP(E97/F97,-1)</f>
        <v>943060</v>
      </c>
      <c r="H97" s="1184">
        <f>+G97*C97</f>
        <v>1886120</v>
      </c>
      <c r="I97" s="1286">
        <f>5.775*3*10.76</f>
        <v>186.41700000000003</v>
      </c>
      <c r="J97" s="534">
        <v>4300</v>
      </c>
      <c r="K97" s="1286">
        <f>+J97*I97</f>
        <v>801593.10000000009</v>
      </c>
      <c r="L97" s="533"/>
    </row>
    <row r="98" spans="1:12" x14ac:dyDescent="0.25">
      <c r="A98" s="606"/>
      <c r="B98" s="528"/>
      <c r="C98" s="225"/>
      <c r="D98" s="529"/>
      <c r="E98" s="1287"/>
      <c r="F98" s="1287"/>
      <c r="G98" s="524"/>
      <c r="H98" s="567"/>
      <c r="I98" s="531"/>
      <c r="J98" s="534"/>
      <c r="K98" s="531"/>
      <c r="L98" s="533"/>
    </row>
    <row r="99" spans="1:12" ht="41.4" x14ac:dyDescent="0.25">
      <c r="A99" s="606">
        <f t="shared" si="6"/>
        <v>3.0699999999999985</v>
      </c>
      <c r="B99" s="528" t="s">
        <v>1014</v>
      </c>
      <c r="C99" s="225">
        <v>5</v>
      </c>
      <c r="D99" s="529" t="s">
        <v>449</v>
      </c>
      <c r="E99" s="1287">
        <f>+K99</f>
        <v>426822.30000000005</v>
      </c>
      <c r="F99" s="1188">
        <f>+$I$1</f>
        <v>0.85</v>
      </c>
      <c r="G99" s="1267">
        <f>ROUNDUP(E99/F99,-1)</f>
        <v>502150</v>
      </c>
      <c r="H99" s="1184">
        <f>+G99*C99</f>
        <v>2510750</v>
      </c>
      <c r="I99" s="1286">
        <f>3.075*3*10.76</f>
        <v>99.26100000000001</v>
      </c>
      <c r="J99" s="534">
        <v>4300</v>
      </c>
      <c r="K99" s="1286">
        <f>+J99*I99</f>
        <v>426822.30000000005</v>
      </c>
      <c r="L99" s="533"/>
    </row>
    <row r="100" spans="1:12" x14ac:dyDescent="0.25">
      <c r="A100" s="606"/>
      <c r="B100" s="222"/>
      <c r="C100" s="225"/>
      <c r="D100" s="529"/>
      <c r="E100" s="1287"/>
      <c r="F100" s="1287"/>
      <c r="G100" s="524"/>
      <c r="H100" s="608"/>
      <c r="I100" s="531"/>
      <c r="J100" s="534"/>
      <c r="K100" s="531"/>
      <c r="L100" s="533"/>
    </row>
    <row r="101" spans="1:12" ht="41.4" x14ac:dyDescent="0.25">
      <c r="A101" s="606">
        <f t="shared" si="6"/>
        <v>3.0799999999999983</v>
      </c>
      <c r="B101" s="528" t="s">
        <v>1015</v>
      </c>
      <c r="C101" s="225">
        <v>1</v>
      </c>
      <c r="D101" s="529" t="str">
        <f>D71</f>
        <v>nr</v>
      </c>
      <c r="E101" s="1287">
        <f>+K101</f>
        <v>84670.44</v>
      </c>
      <c r="F101" s="1188">
        <f>+$I$1</f>
        <v>0.85</v>
      </c>
      <c r="G101" s="1267">
        <f>ROUNDUP(E101/F101,-1)</f>
        <v>99620</v>
      </c>
      <c r="H101" s="1184">
        <f>+G101*C101</f>
        <v>99620</v>
      </c>
      <c r="I101" s="1286">
        <f>3.05*0.6*10.76</f>
        <v>19.690799999999999</v>
      </c>
      <c r="J101" s="534">
        <v>4300</v>
      </c>
      <c r="K101" s="1286">
        <f>+J101*I101</f>
        <v>84670.44</v>
      </c>
      <c r="L101" s="533"/>
    </row>
    <row r="102" spans="1:12" x14ac:dyDescent="0.25">
      <c r="A102" s="606"/>
      <c r="B102" s="528"/>
      <c r="C102" s="225"/>
      <c r="D102" s="529"/>
      <c r="E102" s="1287"/>
      <c r="F102" s="1287"/>
      <c r="G102" s="524"/>
      <c r="H102" s="567"/>
      <c r="I102" s="531"/>
      <c r="J102" s="534"/>
      <c r="K102" s="531"/>
      <c r="L102" s="533"/>
    </row>
    <row r="103" spans="1:12" ht="41.4" x14ac:dyDescent="0.25">
      <c r="A103" s="606">
        <f t="shared" si="6"/>
        <v>3.0899999999999981</v>
      </c>
      <c r="B103" s="528" t="s">
        <v>1016</v>
      </c>
      <c r="C103" s="225">
        <v>4</v>
      </c>
      <c r="D103" s="529" t="str">
        <f>D99</f>
        <v>nr</v>
      </c>
      <c r="E103" s="1287">
        <f>+K103</f>
        <v>61251.3</v>
      </c>
      <c r="F103" s="1188">
        <f>+$I$1</f>
        <v>0.85</v>
      </c>
      <c r="G103" s="1267">
        <f>ROUNDUP(E103/F103,-1)</f>
        <v>72070</v>
      </c>
      <c r="H103" s="1184">
        <f>+G103*C103</f>
        <v>288280</v>
      </c>
      <c r="I103" s="1286">
        <f>1.1*1.5*10.76</f>
        <v>17.754000000000001</v>
      </c>
      <c r="J103" s="534">
        <v>3450</v>
      </c>
      <c r="K103" s="1286">
        <f>+J103*I103</f>
        <v>61251.3</v>
      </c>
      <c r="L103" s="533"/>
    </row>
    <row r="104" spans="1:12" x14ac:dyDescent="0.25">
      <c r="A104" s="606"/>
      <c r="B104" s="528"/>
      <c r="C104" s="225"/>
      <c r="D104" s="529"/>
      <c r="E104" s="1287"/>
      <c r="F104" s="1287"/>
      <c r="G104" s="524"/>
      <c r="H104" s="567"/>
      <c r="I104" s="531"/>
      <c r="J104" s="534"/>
      <c r="K104" s="531"/>
      <c r="L104" s="533"/>
    </row>
    <row r="105" spans="1:12" ht="41.4" x14ac:dyDescent="0.25">
      <c r="A105" s="606">
        <f t="shared" si="6"/>
        <v>3.0999999999999979</v>
      </c>
      <c r="B105" s="528" t="s">
        <v>1017</v>
      </c>
      <c r="C105" s="225">
        <v>2</v>
      </c>
      <c r="D105" s="529" t="str">
        <f t="shared" ref="D105" si="8">D101</f>
        <v>nr</v>
      </c>
      <c r="E105" s="1287">
        <f>+K105</f>
        <v>116934.30000000002</v>
      </c>
      <c r="F105" s="1188">
        <f>+$I$1</f>
        <v>0.85</v>
      </c>
      <c r="G105" s="1267">
        <f>ROUNDUP(E105/F105,-1)</f>
        <v>137570</v>
      </c>
      <c r="H105" s="1184">
        <f>+G105*C105</f>
        <v>275140</v>
      </c>
      <c r="I105" s="1286">
        <f>1.05*3*10.76</f>
        <v>33.894000000000005</v>
      </c>
      <c r="J105" s="534">
        <v>3450</v>
      </c>
      <c r="K105" s="1286">
        <f>+J105*I105</f>
        <v>116934.30000000002</v>
      </c>
      <c r="L105" s="533"/>
    </row>
    <row r="106" spans="1:12" x14ac:dyDescent="0.25">
      <c r="A106" s="606"/>
      <c r="B106" s="528"/>
      <c r="C106" s="225"/>
      <c r="D106" s="529"/>
      <c r="E106" s="1287"/>
      <c r="F106" s="1287"/>
      <c r="G106" s="524"/>
      <c r="H106" s="567"/>
      <c r="I106" s="531"/>
      <c r="J106" s="534"/>
      <c r="K106" s="531"/>
      <c r="L106" s="533"/>
    </row>
    <row r="107" spans="1:12" ht="41.4" x14ac:dyDescent="0.25">
      <c r="A107" s="606">
        <f t="shared" si="6"/>
        <v>3.1099999999999977</v>
      </c>
      <c r="B107" s="528" t="s">
        <v>1018</v>
      </c>
      <c r="C107" s="225">
        <v>2</v>
      </c>
      <c r="D107" s="529" t="str">
        <f t="shared" ref="D107" si="9">D103</f>
        <v>nr</v>
      </c>
      <c r="E107" s="1287">
        <f>+K107</f>
        <v>79348.275000000009</v>
      </c>
      <c r="F107" s="1188">
        <f>+$I$1</f>
        <v>0.85</v>
      </c>
      <c r="G107" s="1267">
        <f>ROUNDUP(E107/F107,-1)</f>
        <v>93360</v>
      </c>
      <c r="H107" s="1184">
        <f>+G107*C107</f>
        <v>186720</v>
      </c>
      <c r="I107" s="1286">
        <f>1.425*1.5*10.76</f>
        <v>22.999500000000001</v>
      </c>
      <c r="J107" s="534">
        <v>3450</v>
      </c>
      <c r="K107" s="1286">
        <f>+J107*I107</f>
        <v>79348.275000000009</v>
      </c>
      <c r="L107" s="533"/>
    </row>
    <row r="108" spans="1:12" s="703" customFormat="1" x14ac:dyDescent="0.25">
      <c r="A108" s="695"/>
      <c r="B108" s="696"/>
      <c r="C108" s="697"/>
      <c r="D108" s="698"/>
      <c r="E108" s="1289"/>
      <c r="F108" s="1289"/>
      <c r="G108" s="699"/>
      <c r="H108" s="700"/>
      <c r="I108" s="701"/>
      <c r="J108" s="534"/>
      <c r="K108" s="701"/>
      <c r="L108" s="702"/>
    </row>
    <row r="109" spans="1:12" s="709" customFormat="1" ht="41.4" x14ac:dyDescent="0.25">
      <c r="A109" s="606">
        <f t="shared" si="6"/>
        <v>3.1199999999999974</v>
      </c>
      <c r="B109" s="704" t="s">
        <v>1019</v>
      </c>
      <c r="C109" s="225">
        <v>1</v>
      </c>
      <c r="D109" s="529" t="str">
        <f>D101</f>
        <v>nr</v>
      </c>
      <c r="E109" s="1287">
        <f>+K109</f>
        <v>340392.60000000003</v>
      </c>
      <c r="F109" s="1188">
        <f>+$I$1</f>
        <v>0.85</v>
      </c>
      <c r="G109" s="1267">
        <f>ROUNDUP(E109/F109,-1)</f>
        <v>400470</v>
      </c>
      <c r="H109" s="1184">
        <f>+G109*C109</f>
        <v>400470</v>
      </c>
      <c r="I109" s="1286">
        <f>3.7*3*10.76</f>
        <v>119.43600000000001</v>
      </c>
      <c r="J109" s="534">
        <v>2850</v>
      </c>
      <c r="K109" s="1286">
        <f>+J109*I109</f>
        <v>340392.60000000003</v>
      </c>
      <c r="L109" s="708"/>
    </row>
    <row r="110" spans="1:12" s="709" customFormat="1" x14ac:dyDescent="0.25">
      <c r="A110" s="606"/>
      <c r="B110" s="704"/>
      <c r="C110" s="225"/>
      <c r="D110" s="529"/>
      <c r="E110" s="1287"/>
      <c r="F110" s="1287"/>
      <c r="G110" s="705"/>
      <c r="H110" s="706"/>
      <c r="I110" s="707"/>
      <c r="J110" s="534"/>
      <c r="K110" s="707"/>
      <c r="L110" s="708"/>
    </row>
    <row r="111" spans="1:12" s="709" customFormat="1" ht="41.4" x14ac:dyDescent="0.25">
      <c r="A111" s="606">
        <f t="shared" ref="A111" si="10">A109+0.01</f>
        <v>3.1299999999999972</v>
      </c>
      <c r="B111" s="704" t="s">
        <v>1020</v>
      </c>
      <c r="C111" s="225">
        <v>1</v>
      </c>
      <c r="D111" s="529" t="str">
        <f>D109</f>
        <v>nr</v>
      </c>
      <c r="E111" s="1287">
        <f>+K111</f>
        <v>110397.59999999999</v>
      </c>
      <c r="F111" s="1188">
        <f>+$I$1</f>
        <v>0.85</v>
      </c>
      <c r="G111" s="1267">
        <f>ROUNDUP(E111/F111,-1)</f>
        <v>129880</v>
      </c>
      <c r="H111" s="1184">
        <f>+G111*C111</f>
        <v>129880</v>
      </c>
      <c r="I111" s="1286">
        <f>1.2*3*10.76</f>
        <v>38.735999999999997</v>
      </c>
      <c r="J111" s="534">
        <v>2850</v>
      </c>
      <c r="K111" s="1286">
        <f>+J111*I111</f>
        <v>110397.59999999999</v>
      </c>
      <c r="L111" s="708"/>
    </row>
    <row r="112" spans="1:12" s="709" customFormat="1" x14ac:dyDescent="0.25">
      <c r="A112" s="606"/>
      <c r="B112" s="704"/>
      <c r="C112" s="225"/>
      <c r="D112" s="529"/>
      <c r="E112" s="1287"/>
      <c r="F112" s="1287"/>
      <c r="G112" s="705"/>
      <c r="H112" s="706"/>
      <c r="I112" s="707"/>
      <c r="J112" s="534"/>
      <c r="K112" s="707"/>
      <c r="L112" s="708"/>
    </row>
    <row r="113" spans="1:12" s="709" customFormat="1" ht="41.4" x14ac:dyDescent="0.25">
      <c r="A113" s="606">
        <f t="shared" ref="A113:A125" si="11">A111+0.01</f>
        <v>3.139999999999997</v>
      </c>
      <c r="B113" s="704" t="s">
        <v>1021</v>
      </c>
      <c r="C113" s="225">
        <v>2</v>
      </c>
      <c r="D113" s="529" t="str">
        <f>D111</f>
        <v>nr</v>
      </c>
      <c r="E113" s="1287">
        <f>+K113</f>
        <v>91998</v>
      </c>
      <c r="F113" s="1188">
        <f>+$I$1</f>
        <v>0.85</v>
      </c>
      <c r="G113" s="1267">
        <f>ROUNDUP(E113/F113,-1)</f>
        <v>108240</v>
      </c>
      <c r="H113" s="1184">
        <f>+G113*C113</f>
        <v>216480</v>
      </c>
      <c r="I113" s="1286">
        <f>1*3*10.76</f>
        <v>32.28</v>
      </c>
      <c r="J113" s="534">
        <v>2850</v>
      </c>
      <c r="K113" s="1286">
        <f>+J113*I113</f>
        <v>91998</v>
      </c>
      <c r="L113" s="708"/>
    </row>
    <row r="114" spans="1:12" s="709" customFormat="1" x14ac:dyDescent="0.25">
      <c r="A114" s="606"/>
      <c r="B114" s="704"/>
      <c r="C114" s="225"/>
      <c r="D114" s="529"/>
      <c r="E114" s="1287"/>
      <c r="F114" s="1287"/>
      <c r="G114" s="705"/>
      <c r="H114" s="706"/>
      <c r="I114" s="707"/>
      <c r="J114" s="534"/>
      <c r="K114" s="707"/>
      <c r="L114" s="708"/>
    </row>
    <row r="115" spans="1:12" s="709" customFormat="1" ht="41.4" x14ac:dyDescent="0.25">
      <c r="A115" s="606">
        <f t="shared" si="11"/>
        <v>3.1499999999999968</v>
      </c>
      <c r="B115" s="704" t="s">
        <v>1022</v>
      </c>
      <c r="C115" s="225">
        <v>2</v>
      </c>
      <c r="D115" s="529" t="str">
        <f>D113</f>
        <v>nr</v>
      </c>
      <c r="E115" s="1287">
        <f>+K115</f>
        <v>340392.60000000003</v>
      </c>
      <c r="F115" s="1188">
        <f>+$I$1</f>
        <v>0.85</v>
      </c>
      <c r="G115" s="1267">
        <f>ROUNDUP(E115/F115,-1)</f>
        <v>400470</v>
      </c>
      <c r="H115" s="1184">
        <f>+G115*C115</f>
        <v>800940</v>
      </c>
      <c r="I115" s="1286">
        <f>3.7*3*10.76</f>
        <v>119.43600000000001</v>
      </c>
      <c r="J115" s="534">
        <v>2850</v>
      </c>
      <c r="K115" s="1286">
        <f>+J115*I115</f>
        <v>340392.60000000003</v>
      </c>
      <c r="L115" s="708"/>
    </row>
    <row r="116" spans="1:12" s="709" customFormat="1" x14ac:dyDescent="0.25">
      <c r="A116" s="606"/>
      <c r="B116" s="704"/>
      <c r="C116" s="225"/>
      <c r="D116" s="529"/>
      <c r="E116" s="1287"/>
      <c r="F116" s="1287"/>
      <c r="G116" s="524"/>
      <c r="H116" s="567"/>
      <c r="I116" s="707"/>
      <c r="J116" s="534"/>
      <c r="K116" s="531"/>
      <c r="L116" s="708"/>
    </row>
    <row r="117" spans="1:12" s="709" customFormat="1" ht="41.4" x14ac:dyDescent="0.25">
      <c r="A117" s="606">
        <f t="shared" si="11"/>
        <v>3.1599999999999966</v>
      </c>
      <c r="B117" s="704" t="s">
        <v>1023</v>
      </c>
      <c r="C117" s="225">
        <v>1</v>
      </c>
      <c r="D117" s="529" t="str">
        <f t="shared" ref="D117" si="12">D115</f>
        <v>nr</v>
      </c>
      <c r="E117" s="1287">
        <f>+K117</f>
        <v>531288.45000000007</v>
      </c>
      <c r="F117" s="1188">
        <f>+$I$1</f>
        <v>0.85</v>
      </c>
      <c r="G117" s="1267">
        <f>ROUNDUP(E117/F117,-1)</f>
        <v>625050</v>
      </c>
      <c r="H117" s="1184">
        <f>+G117*C117</f>
        <v>625050</v>
      </c>
      <c r="I117" s="1286">
        <f>5.775*3*10.76</f>
        <v>186.41700000000003</v>
      </c>
      <c r="J117" s="534">
        <v>2850</v>
      </c>
      <c r="K117" s="1286">
        <f>+J117*I117</f>
        <v>531288.45000000007</v>
      </c>
      <c r="L117" s="708"/>
    </row>
    <row r="118" spans="1:12" s="709" customFormat="1" ht="14.4" thickBot="1" x14ac:dyDescent="0.3">
      <c r="A118" s="609"/>
      <c r="B118" s="751"/>
      <c r="C118" s="570"/>
      <c r="D118" s="610"/>
      <c r="E118" s="1288"/>
      <c r="F118" s="1288"/>
      <c r="G118" s="611"/>
      <c r="H118" s="571"/>
      <c r="I118" s="707"/>
      <c r="J118" s="534"/>
      <c r="K118" s="531"/>
      <c r="L118" s="708"/>
    </row>
    <row r="119" spans="1:12" s="709" customFormat="1" ht="41.4" x14ac:dyDescent="0.25">
      <c r="A119" s="603">
        <f t="shared" si="11"/>
        <v>3.1699999999999964</v>
      </c>
      <c r="B119" s="752" t="s">
        <v>1024</v>
      </c>
      <c r="C119" s="566">
        <v>1</v>
      </c>
      <c r="D119" s="750" t="str">
        <f t="shared" ref="D119" si="13">D117</f>
        <v>nr</v>
      </c>
      <c r="E119" s="1287">
        <f>+K119</f>
        <v>344992.5</v>
      </c>
      <c r="F119" s="1188">
        <f>+$I$1</f>
        <v>0.85</v>
      </c>
      <c r="G119" s="1267">
        <f>ROUNDUP(E119/F119,-1)</f>
        <v>405880</v>
      </c>
      <c r="H119" s="1184">
        <f>+G119*C119</f>
        <v>405880</v>
      </c>
      <c r="I119" s="1286">
        <f>3.75*3*10.76</f>
        <v>121.05</v>
      </c>
      <c r="J119" s="534">
        <v>2850</v>
      </c>
      <c r="K119" s="1286">
        <f>+J119*I119</f>
        <v>344992.5</v>
      </c>
      <c r="L119" s="708"/>
    </row>
    <row r="120" spans="1:12" s="709" customFormat="1" x14ac:dyDescent="0.25">
      <c r="A120" s="606"/>
      <c r="B120" s="704"/>
      <c r="C120" s="225"/>
      <c r="D120" s="529"/>
      <c r="E120" s="1287"/>
      <c r="F120" s="1287"/>
      <c r="G120" s="524"/>
      <c r="H120" s="567"/>
      <c r="I120" s="707"/>
      <c r="J120" s="534"/>
      <c r="K120" s="531"/>
      <c r="L120" s="708"/>
    </row>
    <row r="121" spans="1:12" s="709" customFormat="1" ht="41.4" x14ac:dyDescent="0.25">
      <c r="A121" s="606">
        <f t="shared" si="11"/>
        <v>3.1799999999999962</v>
      </c>
      <c r="B121" s="704" t="s">
        <v>1025</v>
      </c>
      <c r="C121" s="225">
        <v>3</v>
      </c>
      <c r="D121" s="529" t="str">
        <f t="shared" ref="D121:D125" si="14">D119</f>
        <v>nr</v>
      </c>
      <c r="E121" s="1287">
        <f>+K121</f>
        <v>68998.5</v>
      </c>
      <c r="F121" s="1188">
        <f>+$I$1</f>
        <v>0.85</v>
      </c>
      <c r="G121" s="1267">
        <f>ROUNDUP(E121/F121,-1)</f>
        <v>81180</v>
      </c>
      <c r="H121" s="1184">
        <f>+G121*C121</f>
        <v>243540</v>
      </c>
      <c r="I121" s="1286">
        <f>0.75*3*10.76</f>
        <v>24.21</v>
      </c>
      <c r="J121" s="534">
        <v>2850</v>
      </c>
      <c r="K121" s="1286">
        <f>+J121*I121</f>
        <v>68998.5</v>
      </c>
      <c r="L121" s="708"/>
    </row>
    <row r="122" spans="1:12" s="709" customFormat="1" x14ac:dyDescent="0.25">
      <c r="A122" s="606"/>
      <c r="B122" s="704"/>
      <c r="C122" s="225"/>
      <c r="D122" s="529"/>
      <c r="E122" s="1287"/>
      <c r="F122" s="1287"/>
      <c r="G122" s="524"/>
      <c r="H122" s="567"/>
      <c r="I122" s="707"/>
      <c r="J122" s="534"/>
      <c r="K122" s="531"/>
      <c r="L122" s="708"/>
    </row>
    <row r="123" spans="1:12" s="709" customFormat="1" ht="41.4" x14ac:dyDescent="0.25">
      <c r="A123" s="606">
        <f t="shared" si="11"/>
        <v>3.1899999999999959</v>
      </c>
      <c r="B123" s="704" t="s">
        <v>1026</v>
      </c>
      <c r="C123" s="225">
        <v>1</v>
      </c>
      <c r="D123" s="529" t="str">
        <f t="shared" si="14"/>
        <v>nr</v>
      </c>
      <c r="E123" s="1287">
        <f>+K123</f>
        <v>68998.5</v>
      </c>
      <c r="F123" s="1188">
        <f>+$I$1</f>
        <v>0.85</v>
      </c>
      <c r="G123" s="1267">
        <f>ROUNDUP(E123/F123,-1)</f>
        <v>81180</v>
      </c>
      <c r="H123" s="1184">
        <f>+G123*C123</f>
        <v>81180</v>
      </c>
      <c r="I123" s="1286">
        <f>0.75*3*10.76</f>
        <v>24.21</v>
      </c>
      <c r="J123" s="534">
        <v>2850</v>
      </c>
      <c r="K123" s="1286">
        <f>+J123*I123</f>
        <v>68998.5</v>
      </c>
      <c r="L123" s="708"/>
    </row>
    <row r="124" spans="1:12" s="709" customFormat="1" x14ac:dyDescent="0.25">
      <c r="A124" s="606"/>
      <c r="B124" s="704"/>
      <c r="C124" s="225"/>
      <c r="D124" s="529"/>
      <c r="E124" s="1287"/>
      <c r="F124" s="1287"/>
      <c r="G124" s="524"/>
      <c r="H124" s="567"/>
      <c r="I124" s="707"/>
      <c r="J124" s="534"/>
      <c r="K124" s="531"/>
      <c r="L124" s="708"/>
    </row>
    <row r="125" spans="1:12" s="709" customFormat="1" ht="41.4" x14ac:dyDescent="0.25">
      <c r="A125" s="606">
        <f t="shared" si="11"/>
        <v>3.1999999999999957</v>
      </c>
      <c r="B125" s="704" t="s">
        <v>1027</v>
      </c>
      <c r="C125" s="225">
        <v>1</v>
      </c>
      <c r="D125" s="529" t="str">
        <f t="shared" si="14"/>
        <v>nr</v>
      </c>
      <c r="E125" s="1287">
        <f>+K125</f>
        <v>592467.12</v>
      </c>
      <c r="F125" s="1188">
        <f>+$I$1</f>
        <v>0.85</v>
      </c>
      <c r="G125" s="1267">
        <f>ROUNDUP(E125/F125,-1)</f>
        <v>697030</v>
      </c>
      <c r="H125" s="1184">
        <f>+G125*C125</f>
        <v>697030</v>
      </c>
      <c r="I125" s="1286">
        <f>3*6.44*10.76</f>
        <v>207.88319999999999</v>
      </c>
      <c r="J125" s="534">
        <v>2850</v>
      </c>
      <c r="K125" s="1286">
        <f>+J125*I125</f>
        <v>592467.12</v>
      </c>
      <c r="L125" s="708"/>
    </row>
    <row r="126" spans="1:12" s="709" customFormat="1" x14ac:dyDescent="0.25">
      <c r="A126" s="606"/>
      <c r="B126" s="704"/>
      <c r="C126" s="225"/>
      <c r="D126" s="529"/>
      <c r="E126" s="1287"/>
      <c r="F126" s="1287"/>
      <c r="G126" s="524"/>
      <c r="H126" s="567"/>
      <c r="I126" s="707"/>
      <c r="J126" s="532"/>
      <c r="K126" s="531"/>
      <c r="L126" s="708"/>
    </row>
    <row r="127" spans="1:12" s="534" customFormat="1" x14ac:dyDescent="0.25">
      <c r="A127" s="606"/>
      <c r="B127" s="528"/>
      <c r="C127" s="225"/>
      <c r="D127" s="529"/>
      <c r="E127" s="1287"/>
      <c r="F127" s="1287"/>
      <c r="G127" s="524"/>
      <c r="H127" s="608"/>
      <c r="I127" s="531"/>
      <c r="J127" s="532"/>
      <c r="K127" s="531"/>
      <c r="L127" s="533"/>
    </row>
    <row r="128" spans="1:12" s="534" customFormat="1" x14ac:dyDescent="0.25">
      <c r="A128" s="606"/>
      <c r="B128" s="528"/>
      <c r="C128" s="225"/>
      <c r="D128" s="529"/>
      <c r="E128" s="1287"/>
      <c r="F128" s="1287"/>
      <c r="G128" s="524"/>
      <c r="H128" s="608"/>
      <c r="I128" s="531"/>
      <c r="J128" s="532"/>
      <c r="K128" s="531"/>
      <c r="L128" s="533"/>
    </row>
    <row r="129" spans="1:12" s="534" customFormat="1" x14ac:dyDescent="0.25">
      <c r="A129" s="606"/>
      <c r="B129" s="528"/>
      <c r="C129" s="225"/>
      <c r="D129" s="529"/>
      <c r="E129" s="1287"/>
      <c r="F129" s="1287"/>
      <c r="G129" s="524"/>
      <c r="H129" s="608"/>
      <c r="I129" s="531"/>
      <c r="J129" s="532"/>
      <c r="K129" s="531"/>
      <c r="L129" s="533"/>
    </row>
    <row r="130" spans="1:12" s="534" customFormat="1" x14ac:dyDescent="0.25">
      <c r="A130" s="606"/>
      <c r="B130" s="528"/>
      <c r="C130" s="225"/>
      <c r="D130" s="529"/>
      <c r="E130" s="1287"/>
      <c r="F130" s="1287"/>
      <c r="G130" s="524"/>
      <c r="H130" s="608"/>
      <c r="I130" s="531"/>
      <c r="J130" s="532"/>
      <c r="K130" s="531"/>
      <c r="L130" s="533"/>
    </row>
    <row r="131" spans="1:12" s="302" customFormat="1" ht="21" customHeight="1" thickBot="1" x14ac:dyDescent="0.3">
      <c r="A131" s="612"/>
      <c r="B131" s="613" t="s">
        <v>230</v>
      </c>
      <c r="C131" s="614"/>
      <c r="D131" s="615"/>
      <c r="E131" s="1266"/>
      <c r="F131" s="1266"/>
      <c r="G131" s="616"/>
      <c r="H131" s="617">
        <f>SUM(H2:H130)</f>
        <v>17065250</v>
      </c>
    </row>
  </sheetData>
  <pageMargins left="0.5" right="0.5" top="0.25" bottom="0.25" header="0.5" footer="0.5"/>
  <pageSetup orientation="portrait" r:id="rId1"/>
  <headerFooter alignWithMargins="0">
    <oddFooter>&amp;C&amp;P</oddFooter>
  </headerFooter>
  <rowBreaks count="1" manualBreakCount="1">
    <brk id="31" max="5"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F0"/>
  </sheetPr>
  <dimension ref="A1:J115"/>
  <sheetViews>
    <sheetView view="pageBreakPreview" topLeftCell="A79" zoomScaleNormal="85" zoomScaleSheetLayoutView="100" workbookViewId="0">
      <selection activeCell="A2" sqref="A2"/>
    </sheetView>
  </sheetViews>
  <sheetFormatPr defaultColWidth="9.21875" defaultRowHeight="13.8" x14ac:dyDescent="0.25"/>
  <cols>
    <col min="1" max="1" width="8.21875" style="7" customWidth="1"/>
    <col min="2" max="2" width="52" style="6" customWidth="1"/>
    <col min="3" max="3" width="8.109375" style="8" bestFit="1" customWidth="1"/>
    <col min="4" max="4" width="4.77734375" style="7" bestFit="1" customWidth="1"/>
    <col min="5" max="5" width="9.109375" style="1181" bestFit="1" customWidth="1"/>
    <col min="6" max="6" width="7.88671875" style="1181" customWidth="1"/>
    <col min="7" max="7" width="11.44140625" style="34" bestFit="1" customWidth="1"/>
    <col min="8" max="8" width="12.6640625" style="8" bestFit="1" customWidth="1"/>
    <col min="9" max="9" width="12.6640625" style="8" customWidth="1"/>
    <col min="10" max="10" width="58.109375" style="4" customWidth="1"/>
    <col min="11" max="11" width="12.44140625" style="4" bestFit="1" customWidth="1"/>
    <col min="12" max="12" width="10" style="4" bestFit="1" customWidth="1"/>
    <col min="13" max="13" width="11" style="4" bestFit="1" customWidth="1"/>
    <col min="14" max="15" width="12.88671875" style="4" bestFit="1" customWidth="1"/>
    <col min="16" max="16" width="10.33203125" style="4" bestFit="1" customWidth="1"/>
    <col min="17" max="16384" width="9.21875" style="4"/>
  </cols>
  <sheetData>
    <row r="1" spans="1:9" s="3" customFormat="1" ht="14.4" thickBot="1" x14ac:dyDescent="0.3">
      <c r="A1" s="9" t="s">
        <v>0</v>
      </c>
      <c r="B1" s="10" t="s">
        <v>1</v>
      </c>
      <c r="C1" s="11" t="s">
        <v>2</v>
      </c>
      <c r="D1" s="12" t="s">
        <v>3</v>
      </c>
      <c r="E1" s="1176" t="s">
        <v>1238</v>
      </c>
      <c r="F1" s="1176" t="s">
        <v>1239</v>
      </c>
      <c r="G1" s="30" t="s">
        <v>4</v>
      </c>
      <c r="H1" s="13" t="s">
        <v>5</v>
      </c>
      <c r="I1" s="38">
        <f>+summary!D13</f>
        <v>0.85</v>
      </c>
    </row>
    <row r="2" spans="1:9" s="3" customFormat="1" ht="15.6" x14ac:dyDescent="0.25">
      <c r="A2" s="720"/>
      <c r="B2" s="114" t="s">
        <v>1501</v>
      </c>
      <c r="C2" s="115"/>
      <c r="D2" s="116"/>
      <c r="E2" s="1177"/>
      <c r="F2" s="1177"/>
      <c r="G2" s="117"/>
      <c r="H2" s="540"/>
      <c r="I2" s="8"/>
    </row>
    <row r="3" spans="1:9" s="3" customFormat="1" x14ac:dyDescent="0.25">
      <c r="A3" s="149"/>
      <c r="B3" s="94" t="s">
        <v>64</v>
      </c>
      <c r="C3" s="92"/>
      <c r="D3" s="36"/>
      <c r="E3" s="1178"/>
      <c r="F3" s="1178"/>
      <c r="G3" s="75"/>
      <c r="H3" s="541"/>
      <c r="I3" s="8"/>
    </row>
    <row r="4" spans="1:9" s="3" customFormat="1" x14ac:dyDescent="0.25">
      <c r="A4" s="149"/>
      <c r="B4" s="94"/>
      <c r="C4" s="92"/>
      <c r="D4" s="36"/>
      <c r="E4" s="1178"/>
      <c r="F4" s="1178"/>
      <c r="G4" s="75"/>
      <c r="H4" s="541"/>
      <c r="I4" s="8"/>
    </row>
    <row r="5" spans="1:9" s="3" customFormat="1" ht="41.4" x14ac:dyDescent="0.25">
      <c r="A5" s="149"/>
      <c r="B5" s="126" t="s">
        <v>211</v>
      </c>
      <c r="C5" s="92"/>
      <c r="D5" s="36"/>
      <c r="E5" s="1178"/>
      <c r="F5" s="1178"/>
      <c r="G5" s="75"/>
      <c r="H5" s="541"/>
      <c r="I5" s="8"/>
    </row>
    <row r="6" spans="1:9" s="3" customFormat="1" x14ac:dyDescent="0.25">
      <c r="A6" s="149"/>
      <c r="B6" s="126"/>
      <c r="C6" s="92"/>
      <c r="D6" s="36"/>
      <c r="E6" s="1178"/>
      <c r="F6" s="1178"/>
      <c r="G6" s="75"/>
      <c r="H6" s="541"/>
      <c r="I6" s="8"/>
    </row>
    <row r="7" spans="1:9" s="3" customFormat="1" ht="41.4" x14ac:dyDescent="0.25">
      <c r="A7" s="149"/>
      <c r="B7" s="126" t="s">
        <v>212</v>
      </c>
      <c r="C7" s="92"/>
      <c r="D7" s="36"/>
      <c r="E7" s="1178"/>
      <c r="F7" s="1178"/>
      <c r="G7" s="75"/>
      <c r="H7" s="541"/>
      <c r="I7" s="8"/>
    </row>
    <row r="8" spans="1:9" s="3" customFormat="1" x14ac:dyDescent="0.25">
      <c r="A8" s="149"/>
      <c r="B8" s="94"/>
      <c r="C8" s="92"/>
      <c r="D8" s="36"/>
      <c r="E8" s="1178"/>
      <c r="F8" s="1178"/>
      <c r="G8" s="75"/>
      <c r="H8" s="541"/>
      <c r="I8" s="8"/>
    </row>
    <row r="9" spans="1:9" s="3" customFormat="1" ht="27.6" x14ac:dyDescent="0.25">
      <c r="A9" s="149"/>
      <c r="B9" s="102" t="s">
        <v>88</v>
      </c>
      <c r="C9" s="99"/>
      <c r="D9" s="36"/>
      <c r="E9" s="1178"/>
      <c r="F9" s="1178"/>
      <c r="G9" s="75"/>
      <c r="H9" s="541"/>
      <c r="I9" s="8"/>
    </row>
    <row r="10" spans="1:9" s="3" customFormat="1" x14ac:dyDescent="0.25">
      <c r="A10" s="149"/>
      <c r="B10" s="102"/>
      <c r="C10" s="99"/>
      <c r="D10" s="36"/>
      <c r="E10" s="1178"/>
      <c r="F10" s="1178"/>
      <c r="G10" s="75"/>
      <c r="H10" s="541"/>
      <c r="I10" s="8"/>
    </row>
    <row r="11" spans="1:9" s="3" customFormat="1" ht="27.6" x14ac:dyDescent="0.25">
      <c r="A11" s="149"/>
      <c r="B11" s="102" t="s">
        <v>481</v>
      </c>
      <c r="C11" s="99"/>
      <c r="D11" s="36"/>
      <c r="E11" s="1178"/>
      <c r="F11" s="1178"/>
      <c r="G11" s="75"/>
      <c r="H11" s="541"/>
      <c r="I11" s="8"/>
    </row>
    <row r="12" spans="1:9" s="3" customFormat="1" x14ac:dyDescent="0.25">
      <c r="A12" s="149"/>
      <c r="B12" s="102"/>
      <c r="C12" s="99"/>
      <c r="D12" s="36"/>
      <c r="E12" s="1178"/>
      <c r="F12" s="1178"/>
      <c r="G12" s="75"/>
      <c r="H12" s="541"/>
      <c r="I12" s="8"/>
    </row>
    <row r="13" spans="1:9" s="3" customFormat="1" ht="27.6" x14ac:dyDescent="0.25">
      <c r="A13" s="149"/>
      <c r="B13" s="102" t="s">
        <v>213</v>
      </c>
      <c r="C13" s="99"/>
      <c r="D13" s="36"/>
      <c r="E13" s="1178"/>
      <c r="F13" s="1178"/>
      <c r="G13" s="75"/>
      <c r="H13" s="541"/>
      <c r="I13" s="8"/>
    </row>
    <row r="14" spans="1:9" s="3" customFormat="1" x14ac:dyDescent="0.25">
      <c r="A14" s="149"/>
      <c r="B14" s="102"/>
      <c r="C14" s="99"/>
      <c r="D14" s="36"/>
      <c r="E14" s="1178"/>
      <c r="F14" s="1178"/>
      <c r="G14" s="75"/>
      <c r="H14" s="541"/>
      <c r="I14" s="8"/>
    </row>
    <row r="15" spans="1:9" s="3" customFormat="1" x14ac:dyDescent="0.25">
      <c r="A15" s="149" t="s">
        <v>956</v>
      </c>
      <c r="B15" s="94" t="s">
        <v>606</v>
      </c>
      <c r="C15" s="92"/>
      <c r="D15" s="36"/>
      <c r="E15" s="1178"/>
      <c r="F15" s="1178"/>
      <c r="G15" s="75"/>
      <c r="H15" s="541"/>
      <c r="I15" s="8"/>
    </row>
    <row r="16" spans="1:9" ht="60" customHeight="1" x14ac:dyDescent="0.25">
      <c r="A16" s="542"/>
      <c r="B16" s="95" t="s">
        <v>742</v>
      </c>
      <c r="C16" s="96"/>
      <c r="D16" s="36"/>
      <c r="E16" s="1178"/>
      <c r="F16" s="1178"/>
      <c r="G16" s="75"/>
      <c r="H16" s="541"/>
    </row>
    <row r="17" spans="1:10" x14ac:dyDescent="0.25">
      <c r="A17" s="542" t="s">
        <v>955</v>
      </c>
      <c r="B17" s="95" t="s">
        <v>201</v>
      </c>
      <c r="C17" s="96">
        <f>'m shet Mr Ratheshon'!N722</f>
        <v>83</v>
      </c>
      <c r="D17" s="36" t="s">
        <v>577</v>
      </c>
      <c r="E17" s="1178">
        <f>+RBD!F633</f>
        <v>9228.4229013333334</v>
      </c>
      <c r="F17" s="1182">
        <f>+$I$1</f>
        <v>0.85</v>
      </c>
      <c r="G17" s="1183">
        <f>ROUNDUP(E17/F17,-1)</f>
        <v>10860</v>
      </c>
      <c r="H17" s="1184">
        <f>+G17*C17</f>
        <v>901380</v>
      </c>
    </row>
    <row r="18" spans="1:10" x14ac:dyDescent="0.25">
      <c r="A18" s="542" t="s">
        <v>957</v>
      </c>
      <c r="B18" s="95" t="s">
        <v>202</v>
      </c>
      <c r="C18" s="96">
        <f>'m shet Mr Ratheshon'!N726</f>
        <v>102</v>
      </c>
      <c r="D18" s="36" t="s">
        <v>577</v>
      </c>
      <c r="E18" s="1178">
        <f>+E17*1.03</f>
        <v>9505.2755883733334</v>
      </c>
      <c r="F18" s="1182">
        <f>+$I$1</f>
        <v>0.85</v>
      </c>
      <c r="G18" s="1183">
        <f>ROUNDUP(E18/F18,-1)</f>
        <v>11190</v>
      </c>
      <c r="H18" s="1184">
        <f>+G18*C18</f>
        <v>1141380</v>
      </c>
    </row>
    <row r="19" spans="1:10" x14ac:dyDescent="0.25">
      <c r="A19" s="542" t="s">
        <v>958</v>
      </c>
      <c r="B19" s="95" t="s">
        <v>785</v>
      </c>
      <c r="C19" s="96">
        <f>'m shet Mr Ratheshon'!N728</f>
        <v>26</v>
      </c>
      <c r="D19" s="36" t="s">
        <v>577</v>
      </c>
      <c r="E19" s="1178">
        <f>+E17*1.06</f>
        <v>9782.1282754133335</v>
      </c>
      <c r="F19" s="1182">
        <f>+$I$1</f>
        <v>0.85</v>
      </c>
      <c r="G19" s="1183">
        <f>ROUNDUP(E19/F19,-1)</f>
        <v>11510</v>
      </c>
      <c r="H19" s="1184">
        <f>+G19*C19</f>
        <v>299260</v>
      </c>
    </row>
    <row r="20" spans="1:10" x14ac:dyDescent="0.25">
      <c r="A20" s="542"/>
      <c r="B20" s="95"/>
      <c r="C20" s="96"/>
      <c r="D20" s="36"/>
      <c r="E20" s="1178"/>
      <c r="F20" s="1178"/>
      <c r="G20" s="75"/>
      <c r="H20" s="541"/>
    </row>
    <row r="21" spans="1:10" s="3" customFormat="1" x14ac:dyDescent="0.25">
      <c r="A21" s="149"/>
      <c r="B21" s="94" t="s">
        <v>89</v>
      </c>
      <c r="C21" s="92"/>
      <c r="D21" s="36"/>
      <c r="E21" s="1178"/>
      <c r="F21" s="1178"/>
      <c r="G21" s="75"/>
      <c r="H21" s="541"/>
      <c r="I21" s="8"/>
    </row>
    <row r="22" spans="1:10" s="3" customFormat="1" x14ac:dyDescent="0.25">
      <c r="A22" s="149"/>
      <c r="B22" s="94" t="s">
        <v>90</v>
      </c>
      <c r="C22" s="92"/>
      <c r="D22" s="36"/>
      <c r="E22" s="1178"/>
      <c r="F22" s="1178"/>
      <c r="G22" s="75"/>
      <c r="H22" s="541"/>
      <c r="I22" s="8"/>
    </row>
    <row r="23" spans="1:10" s="3" customFormat="1" ht="41.4" x14ac:dyDescent="0.25">
      <c r="A23" s="149"/>
      <c r="B23" s="102" t="s">
        <v>479</v>
      </c>
      <c r="C23" s="99"/>
      <c r="D23" s="36"/>
      <c r="E23" s="1178"/>
      <c r="F23" s="1178"/>
      <c r="G23" s="75"/>
      <c r="H23" s="541"/>
      <c r="I23" s="8"/>
    </row>
    <row r="24" spans="1:10" s="3" customFormat="1" ht="27.6" x14ac:dyDescent="0.25">
      <c r="A24" s="149"/>
      <c r="B24" s="102" t="s">
        <v>590</v>
      </c>
      <c r="C24" s="99"/>
      <c r="D24" s="36"/>
      <c r="E24" s="1178"/>
      <c r="F24" s="1178"/>
      <c r="G24" s="75"/>
      <c r="H24" s="541"/>
      <c r="I24" s="8"/>
    </row>
    <row r="25" spans="1:10" s="3" customFormat="1" x14ac:dyDescent="0.25">
      <c r="A25" s="149"/>
      <c r="B25" s="102"/>
      <c r="C25" s="99"/>
      <c r="D25" s="36"/>
      <c r="E25" s="1178"/>
      <c r="F25" s="1178"/>
      <c r="G25" s="75"/>
      <c r="H25" s="541"/>
      <c r="I25" s="8"/>
    </row>
    <row r="26" spans="1:10" s="3" customFormat="1" ht="27.6" x14ac:dyDescent="0.25">
      <c r="A26" s="149"/>
      <c r="B26" s="102" t="s">
        <v>480</v>
      </c>
      <c r="C26" s="99"/>
      <c r="D26" s="36"/>
      <c r="E26" s="1178"/>
      <c r="F26" s="1178"/>
      <c r="G26" s="75"/>
      <c r="H26" s="541"/>
      <c r="I26" s="8"/>
    </row>
    <row r="27" spans="1:10" s="3" customFormat="1" x14ac:dyDescent="0.25">
      <c r="A27" s="149"/>
      <c r="B27" s="102"/>
      <c r="C27" s="99"/>
      <c r="D27" s="36"/>
      <c r="E27" s="1178"/>
      <c r="F27" s="1178"/>
      <c r="G27" s="75"/>
      <c r="H27" s="541"/>
      <c r="I27" s="8"/>
    </row>
    <row r="28" spans="1:10" s="3" customFormat="1" x14ac:dyDescent="0.25">
      <c r="A28" s="149" t="s">
        <v>962</v>
      </c>
      <c r="B28" s="282" t="s">
        <v>201</v>
      </c>
      <c r="C28" s="99"/>
      <c r="D28" s="36"/>
      <c r="E28" s="1178"/>
      <c r="F28" s="1178"/>
      <c r="G28" s="75"/>
      <c r="H28" s="541"/>
      <c r="I28" s="8"/>
    </row>
    <row r="29" spans="1:10" s="168" customFormat="1" ht="27.6" x14ac:dyDescent="0.25">
      <c r="A29" s="149" t="s">
        <v>963</v>
      </c>
      <c r="B29" s="280" t="s">
        <v>1256</v>
      </c>
      <c r="C29" s="166">
        <f>'m shet Mr Ratheshon'!N731</f>
        <v>31</v>
      </c>
      <c r="D29" s="165" t="s">
        <v>577</v>
      </c>
      <c r="E29" s="1178">
        <f>+RBD!F857</f>
        <v>16506.29</v>
      </c>
      <c r="F29" s="1182">
        <f t="shared" ref="F29" si="0">+$I$1</f>
        <v>0.85</v>
      </c>
      <c r="G29" s="1183">
        <f t="shared" ref="G29" si="1">ROUNDUP(E29/F29,-1)</f>
        <v>19420</v>
      </c>
      <c r="H29" s="1184">
        <f>+G29*C28</f>
        <v>0</v>
      </c>
      <c r="I29" s="311"/>
    </row>
    <row r="30" spans="1:10" s="168" customFormat="1" x14ac:dyDescent="0.25">
      <c r="A30" s="543"/>
      <c r="B30" s="222" t="s">
        <v>20</v>
      </c>
      <c r="D30" s="165"/>
      <c r="E30" s="1178"/>
      <c r="F30" s="1182"/>
      <c r="G30" s="1183"/>
      <c r="H30" s="1184"/>
      <c r="I30" s="227"/>
    </row>
    <row r="31" spans="1:10" x14ac:dyDescent="0.25">
      <c r="A31" s="542"/>
      <c r="B31" s="95"/>
      <c r="C31" s="96"/>
      <c r="D31" s="36"/>
      <c r="E31" s="1178"/>
      <c r="F31" s="1182"/>
      <c r="G31" s="1183"/>
      <c r="H31" s="1184"/>
    </row>
    <row r="32" spans="1:10" ht="55.8" customHeight="1" x14ac:dyDescent="0.25">
      <c r="A32" s="149" t="s">
        <v>964</v>
      </c>
      <c r="B32" s="280" t="s">
        <v>959</v>
      </c>
      <c r="C32" s="96"/>
      <c r="D32" s="36"/>
      <c r="E32" s="1178"/>
      <c r="F32" s="1182"/>
      <c r="G32" s="1183"/>
      <c r="H32" s="1184"/>
      <c r="J32" s="692"/>
    </row>
    <row r="33" spans="1:10" x14ac:dyDescent="0.25">
      <c r="A33" s="542"/>
      <c r="B33" s="222" t="s">
        <v>961</v>
      </c>
      <c r="C33" s="96">
        <f>'m shet Mr Ratheshon'!N739</f>
        <v>138</v>
      </c>
      <c r="D33" s="36" t="s">
        <v>577</v>
      </c>
      <c r="E33" s="1178">
        <f>+RBD!F589</f>
        <v>8713.4349706666671</v>
      </c>
      <c r="F33" s="1182">
        <f>+$I$1</f>
        <v>0.85</v>
      </c>
      <c r="G33" s="1183">
        <f>ROUNDUP(E33/F33,-1)</f>
        <v>10260</v>
      </c>
      <c r="H33" s="1184">
        <f>+G33*C33</f>
        <v>1415880</v>
      </c>
      <c r="J33" s="692"/>
    </row>
    <row r="34" spans="1:10" x14ac:dyDescent="0.25">
      <c r="A34" s="542"/>
      <c r="B34" s="222" t="s">
        <v>960</v>
      </c>
      <c r="C34" s="96">
        <f>'m shet Mr Ratheshon'!N741</f>
        <v>17</v>
      </c>
      <c r="D34" s="36" t="s">
        <v>577</v>
      </c>
      <c r="E34" s="1178">
        <f>+E33*1.02</f>
        <v>8887.7036700799999</v>
      </c>
      <c r="F34" s="1182">
        <f>+$I$1</f>
        <v>0.85</v>
      </c>
      <c r="G34" s="1183">
        <f>ROUNDUP(E34/F34,-1)</f>
        <v>10460</v>
      </c>
      <c r="H34" s="1184">
        <f>+G34*C34</f>
        <v>177820</v>
      </c>
      <c r="J34" s="692"/>
    </row>
    <row r="35" spans="1:10" x14ac:dyDescent="0.25">
      <c r="A35" s="542"/>
      <c r="B35" s="222" t="s">
        <v>574</v>
      </c>
      <c r="C35" s="96">
        <f>'m shet Mr Ratheshon'!N743</f>
        <v>15</v>
      </c>
      <c r="D35" s="36" t="s">
        <v>577</v>
      </c>
      <c r="E35" s="1178">
        <f>+E33*1.04</f>
        <v>9061.9723694933346</v>
      </c>
      <c r="F35" s="1182">
        <f>+$I$1</f>
        <v>0.85</v>
      </c>
      <c r="G35" s="1183">
        <f>ROUNDUP(E35/F35,-1)</f>
        <v>10670</v>
      </c>
      <c r="H35" s="1184">
        <f>+G35*C35</f>
        <v>160050</v>
      </c>
      <c r="J35" s="692"/>
    </row>
    <row r="36" spans="1:10" x14ac:dyDescent="0.25">
      <c r="A36" s="542"/>
      <c r="B36" s="222"/>
      <c r="C36" s="96"/>
      <c r="D36" s="36"/>
      <c r="E36" s="1178"/>
      <c r="F36" s="1178"/>
      <c r="G36" s="75"/>
      <c r="H36" s="541"/>
      <c r="J36" s="692"/>
    </row>
    <row r="37" spans="1:10" x14ac:dyDescent="0.25">
      <c r="A37" s="542"/>
      <c r="B37" s="222"/>
      <c r="C37" s="96"/>
      <c r="D37" s="36"/>
      <c r="E37" s="1178"/>
      <c r="F37" s="1178"/>
      <c r="G37" s="75"/>
      <c r="H37" s="541"/>
      <c r="J37" s="692"/>
    </row>
    <row r="38" spans="1:10" x14ac:dyDescent="0.25">
      <c r="A38" s="542"/>
      <c r="B38" s="222"/>
      <c r="C38" s="96"/>
      <c r="D38" s="36"/>
      <c r="E38" s="1178"/>
      <c r="F38" s="1178"/>
      <c r="G38" s="75"/>
      <c r="H38" s="541"/>
      <c r="J38" s="692"/>
    </row>
    <row r="39" spans="1:10" x14ac:dyDescent="0.25">
      <c r="A39" s="542"/>
      <c r="B39" s="222"/>
      <c r="C39" s="96"/>
      <c r="D39" s="36"/>
      <c r="E39" s="1178"/>
      <c r="F39" s="1178"/>
      <c r="G39" s="167"/>
      <c r="H39" s="544"/>
    </row>
    <row r="40" spans="1:10" ht="14.4" thickBot="1" x14ac:dyDescent="0.3">
      <c r="A40" s="545"/>
      <c r="B40" s="548"/>
      <c r="C40" s="199"/>
      <c r="D40" s="200"/>
      <c r="E40" s="1179"/>
      <c r="F40" s="1179"/>
      <c r="G40" s="549"/>
      <c r="H40" s="550"/>
    </row>
    <row r="41" spans="1:10" ht="30" customHeight="1" x14ac:dyDescent="0.25">
      <c r="A41" s="149" t="s">
        <v>965</v>
      </c>
      <c r="B41" s="741" t="s">
        <v>786</v>
      </c>
      <c r="C41" s="197"/>
      <c r="D41" s="116"/>
      <c r="E41" s="1177"/>
      <c r="F41" s="1177"/>
      <c r="G41" s="117"/>
      <c r="H41" s="540"/>
    </row>
    <row r="42" spans="1:10" x14ac:dyDescent="0.25">
      <c r="A42" s="542"/>
      <c r="B42" s="222" t="s">
        <v>20</v>
      </c>
      <c r="C42" s="36">
        <f>'m shet Mr Ratheshon'!N748</f>
        <v>82</v>
      </c>
      <c r="D42" s="36" t="s">
        <v>578</v>
      </c>
      <c r="E42" s="1178">
        <f>+RBD!F723</f>
        <v>956.60756800000001</v>
      </c>
      <c r="F42" s="1182">
        <f>+$I$1</f>
        <v>0.85</v>
      </c>
      <c r="G42" s="1183">
        <f>ROUNDUP(E42/F42,-1)</f>
        <v>1130</v>
      </c>
      <c r="H42" s="1184">
        <f>+G42*C42</f>
        <v>92660</v>
      </c>
    </row>
    <row r="43" spans="1:10" x14ac:dyDescent="0.25">
      <c r="A43" s="542"/>
      <c r="B43" s="222" t="str">
        <f>B34</f>
        <v>In First Floor</v>
      </c>
      <c r="C43" s="36">
        <f>'m shet Mr Ratheshon'!N751</f>
        <v>20</v>
      </c>
      <c r="D43" s="36" t="s">
        <v>578</v>
      </c>
      <c r="E43" s="1178">
        <f>+E42*1.01</f>
        <v>966.17364368000005</v>
      </c>
      <c r="F43" s="1182">
        <f>+$I$1</f>
        <v>0.85</v>
      </c>
      <c r="G43" s="1183">
        <f>ROUNDUP(E43/F43,-1)</f>
        <v>1140</v>
      </c>
      <c r="H43" s="1184">
        <f>+G43*C43</f>
        <v>22800</v>
      </c>
    </row>
    <row r="44" spans="1:10" x14ac:dyDescent="0.25">
      <c r="A44" s="542"/>
      <c r="B44" s="222" t="str">
        <f>B35</f>
        <v>In Second Floor</v>
      </c>
      <c r="C44" s="36">
        <f>'m shet Mr Ratheshon'!N757</f>
        <v>19</v>
      </c>
      <c r="D44" s="36" t="s">
        <v>578</v>
      </c>
      <c r="E44" s="1178">
        <f>+E42*1.02</f>
        <v>975.73971935999998</v>
      </c>
      <c r="F44" s="1182">
        <f>+$I$1</f>
        <v>0.85</v>
      </c>
      <c r="G44" s="1183">
        <f>ROUNDUP(E44/F44,-1)</f>
        <v>1150</v>
      </c>
      <c r="H44" s="1184">
        <f>+G44*C44</f>
        <v>21850</v>
      </c>
    </row>
    <row r="45" spans="1:10" x14ac:dyDescent="0.25">
      <c r="A45" s="542"/>
      <c r="B45" s="95"/>
      <c r="C45" s="96"/>
      <c r="D45" s="36"/>
      <c r="E45" s="1178"/>
      <c r="F45" s="1178"/>
      <c r="G45" s="75"/>
      <c r="H45" s="541"/>
    </row>
    <row r="46" spans="1:10" ht="58.8" customHeight="1" x14ac:dyDescent="0.25">
      <c r="A46" s="149" t="s">
        <v>966</v>
      </c>
      <c r="B46" s="280" t="s">
        <v>967</v>
      </c>
      <c r="C46" s="96"/>
      <c r="D46" s="36"/>
      <c r="E46" s="1178"/>
      <c r="F46" s="1178"/>
      <c r="G46" s="75"/>
      <c r="H46" s="541"/>
      <c r="J46" s="692"/>
    </row>
    <row r="47" spans="1:10" s="168" customFormat="1" x14ac:dyDescent="0.25">
      <c r="A47" s="543"/>
      <c r="B47" s="222" t="s">
        <v>523</v>
      </c>
      <c r="C47" s="166">
        <f>'m shet Mr Ratheshon'!N760</f>
        <v>45</v>
      </c>
      <c r="D47" s="36" t="s">
        <v>577</v>
      </c>
      <c r="E47" s="1178">
        <f>+RBD!F589</f>
        <v>8713.4349706666671</v>
      </c>
      <c r="F47" s="1182">
        <f>+$I$1</f>
        <v>0.85</v>
      </c>
      <c r="G47" s="1183">
        <f>ROUNDUP(E47/F47,-1)</f>
        <v>10260</v>
      </c>
      <c r="H47" s="1184">
        <f>+G47*C47</f>
        <v>461700</v>
      </c>
      <c r="I47" s="227"/>
      <c r="J47" s="520"/>
    </row>
    <row r="48" spans="1:10" s="168" customFormat="1" x14ac:dyDescent="0.25">
      <c r="A48" s="543"/>
      <c r="B48" s="280"/>
      <c r="C48" s="166"/>
      <c r="D48" s="165"/>
      <c r="E48" s="1178"/>
      <c r="F48" s="1178"/>
      <c r="G48" s="167"/>
      <c r="H48" s="544"/>
      <c r="I48" s="227"/>
    </row>
    <row r="49" spans="1:9" s="168" customFormat="1" ht="30" customHeight="1" x14ac:dyDescent="0.25">
      <c r="A49" s="149" t="s">
        <v>968</v>
      </c>
      <c r="B49" s="120" t="s">
        <v>775</v>
      </c>
      <c r="C49" s="166"/>
      <c r="D49" s="165"/>
      <c r="E49" s="1178"/>
      <c r="F49" s="1178"/>
      <c r="G49" s="167"/>
      <c r="H49" s="544"/>
      <c r="I49" s="227"/>
    </row>
    <row r="50" spans="1:9" s="168" customFormat="1" x14ac:dyDescent="0.25">
      <c r="A50" s="543"/>
      <c r="B50" s="222" t="s">
        <v>20</v>
      </c>
      <c r="C50" s="96">
        <f>'m shet Mr Ratheshon'!N763</f>
        <v>11</v>
      </c>
      <c r="D50" s="36" t="s">
        <v>578</v>
      </c>
      <c r="E50" s="1178">
        <f>+RBD!F723</f>
        <v>956.60756800000001</v>
      </c>
      <c r="F50" s="1182">
        <f>+$I$1</f>
        <v>0.85</v>
      </c>
      <c r="G50" s="1183">
        <f>ROUNDUP(E50/F50,-1)</f>
        <v>1130</v>
      </c>
      <c r="H50" s="1184">
        <f>+G50*C50</f>
        <v>12430</v>
      </c>
      <c r="I50" s="227"/>
    </row>
    <row r="51" spans="1:9" s="168" customFormat="1" x14ac:dyDescent="0.25">
      <c r="A51" s="543"/>
      <c r="B51" s="222"/>
      <c r="C51" s="96"/>
      <c r="D51" s="36"/>
      <c r="E51" s="1178"/>
      <c r="F51" s="1178"/>
      <c r="G51" s="167"/>
      <c r="H51" s="541"/>
      <c r="I51" s="227"/>
    </row>
    <row r="52" spans="1:9" s="168" customFormat="1" ht="59.4" customHeight="1" x14ac:dyDescent="0.25">
      <c r="A52" s="149" t="s">
        <v>969</v>
      </c>
      <c r="B52" s="280" t="s">
        <v>970</v>
      </c>
      <c r="C52" s="96"/>
      <c r="D52" s="36"/>
      <c r="E52" s="1178"/>
      <c r="F52" s="1178"/>
      <c r="G52" s="75"/>
      <c r="H52" s="541"/>
      <c r="I52" s="227"/>
    </row>
    <row r="53" spans="1:9" s="168" customFormat="1" x14ac:dyDescent="0.25">
      <c r="A53" s="543"/>
      <c r="B53" s="222" t="str">
        <f>B44</f>
        <v>In Second Floor</v>
      </c>
      <c r="C53" s="166">
        <f>'m shet Mr Ratheshon'!N766</f>
        <v>20</v>
      </c>
      <c r="D53" s="36" t="s">
        <v>577</v>
      </c>
      <c r="E53" s="1178">
        <f>+E47*1.04</f>
        <v>9061.9723694933346</v>
      </c>
      <c r="F53" s="1182">
        <f>+$I$1</f>
        <v>0.85</v>
      </c>
      <c r="G53" s="1183">
        <f>ROUNDUP(E53/F53,-1)</f>
        <v>10670</v>
      </c>
      <c r="H53" s="1184">
        <f>+G53*C53</f>
        <v>213400</v>
      </c>
      <c r="I53" s="227"/>
    </row>
    <row r="54" spans="1:9" s="168" customFormat="1" x14ac:dyDescent="0.25">
      <c r="A54" s="543"/>
      <c r="B54" s="222"/>
      <c r="C54" s="96"/>
      <c r="D54" s="36"/>
      <c r="E54" s="1178"/>
      <c r="F54" s="1178"/>
      <c r="G54" s="167"/>
      <c r="H54" s="541"/>
      <c r="I54" s="227"/>
    </row>
    <row r="55" spans="1:9" s="168" customFormat="1" ht="27.6" x14ac:dyDescent="0.25">
      <c r="A55" s="149" t="s">
        <v>971</v>
      </c>
      <c r="B55" s="195" t="s">
        <v>972</v>
      </c>
      <c r="C55" s="166"/>
      <c r="D55" s="165"/>
      <c r="E55" s="1178"/>
      <c r="F55" s="1178"/>
      <c r="G55" s="167"/>
      <c r="H55" s="541"/>
      <c r="I55" s="227"/>
    </row>
    <row r="56" spans="1:9" s="168" customFormat="1" x14ac:dyDescent="0.25">
      <c r="A56" s="543"/>
      <c r="B56" s="222" t="str">
        <f>B53</f>
        <v>In Second Floor</v>
      </c>
      <c r="C56" s="96">
        <f>'m shet Mr Ratheshon'!N769</f>
        <v>17</v>
      </c>
      <c r="D56" s="36" t="s">
        <v>578</v>
      </c>
      <c r="E56" s="1178">
        <f>+E50*1.04</f>
        <v>994.87187072000006</v>
      </c>
      <c r="F56" s="1182">
        <f>+$I$1</f>
        <v>0.85</v>
      </c>
      <c r="G56" s="1183">
        <f>ROUNDUP(E56/F56,-1)</f>
        <v>1180</v>
      </c>
      <c r="H56" s="1184">
        <f>+G56*C56</f>
        <v>20060</v>
      </c>
      <c r="I56" s="227"/>
    </row>
    <row r="57" spans="1:9" s="168" customFormat="1" x14ac:dyDescent="0.25">
      <c r="A57" s="543"/>
      <c r="B57" s="222"/>
      <c r="C57" s="96"/>
      <c r="D57" s="36"/>
      <c r="E57" s="1178"/>
      <c r="F57" s="1178"/>
      <c r="G57" s="167"/>
      <c r="H57" s="541"/>
      <c r="I57" s="227"/>
    </row>
    <row r="58" spans="1:9" s="168" customFormat="1" ht="58.2" customHeight="1" x14ac:dyDescent="0.25">
      <c r="A58" s="149" t="s">
        <v>973</v>
      </c>
      <c r="B58" s="280" t="s">
        <v>974</v>
      </c>
      <c r="C58" s="96"/>
      <c r="D58" s="36"/>
      <c r="E58" s="1178"/>
      <c r="F58" s="1178"/>
      <c r="G58" s="75"/>
      <c r="H58" s="541"/>
      <c r="I58" s="227"/>
    </row>
    <row r="59" spans="1:9" s="168" customFormat="1" x14ac:dyDescent="0.25">
      <c r="A59" s="543"/>
      <c r="B59" s="222" t="s">
        <v>523</v>
      </c>
      <c r="C59" s="166">
        <f>'m shet Mr Ratheshon'!N773</f>
        <v>18</v>
      </c>
      <c r="D59" s="36" t="s">
        <v>577</v>
      </c>
      <c r="E59" s="1178">
        <f>+RBD!F589</f>
        <v>8713.4349706666671</v>
      </c>
      <c r="F59" s="1182">
        <f>+$I$1</f>
        <v>0.85</v>
      </c>
      <c r="G59" s="1183">
        <f>ROUNDUP(E59/F59,-1)</f>
        <v>10260</v>
      </c>
      <c r="H59" s="1184">
        <f>+G59*C59</f>
        <v>184680</v>
      </c>
      <c r="I59" s="227"/>
    </row>
    <row r="60" spans="1:9" s="168" customFormat="1" x14ac:dyDescent="0.25">
      <c r="A60" s="543"/>
      <c r="B60" s="222" t="s">
        <v>960</v>
      </c>
      <c r="C60" s="96">
        <f>'m shet Mr Ratheshon'!N776</f>
        <v>16</v>
      </c>
      <c r="D60" s="36" t="s">
        <v>577</v>
      </c>
      <c r="E60" s="1178">
        <f>+E59*1.02</f>
        <v>8887.7036700799999</v>
      </c>
      <c r="F60" s="1182">
        <f>+$I$1</f>
        <v>0.85</v>
      </c>
      <c r="G60" s="1183">
        <f>ROUNDUP(E60/F60,-1)</f>
        <v>10460</v>
      </c>
      <c r="H60" s="1184">
        <f>+G60*C60</f>
        <v>167360</v>
      </c>
      <c r="I60" s="227"/>
    </row>
    <row r="61" spans="1:9" s="168" customFormat="1" x14ac:dyDescent="0.25">
      <c r="A61" s="543"/>
      <c r="B61" s="222"/>
      <c r="C61" s="96"/>
      <c r="D61" s="36"/>
      <c r="E61" s="1178"/>
      <c r="F61" s="1178"/>
      <c r="G61" s="75"/>
      <c r="H61" s="541"/>
      <c r="I61" s="227"/>
    </row>
    <row r="62" spans="1:9" s="168" customFormat="1" ht="27.6" x14ac:dyDescent="0.25">
      <c r="A62" s="149" t="s">
        <v>975</v>
      </c>
      <c r="B62" s="195" t="s">
        <v>978</v>
      </c>
      <c r="C62" s="96"/>
      <c r="D62" s="36"/>
      <c r="E62" s="1178"/>
      <c r="F62" s="1178"/>
      <c r="G62" s="75"/>
      <c r="H62" s="541"/>
      <c r="I62" s="227"/>
    </row>
    <row r="63" spans="1:9" s="168" customFormat="1" x14ac:dyDescent="0.25">
      <c r="A63" s="543"/>
      <c r="B63" s="195" t="s">
        <v>523</v>
      </c>
      <c r="C63" s="96">
        <v>14</v>
      </c>
      <c r="D63" s="36" t="s">
        <v>578</v>
      </c>
      <c r="E63" s="1178">
        <f>+RBD!F723</f>
        <v>956.60756800000001</v>
      </c>
      <c r="F63" s="1182">
        <f>+$I$1</f>
        <v>0.85</v>
      </c>
      <c r="G63" s="1183">
        <f>ROUNDUP(E63/F63,-1)</f>
        <v>1130</v>
      </c>
      <c r="H63" s="1184">
        <f>+G63*C63</f>
        <v>15820</v>
      </c>
      <c r="I63" s="227"/>
    </row>
    <row r="64" spans="1:9" s="168" customFormat="1" x14ac:dyDescent="0.25">
      <c r="A64" s="543"/>
      <c r="B64" s="195" t="s">
        <v>960</v>
      </c>
      <c r="C64" s="96">
        <v>10</v>
      </c>
      <c r="D64" s="36" t="s">
        <v>578</v>
      </c>
      <c r="E64" s="1178">
        <f>+E63*1.02</f>
        <v>975.73971935999998</v>
      </c>
      <c r="F64" s="1182">
        <f>+$I$1</f>
        <v>0.85</v>
      </c>
      <c r="G64" s="1183">
        <f>ROUNDUP(E64/F64,-1)</f>
        <v>1150</v>
      </c>
      <c r="H64" s="1184">
        <f>+G64*C64</f>
        <v>11500</v>
      </c>
      <c r="I64" s="227"/>
    </row>
    <row r="65" spans="1:10" s="168" customFormat="1" x14ac:dyDescent="0.25">
      <c r="A65" s="543"/>
      <c r="B65" s="222"/>
      <c r="C65" s="96"/>
      <c r="D65" s="36"/>
      <c r="E65" s="1178"/>
      <c r="F65" s="1178"/>
      <c r="G65" s="167"/>
      <c r="H65" s="541"/>
      <c r="I65" s="227"/>
    </row>
    <row r="66" spans="1:10" ht="58.2" customHeight="1" x14ac:dyDescent="0.25">
      <c r="A66" s="149" t="s">
        <v>977</v>
      </c>
      <c r="B66" s="280" t="s">
        <v>976</v>
      </c>
      <c r="C66" s="96"/>
      <c r="D66" s="36"/>
      <c r="E66" s="1178"/>
      <c r="F66" s="1178"/>
      <c r="G66" s="75"/>
      <c r="H66" s="541"/>
      <c r="J66" s="692"/>
    </row>
    <row r="67" spans="1:10" s="168" customFormat="1" x14ac:dyDescent="0.25">
      <c r="A67" s="543"/>
      <c r="B67" s="222" t="str">
        <f>B56</f>
        <v>In Second Floor</v>
      </c>
      <c r="C67" s="96">
        <f>'m shet Mr Ratheshon'!N779</f>
        <v>18</v>
      </c>
      <c r="D67" s="36" t="s">
        <v>577</v>
      </c>
      <c r="E67" s="1178">
        <f>+RBD!F589*1.04</f>
        <v>9061.9723694933346</v>
      </c>
      <c r="F67" s="1182">
        <f>+$I$1</f>
        <v>0.85</v>
      </c>
      <c r="G67" s="1183">
        <f>ROUNDUP(E67/F67,-1)</f>
        <v>10670</v>
      </c>
      <c r="H67" s="1184">
        <f>+G67*C67</f>
        <v>192060</v>
      </c>
      <c r="I67" s="227"/>
    </row>
    <row r="68" spans="1:10" s="168" customFormat="1" x14ac:dyDescent="0.25">
      <c r="A68" s="543"/>
      <c r="B68" s="222"/>
      <c r="C68" s="96"/>
      <c r="D68" s="36"/>
      <c r="E68" s="1178"/>
      <c r="F68" s="1178"/>
      <c r="G68" s="167"/>
      <c r="H68" s="541"/>
      <c r="I68" s="227"/>
    </row>
    <row r="69" spans="1:10" s="168" customFormat="1" ht="27.6" x14ac:dyDescent="0.25">
      <c r="A69" s="149" t="s">
        <v>980</v>
      </c>
      <c r="B69" s="195" t="s">
        <v>979</v>
      </c>
      <c r="C69" s="166"/>
      <c r="D69" s="165"/>
      <c r="E69" s="1178"/>
      <c r="F69" s="1178"/>
      <c r="G69" s="167"/>
      <c r="H69" s="541"/>
      <c r="I69" s="227"/>
    </row>
    <row r="70" spans="1:10" s="168" customFormat="1" x14ac:dyDescent="0.25">
      <c r="A70" s="543"/>
      <c r="B70" s="222" t="str">
        <f>B67</f>
        <v>In Second Floor</v>
      </c>
      <c r="C70" s="96">
        <v>3</v>
      </c>
      <c r="D70" s="36" t="s">
        <v>578</v>
      </c>
      <c r="E70" s="1178">
        <f>+RBD!F723*1.04</f>
        <v>994.87187072000006</v>
      </c>
      <c r="F70" s="1182">
        <f>+$I$1</f>
        <v>0.85</v>
      </c>
      <c r="G70" s="1183">
        <f>ROUNDUP(E70/F70,-1)</f>
        <v>1180</v>
      </c>
      <c r="H70" s="1184">
        <f>+G70*C70</f>
        <v>3540</v>
      </c>
      <c r="I70" s="227"/>
    </row>
    <row r="71" spans="1:10" s="168" customFormat="1" x14ac:dyDescent="0.25">
      <c r="A71" s="543"/>
      <c r="B71" s="222"/>
      <c r="C71" s="96"/>
      <c r="D71" s="36"/>
      <c r="E71" s="1178"/>
      <c r="F71" s="1178"/>
      <c r="G71" s="167"/>
      <c r="H71" s="541"/>
      <c r="I71" s="227"/>
    </row>
    <row r="72" spans="1:10" ht="58.2" customHeight="1" x14ac:dyDescent="0.25">
      <c r="A72" s="149" t="s">
        <v>981</v>
      </c>
      <c r="B72" s="280" t="s">
        <v>982</v>
      </c>
      <c r="C72" s="96"/>
      <c r="D72" s="36"/>
      <c r="E72" s="1178"/>
      <c r="F72" s="1178"/>
      <c r="G72" s="75"/>
      <c r="H72" s="541"/>
      <c r="J72" s="692"/>
    </row>
    <row r="73" spans="1:10" s="168" customFormat="1" x14ac:dyDescent="0.25">
      <c r="A73" s="543"/>
      <c r="B73" s="222" t="s">
        <v>523</v>
      </c>
      <c r="C73" s="96">
        <v>4</v>
      </c>
      <c r="D73" s="36" t="s">
        <v>577</v>
      </c>
      <c r="E73" s="1178">
        <f>+RBD!F589</f>
        <v>8713.4349706666671</v>
      </c>
      <c r="F73" s="1182">
        <f>+$I$1</f>
        <v>0.85</v>
      </c>
      <c r="G73" s="1183">
        <f>ROUNDUP(E73/F73,-1)</f>
        <v>10260</v>
      </c>
      <c r="H73" s="1184">
        <f>+G73*C73</f>
        <v>41040</v>
      </c>
      <c r="I73" s="227"/>
    </row>
    <row r="74" spans="1:10" s="168" customFormat="1" x14ac:dyDescent="0.25">
      <c r="A74" s="543"/>
      <c r="B74" s="222" t="str">
        <f>B64</f>
        <v>In First Floor</v>
      </c>
      <c r="C74" s="96">
        <v>3</v>
      </c>
      <c r="D74" s="36" t="s">
        <v>577</v>
      </c>
      <c r="E74" s="1178">
        <f>+E73*1.02</f>
        <v>8887.7036700799999</v>
      </c>
      <c r="F74" s="1182">
        <f>+$I$1</f>
        <v>0.85</v>
      </c>
      <c r="G74" s="1183">
        <f>ROUNDUP(E74/F74,-1)</f>
        <v>10460</v>
      </c>
      <c r="H74" s="1184">
        <f>+G74*C74</f>
        <v>31380</v>
      </c>
      <c r="I74" s="227"/>
    </row>
    <row r="75" spans="1:10" s="168" customFormat="1" x14ac:dyDescent="0.25">
      <c r="A75" s="543"/>
      <c r="B75" s="222" t="str">
        <f>B70</f>
        <v>In Second Floor</v>
      </c>
      <c r="C75" s="96">
        <v>2</v>
      </c>
      <c r="D75" s="36" t="s">
        <v>577</v>
      </c>
      <c r="E75" s="1178">
        <f>+E73*1.04</f>
        <v>9061.9723694933346</v>
      </c>
      <c r="F75" s="1182">
        <f>+$I$1</f>
        <v>0.85</v>
      </c>
      <c r="G75" s="1183">
        <f>ROUNDUP(E75/F75,-1)</f>
        <v>10670</v>
      </c>
      <c r="H75" s="1184">
        <f>+G75*C75</f>
        <v>21340</v>
      </c>
      <c r="I75" s="227"/>
    </row>
    <row r="76" spans="1:10" s="168" customFormat="1" x14ac:dyDescent="0.25">
      <c r="A76" s="543"/>
      <c r="B76" s="222"/>
      <c r="C76" s="96"/>
      <c r="D76" s="36"/>
      <c r="E76" s="1178"/>
      <c r="F76" s="1178"/>
      <c r="G76" s="167"/>
      <c r="H76" s="541"/>
      <c r="I76" s="227"/>
    </row>
    <row r="77" spans="1:10" ht="14.4" thickBot="1" x14ac:dyDescent="0.3">
      <c r="A77" s="551"/>
      <c r="B77" s="198"/>
      <c r="C77" s="199"/>
      <c r="D77" s="200"/>
      <c r="E77" s="1179"/>
      <c r="F77" s="1179"/>
      <c r="G77" s="549"/>
      <c r="H77" s="546"/>
    </row>
    <row r="78" spans="1:10" x14ac:dyDescent="0.25">
      <c r="A78" s="543"/>
      <c r="B78" s="122"/>
      <c r="C78" s="96"/>
      <c r="D78" s="36"/>
      <c r="E78" s="1178"/>
      <c r="F78" s="1178"/>
      <c r="G78" s="167"/>
      <c r="H78" s="544"/>
    </row>
    <row r="79" spans="1:10" ht="27.6" x14ac:dyDescent="0.25">
      <c r="A79" s="149" t="s">
        <v>983</v>
      </c>
      <c r="B79" s="280" t="s">
        <v>984</v>
      </c>
      <c r="C79" s="96"/>
      <c r="D79" s="36"/>
      <c r="E79" s="1178"/>
      <c r="F79" s="1178"/>
      <c r="G79" s="75"/>
      <c r="H79" s="541"/>
    </row>
    <row r="80" spans="1:10" x14ac:dyDescent="0.25">
      <c r="A80" s="542"/>
      <c r="B80" s="222" t="s">
        <v>21</v>
      </c>
      <c r="C80" s="96">
        <f>'m shet Mr Ratheshon'!N785</f>
        <v>75</v>
      </c>
      <c r="D80" s="36" t="s">
        <v>577</v>
      </c>
      <c r="E80" s="1178">
        <f>+E74</f>
        <v>8887.7036700799999</v>
      </c>
      <c r="F80" s="1182">
        <f>+$I$1</f>
        <v>0.85</v>
      </c>
      <c r="G80" s="1183">
        <f>ROUNDUP(E80/F80,-1)</f>
        <v>10460</v>
      </c>
      <c r="H80" s="1184">
        <f>+G80*C80</f>
        <v>784500</v>
      </c>
    </row>
    <row r="81" spans="1:10" x14ac:dyDescent="0.25">
      <c r="A81" s="542"/>
      <c r="B81" s="222"/>
      <c r="C81" s="96"/>
      <c r="D81" s="36"/>
      <c r="E81" s="1178"/>
      <c r="F81" s="1178"/>
      <c r="G81" s="167"/>
      <c r="H81" s="544"/>
    </row>
    <row r="82" spans="1:10" ht="41.4" x14ac:dyDescent="0.25">
      <c r="A82" s="149" t="s">
        <v>986</v>
      </c>
      <c r="B82" s="195" t="s">
        <v>985</v>
      </c>
      <c r="C82" s="96"/>
      <c r="D82" s="36"/>
      <c r="E82" s="1178"/>
      <c r="F82" s="1178"/>
      <c r="G82" s="75"/>
      <c r="H82" s="541"/>
    </row>
    <row r="83" spans="1:10" x14ac:dyDescent="0.25">
      <c r="A83" s="542"/>
      <c r="B83" s="222" t="s">
        <v>21</v>
      </c>
      <c r="C83" s="96">
        <v>9</v>
      </c>
      <c r="D83" s="36" t="s">
        <v>578</v>
      </c>
      <c r="E83" s="1178">
        <f>+E64</f>
        <v>975.73971935999998</v>
      </c>
      <c r="F83" s="1182">
        <f>+$I$1</f>
        <v>0.85</v>
      </c>
      <c r="G83" s="1183">
        <f>ROUNDUP(E83/F83,-1)</f>
        <v>1150</v>
      </c>
      <c r="H83" s="1184">
        <f>+G83*C83</f>
        <v>10350</v>
      </c>
    </row>
    <row r="84" spans="1:10" x14ac:dyDescent="0.25">
      <c r="A84" s="543"/>
      <c r="B84" s="122"/>
      <c r="C84" s="96"/>
      <c r="D84" s="36"/>
      <c r="E84" s="1178"/>
      <c r="F84" s="1178"/>
      <c r="G84" s="167"/>
      <c r="H84" s="544"/>
    </row>
    <row r="85" spans="1:10" ht="55.2" x14ac:dyDescent="0.25">
      <c r="A85" s="149" t="s">
        <v>987</v>
      </c>
      <c r="B85" s="280" t="s">
        <v>1029</v>
      </c>
      <c r="C85" s="96"/>
      <c r="D85" s="36"/>
      <c r="E85" s="1178"/>
      <c r="F85" s="1178"/>
      <c r="G85" s="75"/>
      <c r="H85" s="541"/>
    </row>
    <row r="86" spans="1:10" x14ac:dyDescent="0.25">
      <c r="A86" s="542"/>
      <c r="B86" s="222" t="str">
        <f>B75</f>
        <v>In Second Floor</v>
      </c>
      <c r="C86" s="96">
        <f>'m shet Mr Ratheshon'!N788</f>
        <v>57</v>
      </c>
      <c r="D86" s="36" t="s">
        <v>577</v>
      </c>
      <c r="E86" s="1178">
        <f>2100*10.76*1.25</f>
        <v>28245</v>
      </c>
      <c r="F86" s="1182">
        <f>+$I$1</f>
        <v>0.85</v>
      </c>
      <c r="G86" s="1183">
        <f>ROUNDUP(E86/F86,-1)</f>
        <v>33230</v>
      </c>
      <c r="H86" s="1184">
        <f>+G86*C86</f>
        <v>1894110</v>
      </c>
    </row>
    <row r="87" spans="1:10" x14ac:dyDescent="0.25">
      <c r="A87" s="542"/>
      <c r="B87" s="222"/>
      <c r="C87" s="96"/>
      <c r="D87" s="36"/>
      <c r="E87" s="1178"/>
      <c r="F87" s="1178"/>
      <c r="G87" s="167"/>
      <c r="H87" s="544"/>
    </row>
    <row r="88" spans="1:10" ht="56.4" customHeight="1" x14ac:dyDescent="0.25">
      <c r="A88" s="149" t="s">
        <v>988</v>
      </c>
      <c r="B88" s="280" t="s">
        <v>989</v>
      </c>
      <c r="C88" s="96"/>
      <c r="D88" s="36"/>
      <c r="E88" s="1178"/>
      <c r="F88" s="1178"/>
      <c r="G88" s="75"/>
      <c r="H88" s="541"/>
      <c r="J88" s="692"/>
    </row>
    <row r="89" spans="1:10" x14ac:dyDescent="0.25">
      <c r="A89" s="542"/>
      <c r="B89" s="222" t="s">
        <v>523</v>
      </c>
      <c r="C89" s="96">
        <f>'m shet Mr Ratheshon'!N792</f>
        <v>11</v>
      </c>
      <c r="D89" s="36" t="s">
        <v>577</v>
      </c>
      <c r="E89" s="1178">
        <f>+E73</f>
        <v>8713.4349706666671</v>
      </c>
      <c r="F89" s="1182">
        <f>+$I$1</f>
        <v>0.85</v>
      </c>
      <c r="G89" s="1183">
        <f>ROUNDUP(E89/F89,-1)</f>
        <v>10260</v>
      </c>
      <c r="H89" s="1184">
        <f>+G89*C89</f>
        <v>112860</v>
      </c>
    </row>
    <row r="90" spans="1:10" x14ac:dyDescent="0.25">
      <c r="A90" s="542"/>
      <c r="B90" s="222" t="s">
        <v>21</v>
      </c>
      <c r="C90" s="96">
        <f>'m shet Mr Ratheshon'!N797</f>
        <v>47</v>
      </c>
      <c r="D90" s="36" t="s">
        <v>577</v>
      </c>
      <c r="E90" s="1178">
        <f>+E74</f>
        <v>8887.7036700799999</v>
      </c>
      <c r="F90" s="1182">
        <f>+$I$1</f>
        <v>0.85</v>
      </c>
      <c r="G90" s="1183">
        <f>ROUNDUP(E90/F90,-1)</f>
        <v>10460</v>
      </c>
      <c r="H90" s="1184">
        <f>+G90*C90</f>
        <v>491620</v>
      </c>
    </row>
    <row r="91" spans="1:10" x14ac:dyDescent="0.25">
      <c r="A91" s="542"/>
      <c r="B91" s="222" t="s">
        <v>574</v>
      </c>
      <c r="C91" s="96">
        <f>'m shet Mr Ratheshon'!N802</f>
        <v>72</v>
      </c>
      <c r="D91" s="36" t="s">
        <v>577</v>
      </c>
      <c r="E91" s="1178">
        <f>+E75</f>
        <v>9061.9723694933346</v>
      </c>
      <c r="F91" s="1182">
        <f>+$I$1</f>
        <v>0.85</v>
      </c>
      <c r="G91" s="1183">
        <f>ROUNDUP(E91/F91,-1)</f>
        <v>10670</v>
      </c>
      <c r="H91" s="1184">
        <f>+G91*C91</f>
        <v>768240</v>
      </c>
    </row>
    <row r="92" spans="1:10" x14ac:dyDescent="0.25">
      <c r="A92" s="542"/>
      <c r="B92" s="222"/>
      <c r="C92" s="96"/>
      <c r="D92" s="36"/>
      <c r="E92" s="1178"/>
      <c r="F92" s="1178"/>
      <c r="G92" s="90"/>
      <c r="H92" s="544"/>
    </row>
    <row r="93" spans="1:10" ht="55.2" x14ac:dyDescent="0.25">
      <c r="A93" s="149" t="s">
        <v>990</v>
      </c>
      <c r="B93" s="280" t="s">
        <v>991</v>
      </c>
      <c r="C93" s="96"/>
      <c r="D93" s="36"/>
      <c r="E93" s="1178"/>
      <c r="F93" s="1182"/>
      <c r="G93" s="1183"/>
      <c r="H93" s="1184"/>
      <c r="J93" s="692"/>
    </row>
    <row r="94" spans="1:10" x14ac:dyDescent="0.25">
      <c r="A94" s="542"/>
      <c r="B94" s="222" t="s">
        <v>523</v>
      </c>
      <c r="C94" s="96">
        <f>'m shet Mr Ratheshon'!N807</f>
        <v>11</v>
      </c>
      <c r="D94" s="36" t="s">
        <v>577</v>
      </c>
      <c r="E94" s="1178">
        <f>+E89</f>
        <v>8713.4349706666671</v>
      </c>
      <c r="F94" s="1182">
        <f>+$I$1</f>
        <v>0.85</v>
      </c>
      <c r="G94" s="1183">
        <f>ROUNDUP(E94/F94,-1)</f>
        <v>10260</v>
      </c>
      <c r="H94" s="1184">
        <f>+G94*C94</f>
        <v>112860</v>
      </c>
    </row>
    <row r="95" spans="1:10" x14ac:dyDescent="0.25">
      <c r="A95" s="542"/>
      <c r="B95" s="222" t="s">
        <v>21</v>
      </c>
      <c r="C95" s="96">
        <f>'m shet Mr Ratheshon'!N811</f>
        <v>15</v>
      </c>
      <c r="D95" s="36" t="s">
        <v>577</v>
      </c>
      <c r="E95" s="1178">
        <f>+E90</f>
        <v>8887.7036700799999</v>
      </c>
      <c r="F95" s="1182">
        <f>+$I$1</f>
        <v>0.85</v>
      </c>
      <c r="G95" s="1183">
        <f>ROUNDUP(E95/F95,-1)</f>
        <v>10460</v>
      </c>
      <c r="H95" s="1184">
        <f>+G95*C95</f>
        <v>156900</v>
      </c>
    </row>
    <row r="96" spans="1:10" x14ac:dyDescent="0.25">
      <c r="A96" s="542"/>
      <c r="B96" s="222" t="s">
        <v>574</v>
      </c>
      <c r="C96" s="96">
        <f>'m shet Mr Ratheshon'!N813</f>
        <v>3</v>
      </c>
      <c r="D96" s="36" t="s">
        <v>577</v>
      </c>
      <c r="E96" s="1178">
        <f>+E91</f>
        <v>9061.9723694933346</v>
      </c>
      <c r="F96" s="1182">
        <f>+$I$1</f>
        <v>0.85</v>
      </c>
      <c r="G96" s="1183">
        <f>ROUNDUP(E96/F96,-1)</f>
        <v>10670</v>
      </c>
      <c r="H96" s="1184">
        <f>+G96*C96</f>
        <v>32010</v>
      </c>
    </row>
    <row r="97" spans="1:8" x14ac:dyDescent="0.25">
      <c r="A97" s="542"/>
      <c r="B97" s="222"/>
      <c r="C97" s="96"/>
      <c r="D97" s="36"/>
      <c r="E97" s="1178"/>
      <c r="F97" s="1178"/>
      <c r="G97" s="90"/>
      <c r="H97" s="544"/>
    </row>
    <row r="98" spans="1:8" ht="41.4" x14ac:dyDescent="0.25">
      <c r="A98" s="149" t="s">
        <v>992</v>
      </c>
      <c r="B98" s="280" t="s">
        <v>1030</v>
      </c>
      <c r="C98" s="96"/>
      <c r="D98" s="36"/>
      <c r="E98" s="1178"/>
      <c r="F98" s="1178"/>
      <c r="G98" s="90"/>
      <c r="H98" s="544"/>
    </row>
    <row r="99" spans="1:8" x14ac:dyDescent="0.25">
      <c r="A99" s="542"/>
      <c r="B99" s="222" t="str">
        <f>B96</f>
        <v>In Second Floor</v>
      </c>
      <c r="C99" s="96">
        <f>'m shet Mr Ratheshon'!N816</f>
        <v>37</v>
      </c>
      <c r="D99" s="36" t="s">
        <v>577</v>
      </c>
      <c r="E99" s="1178">
        <f>1900*10.76*1.3</f>
        <v>26577.200000000001</v>
      </c>
      <c r="F99" s="1182">
        <f>+$I$1</f>
        <v>0.85</v>
      </c>
      <c r="G99" s="1183">
        <f>ROUNDUP(E99/F99,-1)</f>
        <v>31270</v>
      </c>
      <c r="H99" s="1184">
        <f>+G99*C99</f>
        <v>1156990</v>
      </c>
    </row>
    <row r="100" spans="1:8" x14ac:dyDescent="0.25">
      <c r="A100" s="542"/>
      <c r="B100" s="222"/>
      <c r="C100" s="96"/>
      <c r="D100" s="36"/>
      <c r="E100" s="1178"/>
      <c r="F100" s="1178"/>
      <c r="G100" s="90"/>
      <c r="H100" s="544"/>
    </row>
    <row r="101" spans="1:8" ht="41.4" x14ac:dyDescent="0.25">
      <c r="A101" s="149" t="s">
        <v>993</v>
      </c>
      <c r="B101" s="280" t="s">
        <v>1031</v>
      </c>
      <c r="C101" s="96"/>
      <c r="D101" s="36"/>
      <c r="E101" s="1178"/>
      <c r="F101" s="1178"/>
      <c r="G101" s="90"/>
      <c r="H101" s="544"/>
    </row>
    <row r="102" spans="1:8" x14ac:dyDescent="0.25">
      <c r="A102" s="542"/>
      <c r="B102" s="222" t="s">
        <v>21</v>
      </c>
      <c r="C102" s="96">
        <f>'m shet Mr Ratheshon'!N820</f>
        <v>56</v>
      </c>
      <c r="D102" s="36" t="s">
        <v>577</v>
      </c>
      <c r="E102" s="1178">
        <f>+RBD!F815</f>
        <v>34101.868453333336</v>
      </c>
      <c r="F102" s="1182">
        <f>+$I$1</f>
        <v>0.85</v>
      </c>
      <c r="G102" s="1183">
        <f>ROUNDUP(E102/F102,-1)</f>
        <v>40120</v>
      </c>
      <c r="H102" s="1184">
        <f>+G102*C102</f>
        <v>2246720</v>
      </c>
    </row>
    <row r="103" spans="1:8" x14ac:dyDescent="0.25">
      <c r="A103" s="542"/>
      <c r="B103" s="222"/>
      <c r="C103" s="96"/>
      <c r="D103" s="36"/>
      <c r="E103" s="1178"/>
      <c r="F103" s="1178"/>
      <c r="G103" s="90"/>
      <c r="H103" s="544"/>
    </row>
    <row r="104" spans="1:8" ht="41.4" x14ac:dyDescent="0.25">
      <c r="A104" s="149" t="s">
        <v>994</v>
      </c>
      <c r="B104" s="280" t="s">
        <v>1032</v>
      </c>
      <c r="C104" s="96"/>
      <c r="D104" s="36"/>
      <c r="E104" s="1178"/>
      <c r="F104" s="1182"/>
      <c r="G104" s="1183"/>
      <c r="H104" s="1184"/>
    </row>
    <row r="105" spans="1:8" x14ac:dyDescent="0.25">
      <c r="A105" s="149"/>
      <c r="B105" s="222" t="s">
        <v>523</v>
      </c>
      <c r="C105" s="96">
        <f>'m shet Mr Ratheshon'!N823</f>
        <v>6</v>
      </c>
      <c r="D105" s="36" t="s">
        <v>577</v>
      </c>
      <c r="E105" s="1178">
        <f>1850*10.76*1.35</f>
        <v>26873.100000000002</v>
      </c>
      <c r="F105" s="1182">
        <f>+$I$1</f>
        <v>0.85</v>
      </c>
      <c r="G105" s="1183">
        <f>ROUNDUP(E105/F105,-1)</f>
        <v>31620</v>
      </c>
      <c r="H105" s="1184">
        <f>+G105*C105</f>
        <v>189720</v>
      </c>
    </row>
    <row r="106" spans="1:8" x14ac:dyDescent="0.25">
      <c r="A106" s="149"/>
      <c r="B106" s="222" t="s">
        <v>21</v>
      </c>
      <c r="C106" s="96">
        <f>'m shet Mr Ratheshon'!N826</f>
        <v>33</v>
      </c>
      <c r="D106" s="36" t="s">
        <v>577</v>
      </c>
      <c r="E106" s="1178">
        <f>+E105*1.02</f>
        <v>27410.562000000002</v>
      </c>
      <c r="F106" s="1182">
        <f>+$I$1</f>
        <v>0.85</v>
      </c>
      <c r="G106" s="1183">
        <f>ROUNDUP(E106/F106,-1)</f>
        <v>32250</v>
      </c>
      <c r="H106" s="1184">
        <f>+G106*C106</f>
        <v>1064250</v>
      </c>
    </row>
    <row r="107" spans="1:8" x14ac:dyDescent="0.25">
      <c r="A107" s="543"/>
      <c r="B107" s="122"/>
      <c r="C107" s="96"/>
      <c r="D107" s="36"/>
      <c r="E107" s="1178"/>
      <c r="F107" s="1178"/>
      <c r="G107" s="167"/>
      <c r="H107" s="544"/>
    </row>
    <row r="108" spans="1:8" ht="41.4" x14ac:dyDescent="0.25">
      <c r="A108" s="149" t="s">
        <v>995</v>
      </c>
      <c r="B108" s="280" t="s">
        <v>996</v>
      </c>
      <c r="C108" s="96"/>
      <c r="D108" s="36"/>
      <c r="E108" s="1178"/>
      <c r="F108" s="1178"/>
      <c r="G108" s="75"/>
      <c r="H108" s="541"/>
    </row>
    <row r="109" spans="1:8" x14ac:dyDescent="0.25">
      <c r="A109" s="542"/>
      <c r="B109" s="222" t="s">
        <v>523</v>
      </c>
      <c r="C109" s="96">
        <f>'m shet Mr Ratheshon'!N829</f>
        <v>9</v>
      </c>
      <c r="D109" s="36" t="s">
        <v>577</v>
      </c>
      <c r="E109" s="1178">
        <f>4250*10.76*1.2</f>
        <v>54876</v>
      </c>
      <c r="F109" s="1182">
        <f>+$I$1</f>
        <v>0.85</v>
      </c>
      <c r="G109" s="1183">
        <f>ROUNDUP(E109/F109,-1)</f>
        <v>64560</v>
      </c>
      <c r="H109" s="1184">
        <f>+G109*C109</f>
        <v>581040</v>
      </c>
    </row>
    <row r="110" spans="1:8" x14ac:dyDescent="0.25">
      <c r="A110" s="542"/>
      <c r="B110" s="222" t="s">
        <v>21</v>
      </c>
      <c r="C110" s="96">
        <f>C109</f>
        <v>9</v>
      </c>
      <c r="D110" s="36" t="s">
        <v>577</v>
      </c>
      <c r="E110" s="1178">
        <f>+E109*1.02</f>
        <v>55973.520000000004</v>
      </c>
      <c r="F110" s="1182">
        <f>+$I$1</f>
        <v>0.85</v>
      </c>
      <c r="G110" s="1183">
        <f>ROUNDUP(E110/F110,-1)</f>
        <v>65860</v>
      </c>
      <c r="H110" s="1184">
        <f>+G110*C110</f>
        <v>592740</v>
      </c>
    </row>
    <row r="111" spans="1:8" x14ac:dyDescent="0.25">
      <c r="A111" s="543"/>
      <c r="B111" s="222" t="s">
        <v>574</v>
      </c>
      <c r="C111" s="96">
        <f>C110</f>
        <v>9</v>
      </c>
      <c r="D111" s="36" t="s">
        <v>577</v>
      </c>
      <c r="E111" s="1178">
        <f>+E109*1.04</f>
        <v>57071.040000000001</v>
      </c>
      <c r="F111" s="1182">
        <f>+$I$1</f>
        <v>0.85</v>
      </c>
      <c r="G111" s="1183">
        <f>ROUNDUP(E111/F111,-1)</f>
        <v>67150</v>
      </c>
      <c r="H111" s="1184">
        <f>+G111*C111</f>
        <v>604350</v>
      </c>
    </row>
    <row r="112" spans="1:8" x14ac:dyDescent="0.25">
      <c r="A112" s="543"/>
      <c r="B112" s="195"/>
      <c r="C112" s="96"/>
      <c r="D112" s="36"/>
      <c r="E112" s="1178"/>
      <c r="F112" s="1178"/>
      <c r="G112" s="167"/>
      <c r="H112" s="544"/>
    </row>
    <row r="113" spans="1:9" x14ac:dyDescent="0.25">
      <c r="A113" s="543"/>
      <c r="B113" s="222"/>
      <c r="C113" s="96"/>
      <c r="D113" s="36"/>
      <c r="E113" s="1178"/>
      <c r="F113" s="1178"/>
      <c r="G113" s="90"/>
      <c r="H113" s="541"/>
    </row>
    <row r="114" spans="1:9" ht="14.4" thickBot="1" x14ac:dyDescent="0.3">
      <c r="A114" s="543"/>
      <c r="B114" s="195"/>
      <c r="C114" s="96"/>
      <c r="D114" s="36"/>
      <c r="E114" s="1178"/>
      <c r="F114" s="1178"/>
      <c r="G114" s="75"/>
      <c r="H114" s="541"/>
    </row>
    <row r="115" spans="1:9" s="3" customFormat="1" ht="14.4" thickBot="1" x14ac:dyDescent="0.3">
      <c r="A115" s="105"/>
      <c r="B115" s="112" t="s">
        <v>225</v>
      </c>
      <c r="C115" s="106"/>
      <c r="D115" s="107"/>
      <c r="E115" s="1180"/>
      <c r="F115" s="1180"/>
      <c r="G115" s="108"/>
      <c r="H115" s="109">
        <f>SUM(H2:H114)</f>
        <v>16408650</v>
      </c>
      <c r="I115" s="39"/>
    </row>
  </sheetData>
  <phoneticPr fontId="28" type="noConversion"/>
  <pageMargins left="0.5" right="0.5" top="0.25" bottom="0.25" header="0.5" footer="0.5"/>
  <pageSetup orientation="portrait" r:id="rId1"/>
  <headerFooter alignWithMargins="0">
    <oddFooter>&amp;C&amp;P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482A9-0446-4FD9-BF02-27705E206208}">
  <sheetPr>
    <tabColor rgb="FF00B0F0"/>
  </sheetPr>
  <dimension ref="B1:N49"/>
  <sheetViews>
    <sheetView view="pageBreakPreview" topLeftCell="A10" zoomScale="115" zoomScaleNormal="100" zoomScaleSheetLayoutView="115" workbookViewId="0">
      <selection activeCell="D21" sqref="D21"/>
    </sheetView>
  </sheetViews>
  <sheetFormatPr defaultRowHeight="13.2" x14ac:dyDescent="0.25"/>
  <cols>
    <col min="1" max="1" width="1.88671875" style="1163" customWidth="1"/>
    <col min="2" max="2" width="20.33203125" style="1163" bestFit="1" customWidth="1"/>
    <col min="3" max="3" width="8.88671875" style="142"/>
    <col min="4" max="4" width="12.33203125" style="1163" customWidth="1"/>
    <col min="5" max="5" width="2.88671875" style="1163" customWidth="1"/>
    <col min="6" max="6" width="29.77734375" style="1163" customWidth="1"/>
    <col min="7" max="7" width="9.88671875" style="142" customWidth="1"/>
    <col min="8" max="8" width="10.21875" style="1175" bestFit="1" customWidth="1"/>
    <col min="9" max="9" width="2.88671875" style="1163" customWidth="1"/>
    <col min="10" max="10" width="16.88671875" style="1163" customWidth="1"/>
    <col min="11" max="11" width="8.88671875" style="1163"/>
    <col min="12" max="12" width="9.21875" style="1175" bestFit="1" customWidth="1"/>
    <col min="13" max="16384" width="8.88671875" style="1163"/>
  </cols>
  <sheetData>
    <row r="1" spans="2:12" x14ac:dyDescent="0.25">
      <c r="B1" s="1157"/>
      <c r="C1" s="1158"/>
      <c r="D1" s="1159"/>
      <c r="E1" s="1160"/>
      <c r="F1" s="1159"/>
      <c r="G1" s="1158"/>
      <c r="H1" s="1161"/>
      <c r="I1" s="1160"/>
      <c r="J1" s="1159"/>
      <c r="K1" s="1159"/>
      <c r="L1" s="1162"/>
    </row>
    <row r="2" spans="2:12" ht="15.6" x14ac:dyDescent="0.3">
      <c r="B2" s="1464" t="s">
        <v>1197</v>
      </c>
      <c r="C2" s="1465"/>
      <c r="D2" s="1465"/>
      <c r="E2" s="1160"/>
      <c r="F2" s="1466" t="s">
        <v>1198</v>
      </c>
      <c r="G2" s="1466"/>
      <c r="H2" s="1466"/>
      <c r="I2" s="1160"/>
      <c r="J2" s="1467" t="s">
        <v>1199</v>
      </c>
      <c r="K2" s="1467"/>
      <c r="L2" s="1468"/>
    </row>
    <row r="3" spans="2:12" x14ac:dyDescent="0.25">
      <c r="B3" s="1164" t="s">
        <v>1200</v>
      </c>
      <c r="C3" s="1165" t="s">
        <v>37</v>
      </c>
      <c r="D3" s="1166">
        <v>365</v>
      </c>
      <c r="E3" s="1160"/>
      <c r="F3" s="1167" t="s">
        <v>1201</v>
      </c>
      <c r="G3" s="1165" t="s">
        <v>872</v>
      </c>
      <c r="H3" s="1168">
        <v>2200</v>
      </c>
      <c r="I3" s="1160"/>
      <c r="J3" s="1169" t="s">
        <v>1104</v>
      </c>
      <c r="K3" s="1169" t="s">
        <v>1105</v>
      </c>
      <c r="L3" s="1170">
        <f>5000+1000</f>
        <v>6000</v>
      </c>
    </row>
    <row r="4" spans="2:12" x14ac:dyDescent="0.25">
      <c r="B4" s="1164" t="s">
        <v>1074</v>
      </c>
      <c r="C4" s="1165" t="s">
        <v>37</v>
      </c>
      <c r="D4" s="1166">
        <v>370</v>
      </c>
      <c r="E4" s="1160"/>
      <c r="F4" s="1167"/>
      <c r="G4" s="1165"/>
      <c r="H4" s="1168"/>
      <c r="I4" s="1160"/>
      <c r="J4" s="1169" t="s">
        <v>1107</v>
      </c>
      <c r="K4" s="1169" t="s">
        <v>1105</v>
      </c>
      <c r="L4" s="1170">
        <f>2000+400</f>
        <v>2400</v>
      </c>
    </row>
    <row r="5" spans="2:12" x14ac:dyDescent="0.25">
      <c r="B5" s="1164" t="s">
        <v>1108</v>
      </c>
      <c r="C5" s="1165" t="s">
        <v>1094</v>
      </c>
      <c r="D5" s="1166">
        <v>2200</v>
      </c>
      <c r="E5" s="1160"/>
      <c r="F5" s="1167" t="s">
        <v>1202</v>
      </c>
      <c r="G5" s="1165" t="s">
        <v>37</v>
      </c>
      <c r="H5" s="1168">
        <v>30</v>
      </c>
      <c r="I5" s="1160"/>
      <c r="J5" s="1159" t="s">
        <v>1203</v>
      </c>
      <c r="K5" s="1169" t="s">
        <v>1105</v>
      </c>
      <c r="L5" s="1162">
        <v>5000</v>
      </c>
    </row>
    <row r="6" spans="2:12" x14ac:dyDescent="0.25">
      <c r="B6" s="1164" t="s">
        <v>1204</v>
      </c>
      <c r="C6" s="1165" t="s">
        <v>1094</v>
      </c>
      <c r="D6" s="1166">
        <f>+RBD!F72</f>
        <v>2320</v>
      </c>
      <c r="E6" s="1160"/>
      <c r="F6" s="1167" t="s">
        <v>1205</v>
      </c>
      <c r="G6" s="1165" t="s">
        <v>183</v>
      </c>
      <c r="H6" s="1168">
        <v>2100</v>
      </c>
      <c r="I6" s="1160"/>
      <c r="J6" s="1159" t="s">
        <v>1247</v>
      </c>
      <c r="K6" s="1159" t="s">
        <v>1248</v>
      </c>
      <c r="L6" s="1162">
        <v>5500</v>
      </c>
    </row>
    <row r="7" spans="2:12" x14ac:dyDescent="0.25">
      <c r="B7" s="1164" t="s">
        <v>1109</v>
      </c>
      <c r="C7" s="1165" t="s">
        <v>1110</v>
      </c>
      <c r="D7" s="1166">
        <v>24500</v>
      </c>
      <c r="E7" s="1160"/>
      <c r="F7" s="1167" t="s">
        <v>1206</v>
      </c>
      <c r="G7" s="1165" t="s">
        <v>183</v>
      </c>
      <c r="H7" s="1168">
        <v>2250</v>
      </c>
      <c r="I7" s="1160"/>
      <c r="J7" s="1159" t="s">
        <v>1251</v>
      </c>
      <c r="K7" s="1159" t="s">
        <v>1252</v>
      </c>
      <c r="L7" s="1162">
        <v>6000</v>
      </c>
    </row>
    <row r="8" spans="2:12" x14ac:dyDescent="0.25">
      <c r="B8" s="1164" t="s">
        <v>1111</v>
      </c>
      <c r="C8" s="1165" t="s">
        <v>1110</v>
      </c>
      <c r="D8" s="1166">
        <v>13500</v>
      </c>
      <c r="E8" s="1160"/>
      <c r="F8" s="1167"/>
      <c r="G8" s="1165"/>
      <c r="H8" s="1168"/>
      <c r="I8" s="1160"/>
      <c r="J8" s="1159"/>
      <c r="K8" s="1159"/>
      <c r="L8" s="1162"/>
    </row>
    <row r="9" spans="2:12" x14ac:dyDescent="0.25">
      <c r="B9" s="1164" t="s">
        <v>1121</v>
      </c>
      <c r="C9" s="1165" t="s">
        <v>1122</v>
      </c>
      <c r="D9" s="1166">
        <f>13500/300</f>
        <v>45</v>
      </c>
      <c r="E9" s="1160"/>
      <c r="F9" s="1167" t="s">
        <v>1207</v>
      </c>
      <c r="G9" s="1165" t="s">
        <v>183</v>
      </c>
      <c r="H9" s="1168">
        <v>1900</v>
      </c>
      <c r="I9" s="1160"/>
      <c r="J9" s="1159"/>
      <c r="K9" s="1159"/>
      <c r="L9" s="1162"/>
    </row>
    <row r="10" spans="2:12" x14ac:dyDescent="0.25">
      <c r="B10" s="1164" t="s">
        <v>1124</v>
      </c>
      <c r="C10" s="1165" t="s">
        <v>1125</v>
      </c>
      <c r="D10" s="1166">
        <v>330</v>
      </c>
      <c r="E10" s="1160"/>
      <c r="F10" s="1167" t="s">
        <v>1208</v>
      </c>
      <c r="G10" s="1165" t="s">
        <v>183</v>
      </c>
      <c r="H10" s="1168">
        <v>1950</v>
      </c>
      <c r="I10" s="1160"/>
      <c r="J10" s="1159"/>
      <c r="K10" s="1159"/>
      <c r="L10" s="1162"/>
    </row>
    <row r="11" spans="2:12" x14ac:dyDescent="0.25">
      <c r="B11" s="1164"/>
      <c r="C11" s="1165"/>
      <c r="D11" s="1171"/>
      <c r="E11" s="1160"/>
      <c r="F11" s="1167" t="s">
        <v>1209</v>
      </c>
      <c r="G11" s="1165" t="s">
        <v>183</v>
      </c>
      <c r="H11" s="1168">
        <v>2300</v>
      </c>
      <c r="I11" s="1160"/>
      <c r="J11" s="1159"/>
      <c r="K11" s="1159"/>
      <c r="L11" s="1162"/>
    </row>
    <row r="12" spans="2:12" x14ac:dyDescent="0.25">
      <c r="B12" s="1164" t="s">
        <v>1140</v>
      </c>
      <c r="C12" s="1165" t="s">
        <v>1094</v>
      </c>
      <c r="D12" s="1166">
        <v>1100</v>
      </c>
      <c r="E12" s="1160"/>
      <c r="F12" s="1167" t="s">
        <v>1210</v>
      </c>
      <c r="G12" s="1165" t="s">
        <v>183</v>
      </c>
      <c r="H12" s="1168">
        <v>2450</v>
      </c>
      <c r="I12" s="1160"/>
      <c r="J12" s="1159"/>
      <c r="K12" s="1159"/>
      <c r="L12" s="1162"/>
    </row>
    <row r="13" spans="2:12" x14ac:dyDescent="0.25">
      <c r="B13" s="1164" t="s">
        <v>1138</v>
      </c>
      <c r="C13" s="1165" t="s">
        <v>1125</v>
      </c>
      <c r="D13" s="1166">
        <v>650</v>
      </c>
      <c r="E13" s="1160"/>
      <c r="F13" s="1167" t="s">
        <v>1211</v>
      </c>
      <c r="G13" s="1165" t="s">
        <v>183</v>
      </c>
      <c r="H13" s="1168">
        <v>2650</v>
      </c>
      <c r="I13" s="1160"/>
      <c r="J13" s="1159"/>
      <c r="K13" s="1159"/>
      <c r="L13" s="1162"/>
    </row>
    <row r="14" spans="2:12" x14ac:dyDescent="0.25">
      <c r="B14" s="1164" t="s">
        <v>1139</v>
      </c>
      <c r="C14" s="1165" t="s">
        <v>1125</v>
      </c>
      <c r="D14" s="1166">
        <v>3100</v>
      </c>
      <c r="E14" s="1160"/>
      <c r="F14" s="1167" t="s">
        <v>1212</v>
      </c>
      <c r="G14" s="1165" t="s">
        <v>872</v>
      </c>
      <c r="H14" s="1168">
        <v>3500</v>
      </c>
      <c r="I14" s="1160"/>
      <c r="J14" s="1159"/>
      <c r="K14" s="1159"/>
      <c r="L14" s="1162"/>
    </row>
    <row r="15" spans="2:12" x14ac:dyDescent="0.25">
      <c r="B15" s="1164" t="s">
        <v>1213</v>
      </c>
      <c r="C15" s="1165" t="s">
        <v>1125</v>
      </c>
      <c r="D15" s="1166">
        <v>3700</v>
      </c>
      <c r="E15" s="1160"/>
      <c r="F15" s="1167" t="s">
        <v>1214</v>
      </c>
      <c r="G15" s="1165" t="s">
        <v>872</v>
      </c>
      <c r="H15" s="1168">
        <v>1700</v>
      </c>
      <c r="I15" s="1160"/>
      <c r="J15" s="1159"/>
      <c r="K15" s="1159"/>
      <c r="L15" s="1162"/>
    </row>
    <row r="16" spans="2:12" x14ac:dyDescent="0.25">
      <c r="B16" s="1164" t="s">
        <v>1149</v>
      </c>
      <c r="C16" s="1165" t="s">
        <v>1125</v>
      </c>
      <c r="D16" s="1166">
        <v>900</v>
      </c>
      <c r="E16" s="1160"/>
      <c r="F16" s="1167"/>
      <c r="G16" s="1165"/>
      <c r="H16" s="1168"/>
      <c r="I16" s="1160"/>
      <c r="J16" s="1159"/>
      <c r="K16" s="1159"/>
      <c r="L16" s="1162"/>
    </row>
    <row r="17" spans="2:14" x14ac:dyDescent="0.25">
      <c r="B17" s="1164" t="s">
        <v>1215</v>
      </c>
      <c r="C17" s="1165" t="s">
        <v>1122</v>
      </c>
      <c r="D17" s="1166">
        <v>600</v>
      </c>
      <c r="E17" s="1160"/>
      <c r="F17" s="1167" t="s">
        <v>1216</v>
      </c>
      <c r="G17" s="1165" t="s">
        <v>183</v>
      </c>
      <c r="H17" s="1168">
        <f>55*10.76</f>
        <v>591.79999999999995</v>
      </c>
      <c r="I17" s="1160"/>
      <c r="J17" s="1159"/>
      <c r="K17" s="1159"/>
      <c r="L17" s="1162"/>
    </row>
    <row r="18" spans="2:14" x14ac:dyDescent="0.25">
      <c r="B18" s="1164" t="s">
        <v>1217</v>
      </c>
      <c r="C18" s="1165" t="s">
        <v>1122</v>
      </c>
      <c r="D18" s="1166">
        <v>600</v>
      </c>
      <c r="E18" s="1160"/>
      <c r="F18" s="1167" t="s">
        <v>1218</v>
      </c>
      <c r="G18" s="1165" t="s">
        <v>183</v>
      </c>
      <c r="H18" s="1168">
        <f>70*10.76</f>
        <v>753.19999999999993</v>
      </c>
      <c r="I18" s="1160"/>
      <c r="J18" s="1159"/>
      <c r="K18" s="1159"/>
      <c r="L18" s="1162"/>
    </row>
    <row r="19" spans="2:14" x14ac:dyDescent="0.25">
      <c r="B19" s="1164" t="s">
        <v>1219</v>
      </c>
      <c r="C19" s="1165" t="s">
        <v>1122</v>
      </c>
      <c r="D19" s="1166">
        <v>600</v>
      </c>
      <c r="E19" s="1160"/>
      <c r="F19" s="1167" t="s">
        <v>1220</v>
      </c>
      <c r="G19" s="1165" t="s">
        <v>19</v>
      </c>
      <c r="H19" s="1168">
        <f>80*3.24</f>
        <v>259.20000000000005</v>
      </c>
      <c r="I19" s="1160"/>
      <c r="J19" s="1159"/>
      <c r="K19" s="1159"/>
      <c r="L19" s="1162"/>
    </row>
    <row r="20" spans="2:14" x14ac:dyDescent="0.25">
      <c r="B20" s="1164" t="s">
        <v>1179</v>
      </c>
      <c r="C20" s="1165" t="s">
        <v>1122</v>
      </c>
      <c r="D20" s="1166">
        <v>2550</v>
      </c>
      <c r="E20" s="1160"/>
      <c r="F20" s="1167" t="s">
        <v>1221</v>
      </c>
      <c r="G20" s="1165" t="s">
        <v>19</v>
      </c>
      <c r="H20" s="1168">
        <f>50*3.24</f>
        <v>162</v>
      </c>
      <c r="I20" s="1160"/>
      <c r="J20" s="1159"/>
      <c r="K20" s="1159"/>
      <c r="L20" s="1162"/>
    </row>
    <row r="21" spans="2:14" x14ac:dyDescent="0.25">
      <c r="B21" s="1164"/>
      <c r="C21" s="1165"/>
      <c r="D21" s="1166"/>
      <c r="E21" s="1160"/>
      <c r="F21" s="1167" t="s">
        <v>1222</v>
      </c>
      <c r="G21" s="1165" t="s">
        <v>19</v>
      </c>
      <c r="H21" s="1168">
        <f>230*3.24</f>
        <v>745.2</v>
      </c>
      <c r="I21" s="1160"/>
      <c r="J21" s="1159"/>
      <c r="K21" s="1159"/>
      <c r="L21" s="1162"/>
    </row>
    <row r="22" spans="2:14" x14ac:dyDescent="0.25">
      <c r="B22" s="1164" t="s">
        <v>1223</v>
      </c>
      <c r="C22" s="1165" t="s">
        <v>1122</v>
      </c>
      <c r="D22" s="1166">
        <v>450</v>
      </c>
      <c r="E22" s="1160"/>
      <c r="F22" s="1167"/>
      <c r="G22" s="1165"/>
      <c r="H22" s="1168"/>
      <c r="I22" s="1160"/>
      <c r="J22" s="1159"/>
      <c r="K22" s="1159"/>
      <c r="L22" s="1162"/>
      <c r="N22" s="1163" t="s">
        <v>1179</v>
      </c>
    </row>
    <row r="23" spans="2:14" x14ac:dyDescent="0.25">
      <c r="B23" s="1164" t="s">
        <v>1224</v>
      </c>
      <c r="C23" s="1165" t="s">
        <v>1094</v>
      </c>
      <c r="D23" s="1166">
        <v>2650</v>
      </c>
      <c r="E23" s="1160"/>
      <c r="F23" s="1167" t="s">
        <v>1225</v>
      </c>
      <c r="G23" s="1165" t="s">
        <v>183</v>
      </c>
      <c r="H23" s="1168">
        <f>45*10.76</f>
        <v>484.2</v>
      </c>
      <c r="I23" s="1160"/>
      <c r="J23" s="1159"/>
      <c r="K23" s="1159"/>
      <c r="L23" s="1162"/>
    </row>
    <row r="24" spans="2:14" x14ac:dyDescent="0.25">
      <c r="B24" s="1164" t="s">
        <v>1226</v>
      </c>
      <c r="C24" s="1165" t="s">
        <v>1094</v>
      </c>
      <c r="D24" s="1166">
        <v>280</v>
      </c>
      <c r="E24" s="1160"/>
      <c r="F24" s="1167" t="s">
        <v>1227</v>
      </c>
      <c r="G24" s="1165" t="s">
        <v>183</v>
      </c>
      <c r="H24" s="1168">
        <f>60*10.76</f>
        <v>645.6</v>
      </c>
      <c r="I24" s="1160"/>
      <c r="J24" s="1159"/>
      <c r="K24" s="1159"/>
      <c r="L24" s="1162"/>
    </row>
    <row r="25" spans="2:14" x14ac:dyDescent="0.25">
      <c r="B25" s="1164"/>
      <c r="C25" s="1165"/>
      <c r="D25" s="1166"/>
      <c r="E25" s="1160"/>
      <c r="F25" s="1167" t="s">
        <v>1228</v>
      </c>
      <c r="G25" s="1165" t="s">
        <v>183</v>
      </c>
      <c r="H25" s="1168">
        <f>33*10.76</f>
        <v>355.08</v>
      </c>
      <c r="I25" s="1160"/>
      <c r="J25" s="1159"/>
      <c r="K25" s="1159"/>
      <c r="L25" s="1162"/>
    </row>
    <row r="26" spans="2:14" x14ac:dyDescent="0.25">
      <c r="B26" s="1164" t="s">
        <v>1196</v>
      </c>
      <c r="C26" s="1165" t="s">
        <v>1110</v>
      </c>
      <c r="D26" s="1166">
        <v>8000</v>
      </c>
      <c r="E26" s="1160"/>
      <c r="F26" s="1167"/>
      <c r="G26" s="1165"/>
      <c r="H26" s="1168"/>
      <c r="I26" s="1160"/>
      <c r="J26" s="1159"/>
      <c r="K26" s="1159"/>
      <c r="L26" s="1162"/>
    </row>
    <row r="27" spans="2:14" x14ac:dyDescent="0.25">
      <c r="B27" s="1164"/>
      <c r="C27" s="1165"/>
      <c r="D27" s="1166"/>
      <c r="E27" s="1160"/>
      <c r="F27" s="1167" t="s">
        <v>89</v>
      </c>
      <c r="G27" s="1165" t="s">
        <v>183</v>
      </c>
      <c r="H27" s="1168">
        <f>90*10.76</f>
        <v>968.4</v>
      </c>
      <c r="I27" s="1160"/>
      <c r="J27" s="1159"/>
      <c r="K27" s="1159"/>
      <c r="L27" s="1162"/>
    </row>
    <row r="28" spans="2:14" x14ac:dyDescent="0.25">
      <c r="B28" s="1164"/>
      <c r="C28" s="1165"/>
      <c r="D28" s="1166"/>
      <c r="E28" s="1160"/>
      <c r="F28" s="1167" t="s">
        <v>1229</v>
      </c>
      <c r="G28" s="1165" t="s">
        <v>183</v>
      </c>
      <c r="H28" s="1168">
        <f>120*10.76</f>
        <v>1291.2</v>
      </c>
      <c r="I28" s="1160"/>
      <c r="J28" s="1159"/>
      <c r="K28" s="1159"/>
      <c r="L28" s="1162"/>
    </row>
    <row r="29" spans="2:14" x14ac:dyDescent="0.25">
      <c r="B29" s="1164"/>
      <c r="C29" s="1165"/>
      <c r="D29" s="1171"/>
      <c r="E29" s="1160"/>
      <c r="F29" s="1167" t="s">
        <v>1230</v>
      </c>
      <c r="G29" s="1165" t="s">
        <v>19</v>
      </c>
      <c r="H29" s="1168">
        <f>120*3.28</f>
        <v>393.59999999999997</v>
      </c>
      <c r="I29" s="1160"/>
      <c r="J29" s="1159"/>
      <c r="K29" s="1159"/>
      <c r="L29" s="1162"/>
    </row>
    <row r="30" spans="2:14" x14ac:dyDescent="0.25">
      <c r="B30" s="1157"/>
      <c r="C30" s="1158"/>
      <c r="D30" s="1159"/>
      <c r="E30" s="1160"/>
      <c r="F30" s="1167" t="s">
        <v>1231</v>
      </c>
      <c r="G30" s="1165" t="s">
        <v>183</v>
      </c>
      <c r="H30" s="1168">
        <f>180*10.76</f>
        <v>1936.8</v>
      </c>
      <c r="I30" s="1160"/>
      <c r="J30" s="1159"/>
      <c r="K30" s="1159"/>
      <c r="L30" s="1162"/>
    </row>
    <row r="31" spans="2:14" x14ac:dyDescent="0.25">
      <c r="B31" s="1157"/>
      <c r="C31" s="1158"/>
      <c r="D31" s="1159"/>
      <c r="E31" s="1160"/>
      <c r="F31" s="1167" t="s">
        <v>1232</v>
      </c>
      <c r="G31" s="1165" t="s">
        <v>183</v>
      </c>
      <c r="H31" s="1168">
        <f>400*10.76</f>
        <v>4304</v>
      </c>
      <c r="I31" s="1160"/>
      <c r="J31" s="1159"/>
      <c r="K31" s="1159"/>
      <c r="L31" s="1162"/>
    </row>
    <row r="32" spans="2:14" x14ac:dyDescent="0.25">
      <c r="B32" s="1157"/>
      <c r="C32" s="1158"/>
      <c r="D32" s="1159"/>
      <c r="E32" s="1160"/>
      <c r="F32" s="1167" t="s">
        <v>1233</v>
      </c>
      <c r="G32" s="1165" t="s">
        <v>183</v>
      </c>
      <c r="H32" s="1168">
        <f>270*10.76</f>
        <v>2905.2</v>
      </c>
      <c r="I32" s="1160"/>
      <c r="J32" s="1159"/>
      <c r="K32" s="1159"/>
      <c r="L32" s="1162"/>
    </row>
    <row r="33" spans="2:12" x14ac:dyDescent="0.25">
      <c r="B33" s="1157"/>
      <c r="C33" s="1158"/>
      <c r="D33" s="1159"/>
      <c r="E33" s="1160"/>
      <c r="F33" s="1167" t="s">
        <v>1234</v>
      </c>
      <c r="G33" s="1165" t="s">
        <v>1122</v>
      </c>
      <c r="H33" s="1168">
        <f>2450</f>
        <v>2450</v>
      </c>
      <c r="I33" s="1160"/>
      <c r="J33" s="1159"/>
      <c r="K33" s="1159"/>
      <c r="L33" s="1162"/>
    </row>
    <row r="34" spans="2:12" x14ac:dyDescent="0.25">
      <c r="B34" s="1157"/>
      <c r="C34" s="1158"/>
      <c r="D34" s="1159"/>
      <c r="E34" s="1160"/>
      <c r="F34" s="1167" t="s">
        <v>1235</v>
      </c>
      <c r="G34" s="1165" t="s">
        <v>1122</v>
      </c>
      <c r="H34" s="1168">
        <v>700</v>
      </c>
      <c r="I34" s="1160"/>
      <c r="J34" s="1159"/>
      <c r="K34" s="1159"/>
      <c r="L34" s="1162"/>
    </row>
    <row r="35" spans="2:12" x14ac:dyDescent="0.25">
      <c r="B35" s="1157"/>
      <c r="C35" s="1158"/>
      <c r="D35" s="1159"/>
      <c r="E35" s="1160"/>
      <c r="F35" s="1167"/>
      <c r="G35" s="1165"/>
      <c r="H35" s="1168"/>
      <c r="I35" s="1160"/>
      <c r="J35" s="1159"/>
      <c r="K35" s="1159"/>
      <c r="L35" s="1162"/>
    </row>
    <row r="36" spans="2:12" ht="26.4" x14ac:dyDescent="0.25">
      <c r="B36" s="1157"/>
      <c r="C36" s="1158"/>
      <c r="D36" s="1159"/>
      <c r="E36" s="1160"/>
      <c r="F36" s="1172" t="s">
        <v>1243</v>
      </c>
      <c r="G36" s="1173" t="s">
        <v>1122</v>
      </c>
      <c r="H36" s="1174">
        <v>310</v>
      </c>
      <c r="I36" s="1160"/>
      <c r="J36" s="1159"/>
      <c r="K36" s="1159"/>
      <c r="L36" s="1162"/>
    </row>
    <row r="37" spans="2:12" ht="26.4" x14ac:dyDescent="0.25">
      <c r="B37" s="1157"/>
      <c r="C37" s="1158"/>
      <c r="D37" s="1159"/>
      <c r="E37" s="1160"/>
      <c r="F37" s="1172" t="s">
        <v>1236</v>
      </c>
      <c r="G37" s="1173" t="s">
        <v>1122</v>
      </c>
      <c r="H37" s="1174">
        <v>410</v>
      </c>
      <c r="I37" s="1160"/>
      <c r="J37" s="1159"/>
      <c r="K37" s="1159"/>
      <c r="L37" s="1162"/>
    </row>
    <row r="38" spans="2:12" ht="26.4" x14ac:dyDescent="0.25">
      <c r="B38" s="1157"/>
      <c r="C38" s="1158"/>
      <c r="D38" s="1159"/>
      <c r="E38" s="1160"/>
      <c r="F38" s="1172" t="s">
        <v>1249</v>
      </c>
      <c r="G38" s="1173" t="s">
        <v>1122</v>
      </c>
      <c r="H38" s="1174">
        <v>445</v>
      </c>
      <c r="I38" s="1160"/>
      <c r="J38" s="1159"/>
      <c r="K38" s="1159"/>
      <c r="L38" s="1162"/>
    </row>
    <row r="39" spans="2:12" x14ac:dyDescent="0.25">
      <c r="B39" s="1157"/>
      <c r="C39" s="1158"/>
      <c r="D39" s="1159"/>
      <c r="E39" s="1160"/>
      <c r="F39" s="1167" t="s">
        <v>1237</v>
      </c>
      <c r="G39" s="1165" t="s">
        <v>1190</v>
      </c>
      <c r="H39" s="1168">
        <v>190</v>
      </c>
      <c r="I39" s="1160"/>
      <c r="J39" s="1159"/>
      <c r="K39" s="1159"/>
      <c r="L39" s="1162"/>
    </row>
    <row r="40" spans="2:12" x14ac:dyDescent="0.25">
      <c r="B40" s="1157"/>
      <c r="C40" s="1158"/>
      <c r="D40" s="1159"/>
      <c r="E40" s="1160"/>
      <c r="F40" s="1159"/>
      <c r="G40" s="1158"/>
      <c r="H40" s="1161"/>
      <c r="I40" s="1160"/>
      <c r="J40" s="1159"/>
      <c r="K40" s="1159"/>
      <c r="L40" s="1162"/>
    </row>
    <row r="41" spans="2:12" x14ac:dyDescent="0.25">
      <c r="B41" s="1157"/>
      <c r="C41" s="1158"/>
      <c r="D41" s="1159"/>
      <c r="E41" s="1160"/>
      <c r="F41" s="1159" t="s">
        <v>1254</v>
      </c>
      <c r="G41" s="1158" t="s">
        <v>1122</v>
      </c>
      <c r="H41" s="1161">
        <v>660</v>
      </c>
      <c r="I41" s="1160"/>
      <c r="J41" s="1159"/>
      <c r="K41" s="1159"/>
      <c r="L41" s="1162"/>
    </row>
    <row r="42" spans="2:12" x14ac:dyDescent="0.25">
      <c r="B42" s="1157"/>
      <c r="C42" s="1158"/>
      <c r="D42" s="1159"/>
      <c r="E42" s="1160"/>
      <c r="F42" s="1159"/>
      <c r="G42" s="1158"/>
      <c r="H42" s="1161"/>
      <c r="I42" s="1160"/>
      <c r="J42" s="1159"/>
      <c r="K42" s="1159"/>
      <c r="L42" s="1162"/>
    </row>
    <row r="43" spans="2:12" x14ac:dyDescent="0.25">
      <c r="B43" s="1157"/>
      <c r="C43" s="1158"/>
      <c r="D43" s="1159"/>
      <c r="E43" s="1160"/>
      <c r="F43" s="1159"/>
      <c r="G43" s="1158"/>
      <c r="H43" s="1161"/>
      <c r="I43" s="1160"/>
      <c r="J43" s="1159"/>
      <c r="K43" s="1159"/>
      <c r="L43" s="1162"/>
    </row>
    <row r="44" spans="2:12" x14ac:dyDescent="0.25">
      <c r="B44" s="1157"/>
      <c r="C44" s="1158"/>
      <c r="D44" s="1159"/>
      <c r="E44" s="1160"/>
      <c r="F44" s="1159"/>
      <c r="G44" s="1158"/>
      <c r="H44" s="1161"/>
      <c r="I44" s="1160"/>
      <c r="J44" s="1159"/>
      <c r="K44" s="1159"/>
      <c r="L44" s="1162"/>
    </row>
    <row r="45" spans="2:12" x14ac:dyDescent="0.25">
      <c r="B45" s="1157"/>
      <c r="C45" s="1158"/>
      <c r="D45" s="1159"/>
      <c r="E45" s="1160"/>
      <c r="F45" s="1159"/>
      <c r="G45" s="1158"/>
      <c r="H45" s="1161"/>
      <c r="I45" s="1160"/>
      <c r="J45" s="1159"/>
      <c r="K45" s="1159"/>
      <c r="L45" s="1162"/>
    </row>
    <row r="46" spans="2:12" x14ac:dyDescent="0.25">
      <c r="B46" s="1157"/>
      <c r="C46" s="1158"/>
      <c r="D46" s="1159"/>
      <c r="E46" s="1160"/>
      <c r="F46" s="1159"/>
      <c r="G46" s="1158"/>
      <c r="H46" s="1161"/>
      <c r="I46" s="1160"/>
      <c r="J46" s="1159"/>
      <c r="K46" s="1159"/>
      <c r="L46" s="1162"/>
    </row>
    <row r="47" spans="2:12" x14ac:dyDescent="0.25">
      <c r="B47" s="1157"/>
      <c r="C47" s="1158"/>
      <c r="D47" s="1159"/>
      <c r="E47" s="1160"/>
      <c r="I47" s="1160"/>
      <c r="J47" s="1159"/>
      <c r="K47" s="1159"/>
      <c r="L47" s="1162"/>
    </row>
    <row r="48" spans="2:12" x14ac:dyDescent="0.25">
      <c r="E48" s="1160"/>
      <c r="I48" s="1160"/>
      <c r="J48" s="1159"/>
      <c r="K48" s="1159"/>
      <c r="L48" s="1162"/>
    </row>
    <row r="49" spans="5:12" x14ac:dyDescent="0.25">
      <c r="E49" s="1160"/>
      <c r="I49" s="1160"/>
      <c r="J49" s="1159"/>
      <c r="K49" s="1159"/>
      <c r="L49" s="1162"/>
    </row>
  </sheetData>
  <mergeCells count="3">
    <mergeCell ref="B2:D2"/>
    <mergeCell ref="F2:H2"/>
    <mergeCell ref="J2:L2"/>
  </mergeCells>
  <pageMargins left="0.7" right="0.7" top="0.75" bottom="0.75" header="0.3" footer="0.3"/>
  <pageSetup scale="67"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F0"/>
  </sheetPr>
  <dimension ref="A1:L11"/>
  <sheetViews>
    <sheetView view="pageBreakPreview" zoomScaleNormal="85" zoomScaleSheetLayoutView="100" workbookViewId="0">
      <pane ySplit="1" topLeftCell="A2" activePane="bottomLeft" state="frozen"/>
      <selection activeCell="L14" sqref="L14:O28"/>
      <selection pane="bottomLeft" activeCell="E1" sqref="E1:F1"/>
    </sheetView>
  </sheetViews>
  <sheetFormatPr defaultColWidth="9.21875" defaultRowHeight="13.8" x14ac:dyDescent="0.25"/>
  <cols>
    <col min="1" max="1" width="5.33203125" style="7" customWidth="1"/>
    <col min="2" max="2" width="53.44140625" style="6" customWidth="1"/>
    <col min="3" max="3" width="8.5546875" style="8" customWidth="1"/>
    <col min="4" max="4" width="8.21875" style="7" customWidth="1"/>
    <col min="5" max="6" width="8.21875" style="1181" customWidth="1"/>
    <col min="7" max="7" width="10.44140625" style="34" bestFit="1" customWidth="1"/>
    <col min="8" max="8" width="10.109375" style="8" bestFit="1" customWidth="1"/>
    <col min="9" max="9" width="9.21875" style="4"/>
    <col min="10" max="10" width="12.44140625" style="4" bestFit="1" customWidth="1"/>
    <col min="11" max="11" width="10" style="4" bestFit="1" customWidth="1"/>
    <col min="12" max="12" width="11" style="4" bestFit="1" customWidth="1"/>
    <col min="13" max="14" width="12.88671875" style="4" bestFit="1" customWidth="1"/>
    <col min="15" max="15" width="10.33203125" style="4" bestFit="1" customWidth="1"/>
    <col min="16" max="16384" width="9.21875" style="4"/>
  </cols>
  <sheetData>
    <row r="1" spans="1:12" s="3" customFormat="1" ht="14.4" thickBot="1" x14ac:dyDescent="0.3">
      <c r="A1" s="9" t="s">
        <v>0</v>
      </c>
      <c r="B1" s="10" t="s">
        <v>1</v>
      </c>
      <c r="C1" s="11" t="s">
        <v>2</v>
      </c>
      <c r="D1" s="12" t="s">
        <v>3</v>
      </c>
      <c r="E1" s="1176" t="s">
        <v>1238</v>
      </c>
      <c r="F1" s="1176" t="s">
        <v>1239</v>
      </c>
      <c r="G1" s="30" t="s">
        <v>4</v>
      </c>
      <c r="H1" s="13" t="s">
        <v>5</v>
      </c>
      <c r="I1" s="3">
        <f>+summary!D10</f>
        <v>0.75</v>
      </c>
    </row>
    <row r="2" spans="1:12" s="3" customFormat="1" ht="28.05" customHeight="1" x14ac:dyDescent="0.25">
      <c r="A2" s="148"/>
      <c r="B2" s="114" t="s">
        <v>220</v>
      </c>
      <c r="C2" s="115"/>
      <c r="D2" s="116"/>
      <c r="E2" s="1177"/>
      <c r="F2" s="1177"/>
      <c r="G2" s="117"/>
      <c r="H2" s="540"/>
    </row>
    <row r="3" spans="1:12" s="3" customFormat="1" ht="15.6" x14ac:dyDescent="0.25">
      <c r="A3" s="149"/>
      <c r="B3" s="103"/>
      <c r="C3" s="104"/>
      <c r="D3" s="36"/>
      <c r="E3" s="1178"/>
      <c r="F3" s="1178"/>
      <c r="G3" s="75"/>
      <c r="H3" s="541"/>
    </row>
    <row r="4" spans="1:12" s="3" customFormat="1" ht="27.6" x14ac:dyDescent="0.25">
      <c r="A4" s="149" t="s">
        <v>80</v>
      </c>
      <c r="B4" s="100" t="s">
        <v>343</v>
      </c>
      <c r="C4" s="101">
        <f>'m shet Mr Ratheshon'!N717</f>
        <v>102</v>
      </c>
      <c r="D4" s="87" t="s">
        <v>577</v>
      </c>
      <c r="E4" s="1188">
        <v>670</v>
      </c>
      <c r="F4" s="1182">
        <f>+$I$1</f>
        <v>0.75</v>
      </c>
      <c r="G4" s="1183">
        <f>ROUNDUP(E4/F4,-1)</f>
        <v>900</v>
      </c>
      <c r="H4" s="1184">
        <f>+G4*C4</f>
        <v>91800</v>
      </c>
    </row>
    <row r="5" spans="1:12" s="3" customFormat="1" x14ac:dyDescent="0.25">
      <c r="A5" s="149"/>
      <c r="B5" s="100"/>
      <c r="C5" s="101"/>
      <c r="D5" s="87"/>
      <c r="E5" s="1188"/>
      <c r="F5" s="1188"/>
      <c r="G5" s="714"/>
      <c r="H5" s="715"/>
    </row>
    <row r="6" spans="1:12" s="3" customFormat="1" ht="27.6" x14ac:dyDescent="0.25">
      <c r="A6" s="149" t="s">
        <v>81</v>
      </c>
      <c r="B6" s="100" t="s">
        <v>344</v>
      </c>
      <c r="C6" s="101">
        <f>'m shet Mr Ratheshon'!N98</f>
        <v>265</v>
      </c>
      <c r="D6" s="87" t="s">
        <v>577</v>
      </c>
      <c r="E6" s="1188">
        <v>228</v>
      </c>
      <c r="F6" s="1182">
        <f>+$I$1</f>
        <v>0.75</v>
      </c>
      <c r="G6" s="1183">
        <f>ROUNDUP(E6/F6,-1)</f>
        <v>310</v>
      </c>
      <c r="H6" s="1184">
        <f>+G6*C6</f>
        <v>82150</v>
      </c>
      <c r="K6" s="1190"/>
      <c r="L6" s="1191"/>
    </row>
    <row r="7" spans="1:12" s="3" customFormat="1" x14ac:dyDescent="0.25">
      <c r="A7" s="149"/>
      <c r="B7" s="100"/>
      <c r="C7" s="101"/>
      <c r="D7" s="87"/>
      <c r="E7" s="1188"/>
      <c r="F7" s="1188"/>
      <c r="G7" s="714"/>
      <c r="H7" s="715"/>
      <c r="K7" s="1190"/>
      <c r="L7" s="1191"/>
    </row>
    <row r="8" spans="1:12" s="302" customFormat="1" ht="82.8" x14ac:dyDescent="0.25">
      <c r="A8" s="568" t="s">
        <v>82</v>
      </c>
      <c r="B8" s="1192" t="s">
        <v>345</v>
      </c>
      <c r="C8" s="509"/>
      <c r="D8" s="224"/>
      <c r="E8" s="1188"/>
      <c r="F8" s="1188"/>
      <c r="G8" s="1193"/>
      <c r="H8" s="1194"/>
      <c r="K8" s="1195"/>
      <c r="L8" s="1196"/>
    </row>
    <row r="9" spans="1:12" s="302" customFormat="1" x14ac:dyDescent="0.25">
      <c r="A9" s="568"/>
      <c r="B9" s="1192" t="s">
        <v>745</v>
      </c>
      <c r="C9" s="509">
        <f>'m shet Mr Ratheshon'!N673</f>
        <v>61</v>
      </c>
      <c r="D9" s="224" t="s">
        <v>577</v>
      </c>
      <c r="E9" s="1188">
        <v>1219</v>
      </c>
      <c r="F9" s="1182">
        <f>+$I$1</f>
        <v>0.75</v>
      </c>
      <c r="G9" s="1183">
        <f>ROUNDUP(E9/F9,-1)</f>
        <v>1630</v>
      </c>
      <c r="H9" s="1184">
        <f>+G9*C9</f>
        <v>99430</v>
      </c>
    </row>
    <row r="10" spans="1:12" ht="14.4" thickBot="1" x14ac:dyDescent="0.3">
      <c r="A10" s="542"/>
      <c r="B10" s="95"/>
      <c r="C10" s="96"/>
      <c r="D10" s="36"/>
      <c r="E10" s="1178"/>
      <c r="F10" s="1178"/>
      <c r="G10" s="75"/>
      <c r="H10" s="541"/>
    </row>
    <row r="11" spans="1:12" ht="14.4" thickBot="1" x14ac:dyDescent="0.3">
      <c r="A11" s="105"/>
      <c r="B11" s="112" t="s">
        <v>221</v>
      </c>
      <c r="C11" s="106"/>
      <c r="D11" s="107"/>
      <c r="E11" s="1180"/>
      <c r="F11" s="1180"/>
      <c r="G11" s="108"/>
      <c r="H11" s="109">
        <f>SUM(H3:H9)</f>
        <v>273380</v>
      </c>
    </row>
  </sheetData>
  <pageMargins left="0.5" right="0.5" top="0.25" bottom="0.25" header="0.5" footer="0.5"/>
  <pageSetup orientation="portrait" r:id="rId1"/>
  <headerFooter alignWithMargins="0">
    <oddFooter>&amp;C&amp;P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I44"/>
  <sheetViews>
    <sheetView view="pageBreakPreview" zoomScaleNormal="85" zoomScaleSheetLayoutView="100" workbookViewId="0">
      <pane ySplit="1" topLeftCell="A31" activePane="bottomLeft" state="frozen"/>
      <selection activeCell="L14" sqref="L14:O28"/>
      <selection pane="bottomLeft" activeCell="F33" sqref="F33:H33"/>
    </sheetView>
  </sheetViews>
  <sheetFormatPr defaultColWidth="9.21875" defaultRowHeight="13.8" x14ac:dyDescent="0.25"/>
  <cols>
    <col min="1" max="1" width="4.88671875" style="7" bestFit="1" customWidth="1"/>
    <col min="2" max="2" width="53.77734375" style="6" bestFit="1" customWidth="1"/>
    <col min="3" max="3" width="9.109375" style="8" bestFit="1" customWidth="1"/>
    <col min="4" max="4" width="5.77734375" style="7" bestFit="1" customWidth="1"/>
    <col min="5" max="5" width="8.21875" style="1181" bestFit="1" customWidth="1"/>
    <col min="6" max="6" width="7.88671875" style="1181" customWidth="1"/>
    <col min="7" max="7" width="11.44140625" style="34" bestFit="1" customWidth="1"/>
    <col min="8" max="8" width="11.6640625" style="8" bestFit="1" customWidth="1"/>
    <col min="9" max="9" width="9.44140625" style="8" customWidth="1"/>
    <col min="10" max="10" width="9.21875" style="4"/>
    <col min="11" max="11" width="12.44140625" style="4" bestFit="1" customWidth="1"/>
    <col min="12" max="12" width="10" style="4" bestFit="1" customWidth="1"/>
    <col min="13" max="13" width="11" style="4" bestFit="1" customWidth="1"/>
    <col min="14" max="15" width="12.88671875" style="4" bestFit="1" customWidth="1"/>
    <col min="16" max="16" width="10.33203125" style="4" bestFit="1" customWidth="1"/>
    <col min="17" max="16384" width="9.21875" style="4"/>
  </cols>
  <sheetData>
    <row r="1" spans="1:9" s="3" customFormat="1" ht="14.4" thickBot="1" x14ac:dyDescent="0.3">
      <c r="A1" s="9" t="s">
        <v>0</v>
      </c>
      <c r="B1" s="11" t="s">
        <v>1</v>
      </c>
      <c r="C1" s="11" t="s">
        <v>2</v>
      </c>
      <c r="D1" s="638" t="s">
        <v>3</v>
      </c>
      <c r="E1" s="1176" t="s">
        <v>1238</v>
      </c>
      <c r="F1" s="1176" t="s">
        <v>1239</v>
      </c>
      <c r="G1" s="30" t="s">
        <v>4</v>
      </c>
      <c r="H1" s="13" t="s">
        <v>5</v>
      </c>
      <c r="I1" s="38">
        <f>+summary!D7</f>
        <v>0.75</v>
      </c>
    </row>
    <row r="2" spans="1:9" s="3" customFormat="1" ht="28.05" customHeight="1" x14ac:dyDescent="0.25">
      <c r="A2" s="149"/>
      <c r="B2" s="88" t="s">
        <v>38</v>
      </c>
      <c r="C2" s="89"/>
      <c r="D2" s="36"/>
      <c r="E2" s="1178"/>
      <c r="F2" s="1178"/>
      <c r="G2" s="75"/>
      <c r="H2" s="541"/>
      <c r="I2" s="8"/>
    </row>
    <row r="3" spans="1:9" s="3" customFormat="1" ht="15.6" x14ac:dyDescent="0.25">
      <c r="A3" s="149"/>
      <c r="B3" s="88" t="s">
        <v>189</v>
      </c>
      <c r="C3" s="89"/>
      <c r="D3" s="36"/>
      <c r="E3" s="1178"/>
      <c r="F3" s="1178"/>
      <c r="G3" s="75"/>
      <c r="H3" s="541"/>
      <c r="I3" s="8"/>
    </row>
    <row r="4" spans="1:9" s="3" customFormat="1" ht="20.100000000000001" customHeight="1" x14ac:dyDescent="0.25">
      <c r="A4" s="149"/>
      <c r="B4" s="91" t="s">
        <v>90</v>
      </c>
      <c r="C4" s="92"/>
      <c r="D4" s="36"/>
      <c r="E4" s="1178"/>
      <c r="F4" s="1178"/>
      <c r="G4" s="75"/>
      <c r="H4" s="541"/>
      <c r="I4" s="8"/>
    </row>
    <row r="5" spans="1:9" s="3" customFormat="1" x14ac:dyDescent="0.25">
      <c r="A5" s="149"/>
      <c r="B5" s="93" t="s">
        <v>185</v>
      </c>
      <c r="C5" s="92"/>
      <c r="D5" s="36"/>
      <c r="E5" s="1178"/>
      <c r="F5" s="1178"/>
      <c r="G5" s="75"/>
      <c r="H5" s="541"/>
      <c r="I5" s="8"/>
    </row>
    <row r="6" spans="1:9" s="3" customFormat="1" x14ac:dyDescent="0.25">
      <c r="A6" s="149"/>
      <c r="B6" s="93" t="s">
        <v>186</v>
      </c>
      <c r="C6" s="92"/>
      <c r="D6" s="36"/>
      <c r="E6" s="1178"/>
      <c r="F6" s="1178"/>
      <c r="G6" s="75"/>
      <c r="H6" s="541"/>
      <c r="I6" s="8"/>
    </row>
    <row r="7" spans="1:9" s="3" customFormat="1" x14ac:dyDescent="0.25">
      <c r="A7" s="149"/>
      <c r="B7" s="93" t="s">
        <v>187</v>
      </c>
      <c r="C7" s="92"/>
      <c r="D7" s="36"/>
      <c r="E7" s="1178"/>
      <c r="F7" s="1178"/>
      <c r="G7" s="75"/>
      <c r="H7" s="541"/>
      <c r="I7" s="8"/>
    </row>
    <row r="8" spans="1:9" s="3" customFormat="1" x14ac:dyDescent="0.25">
      <c r="A8" s="149"/>
      <c r="B8" s="93" t="s">
        <v>188</v>
      </c>
      <c r="C8" s="92"/>
      <c r="D8" s="36"/>
      <c r="E8" s="1178"/>
      <c r="F8" s="1178"/>
      <c r="G8" s="75"/>
      <c r="H8" s="541"/>
      <c r="I8" s="8"/>
    </row>
    <row r="9" spans="1:9" s="3" customFormat="1" x14ac:dyDescent="0.25">
      <c r="A9" s="149"/>
      <c r="B9" s="93"/>
      <c r="C9" s="92"/>
      <c r="D9" s="36"/>
      <c r="E9" s="1178"/>
      <c r="F9" s="1178"/>
      <c r="G9" s="75"/>
      <c r="H9" s="541"/>
      <c r="I9" s="8"/>
    </row>
    <row r="10" spans="1:9" s="3" customFormat="1" ht="27.6" x14ac:dyDescent="0.25">
      <c r="A10" s="149" t="s">
        <v>39</v>
      </c>
      <c r="B10" s="100" t="s">
        <v>623</v>
      </c>
      <c r="C10" s="101">
        <f>'m shet Mr Ratheshon'!N196</f>
        <v>285</v>
      </c>
      <c r="D10" s="87" t="s">
        <v>577</v>
      </c>
      <c r="E10" s="1188">
        <f>+RBD!F985</f>
        <v>133.75</v>
      </c>
      <c r="F10" s="1182">
        <f>+$I$1</f>
        <v>0.75</v>
      </c>
      <c r="G10" s="1183">
        <f>ROUNDUP(E10/F10,-1)</f>
        <v>180</v>
      </c>
      <c r="H10" s="1184">
        <f>+G10*C10</f>
        <v>51300</v>
      </c>
      <c r="I10" s="1231"/>
    </row>
    <row r="11" spans="1:9" x14ac:dyDescent="0.25">
      <c r="A11" s="542"/>
      <c r="B11" s="95"/>
      <c r="C11" s="96"/>
      <c r="D11" s="36"/>
      <c r="E11" s="1178"/>
      <c r="F11" s="1178"/>
      <c r="G11" s="75"/>
      <c r="H11" s="541"/>
    </row>
    <row r="12" spans="1:9" s="3" customFormat="1" ht="41.4" x14ac:dyDescent="0.25">
      <c r="A12" s="149" t="s">
        <v>110</v>
      </c>
      <c r="B12" s="100" t="s">
        <v>579</v>
      </c>
      <c r="C12" s="101">
        <f>C10</f>
        <v>285</v>
      </c>
      <c r="D12" s="87" t="s">
        <v>577</v>
      </c>
      <c r="E12" s="1188">
        <f>+RBD!F1028</f>
        <v>331.66666666666669</v>
      </c>
      <c r="F12" s="1182">
        <f>+$I$1</f>
        <v>0.75</v>
      </c>
      <c r="G12" s="1183">
        <f>ROUNDUP(E12/F12,-1)</f>
        <v>450</v>
      </c>
      <c r="H12" s="1184">
        <f>+G12*C12</f>
        <v>128250</v>
      </c>
      <c r="I12" s="1231"/>
    </row>
    <row r="13" spans="1:9" x14ac:dyDescent="0.25">
      <c r="A13" s="542"/>
      <c r="B13" s="95"/>
      <c r="C13" s="96"/>
      <c r="D13" s="36"/>
      <c r="E13" s="1178"/>
      <c r="F13" s="1178"/>
      <c r="G13" s="75"/>
      <c r="H13" s="541"/>
    </row>
    <row r="14" spans="1:9" x14ac:dyDescent="0.25">
      <c r="A14" s="542"/>
      <c r="B14" s="91" t="s">
        <v>190</v>
      </c>
      <c r="C14" s="96"/>
      <c r="D14" s="36"/>
      <c r="E14" s="1178"/>
      <c r="F14" s="1178"/>
      <c r="G14" s="75"/>
      <c r="H14" s="541"/>
    </row>
    <row r="15" spans="1:9" x14ac:dyDescent="0.25">
      <c r="A15" s="542"/>
      <c r="B15" s="97"/>
      <c r="C15" s="96"/>
      <c r="D15" s="36"/>
      <c r="E15" s="1178"/>
      <c r="F15" s="1178"/>
      <c r="G15" s="75"/>
      <c r="H15" s="541"/>
    </row>
    <row r="16" spans="1:9" x14ac:dyDescent="0.25">
      <c r="A16" s="542"/>
      <c r="B16" s="91" t="s">
        <v>64</v>
      </c>
      <c r="C16" s="96"/>
      <c r="D16" s="36"/>
      <c r="E16" s="1178"/>
      <c r="F16" s="1178"/>
      <c r="G16" s="75"/>
      <c r="H16" s="541"/>
    </row>
    <row r="17" spans="1:9" ht="26.4" x14ac:dyDescent="0.25">
      <c r="A17" s="542"/>
      <c r="B17" s="91" t="s">
        <v>192</v>
      </c>
      <c r="C17" s="96"/>
      <c r="D17" s="36"/>
      <c r="E17" s="1178"/>
      <c r="F17" s="1178"/>
      <c r="G17" s="75"/>
      <c r="H17" s="541"/>
    </row>
    <row r="18" spans="1:9" x14ac:dyDescent="0.25">
      <c r="A18" s="542"/>
      <c r="B18" s="91"/>
      <c r="C18" s="96"/>
      <c r="D18" s="36"/>
      <c r="E18" s="1178"/>
      <c r="F18" s="1178"/>
      <c r="G18" s="75"/>
      <c r="H18" s="541"/>
    </row>
    <row r="19" spans="1:9" s="3" customFormat="1" ht="26.4" x14ac:dyDescent="0.25">
      <c r="A19" s="149"/>
      <c r="B19" s="98" t="s">
        <v>191</v>
      </c>
      <c r="C19" s="99"/>
      <c r="D19" s="36"/>
      <c r="E19" s="1178"/>
      <c r="F19" s="1178"/>
      <c r="G19" s="75"/>
      <c r="H19" s="541"/>
      <c r="I19" s="8"/>
    </row>
    <row r="20" spans="1:9" s="3" customFormat="1" x14ac:dyDescent="0.25">
      <c r="A20" s="149"/>
      <c r="B20" s="98"/>
      <c r="C20" s="99"/>
      <c r="D20" s="36"/>
      <c r="E20" s="1178"/>
      <c r="F20" s="1178"/>
      <c r="G20" s="75"/>
      <c r="H20" s="541"/>
      <c r="I20" s="8"/>
    </row>
    <row r="21" spans="1:9" s="3" customFormat="1" ht="26.4" x14ac:dyDescent="0.25">
      <c r="A21" s="149"/>
      <c r="B21" s="98" t="s">
        <v>193</v>
      </c>
      <c r="C21" s="99"/>
      <c r="D21" s="36"/>
      <c r="E21" s="1178"/>
      <c r="F21" s="1178"/>
      <c r="G21" s="75"/>
      <c r="H21" s="541"/>
      <c r="I21" s="8"/>
    </row>
    <row r="22" spans="1:9" s="3" customFormat="1" ht="55.2" x14ac:dyDescent="0.25">
      <c r="A22" s="149" t="s">
        <v>111</v>
      </c>
      <c r="B22" s="100" t="s">
        <v>654</v>
      </c>
      <c r="C22" s="101">
        <f>'m shet Mr Ratheshon'!N243</f>
        <v>128</v>
      </c>
      <c r="D22" s="87" t="s">
        <v>607</v>
      </c>
      <c r="E22" s="1188">
        <f>+RBD!F1069</f>
        <v>2310</v>
      </c>
      <c r="F22" s="1182">
        <f>+$I$1</f>
        <v>0.75</v>
      </c>
      <c r="G22" s="1183">
        <f>ROUNDUP(E22/F22,-1)</f>
        <v>3080</v>
      </c>
      <c r="H22" s="1184">
        <f>+G22*C22</f>
        <v>394240</v>
      </c>
      <c r="I22" s="1231"/>
    </row>
    <row r="23" spans="1:9" s="3" customFormat="1" x14ac:dyDescent="0.25">
      <c r="A23" s="149"/>
      <c r="B23" s="100"/>
      <c r="C23" s="101"/>
      <c r="D23" s="36"/>
      <c r="E23" s="1178"/>
      <c r="F23" s="1178"/>
      <c r="G23" s="75"/>
      <c r="H23" s="541"/>
      <c r="I23" s="8"/>
    </row>
    <row r="24" spans="1:9" s="3" customFormat="1" x14ac:dyDescent="0.25">
      <c r="A24" s="149"/>
      <c r="B24" s="94" t="s">
        <v>41</v>
      </c>
      <c r="C24" s="92"/>
      <c r="D24" s="36"/>
      <c r="E24" s="1178"/>
      <c r="F24" s="1178"/>
      <c r="G24" s="75"/>
      <c r="H24" s="541"/>
      <c r="I24" s="8"/>
    </row>
    <row r="25" spans="1:9" s="3" customFormat="1" ht="15" customHeight="1" x14ac:dyDescent="0.25">
      <c r="A25" s="149"/>
      <c r="B25" s="94" t="s">
        <v>42</v>
      </c>
      <c r="C25" s="92"/>
      <c r="D25" s="36"/>
      <c r="E25" s="1178"/>
      <c r="F25" s="1178"/>
      <c r="G25" s="75"/>
      <c r="H25" s="541"/>
      <c r="I25" s="8"/>
    </row>
    <row r="26" spans="1:9" s="3" customFormat="1" ht="27.6" x14ac:dyDescent="0.25">
      <c r="A26" s="149"/>
      <c r="B26" s="102" t="s">
        <v>43</v>
      </c>
      <c r="C26" s="99"/>
      <c r="D26" s="36"/>
      <c r="E26" s="1178"/>
      <c r="F26" s="1178"/>
      <c r="G26" s="75"/>
      <c r="H26" s="541"/>
      <c r="I26" s="8"/>
    </row>
    <row r="27" spans="1:9" s="3" customFormat="1" ht="41.4" x14ac:dyDescent="0.25">
      <c r="A27" s="639" t="s">
        <v>44</v>
      </c>
      <c r="B27" s="102" t="s">
        <v>45</v>
      </c>
      <c r="C27" s="99"/>
      <c r="D27" s="36"/>
      <c r="E27" s="1178"/>
      <c r="F27" s="1178"/>
      <c r="G27" s="75"/>
      <c r="H27" s="541"/>
      <c r="I27" s="8"/>
    </row>
    <row r="28" spans="1:9" s="3" customFormat="1" x14ac:dyDescent="0.25">
      <c r="A28" s="639" t="s">
        <v>46</v>
      </c>
      <c r="B28" s="102" t="s">
        <v>47</v>
      </c>
      <c r="C28" s="99"/>
      <c r="D28" s="36"/>
      <c r="E28" s="1178"/>
      <c r="F28" s="1178"/>
      <c r="G28" s="75"/>
      <c r="H28" s="541"/>
      <c r="I28" s="8"/>
    </row>
    <row r="29" spans="1:9" s="3" customFormat="1" ht="27.6" x14ac:dyDescent="0.25">
      <c r="A29" s="639" t="s">
        <v>48</v>
      </c>
      <c r="B29" s="102" t="s">
        <v>49</v>
      </c>
      <c r="C29" s="99"/>
      <c r="D29" s="36"/>
      <c r="E29" s="1178"/>
      <c r="F29" s="1178"/>
      <c r="G29" s="75"/>
      <c r="H29" s="541"/>
      <c r="I29" s="8"/>
    </row>
    <row r="30" spans="1:9" s="3" customFormat="1" ht="16.8" x14ac:dyDescent="0.25">
      <c r="A30" s="639" t="s">
        <v>50</v>
      </c>
      <c r="B30" s="102" t="s">
        <v>51</v>
      </c>
      <c r="C30" s="99"/>
      <c r="D30" s="36"/>
      <c r="E30" s="1178"/>
      <c r="F30" s="1178"/>
      <c r="G30" s="75"/>
      <c r="H30" s="541"/>
      <c r="I30" s="8"/>
    </row>
    <row r="31" spans="1:9" s="3" customFormat="1" x14ac:dyDescent="0.25">
      <c r="A31" s="639"/>
      <c r="B31" s="102"/>
      <c r="C31" s="99"/>
      <c r="D31" s="36"/>
      <c r="E31" s="1178"/>
      <c r="F31" s="1178"/>
      <c r="G31" s="75"/>
      <c r="H31" s="541"/>
      <c r="I31" s="8"/>
    </row>
    <row r="32" spans="1:9" s="3" customFormat="1" x14ac:dyDescent="0.25">
      <c r="A32" s="542"/>
      <c r="B32" s="169" t="s">
        <v>501</v>
      </c>
      <c r="C32" s="96"/>
      <c r="D32" s="36"/>
      <c r="E32" s="1178"/>
      <c r="F32" s="1178"/>
      <c r="G32" s="75"/>
      <c r="H32" s="541"/>
      <c r="I32" s="8"/>
    </row>
    <row r="33" spans="1:9" s="3" customFormat="1" ht="66" x14ac:dyDescent="0.25">
      <c r="A33" s="149" t="s">
        <v>40</v>
      </c>
      <c r="B33" s="141" t="s">
        <v>602</v>
      </c>
      <c r="C33" s="101">
        <v>65</v>
      </c>
      <c r="D33" s="87" t="s">
        <v>607</v>
      </c>
      <c r="E33" s="1188">
        <f>+RBD!F1110</f>
        <v>5207.0671378091884</v>
      </c>
      <c r="F33" s="1182">
        <f>+$I$1</f>
        <v>0.75</v>
      </c>
      <c r="G33" s="1183">
        <f>ROUNDUP(E33/F33,-1)</f>
        <v>6950</v>
      </c>
      <c r="H33" s="1184">
        <f>+G33*C33</f>
        <v>451750</v>
      </c>
      <c r="I33" s="1231"/>
    </row>
    <row r="34" spans="1:9" s="3" customFormat="1" x14ac:dyDescent="0.25">
      <c r="A34" s="542"/>
      <c r="B34" s="141"/>
      <c r="C34" s="96"/>
      <c r="D34" s="36"/>
      <c r="E34" s="1178"/>
      <c r="F34" s="1178"/>
      <c r="G34" s="75"/>
      <c r="H34" s="541"/>
      <c r="I34" s="8"/>
    </row>
    <row r="35" spans="1:9" s="3" customFormat="1" ht="15.6" x14ac:dyDescent="0.25">
      <c r="A35" s="542"/>
      <c r="B35" s="103" t="s">
        <v>53</v>
      </c>
      <c r="C35" s="104"/>
      <c r="D35" s="36"/>
      <c r="E35" s="1178"/>
      <c r="F35" s="1178"/>
      <c r="G35" s="75"/>
      <c r="H35" s="541"/>
      <c r="I35" s="8"/>
    </row>
    <row r="36" spans="1:9" s="3" customFormat="1" ht="87" customHeight="1" x14ac:dyDescent="0.25">
      <c r="A36" s="149" t="s">
        <v>112</v>
      </c>
      <c r="B36" s="100" t="s">
        <v>54</v>
      </c>
      <c r="C36" s="101">
        <f>C12</f>
        <v>285</v>
      </c>
      <c r="D36" s="87" t="s">
        <v>577</v>
      </c>
      <c r="E36" s="1188">
        <f>+(75+15)*10.76</f>
        <v>968.4</v>
      </c>
      <c r="F36" s="1182">
        <f>+$I$1</f>
        <v>0.75</v>
      </c>
      <c r="G36" s="1183">
        <f>ROUNDUP(E36/F36,-1)</f>
        <v>1300</v>
      </c>
      <c r="H36" s="1184">
        <f>+G36*C36</f>
        <v>370500</v>
      </c>
      <c r="I36" s="1231"/>
    </row>
    <row r="37" spans="1:9" hidden="1" x14ac:dyDescent="0.25">
      <c r="A37" s="542"/>
      <c r="B37" s="95"/>
      <c r="C37" s="96"/>
      <c r="D37" s="36"/>
      <c r="E37" s="1178"/>
      <c r="F37" s="1178"/>
      <c r="G37" s="75"/>
      <c r="H37" s="541"/>
    </row>
    <row r="38" spans="1:9" hidden="1" x14ac:dyDescent="0.25">
      <c r="A38" s="542"/>
      <c r="B38" s="122" t="s">
        <v>499</v>
      </c>
      <c r="C38" s="96"/>
      <c r="D38" s="36"/>
      <c r="E38" s="1178"/>
      <c r="F38" s="1178"/>
      <c r="G38" s="75"/>
      <c r="H38" s="541"/>
    </row>
    <row r="39" spans="1:9" s="168" customFormat="1" ht="27.6" hidden="1" x14ac:dyDescent="0.25">
      <c r="A39" s="543" t="s">
        <v>500</v>
      </c>
      <c r="B39" s="222" t="s">
        <v>542</v>
      </c>
      <c r="C39" s="166"/>
      <c r="D39" s="165" t="s">
        <v>10</v>
      </c>
      <c r="E39" s="1178"/>
      <c r="F39" s="1178"/>
      <c r="G39" s="167"/>
      <c r="H39" s="544"/>
      <c r="I39" s="227"/>
    </row>
    <row r="40" spans="1:9" hidden="1" x14ac:dyDescent="0.25">
      <c r="A40" s="542"/>
      <c r="B40" s="95"/>
      <c r="C40" s="96"/>
      <c r="D40" s="36"/>
      <c r="E40" s="1178"/>
      <c r="F40" s="1178"/>
      <c r="G40" s="75"/>
      <c r="H40" s="541"/>
    </row>
    <row r="41" spans="1:9" hidden="1" x14ac:dyDescent="0.25">
      <c r="A41" s="542"/>
      <c r="B41" s="122" t="s">
        <v>533</v>
      </c>
      <c r="C41" s="96"/>
      <c r="D41" s="36"/>
      <c r="E41" s="1178"/>
      <c r="F41" s="1178"/>
      <c r="G41" s="75"/>
      <c r="H41" s="541"/>
    </row>
    <row r="42" spans="1:9" hidden="1" x14ac:dyDescent="0.25">
      <c r="A42" s="542" t="s">
        <v>534</v>
      </c>
      <c r="B42" s="95" t="s">
        <v>535</v>
      </c>
      <c r="C42" s="96"/>
      <c r="D42" s="36" t="s">
        <v>10</v>
      </c>
      <c r="E42" s="1178"/>
      <c r="F42" s="1178"/>
      <c r="G42" s="75"/>
      <c r="H42" s="541"/>
    </row>
    <row r="43" spans="1:9" ht="14.4" thickBot="1" x14ac:dyDescent="0.3">
      <c r="A43" s="542"/>
      <c r="B43" s="95"/>
      <c r="C43" s="96"/>
      <c r="D43" s="36"/>
      <c r="E43" s="1178"/>
      <c r="F43" s="1178"/>
      <c r="G43" s="75"/>
      <c r="H43" s="541"/>
    </row>
    <row r="44" spans="1:9" s="3" customFormat="1" ht="28.2" thickBot="1" x14ac:dyDescent="0.3">
      <c r="A44" s="105"/>
      <c r="B44" s="552" t="s">
        <v>217</v>
      </c>
      <c r="C44" s="106"/>
      <c r="D44" s="1235"/>
      <c r="E44" s="1236"/>
      <c r="F44" s="1236"/>
      <c r="G44" s="1229"/>
      <c r="H44" s="1237">
        <f>SUM(H2:H43)</f>
        <v>1396040</v>
      </c>
      <c r="I44" s="1238"/>
    </row>
  </sheetData>
  <pageMargins left="0.51181102362204722" right="0.51181102362204722" top="0.23622047244094491" bottom="0.23622047244094491" header="0.51181102362204722" footer="0.51181102362204722"/>
  <pageSetup scale="89" orientation="portrait" r:id="rId1"/>
  <headerFooter alignWithMargins="0">
    <oddFooter>&amp;C&amp;P</oddFooter>
  </headerFooter>
  <colBreaks count="1" manualBreakCount="1">
    <brk id="6" max="43"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A1:I39"/>
  <sheetViews>
    <sheetView view="pageBreakPreview" topLeftCell="A19" zoomScaleNormal="85" zoomScaleSheetLayoutView="100" workbookViewId="0">
      <selection activeCell="H40" sqref="H40"/>
    </sheetView>
  </sheetViews>
  <sheetFormatPr defaultColWidth="9.21875" defaultRowHeight="13.8" x14ac:dyDescent="0.25"/>
  <cols>
    <col min="1" max="1" width="7.109375" style="7" customWidth="1"/>
    <col min="2" max="2" width="51.21875" style="6" customWidth="1"/>
    <col min="3" max="3" width="8.88671875" style="8" customWidth="1"/>
    <col min="4" max="4" width="5.109375" style="7" bestFit="1" customWidth="1"/>
    <col min="5" max="5" width="8.109375" style="1181" bestFit="1" customWidth="1"/>
    <col min="6" max="6" width="7.6640625" style="1181" customWidth="1"/>
    <col min="7" max="7" width="10.44140625" style="34" bestFit="1" customWidth="1"/>
    <col min="8" max="8" width="12.6640625" style="8" bestFit="1" customWidth="1"/>
    <col min="9" max="9" width="9.21875" style="4"/>
    <col min="10" max="10" width="12.44140625" style="4" bestFit="1" customWidth="1"/>
    <col min="11" max="11" width="10" style="4" bestFit="1" customWidth="1"/>
    <col min="12" max="12" width="11" style="4" bestFit="1" customWidth="1"/>
    <col min="13" max="14" width="12.88671875" style="4" bestFit="1" customWidth="1"/>
    <col min="15" max="15" width="10.33203125" style="4" bestFit="1" customWidth="1"/>
    <col min="16" max="16384" width="9.21875" style="4"/>
  </cols>
  <sheetData>
    <row r="1" spans="1:9" s="3" customFormat="1" ht="14.4" thickBot="1" x14ac:dyDescent="0.3">
      <c r="A1" s="9" t="s">
        <v>0</v>
      </c>
      <c r="B1" s="10" t="s">
        <v>1</v>
      </c>
      <c r="C1" s="11" t="s">
        <v>2</v>
      </c>
      <c r="D1" s="12" t="s">
        <v>3</v>
      </c>
      <c r="E1" s="1176" t="s">
        <v>1238</v>
      </c>
      <c r="F1" s="1176" t="s">
        <v>1239</v>
      </c>
      <c r="G1" s="30" t="s">
        <v>4</v>
      </c>
      <c r="H1" s="13" t="s">
        <v>5</v>
      </c>
      <c r="I1" s="3">
        <f>+summary!D12</f>
        <v>0.75</v>
      </c>
    </row>
    <row r="2" spans="1:9" s="3" customFormat="1" ht="15.6" x14ac:dyDescent="0.25">
      <c r="A2" s="148"/>
      <c r="B2" s="114" t="s">
        <v>223</v>
      </c>
      <c r="C2" s="115"/>
      <c r="D2" s="116"/>
      <c r="E2" s="1177"/>
      <c r="F2" s="1177"/>
      <c r="G2" s="117"/>
      <c r="H2" s="540"/>
    </row>
    <row r="3" spans="1:9" s="3" customFormat="1" ht="15.6" x14ac:dyDescent="0.25">
      <c r="A3" s="149"/>
      <c r="B3" s="103" t="s">
        <v>64</v>
      </c>
      <c r="C3" s="104"/>
      <c r="D3" s="36"/>
      <c r="E3" s="1178"/>
      <c r="F3" s="1178"/>
      <c r="G3" s="75"/>
      <c r="H3" s="541"/>
    </row>
    <row r="4" spans="1:9" s="3" customFormat="1" ht="46.8" x14ac:dyDescent="0.25">
      <c r="A4" s="149"/>
      <c r="B4" s="123" t="s">
        <v>203</v>
      </c>
      <c r="C4" s="104"/>
      <c r="D4" s="36"/>
      <c r="E4" s="1178"/>
      <c r="F4" s="1178"/>
      <c r="G4" s="75"/>
      <c r="H4" s="541"/>
    </row>
    <row r="5" spans="1:9" s="3" customFormat="1" ht="15.6" x14ac:dyDescent="0.25">
      <c r="A5" s="149"/>
      <c r="B5" s="103"/>
      <c r="C5" s="104"/>
      <c r="D5" s="36"/>
      <c r="E5" s="1178"/>
      <c r="F5" s="1178"/>
      <c r="G5" s="75"/>
      <c r="H5" s="541"/>
    </row>
    <row r="6" spans="1:9" s="3" customFormat="1" ht="46.8" x14ac:dyDescent="0.25">
      <c r="A6" s="149"/>
      <c r="B6" s="124" t="s">
        <v>204</v>
      </c>
      <c r="C6" s="104"/>
      <c r="D6" s="36"/>
      <c r="E6" s="1178"/>
      <c r="F6" s="1178"/>
      <c r="G6" s="75"/>
      <c r="H6" s="541"/>
    </row>
    <row r="7" spans="1:9" s="3" customFormat="1" ht="15.6" x14ac:dyDescent="0.25">
      <c r="A7" s="149"/>
      <c r="B7" s="124"/>
      <c r="C7" s="104"/>
      <c r="D7" s="36"/>
      <c r="E7" s="1178"/>
      <c r="F7" s="1178"/>
      <c r="G7" s="75"/>
      <c r="H7" s="541"/>
    </row>
    <row r="8" spans="1:9" s="3" customFormat="1" ht="15.6" x14ac:dyDescent="0.25">
      <c r="A8" s="149"/>
      <c r="B8" s="125" t="s">
        <v>205</v>
      </c>
      <c r="C8" s="104"/>
      <c r="D8" s="36"/>
      <c r="E8" s="1178"/>
      <c r="F8" s="1178"/>
      <c r="G8" s="75"/>
      <c r="H8" s="541"/>
    </row>
    <row r="9" spans="1:9" ht="55.2" x14ac:dyDescent="0.25">
      <c r="A9" s="542" t="s">
        <v>83</v>
      </c>
      <c r="B9" s="120" t="s">
        <v>538</v>
      </c>
      <c r="C9" s="96"/>
      <c r="D9" s="36"/>
      <c r="E9" s="1178"/>
      <c r="F9" s="1178"/>
      <c r="G9" s="75"/>
      <c r="H9" s="541"/>
    </row>
    <row r="10" spans="1:9" s="3" customFormat="1" x14ac:dyDescent="0.25">
      <c r="A10" s="149" t="s">
        <v>832</v>
      </c>
      <c r="B10" s="100" t="s">
        <v>20</v>
      </c>
      <c r="C10" s="101">
        <v>156</v>
      </c>
      <c r="D10" s="87" t="s">
        <v>635</v>
      </c>
      <c r="E10" s="1188">
        <f>+RBD!F332</f>
        <v>1875.4971149999997</v>
      </c>
      <c r="F10" s="1182">
        <f>+$I$1</f>
        <v>0.75</v>
      </c>
      <c r="G10" s="1183">
        <f>ROUNDUP(E10/F10,-1)</f>
        <v>2510</v>
      </c>
      <c r="H10" s="1184">
        <f>+G10*C10</f>
        <v>391560</v>
      </c>
    </row>
    <row r="11" spans="1:9" s="3" customFormat="1" x14ac:dyDescent="0.25">
      <c r="A11" s="149" t="s">
        <v>833</v>
      </c>
      <c r="B11" s="100" t="s">
        <v>21</v>
      </c>
      <c r="C11" s="101">
        <v>226</v>
      </c>
      <c r="D11" s="87" t="s">
        <v>635</v>
      </c>
      <c r="E11" s="1188">
        <f>+E10*1.05</f>
        <v>1969.2719707499998</v>
      </c>
      <c r="F11" s="1182">
        <f>+$I$1</f>
        <v>0.75</v>
      </c>
      <c r="G11" s="1183">
        <f>ROUNDUP(E11/F11,-1)</f>
        <v>2630</v>
      </c>
      <c r="H11" s="1184">
        <f>+G11*C11</f>
        <v>594380</v>
      </c>
    </row>
    <row r="12" spans="1:9" s="302" customFormat="1" x14ac:dyDescent="0.25">
      <c r="A12" s="149" t="s">
        <v>834</v>
      </c>
      <c r="B12" s="1192" t="s">
        <v>781</v>
      </c>
      <c r="C12" s="509">
        <v>138</v>
      </c>
      <c r="D12" s="224" t="s">
        <v>635</v>
      </c>
      <c r="E12" s="1188">
        <f>+E10*1.1</f>
        <v>2063.0468265</v>
      </c>
      <c r="F12" s="1182">
        <f>+$I$1</f>
        <v>0.75</v>
      </c>
      <c r="G12" s="1183">
        <f>ROUNDUP(E12/F12,-1)</f>
        <v>2760</v>
      </c>
      <c r="H12" s="1184">
        <f>+G12*C12</f>
        <v>380880</v>
      </c>
    </row>
    <row r="13" spans="1:9" x14ac:dyDescent="0.25">
      <c r="A13" s="542"/>
      <c r="B13" s="73"/>
      <c r="C13" s="96"/>
      <c r="D13" s="36"/>
      <c r="E13" s="1178"/>
      <c r="F13" s="1178"/>
      <c r="G13" s="75"/>
      <c r="H13" s="541"/>
    </row>
    <row r="14" spans="1:9" x14ac:dyDescent="0.25">
      <c r="A14" s="542" t="s">
        <v>84</v>
      </c>
      <c r="B14" s="76" t="s">
        <v>207</v>
      </c>
      <c r="C14" s="96"/>
      <c r="D14" s="36"/>
      <c r="E14" s="1178"/>
      <c r="F14" s="1178"/>
      <c r="G14" s="75"/>
      <c r="H14" s="541"/>
    </row>
    <row r="15" spans="1:9" s="3" customFormat="1" ht="52.8" customHeight="1" x14ac:dyDescent="0.25">
      <c r="A15" s="149" t="s">
        <v>839</v>
      </c>
      <c r="B15" s="129" t="s">
        <v>1253</v>
      </c>
      <c r="C15" s="101">
        <v>204</v>
      </c>
      <c r="D15" s="87" t="s">
        <v>578</v>
      </c>
      <c r="E15" s="1188">
        <f>+RBD!F371</f>
        <v>389.38400000000001</v>
      </c>
      <c r="F15" s="1182">
        <f>+$I$1</f>
        <v>0.75</v>
      </c>
      <c r="G15" s="1183">
        <f>ROUNDUP(E15/F15,-1)</f>
        <v>520</v>
      </c>
      <c r="H15" s="1184">
        <f>+G15*C15</f>
        <v>106080</v>
      </c>
    </row>
    <row r="16" spans="1:9" x14ac:dyDescent="0.25">
      <c r="A16" s="542"/>
      <c r="B16" s="95"/>
      <c r="C16" s="96"/>
      <c r="D16" s="36"/>
      <c r="E16" s="1178"/>
      <c r="F16" s="1178"/>
      <c r="G16" s="75"/>
      <c r="H16" s="541"/>
    </row>
    <row r="17" spans="1:8" s="3" customFormat="1" ht="45.6" customHeight="1" x14ac:dyDescent="0.25">
      <c r="A17" s="149" t="s">
        <v>840</v>
      </c>
      <c r="B17" s="1239" t="s">
        <v>539</v>
      </c>
      <c r="C17" s="101">
        <v>92</v>
      </c>
      <c r="D17" s="87" t="s">
        <v>578</v>
      </c>
      <c r="E17" s="1188">
        <f>+E15*1.1</f>
        <v>428.32240000000007</v>
      </c>
      <c r="F17" s="1182">
        <f>+$I$1</f>
        <v>0.75</v>
      </c>
      <c r="G17" s="1183">
        <f>ROUNDUP(E17/F17,-1)</f>
        <v>580</v>
      </c>
      <c r="H17" s="1184">
        <f>+G17*C17</f>
        <v>53360</v>
      </c>
    </row>
    <row r="18" spans="1:8" x14ac:dyDescent="0.25">
      <c r="A18" s="542"/>
      <c r="B18" s="120"/>
      <c r="C18" s="96"/>
      <c r="D18" s="36"/>
      <c r="E18" s="1178"/>
      <c r="F18" s="1178"/>
      <c r="G18" s="75"/>
      <c r="H18" s="541"/>
    </row>
    <row r="19" spans="1:8" s="3" customFormat="1" ht="41.4" x14ac:dyDescent="0.25">
      <c r="A19" s="149" t="s">
        <v>841</v>
      </c>
      <c r="B19" s="1239" t="s">
        <v>746</v>
      </c>
      <c r="C19" s="101">
        <v>90</v>
      </c>
      <c r="D19" s="87" t="s">
        <v>578</v>
      </c>
      <c r="E19" s="1188">
        <f>+E15*1.2</f>
        <v>467.26080000000002</v>
      </c>
      <c r="F19" s="1182">
        <f>+$I$1</f>
        <v>0.75</v>
      </c>
      <c r="G19" s="1183">
        <f>ROUNDUP(E19/F19,-1)</f>
        <v>630</v>
      </c>
      <c r="H19" s="1184">
        <f>+G19*C19</f>
        <v>56700</v>
      </c>
    </row>
    <row r="20" spans="1:8" x14ac:dyDescent="0.25">
      <c r="A20" s="542"/>
      <c r="B20" s="120"/>
      <c r="C20" s="96"/>
      <c r="D20" s="36"/>
      <c r="E20" s="1178"/>
      <c r="F20" s="1178"/>
      <c r="G20" s="75"/>
      <c r="H20" s="541"/>
    </row>
    <row r="21" spans="1:8" x14ac:dyDescent="0.25">
      <c r="A21" s="542"/>
      <c r="B21" s="122" t="s">
        <v>206</v>
      </c>
      <c r="C21" s="96"/>
      <c r="D21" s="36"/>
      <c r="E21" s="1178"/>
      <c r="F21" s="1178"/>
      <c r="G21" s="75"/>
      <c r="H21" s="541"/>
    </row>
    <row r="22" spans="1:8" ht="30.6" customHeight="1" x14ac:dyDescent="0.25">
      <c r="A22" s="542" t="s">
        <v>85</v>
      </c>
      <c r="B22" s="95" t="s">
        <v>641</v>
      </c>
      <c r="C22" s="96"/>
      <c r="D22" s="36"/>
      <c r="E22" s="1178"/>
      <c r="F22" s="1178"/>
      <c r="G22" s="75"/>
      <c r="H22" s="541"/>
    </row>
    <row r="23" spans="1:8" x14ac:dyDescent="0.25">
      <c r="A23" s="542" t="s">
        <v>842</v>
      </c>
      <c r="B23" s="95" t="s">
        <v>20</v>
      </c>
      <c r="C23" s="96">
        <v>359</v>
      </c>
      <c r="D23" s="36" t="s">
        <v>635</v>
      </c>
      <c r="E23" s="1178">
        <f>+RBD!F249</f>
        <v>1556.7513694598688</v>
      </c>
      <c r="F23" s="1182">
        <f>+$I$1</f>
        <v>0.75</v>
      </c>
      <c r="G23" s="1183">
        <f>ROUNDUP(E23/F23,-1)</f>
        <v>2080</v>
      </c>
      <c r="H23" s="1184">
        <f>+G23*C23</f>
        <v>746720</v>
      </c>
    </row>
    <row r="24" spans="1:8" x14ac:dyDescent="0.25">
      <c r="A24" s="542" t="s">
        <v>843</v>
      </c>
      <c r="B24" s="95" t="s">
        <v>21</v>
      </c>
      <c r="C24" s="96">
        <v>346</v>
      </c>
      <c r="D24" s="36" t="s">
        <v>635</v>
      </c>
      <c r="E24" s="1178">
        <f>+E23*1.02</f>
        <v>1587.8863968490662</v>
      </c>
      <c r="F24" s="1182">
        <f>+$I$1</f>
        <v>0.75</v>
      </c>
      <c r="G24" s="1183">
        <f>ROUNDUP(E24/F24,-1)</f>
        <v>2120</v>
      </c>
      <c r="H24" s="1184">
        <f>+G24*C24</f>
        <v>733520</v>
      </c>
    </row>
    <row r="25" spans="1:8" s="168" customFormat="1" x14ac:dyDescent="0.25">
      <c r="A25" s="542" t="s">
        <v>844</v>
      </c>
      <c r="B25" s="222" t="str">
        <f>B12</f>
        <v>In Roof top Floor</v>
      </c>
      <c r="C25" s="166">
        <v>126</v>
      </c>
      <c r="D25" s="165" t="s">
        <v>635</v>
      </c>
      <c r="E25" s="1178">
        <f>+E23*1.04</f>
        <v>1619.0214242382635</v>
      </c>
      <c r="F25" s="1182">
        <f>+$I$1</f>
        <v>0.75</v>
      </c>
      <c r="G25" s="1183">
        <f>ROUNDUP(E25/F25,-1)</f>
        <v>2160</v>
      </c>
      <c r="H25" s="1184">
        <f>+G25*C25</f>
        <v>272160</v>
      </c>
    </row>
    <row r="26" spans="1:8" x14ac:dyDescent="0.25">
      <c r="A26" s="542"/>
      <c r="B26" s="95"/>
      <c r="C26" s="96"/>
      <c r="D26" s="36"/>
      <c r="E26" s="1178"/>
      <c r="F26" s="1178"/>
      <c r="G26" s="75"/>
      <c r="H26" s="541"/>
    </row>
    <row r="27" spans="1:8" x14ac:dyDescent="0.25">
      <c r="A27" s="542" t="s">
        <v>86</v>
      </c>
      <c r="B27" s="122" t="s">
        <v>208</v>
      </c>
      <c r="C27" s="96"/>
      <c r="D27" s="36"/>
      <c r="E27" s="1178"/>
      <c r="F27" s="1178"/>
      <c r="G27" s="75"/>
      <c r="H27" s="541"/>
    </row>
    <row r="28" spans="1:8" s="3" customFormat="1" ht="58.2" customHeight="1" x14ac:dyDescent="0.25">
      <c r="A28" s="149" t="s">
        <v>209</v>
      </c>
      <c r="B28" s="129" t="s">
        <v>540</v>
      </c>
      <c r="C28" s="101">
        <v>204</v>
      </c>
      <c r="D28" s="87" t="str">
        <f>D17</f>
        <v>L.m</v>
      </c>
      <c r="E28" s="1188">
        <f>+RBD!F288</f>
        <v>276.88400000000007</v>
      </c>
      <c r="F28" s="1182">
        <f>+$I$1</f>
        <v>0.75</v>
      </c>
      <c r="G28" s="1183">
        <f>ROUNDUP(E28/F28,-1)</f>
        <v>370</v>
      </c>
      <c r="H28" s="1184">
        <f>+G28*C28</f>
        <v>75480</v>
      </c>
    </row>
    <row r="29" spans="1:8" x14ac:dyDescent="0.25">
      <c r="A29" s="542"/>
      <c r="B29" s="95"/>
      <c r="C29" s="96"/>
      <c r="D29" s="36"/>
      <c r="E29" s="1178"/>
      <c r="F29" s="1178"/>
      <c r="G29" s="75"/>
      <c r="H29" s="541"/>
    </row>
    <row r="30" spans="1:8" s="3" customFormat="1" ht="45.6" customHeight="1" x14ac:dyDescent="0.25">
      <c r="A30" s="149" t="s">
        <v>210</v>
      </c>
      <c r="B30" s="1239" t="s">
        <v>541</v>
      </c>
      <c r="C30" s="101">
        <v>92</v>
      </c>
      <c r="D30" s="87" t="str">
        <f>D28</f>
        <v>L.m</v>
      </c>
      <c r="E30" s="1188">
        <f>+E28*1.02</f>
        <v>282.42168000000009</v>
      </c>
      <c r="F30" s="1182">
        <f>+$I$1</f>
        <v>0.75</v>
      </c>
      <c r="G30" s="1183">
        <f>ROUNDUP(E30/F30,-1)</f>
        <v>380</v>
      </c>
      <c r="H30" s="1184">
        <f>+G30*C30</f>
        <v>34960</v>
      </c>
    </row>
    <row r="31" spans="1:8" ht="12" customHeight="1" thickBot="1" x14ac:dyDescent="0.3">
      <c r="A31" s="545"/>
      <c r="B31" s="198"/>
      <c r="C31" s="199"/>
      <c r="D31" s="200"/>
      <c r="E31" s="1179"/>
      <c r="F31" s="1179"/>
      <c r="G31" s="201"/>
      <c r="H31" s="546"/>
    </row>
    <row r="32" spans="1:8" s="3" customFormat="1" ht="58.8" customHeight="1" x14ac:dyDescent="0.25">
      <c r="A32" s="149" t="s">
        <v>642</v>
      </c>
      <c r="B32" s="1239" t="s">
        <v>747</v>
      </c>
      <c r="C32" s="101">
        <v>90</v>
      </c>
      <c r="D32" s="87" t="str">
        <f>D30</f>
        <v>L.m</v>
      </c>
      <c r="E32" s="1188">
        <f>+E28*1.04</f>
        <v>287.95936000000006</v>
      </c>
      <c r="F32" s="1182">
        <f>+$I$1</f>
        <v>0.75</v>
      </c>
      <c r="G32" s="1183">
        <f>ROUNDUP(E32/F32,-1)</f>
        <v>390</v>
      </c>
      <c r="H32" s="1184">
        <f>+G32*C32</f>
        <v>35100</v>
      </c>
    </row>
    <row r="33" spans="1:8" x14ac:dyDescent="0.25">
      <c r="A33" s="542"/>
      <c r="B33" s="120"/>
      <c r="C33" s="96"/>
      <c r="D33" s="36"/>
      <c r="E33" s="1178"/>
      <c r="F33" s="1178"/>
      <c r="G33" s="75"/>
      <c r="H33" s="541"/>
    </row>
    <row r="34" spans="1:8" ht="46.2" customHeight="1" x14ac:dyDescent="0.25">
      <c r="A34" s="542" t="s">
        <v>87</v>
      </c>
      <c r="B34" s="95" t="s">
        <v>643</v>
      </c>
      <c r="C34" s="166"/>
      <c r="D34" s="36"/>
      <c r="E34" s="1178"/>
      <c r="F34" s="1178"/>
      <c r="G34" s="75"/>
      <c r="H34" s="541"/>
    </row>
    <row r="35" spans="1:8" x14ac:dyDescent="0.25">
      <c r="A35" s="542" t="s">
        <v>145</v>
      </c>
      <c r="B35" s="95" t="s">
        <v>20</v>
      </c>
      <c r="C35" s="166">
        <v>198</v>
      </c>
      <c r="D35" s="36" t="s">
        <v>635</v>
      </c>
      <c r="E35" s="1178">
        <f>+'RBD Material'!D12/60+300</f>
        <v>318.33333333333331</v>
      </c>
      <c r="F35" s="1182">
        <f>+$I$1</f>
        <v>0.75</v>
      </c>
      <c r="G35" s="1183">
        <f>ROUNDUP(E35/F35,-1)</f>
        <v>430</v>
      </c>
      <c r="H35" s="1184">
        <f>+G35*C35</f>
        <v>85140</v>
      </c>
    </row>
    <row r="36" spans="1:8" x14ac:dyDescent="0.25">
      <c r="A36" s="542" t="s">
        <v>146</v>
      </c>
      <c r="B36" s="95" t="s">
        <v>21</v>
      </c>
      <c r="C36" s="166">
        <v>110</v>
      </c>
      <c r="D36" s="36" t="s">
        <v>635</v>
      </c>
      <c r="E36" s="1178">
        <f>+E35*1.2</f>
        <v>381.99999999999994</v>
      </c>
      <c r="F36" s="1182">
        <f>+$I$1</f>
        <v>0.75</v>
      </c>
      <c r="G36" s="1183">
        <f>ROUNDUP(E36/F36,-1)</f>
        <v>510</v>
      </c>
      <c r="H36" s="1184">
        <f>+G36*C36</f>
        <v>56100</v>
      </c>
    </row>
    <row r="37" spans="1:8" x14ac:dyDescent="0.25">
      <c r="A37" s="542"/>
      <c r="B37" s="95"/>
      <c r="C37" s="166"/>
      <c r="D37" s="36"/>
      <c r="E37" s="1178"/>
      <c r="F37" s="1178"/>
      <c r="G37" s="75"/>
      <c r="H37" s="541"/>
    </row>
    <row r="38" spans="1:8" ht="14.4" thickBot="1" x14ac:dyDescent="0.3">
      <c r="A38" s="542"/>
      <c r="B38" s="95"/>
      <c r="C38" s="166"/>
      <c r="D38" s="36"/>
      <c r="E38" s="1178"/>
      <c r="F38" s="1178"/>
      <c r="G38" s="75"/>
      <c r="H38" s="541"/>
    </row>
    <row r="39" spans="1:8" s="3" customFormat="1" ht="14.4" thickBot="1" x14ac:dyDescent="0.3">
      <c r="A39" s="105"/>
      <c r="B39" s="112" t="s">
        <v>224</v>
      </c>
      <c r="C39" s="661"/>
      <c r="D39" s="107"/>
      <c r="E39" s="1180"/>
      <c r="F39" s="1180"/>
      <c r="G39" s="108"/>
      <c r="H39" s="109">
        <f>SUM(H5:H38)</f>
        <v>3622140</v>
      </c>
    </row>
  </sheetData>
  <pageMargins left="0.5" right="0.5" top="0.25" bottom="0.25" header="0.5" footer="0.5"/>
  <pageSetup orientation="portrait" r:id="rId1"/>
  <headerFooter alignWithMargins="0">
    <oddFooter>&amp;C&amp;P</oddFooter>
  </headerFooter>
  <rowBreaks count="1" manualBreakCount="1">
    <brk id="31" max="7"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F0"/>
  </sheetPr>
  <dimension ref="A1:I26"/>
  <sheetViews>
    <sheetView tabSelected="1" view="pageBreakPreview" topLeftCell="A17" zoomScaleNormal="85" zoomScaleSheetLayoutView="100" workbookViewId="0">
      <selection activeCell="H26" sqref="H26"/>
    </sheetView>
  </sheetViews>
  <sheetFormatPr defaultColWidth="9.21875" defaultRowHeight="13.8" x14ac:dyDescent="0.25"/>
  <cols>
    <col min="1" max="1" width="8.21875" style="7" customWidth="1"/>
    <col min="2" max="2" width="51.21875" style="6" customWidth="1"/>
    <col min="3" max="3" width="6.5546875" style="8" bestFit="1" customWidth="1"/>
    <col min="4" max="4" width="8.5546875" style="7" customWidth="1"/>
    <col min="5" max="6" width="8.5546875" style="1181" customWidth="1"/>
    <col min="7" max="7" width="9.44140625" style="34" bestFit="1" customWidth="1"/>
    <col min="8" max="8" width="12.6640625" style="8" bestFit="1" customWidth="1"/>
    <col min="9" max="9" width="9.21875" style="4"/>
    <col min="10" max="10" width="12.44140625" style="4" bestFit="1" customWidth="1"/>
    <col min="11" max="11" width="10" style="4" bestFit="1" customWidth="1"/>
    <col min="12" max="12" width="11" style="4" bestFit="1" customWidth="1"/>
    <col min="13" max="14" width="12.88671875" style="4" bestFit="1" customWidth="1"/>
    <col min="15" max="15" width="11.6640625" style="4" bestFit="1" customWidth="1"/>
    <col min="16" max="16384" width="9.21875" style="4"/>
  </cols>
  <sheetData>
    <row r="1" spans="1:9" s="3" customFormat="1" ht="14.4" thickBot="1" x14ac:dyDescent="0.3">
      <c r="A1" s="9" t="s">
        <v>0</v>
      </c>
      <c r="B1" s="10" t="s">
        <v>1</v>
      </c>
      <c r="C1" s="11" t="s">
        <v>2</v>
      </c>
      <c r="D1" s="12" t="s">
        <v>3</v>
      </c>
      <c r="E1" s="1176" t="s">
        <v>1238</v>
      </c>
      <c r="F1" s="1176" t="s">
        <v>1239</v>
      </c>
      <c r="G1" s="30" t="s">
        <v>4</v>
      </c>
      <c r="H1" s="13" t="s">
        <v>5</v>
      </c>
      <c r="I1" s="3">
        <f>+summary!D14</f>
        <v>0.75</v>
      </c>
    </row>
    <row r="2" spans="1:9" s="3" customFormat="1" x14ac:dyDescent="0.25">
      <c r="A2" s="148"/>
      <c r="B2" s="127" t="s">
        <v>91</v>
      </c>
      <c r="C2" s="121"/>
      <c r="D2" s="116"/>
      <c r="E2" s="1177"/>
      <c r="F2" s="1177"/>
      <c r="G2" s="117"/>
      <c r="H2" s="540"/>
    </row>
    <row r="3" spans="1:9" s="3" customFormat="1" ht="41.4" x14ac:dyDescent="0.25">
      <c r="A3" s="149"/>
      <c r="B3" s="126" t="s">
        <v>214</v>
      </c>
      <c r="C3" s="92"/>
      <c r="D3" s="36"/>
      <c r="E3" s="1178"/>
      <c r="F3" s="1178"/>
      <c r="G3" s="75"/>
      <c r="H3" s="541"/>
    </row>
    <row r="4" spans="1:9" s="3" customFormat="1" x14ac:dyDescent="0.25">
      <c r="A4" s="149"/>
      <c r="B4" s="126"/>
      <c r="C4" s="92"/>
      <c r="D4" s="36"/>
      <c r="E4" s="1178"/>
      <c r="F4" s="1178"/>
      <c r="G4" s="75"/>
      <c r="H4" s="541"/>
    </row>
    <row r="5" spans="1:9" s="3" customFormat="1" x14ac:dyDescent="0.25">
      <c r="A5" s="149"/>
      <c r="B5" s="126" t="s">
        <v>215</v>
      </c>
      <c r="C5" s="92"/>
      <c r="D5" s="36"/>
      <c r="E5" s="1178"/>
      <c r="F5" s="1178"/>
      <c r="G5" s="75"/>
      <c r="H5" s="541"/>
    </row>
    <row r="6" spans="1:9" ht="55.2" x14ac:dyDescent="0.25">
      <c r="A6" s="542" t="s">
        <v>147</v>
      </c>
      <c r="B6" s="120" t="s">
        <v>616</v>
      </c>
      <c r="C6" s="96"/>
      <c r="D6" s="36"/>
      <c r="E6" s="1178"/>
      <c r="F6" s="1178"/>
      <c r="G6" s="75"/>
      <c r="H6" s="541"/>
    </row>
    <row r="7" spans="1:9" x14ac:dyDescent="0.25">
      <c r="A7" s="542" t="s">
        <v>148</v>
      </c>
      <c r="B7" s="95" t="s">
        <v>20</v>
      </c>
      <c r="C7" s="96">
        <f>plastering!C23</f>
        <v>359</v>
      </c>
      <c r="D7" s="36" t="s">
        <v>577</v>
      </c>
      <c r="E7" s="1178">
        <f>+RBD!F455</f>
        <v>1135.4858666666667</v>
      </c>
      <c r="F7" s="1182">
        <f>+$I$1</f>
        <v>0.75</v>
      </c>
      <c r="G7" s="1183">
        <f>ROUNDUP(E7/F7,-1)</f>
        <v>1520</v>
      </c>
      <c r="H7" s="1184">
        <f>+G7*C7</f>
        <v>545680</v>
      </c>
    </row>
    <row r="8" spans="1:9" x14ac:dyDescent="0.25">
      <c r="A8" s="542" t="s">
        <v>149</v>
      </c>
      <c r="B8" s="95" t="s">
        <v>21</v>
      </c>
      <c r="C8" s="96">
        <f>plastering!C24</f>
        <v>346</v>
      </c>
      <c r="D8" s="36" t="s">
        <v>577</v>
      </c>
      <c r="E8" s="1178">
        <f>+E7*1.02</f>
        <v>1158.1955840000001</v>
      </c>
      <c r="F8" s="1182">
        <f>+$I$1</f>
        <v>0.75</v>
      </c>
      <c r="G8" s="1183">
        <f>ROUNDUP(E8/F8,-1)</f>
        <v>1550</v>
      </c>
      <c r="H8" s="1184">
        <f>+G8*C8</f>
        <v>536300</v>
      </c>
    </row>
    <row r="9" spans="1:9" s="168" customFormat="1" x14ac:dyDescent="0.25">
      <c r="A9" s="543" t="s">
        <v>150</v>
      </c>
      <c r="B9" s="222" t="s">
        <v>574</v>
      </c>
      <c r="C9" s="166">
        <f>plastering!C25</f>
        <v>126</v>
      </c>
      <c r="D9" s="165" t="s">
        <v>577</v>
      </c>
      <c r="E9" s="1178">
        <f>+E7*1.04</f>
        <v>1180.9053013333335</v>
      </c>
      <c r="F9" s="1182">
        <f>+$I$1</f>
        <v>0.75</v>
      </c>
      <c r="G9" s="1183">
        <f>ROUNDUP(E9/F9,-1)</f>
        <v>1580</v>
      </c>
      <c r="H9" s="1184">
        <f>+G9*C9</f>
        <v>199080</v>
      </c>
    </row>
    <row r="10" spans="1:9" hidden="1" x14ac:dyDescent="0.25">
      <c r="A10" s="542" t="s">
        <v>151</v>
      </c>
      <c r="B10" s="95" t="s">
        <v>640</v>
      </c>
      <c r="C10" s="96"/>
      <c r="D10" s="36" t="s">
        <v>577</v>
      </c>
      <c r="E10" s="1178"/>
      <c r="F10" s="1178"/>
      <c r="G10" s="75"/>
      <c r="H10" s="541"/>
    </row>
    <row r="11" spans="1:9" x14ac:dyDescent="0.25">
      <c r="A11" s="542"/>
      <c r="B11" s="95"/>
      <c r="C11" s="96"/>
      <c r="D11" s="36"/>
      <c r="E11" s="1178"/>
      <c r="F11" s="1178"/>
      <c r="G11" s="75"/>
      <c r="H11" s="541"/>
    </row>
    <row r="12" spans="1:9" ht="36" customHeight="1" x14ac:dyDescent="0.25">
      <c r="A12" s="542" t="s">
        <v>92</v>
      </c>
      <c r="B12" s="95" t="s">
        <v>617</v>
      </c>
      <c r="C12" s="96"/>
      <c r="D12" s="36"/>
      <c r="E12" s="1178"/>
      <c r="F12" s="1178"/>
      <c r="G12" s="75"/>
      <c r="H12" s="541"/>
    </row>
    <row r="13" spans="1:9" x14ac:dyDescent="0.25">
      <c r="A13" s="542" t="s">
        <v>153</v>
      </c>
      <c r="B13" s="95" t="s">
        <v>20</v>
      </c>
      <c r="C13" s="96">
        <f>plastering!C35</f>
        <v>198</v>
      </c>
      <c r="D13" s="36" t="s">
        <v>577</v>
      </c>
      <c r="E13" s="1178">
        <f>+RBD!F500</f>
        <v>1300.1138666666668</v>
      </c>
      <c r="F13" s="1182">
        <f>+$I$1</f>
        <v>0.75</v>
      </c>
      <c r="G13" s="1183">
        <f>ROUNDUP(E13/F13,-1)</f>
        <v>1740</v>
      </c>
      <c r="H13" s="1184">
        <f>+G13*C13</f>
        <v>344520</v>
      </c>
    </row>
    <row r="14" spans="1:9" x14ac:dyDescent="0.25">
      <c r="A14" s="542" t="s">
        <v>156</v>
      </c>
      <c r="B14" s="95" t="s">
        <v>21</v>
      </c>
      <c r="C14" s="96">
        <f>plastering!C36</f>
        <v>110</v>
      </c>
      <c r="D14" s="36" t="s">
        <v>577</v>
      </c>
      <c r="E14" s="1178">
        <f>+E13*1.02</f>
        <v>1326.1161440000001</v>
      </c>
      <c r="F14" s="1182">
        <f>+$I$1</f>
        <v>0.75</v>
      </c>
      <c r="G14" s="1183">
        <f>ROUNDUP(E14/F14,-1)</f>
        <v>1770</v>
      </c>
      <c r="H14" s="1184">
        <f>+G14*C14</f>
        <v>194700</v>
      </c>
    </row>
    <row r="15" spans="1:9" x14ac:dyDescent="0.25">
      <c r="A15" s="542"/>
      <c r="B15" s="95"/>
      <c r="C15" s="96"/>
      <c r="D15" s="36"/>
      <c r="E15" s="1178"/>
      <c r="F15" s="1178"/>
      <c r="G15" s="75"/>
      <c r="H15" s="541"/>
    </row>
    <row r="16" spans="1:9" x14ac:dyDescent="0.25">
      <c r="A16" s="542"/>
      <c r="B16" s="122" t="s">
        <v>216</v>
      </c>
      <c r="C16" s="96"/>
      <c r="D16" s="36"/>
      <c r="E16" s="1178"/>
      <c r="F16" s="1178"/>
      <c r="G16" s="75"/>
      <c r="H16" s="541"/>
    </row>
    <row r="17" spans="1:8" ht="78" customHeight="1" x14ac:dyDescent="0.25">
      <c r="A17" s="542" t="s">
        <v>152</v>
      </c>
      <c r="B17" s="95" t="s">
        <v>622</v>
      </c>
      <c r="C17" s="96"/>
      <c r="D17" s="36"/>
      <c r="E17" s="1178"/>
      <c r="F17" s="1178"/>
      <c r="G17" s="75"/>
      <c r="H17" s="541"/>
    </row>
    <row r="18" spans="1:8" x14ac:dyDescent="0.25">
      <c r="A18" s="542" t="s">
        <v>154</v>
      </c>
      <c r="B18" s="95" t="s">
        <v>20</v>
      </c>
      <c r="C18" s="96">
        <f>plastering!C10</f>
        <v>156</v>
      </c>
      <c r="D18" s="36" t="s">
        <v>577</v>
      </c>
      <c r="E18" s="1178">
        <f>+RBD!F543</f>
        <v>1216.4460444444446</v>
      </c>
      <c r="F18" s="1182">
        <f>+$I$1</f>
        <v>0.75</v>
      </c>
      <c r="G18" s="1183">
        <f>ROUNDUP(E18/F18,-1)</f>
        <v>1630</v>
      </c>
      <c r="H18" s="1184">
        <f>+G18*C18</f>
        <v>254280</v>
      </c>
    </row>
    <row r="19" spans="1:8" x14ac:dyDescent="0.25">
      <c r="A19" s="542" t="s">
        <v>155</v>
      </c>
      <c r="B19" s="95" t="s">
        <v>21</v>
      </c>
      <c r="C19" s="96">
        <f>plastering!C11</f>
        <v>226</v>
      </c>
      <c r="D19" s="36" t="s">
        <v>577</v>
      </c>
      <c r="E19" s="1178">
        <f>+E18*1.05</f>
        <v>1277.268346666667</v>
      </c>
      <c r="F19" s="1182">
        <f>+$I$1</f>
        <v>0.75</v>
      </c>
      <c r="G19" s="1183">
        <f>ROUNDUP(E19/F19,-1)</f>
        <v>1710</v>
      </c>
      <c r="H19" s="1184">
        <f>+G19*C19</f>
        <v>386460</v>
      </c>
    </row>
    <row r="20" spans="1:8" s="168" customFormat="1" x14ac:dyDescent="0.25">
      <c r="A20" s="543" t="s">
        <v>157</v>
      </c>
      <c r="B20" s="222" t="s">
        <v>574</v>
      </c>
      <c r="C20" s="166">
        <f>plastering!C12</f>
        <v>138</v>
      </c>
      <c r="D20" s="165" t="s">
        <v>577</v>
      </c>
      <c r="E20" s="1178">
        <f>+E18*1.1</f>
        <v>1338.0906488888893</v>
      </c>
      <c r="F20" s="1182">
        <f>+$I$1</f>
        <v>0.75</v>
      </c>
      <c r="G20" s="1183">
        <f>ROUNDUP(E20/F20,-1)</f>
        <v>1790</v>
      </c>
      <c r="H20" s="1184">
        <f>+G20*C20</f>
        <v>247020</v>
      </c>
    </row>
    <row r="21" spans="1:8" s="168" customFormat="1" x14ac:dyDescent="0.25">
      <c r="A21" s="543"/>
      <c r="B21" s="222"/>
      <c r="C21" s="166"/>
      <c r="D21" s="165"/>
      <c r="E21" s="1178"/>
      <c r="F21" s="1178"/>
      <c r="G21" s="75"/>
      <c r="H21" s="541"/>
    </row>
    <row r="22" spans="1:8" s="168" customFormat="1" x14ac:dyDescent="0.25">
      <c r="A22" s="543"/>
      <c r="B22" s="518" t="s">
        <v>807</v>
      </c>
      <c r="C22" s="166"/>
      <c r="D22" s="165"/>
      <c r="E22" s="1178"/>
      <c r="F22" s="1178"/>
      <c r="G22" s="75"/>
      <c r="H22" s="541"/>
    </row>
    <row r="23" spans="1:8" s="168" customFormat="1" ht="138" x14ac:dyDescent="0.25">
      <c r="A23" s="149" t="s">
        <v>809</v>
      </c>
      <c r="B23" s="222" t="s">
        <v>808</v>
      </c>
      <c r="C23" s="509">
        <v>9</v>
      </c>
      <c r="D23" s="224" t="s">
        <v>577</v>
      </c>
      <c r="E23" s="1188">
        <f>+'RBD Material'!H41*10.76</f>
        <v>7101.5999999999995</v>
      </c>
      <c r="F23" s="1182">
        <f>+$I$1</f>
        <v>0.75</v>
      </c>
      <c r="G23" s="1183">
        <f>ROUNDUP(E23/F23,-1)</f>
        <v>9470</v>
      </c>
      <c r="H23" s="1184">
        <f>+G23*C23</f>
        <v>85230</v>
      </c>
    </row>
    <row r="24" spans="1:8" x14ac:dyDescent="0.25">
      <c r="A24" s="542"/>
      <c r="B24" s="95"/>
      <c r="C24" s="96"/>
      <c r="D24" s="36"/>
      <c r="E24" s="1178"/>
      <c r="F24" s="1178"/>
      <c r="G24" s="75"/>
      <c r="H24" s="541"/>
    </row>
    <row r="25" spans="1:8" ht="14.4" thickBot="1" x14ac:dyDescent="0.3">
      <c r="A25" s="542"/>
      <c r="B25" s="95"/>
      <c r="C25" s="96"/>
      <c r="D25" s="36"/>
      <c r="E25" s="1178"/>
      <c r="F25" s="1178"/>
      <c r="G25" s="75"/>
      <c r="H25" s="541"/>
    </row>
    <row r="26" spans="1:8" s="3" customFormat="1" ht="36" customHeight="1" thickBot="1" x14ac:dyDescent="0.3">
      <c r="A26" s="105"/>
      <c r="B26" s="552" t="s">
        <v>226</v>
      </c>
      <c r="C26" s="106"/>
      <c r="D26" s="107"/>
      <c r="E26" s="1180"/>
      <c r="F26" s="1180"/>
      <c r="G26" s="108"/>
      <c r="H26" s="109">
        <f>SUM(H3:H25)</f>
        <v>2793270</v>
      </c>
    </row>
  </sheetData>
  <pageMargins left="0.5" right="0.5" top="0.25" bottom="0.25" header="0.5" footer="0.5"/>
  <pageSetup orientation="portrait" r:id="rId1"/>
  <headerFooter alignWithMargins="0">
    <oddFooter>&amp;C&amp;P</oddFooter>
  </headerFooter>
  <colBreaks count="1" manualBreakCount="1">
    <brk id="8" max="1048575" man="1"/>
  </colBreak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F0"/>
  </sheetPr>
  <dimension ref="A1:M236"/>
  <sheetViews>
    <sheetView view="pageBreakPreview" topLeftCell="A232" zoomScaleNormal="85" zoomScaleSheetLayoutView="100" workbookViewId="0">
      <selection activeCell="F164" sqref="F164:H164"/>
    </sheetView>
  </sheetViews>
  <sheetFormatPr defaultColWidth="9.21875" defaultRowHeight="13.8" x14ac:dyDescent="0.25"/>
  <cols>
    <col min="1" max="1" width="8.21875" style="7" customWidth="1"/>
    <col min="2" max="2" width="46.21875" style="6" customWidth="1"/>
    <col min="3" max="3" width="8.44140625" style="143" bestFit="1" customWidth="1"/>
    <col min="4" max="4" width="5.44140625" style="143" bestFit="1" customWidth="1"/>
    <col min="5" max="5" width="11.44140625" style="1224" bestFit="1" customWidth="1"/>
    <col min="6" max="6" width="7.5546875" style="1209" customWidth="1"/>
    <col min="7" max="7" width="13.6640625" style="319" bestFit="1" customWidth="1"/>
    <col min="8" max="8" width="13.21875" style="143" bestFit="1" customWidth="1"/>
    <col min="9" max="9" width="11.44140625" style="4" bestFit="1" customWidth="1"/>
    <col min="10" max="10" width="88" style="4" customWidth="1"/>
    <col min="11" max="11" width="10" style="4" bestFit="1" customWidth="1"/>
    <col min="12" max="12" width="11" style="4" bestFit="1" customWidth="1"/>
    <col min="13" max="14" width="12.88671875" style="4" bestFit="1" customWidth="1"/>
    <col min="15" max="15" width="10.33203125" style="4" bestFit="1" customWidth="1"/>
    <col min="16" max="16384" width="9.21875" style="4"/>
  </cols>
  <sheetData>
    <row r="1" spans="1:9" s="3" customFormat="1" ht="14.4" thickBot="1" x14ac:dyDescent="0.3">
      <c r="A1" s="9" t="s">
        <v>0</v>
      </c>
      <c r="B1" s="10" t="s">
        <v>1</v>
      </c>
      <c r="C1" s="578" t="s">
        <v>2</v>
      </c>
      <c r="D1" s="579" t="s">
        <v>3</v>
      </c>
      <c r="E1" s="1279" t="s">
        <v>1238</v>
      </c>
      <c r="F1" s="1176" t="s">
        <v>1239</v>
      </c>
      <c r="G1" s="580" t="s">
        <v>4</v>
      </c>
      <c r="H1" s="581" t="s">
        <v>5</v>
      </c>
      <c r="I1" s="3">
        <f>+summary!D16</f>
        <v>0.75</v>
      </c>
    </row>
    <row r="2" spans="1:9" s="3" customFormat="1" ht="28.05" customHeight="1" x14ac:dyDescent="0.25">
      <c r="A2" s="148"/>
      <c r="B2" s="114" t="s">
        <v>105</v>
      </c>
      <c r="C2" s="113"/>
      <c r="D2" s="113"/>
      <c r="E2" s="1220"/>
      <c r="F2" s="1248"/>
      <c r="G2" s="314"/>
      <c r="H2" s="565"/>
      <c r="I2" s="3">
        <v>0.9</v>
      </c>
    </row>
    <row r="3" spans="1:9" s="3" customFormat="1" x14ac:dyDescent="0.25">
      <c r="A3" s="149"/>
      <c r="B3" s="1250" t="s">
        <v>64</v>
      </c>
      <c r="C3" s="87"/>
      <c r="D3" s="87"/>
      <c r="E3" s="1218"/>
      <c r="F3" s="1188"/>
      <c r="G3" s="356"/>
      <c r="H3" s="654"/>
    </row>
    <row r="4" spans="1:9" s="3" customFormat="1" ht="58.2" customHeight="1" x14ac:dyDescent="0.25">
      <c r="A4" s="149"/>
      <c r="B4" s="1268" t="s">
        <v>404</v>
      </c>
      <c r="C4" s="87"/>
      <c r="D4" s="87"/>
      <c r="E4" s="1218"/>
      <c r="F4" s="1188"/>
      <c r="G4" s="356"/>
      <c r="H4" s="654"/>
    </row>
    <row r="5" spans="1:9" s="3" customFormat="1" x14ac:dyDescent="0.25">
      <c r="A5" s="149"/>
      <c r="B5" s="1268"/>
      <c r="C5" s="87"/>
      <c r="D5" s="87"/>
      <c r="E5" s="1218"/>
      <c r="F5" s="1188"/>
      <c r="G5" s="356"/>
      <c r="H5" s="654"/>
    </row>
    <row r="6" spans="1:9" s="3" customFormat="1" ht="26.4" x14ac:dyDescent="0.25">
      <c r="A6" s="149"/>
      <c r="B6" s="1268" t="s">
        <v>626</v>
      </c>
      <c r="C6" s="87"/>
      <c r="D6" s="87"/>
      <c r="E6" s="1218"/>
      <c r="F6" s="1188"/>
      <c r="G6" s="356"/>
      <c r="H6" s="654"/>
    </row>
    <row r="7" spans="1:9" s="3" customFormat="1" x14ac:dyDescent="0.25">
      <c r="A7" s="149"/>
      <c r="B7" s="1268"/>
      <c r="C7" s="87"/>
      <c r="D7" s="87"/>
      <c r="E7" s="1218"/>
      <c r="F7" s="1188"/>
      <c r="G7" s="356"/>
      <c r="H7" s="654"/>
    </row>
    <row r="8" spans="1:9" s="3" customFormat="1" ht="52.8" x14ac:dyDescent="0.25">
      <c r="A8" s="149"/>
      <c r="B8" s="1269" t="s">
        <v>405</v>
      </c>
      <c r="C8" s="87"/>
      <c r="D8" s="87"/>
      <c r="E8" s="1218"/>
      <c r="F8" s="1188"/>
      <c r="G8" s="356"/>
      <c r="H8" s="654"/>
    </row>
    <row r="9" spans="1:9" s="3" customFormat="1" x14ac:dyDescent="0.25">
      <c r="A9" s="149"/>
      <c r="B9" s="1268"/>
      <c r="C9" s="87"/>
      <c r="D9" s="87"/>
      <c r="E9" s="1218"/>
      <c r="F9" s="1188"/>
      <c r="G9" s="356"/>
      <c r="H9" s="654"/>
    </row>
    <row r="10" spans="1:9" s="3" customFormat="1" ht="39.6" x14ac:dyDescent="0.25">
      <c r="A10" s="149"/>
      <c r="B10" s="1268" t="s">
        <v>406</v>
      </c>
      <c r="C10" s="87"/>
      <c r="D10" s="87"/>
      <c r="E10" s="1218"/>
      <c r="F10" s="1188"/>
      <c r="G10" s="356"/>
      <c r="H10" s="654"/>
    </row>
    <row r="11" spans="1:9" s="3" customFormat="1" x14ac:dyDescent="0.25">
      <c r="A11" s="149"/>
      <c r="B11" s="1268"/>
      <c r="C11" s="87"/>
      <c r="D11" s="87"/>
      <c r="E11" s="1218"/>
      <c r="F11" s="1188"/>
      <c r="G11" s="356"/>
      <c r="H11" s="654"/>
    </row>
    <row r="12" spans="1:9" s="3" customFormat="1" ht="135.6" customHeight="1" x14ac:dyDescent="0.25">
      <c r="A12" s="149"/>
      <c r="B12" s="1268" t="s">
        <v>407</v>
      </c>
      <c r="C12" s="87"/>
      <c r="D12" s="87"/>
      <c r="E12" s="1218"/>
      <c r="F12" s="1188"/>
      <c r="G12" s="356"/>
      <c r="H12" s="654"/>
    </row>
    <row r="13" spans="1:9" s="3" customFormat="1" x14ac:dyDescent="0.25">
      <c r="A13" s="149"/>
      <c r="B13" s="1268"/>
      <c r="C13" s="87"/>
      <c r="D13" s="87"/>
      <c r="E13" s="1218"/>
      <c r="F13" s="1188"/>
      <c r="G13" s="356"/>
      <c r="H13" s="654"/>
    </row>
    <row r="14" spans="1:9" s="3" customFormat="1" ht="34.799999999999997" customHeight="1" x14ac:dyDescent="0.25">
      <c r="A14" s="149"/>
      <c r="B14" s="1268" t="s">
        <v>408</v>
      </c>
      <c r="C14" s="87"/>
      <c r="D14" s="87"/>
      <c r="E14" s="1218"/>
      <c r="F14" s="1188"/>
      <c r="G14" s="356"/>
      <c r="H14" s="654"/>
    </row>
    <row r="15" spans="1:9" s="3" customFormat="1" x14ac:dyDescent="0.25">
      <c r="A15" s="149"/>
      <c r="B15" s="1268"/>
      <c r="C15" s="87"/>
      <c r="D15" s="87"/>
      <c r="E15" s="1218"/>
      <c r="F15" s="1188"/>
      <c r="G15" s="356"/>
      <c r="H15" s="654"/>
    </row>
    <row r="16" spans="1:9" s="3" customFormat="1" ht="80.400000000000006" customHeight="1" x14ac:dyDescent="0.25">
      <c r="A16" s="149"/>
      <c r="B16" s="1268" t="s">
        <v>409</v>
      </c>
      <c r="C16" s="87"/>
      <c r="D16" s="87"/>
      <c r="E16" s="1218"/>
      <c r="F16" s="1188"/>
      <c r="G16" s="356"/>
      <c r="H16" s="654"/>
    </row>
    <row r="17" spans="1:8" s="3" customFormat="1" ht="39.6" x14ac:dyDescent="0.25">
      <c r="A17" s="149"/>
      <c r="B17" s="1268" t="s">
        <v>410</v>
      </c>
      <c r="C17" s="87"/>
      <c r="D17" s="87"/>
      <c r="E17" s="1218"/>
      <c r="F17" s="1188"/>
      <c r="G17" s="356"/>
      <c r="H17" s="654"/>
    </row>
    <row r="18" spans="1:8" s="3" customFormat="1" ht="39.6" x14ac:dyDescent="0.25">
      <c r="A18" s="149"/>
      <c r="B18" s="1268" t="s">
        <v>411</v>
      </c>
      <c r="C18" s="87"/>
      <c r="D18" s="87"/>
      <c r="E18" s="1218"/>
      <c r="F18" s="1188"/>
      <c r="G18" s="356"/>
      <c r="H18" s="654"/>
    </row>
    <row r="19" spans="1:8" s="3" customFormat="1" ht="39.6" x14ac:dyDescent="0.25">
      <c r="A19" s="149"/>
      <c r="B19" s="1268" t="s">
        <v>412</v>
      </c>
      <c r="C19" s="87"/>
      <c r="D19" s="87"/>
      <c r="E19" s="1218"/>
      <c r="F19" s="1188"/>
      <c r="G19" s="356"/>
      <c r="H19" s="654"/>
    </row>
    <row r="20" spans="1:8" s="3" customFormat="1" x14ac:dyDescent="0.25">
      <c r="A20" s="149"/>
      <c r="B20" s="1268"/>
      <c r="C20" s="87"/>
      <c r="D20" s="87"/>
      <c r="E20" s="1218"/>
      <c r="F20" s="1188"/>
      <c r="G20" s="356"/>
      <c r="H20" s="654"/>
    </row>
    <row r="21" spans="1:8" s="3" customFormat="1" ht="52.8" x14ac:dyDescent="0.25">
      <c r="A21" s="149"/>
      <c r="B21" s="1268" t="s">
        <v>413</v>
      </c>
      <c r="C21" s="87"/>
      <c r="D21" s="87"/>
      <c r="E21" s="1218"/>
      <c r="F21" s="1188"/>
      <c r="G21" s="356"/>
      <c r="H21" s="654"/>
    </row>
    <row r="22" spans="1:8" s="3" customFormat="1" ht="14.4" thickBot="1" x14ac:dyDescent="0.3">
      <c r="A22" s="561"/>
      <c r="B22" s="1270"/>
      <c r="C22" s="215"/>
      <c r="D22" s="215"/>
      <c r="E22" s="1221"/>
      <c r="F22" s="1247"/>
      <c r="G22" s="582"/>
      <c r="H22" s="563"/>
    </row>
    <row r="23" spans="1:8" s="3" customFormat="1" ht="43.2" customHeight="1" x14ac:dyDescent="0.25">
      <c r="A23" s="148"/>
      <c r="B23" s="1271" t="s">
        <v>414</v>
      </c>
      <c r="C23" s="113"/>
      <c r="D23" s="113"/>
      <c r="E23" s="1220"/>
      <c r="F23" s="1248"/>
      <c r="G23" s="314"/>
      <c r="H23" s="565"/>
    </row>
    <row r="24" spans="1:8" s="3" customFormat="1" x14ac:dyDescent="0.25">
      <c r="A24" s="149"/>
      <c r="B24" s="1272"/>
      <c r="C24" s="87"/>
      <c r="D24" s="87"/>
      <c r="E24" s="1218"/>
      <c r="F24" s="1188"/>
      <c r="G24" s="356"/>
      <c r="H24" s="654"/>
    </row>
    <row r="25" spans="1:8" s="3" customFormat="1" ht="87" customHeight="1" x14ac:dyDescent="0.25">
      <c r="A25" s="149"/>
      <c r="B25" s="1273" t="s">
        <v>348</v>
      </c>
      <c r="C25" s="87"/>
      <c r="D25" s="87"/>
      <c r="E25" s="1218"/>
      <c r="F25" s="1188"/>
      <c r="G25" s="356"/>
      <c r="H25" s="654"/>
    </row>
    <row r="26" spans="1:8" s="3" customFormat="1" x14ac:dyDescent="0.25">
      <c r="A26" s="149"/>
      <c r="B26" s="1251"/>
      <c r="C26" s="87"/>
      <c r="D26" s="87"/>
      <c r="E26" s="1218"/>
      <c r="F26" s="1188"/>
      <c r="G26" s="356"/>
      <c r="H26" s="654"/>
    </row>
    <row r="27" spans="1:8" s="3" customFormat="1" x14ac:dyDescent="0.25">
      <c r="A27" s="149"/>
      <c r="B27" s="1251" t="s">
        <v>349</v>
      </c>
      <c r="C27" s="87"/>
      <c r="D27" s="87"/>
      <c r="E27" s="1218"/>
      <c r="F27" s="1188"/>
      <c r="G27" s="356"/>
      <c r="H27" s="654"/>
    </row>
    <row r="28" spans="1:8" s="3" customFormat="1" x14ac:dyDescent="0.25">
      <c r="A28" s="149"/>
      <c r="B28" s="1251"/>
      <c r="C28" s="87"/>
      <c r="D28" s="87"/>
      <c r="E28" s="1218"/>
      <c r="F28" s="1188"/>
      <c r="G28" s="356"/>
      <c r="H28" s="654"/>
    </row>
    <row r="29" spans="1:8" s="3" customFormat="1" x14ac:dyDescent="0.25">
      <c r="A29" s="149"/>
      <c r="B29" s="1251" t="s">
        <v>350</v>
      </c>
      <c r="C29" s="87"/>
      <c r="D29" s="87"/>
      <c r="E29" s="1218"/>
      <c r="F29" s="1188"/>
      <c r="G29" s="356"/>
      <c r="H29" s="654"/>
    </row>
    <row r="30" spans="1:8" s="3" customFormat="1" x14ac:dyDescent="0.25">
      <c r="A30" s="149"/>
      <c r="B30" s="1251"/>
      <c r="C30" s="87"/>
      <c r="D30" s="87"/>
      <c r="E30" s="1218"/>
      <c r="F30" s="1188"/>
      <c r="G30" s="356"/>
      <c r="H30" s="654"/>
    </row>
    <row r="31" spans="1:8" s="3" customFormat="1" ht="26.4" x14ac:dyDescent="0.25">
      <c r="A31" s="149"/>
      <c r="B31" s="1251" t="s">
        <v>351</v>
      </c>
      <c r="C31" s="87"/>
      <c r="D31" s="87"/>
      <c r="E31" s="1218"/>
      <c r="F31" s="1188"/>
      <c r="G31" s="356"/>
      <c r="H31" s="654"/>
    </row>
    <row r="32" spans="1:8" s="3" customFormat="1" x14ac:dyDescent="0.25">
      <c r="A32" s="149"/>
      <c r="B32" s="1251"/>
      <c r="C32" s="87"/>
      <c r="D32" s="87"/>
      <c r="E32" s="1218"/>
      <c r="F32" s="1188"/>
      <c r="G32" s="356"/>
      <c r="H32" s="654"/>
    </row>
    <row r="33" spans="1:8" s="3" customFormat="1" ht="39.6" x14ac:dyDescent="0.25">
      <c r="A33" s="149"/>
      <c r="B33" s="1273" t="s">
        <v>352</v>
      </c>
      <c r="C33" s="87"/>
      <c r="D33" s="87"/>
      <c r="E33" s="1218"/>
      <c r="F33" s="1188"/>
      <c r="G33" s="356"/>
      <c r="H33" s="654"/>
    </row>
    <row r="34" spans="1:8" s="3" customFormat="1" x14ac:dyDescent="0.25">
      <c r="A34" s="149"/>
      <c r="B34" s="1252"/>
      <c r="C34" s="87"/>
      <c r="D34" s="87"/>
      <c r="E34" s="1218"/>
      <c r="F34" s="1188"/>
      <c r="G34" s="356"/>
      <c r="H34" s="654"/>
    </row>
    <row r="35" spans="1:8" s="3" customFormat="1" ht="39.6" x14ac:dyDescent="0.25">
      <c r="A35" s="149"/>
      <c r="B35" s="1252" t="s">
        <v>353</v>
      </c>
      <c r="C35" s="87"/>
      <c r="D35" s="87"/>
      <c r="E35" s="1218"/>
      <c r="F35" s="1188"/>
      <c r="G35" s="356"/>
      <c r="H35" s="654"/>
    </row>
    <row r="36" spans="1:8" s="3" customFormat="1" x14ac:dyDescent="0.25">
      <c r="A36" s="149"/>
      <c r="B36" s="1252"/>
      <c r="C36" s="87"/>
      <c r="D36" s="87"/>
      <c r="E36" s="1218"/>
      <c r="F36" s="1188"/>
      <c r="G36" s="356"/>
      <c r="H36" s="654"/>
    </row>
    <row r="37" spans="1:8" s="3" customFormat="1" x14ac:dyDescent="0.25">
      <c r="A37" s="149"/>
      <c r="B37" s="1251" t="s">
        <v>354</v>
      </c>
      <c r="C37" s="87"/>
      <c r="D37" s="87"/>
      <c r="E37" s="1218"/>
      <c r="F37" s="1188"/>
      <c r="G37" s="356"/>
      <c r="H37" s="654"/>
    </row>
    <row r="38" spans="1:8" s="3" customFormat="1" x14ac:dyDescent="0.25">
      <c r="A38" s="149"/>
      <c r="B38" s="1252"/>
      <c r="C38" s="87"/>
      <c r="D38" s="87"/>
      <c r="E38" s="1218"/>
      <c r="F38" s="1188"/>
      <c r="G38" s="356"/>
      <c r="H38" s="654"/>
    </row>
    <row r="39" spans="1:8" s="3" customFormat="1" ht="26.4" x14ac:dyDescent="0.25">
      <c r="A39" s="149"/>
      <c r="B39" s="1252" t="s">
        <v>355</v>
      </c>
      <c r="C39" s="87"/>
      <c r="D39" s="87"/>
      <c r="E39" s="1218"/>
      <c r="F39" s="1188"/>
      <c r="G39" s="356"/>
      <c r="H39" s="654"/>
    </row>
    <row r="40" spans="1:8" s="3" customFormat="1" x14ac:dyDescent="0.25">
      <c r="A40" s="149"/>
      <c r="B40" s="1251"/>
      <c r="C40" s="87"/>
      <c r="D40" s="87"/>
      <c r="E40" s="1218"/>
      <c r="F40" s="1188"/>
      <c r="G40" s="356"/>
      <c r="H40" s="654"/>
    </row>
    <row r="41" spans="1:8" s="3" customFormat="1" ht="39.6" x14ac:dyDescent="0.25">
      <c r="A41" s="149"/>
      <c r="B41" s="1252" t="s">
        <v>356</v>
      </c>
      <c r="C41" s="87"/>
      <c r="D41" s="87"/>
      <c r="E41" s="1218"/>
      <c r="F41" s="1188"/>
      <c r="G41" s="356"/>
      <c r="H41" s="654"/>
    </row>
    <row r="42" spans="1:8" s="3" customFormat="1" x14ac:dyDescent="0.25">
      <c r="A42" s="149"/>
      <c r="B42" s="1252"/>
      <c r="C42" s="87"/>
      <c r="D42" s="87"/>
      <c r="E42" s="1218"/>
      <c r="F42" s="1188"/>
      <c r="G42" s="356"/>
      <c r="H42" s="654"/>
    </row>
    <row r="43" spans="1:8" s="3" customFormat="1" ht="26.4" x14ac:dyDescent="0.25">
      <c r="A43" s="149"/>
      <c r="B43" s="1252" t="s">
        <v>357</v>
      </c>
      <c r="C43" s="87"/>
      <c r="D43" s="87"/>
      <c r="E43" s="1218"/>
      <c r="F43" s="1188"/>
      <c r="G43" s="356"/>
      <c r="H43" s="654"/>
    </row>
    <row r="44" spans="1:8" s="3" customFormat="1" x14ac:dyDescent="0.25">
      <c r="A44" s="149"/>
      <c r="B44" s="1252"/>
      <c r="C44" s="87"/>
      <c r="D44" s="87"/>
      <c r="E44" s="1218"/>
      <c r="F44" s="1188"/>
      <c r="G44" s="356"/>
      <c r="H44" s="654"/>
    </row>
    <row r="45" spans="1:8" s="3" customFormat="1" ht="26.4" x14ac:dyDescent="0.25">
      <c r="A45" s="149"/>
      <c r="B45" s="1252" t="s">
        <v>358</v>
      </c>
      <c r="C45" s="87"/>
      <c r="D45" s="87"/>
      <c r="E45" s="1218"/>
      <c r="F45" s="1188"/>
      <c r="G45" s="356"/>
      <c r="H45" s="654"/>
    </row>
    <row r="46" spans="1:8" s="3" customFormat="1" x14ac:dyDescent="0.25">
      <c r="A46" s="149"/>
      <c r="B46" s="1252"/>
      <c r="C46" s="87"/>
      <c r="D46" s="87"/>
      <c r="E46" s="1218"/>
      <c r="F46" s="1188"/>
      <c r="G46" s="356"/>
      <c r="H46" s="654"/>
    </row>
    <row r="47" spans="1:8" s="3" customFormat="1" ht="26.4" x14ac:dyDescent="0.25">
      <c r="A47" s="149"/>
      <c r="B47" s="1252" t="s">
        <v>673</v>
      </c>
      <c r="C47" s="87"/>
      <c r="D47" s="87"/>
      <c r="E47" s="1218"/>
      <c r="F47" s="1188"/>
      <c r="G47" s="356"/>
      <c r="H47" s="654"/>
    </row>
    <row r="48" spans="1:8" s="3" customFormat="1" x14ac:dyDescent="0.25">
      <c r="A48" s="149"/>
      <c r="B48" s="1251"/>
      <c r="C48" s="87"/>
      <c r="D48" s="87"/>
      <c r="E48" s="1218"/>
      <c r="F48" s="1188"/>
      <c r="G48" s="356"/>
      <c r="H48" s="654"/>
    </row>
    <row r="49" spans="1:13" s="3" customFormat="1" x14ac:dyDescent="0.25">
      <c r="A49" s="149"/>
      <c r="B49" s="1251" t="s">
        <v>359</v>
      </c>
      <c r="C49" s="87"/>
      <c r="D49" s="87"/>
      <c r="E49" s="1218"/>
      <c r="F49" s="1188"/>
      <c r="G49" s="356"/>
      <c r="H49" s="654"/>
    </row>
    <row r="50" spans="1:13" x14ac:dyDescent="0.25">
      <c r="A50" s="542"/>
      <c r="B50" s="95"/>
      <c r="C50" s="87"/>
      <c r="D50" s="87"/>
      <c r="E50" s="1218"/>
      <c r="F50" s="1188"/>
      <c r="G50" s="356"/>
      <c r="H50" s="654"/>
    </row>
    <row r="51" spans="1:13" x14ac:dyDescent="0.25">
      <c r="A51" s="542"/>
      <c r="B51" s="95" t="s">
        <v>22</v>
      </c>
      <c r="C51" s="87"/>
      <c r="D51" s="87"/>
      <c r="E51" s="1218"/>
      <c r="F51" s="1188"/>
      <c r="G51" s="356"/>
      <c r="H51" s="654"/>
    </row>
    <row r="52" spans="1:13" x14ac:dyDescent="0.25">
      <c r="A52" s="542"/>
      <c r="B52" s="95" t="s">
        <v>23</v>
      </c>
      <c r="C52" s="87"/>
      <c r="D52" s="87"/>
      <c r="E52" s="1218"/>
      <c r="F52" s="1188"/>
      <c r="G52" s="356"/>
      <c r="H52" s="654"/>
    </row>
    <row r="53" spans="1:13" x14ac:dyDescent="0.25">
      <c r="A53" s="542"/>
      <c r="B53" s="95" t="s">
        <v>24</v>
      </c>
      <c r="C53" s="87"/>
      <c r="D53" s="87"/>
      <c r="E53" s="1218"/>
      <c r="F53" s="1188"/>
      <c r="G53" s="356"/>
      <c r="H53" s="654"/>
    </row>
    <row r="54" spans="1:13" x14ac:dyDescent="0.25">
      <c r="A54" s="542"/>
      <c r="B54" s="95"/>
      <c r="C54" s="87"/>
      <c r="D54" s="87"/>
      <c r="E54" s="1218"/>
      <c r="F54" s="1188"/>
      <c r="G54" s="356"/>
      <c r="H54" s="654"/>
    </row>
    <row r="55" spans="1:13" x14ac:dyDescent="0.25">
      <c r="A55" s="542"/>
      <c r="B55" s="1253" t="s">
        <v>361</v>
      </c>
      <c r="C55" s="87"/>
      <c r="D55" s="87"/>
      <c r="E55" s="1218"/>
      <c r="F55" s="1188"/>
      <c r="G55" s="356"/>
      <c r="H55" s="654"/>
      <c r="M55" s="4">
        <f>32000*0.05</f>
        <v>1600</v>
      </c>
    </row>
    <row r="56" spans="1:13" x14ac:dyDescent="0.25">
      <c r="A56" s="542"/>
      <c r="B56" s="1253"/>
      <c r="C56" s="87"/>
      <c r="D56" s="87"/>
      <c r="E56" s="1218"/>
      <c r="F56" s="1188"/>
      <c r="G56" s="356"/>
      <c r="H56" s="654"/>
    </row>
    <row r="57" spans="1:13" ht="39.6" x14ac:dyDescent="0.25">
      <c r="A57" s="542" t="s">
        <v>360</v>
      </c>
      <c r="B57" s="1252" t="s">
        <v>382</v>
      </c>
      <c r="C57" s="87">
        <v>1</v>
      </c>
      <c r="D57" s="87" t="s">
        <v>10</v>
      </c>
      <c r="E57" s="1218"/>
      <c r="F57" s="1188"/>
      <c r="G57" s="1267">
        <v>45000</v>
      </c>
      <c r="H57" s="1184">
        <f>+G57*C57</f>
        <v>45000</v>
      </c>
    </row>
    <row r="58" spans="1:13" ht="14.4" thickBot="1" x14ac:dyDescent="0.3">
      <c r="A58" s="545"/>
      <c r="B58" s="1254"/>
      <c r="C58" s="215"/>
      <c r="D58" s="215"/>
      <c r="E58" s="1221"/>
      <c r="F58" s="1247"/>
      <c r="G58" s="582"/>
      <c r="H58" s="563"/>
    </row>
    <row r="59" spans="1:13" ht="39.6" x14ac:dyDescent="0.25">
      <c r="A59" s="542" t="s">
        <v>362</v>
      </c>
      <c r="B59" s="1255" t="s">
        <v>551</v>
      </c>
      <c r="C59" s="113">
        <v>1</v>
      </c>
      <c r="D59" s="113" t="s">
        <v>10</v>
      </c>
      <c r="E59" s="1220"/>
      <c r="F59" s="1188"/>
      <c r="G59" s="1267">
        <v>55000</v>
      </c>
      <c r="H59" s="1184">
        <f>+G59*C59</f>
        <v>55000</v>
      </c>
    </row>
    <row r="60" spans="1:13" x14ac:dyDescent="0.25">
      <c r="A60" s="542"/>
      <c r="B60" s="1256"/>
      <c r="C60" s="87"/>
      <c r="D60" s="87"/>
      <c r="E60" s="1218"/>
      <c r="F60" s="1188"/>
      <c r="G60" s="356"/>
      <c r="H60" s="654"/>
    </row>
    <row r="61" spans="1:13" x14ac:dyDescent="0.25">
      <c r="A61" s="542" t="s">
        <v>171</v>
      </c>
      <c r="B61" s="1253" t="s">
        <v>363</v>
      </c>
      <c r="C61" s="87"/>
      <c r="D61" s="87"/>
      <c r="E61" s="1218"/>
      <c r="F61" s="1188"/>
      <c r="G61" s="356"/>
      <c r="H61" s="654"/>
    </row>
    <row r="62" spans="1:13" x14ac:dyDescent="0.25">
      <c r="A62" s="542"/>
      <c r="B62" s="1257"/>
      <c r="C62" s="87"/>
      <c r="D62" s="87"/>
      <c r="E62" s="1218"/>
      <c r="F62" s="1188"/>
      <c r="G62" s="356"/>
      <c r="H62" s="654"/>
    </row>
    <row r="63" spans="1:13" ht="26.4" x14ac:dyDescent="0.25">
      <c r="A63" s="542"/>
      <c r="B63" s="1274" t="s">
        <v>364</v>
      </c>
      <c r="C63" s="87"/>
      <c r="D63" s="87"/>
      <c r="E63" s="1218"/>
      <c r="F63" s="1188"/>
      <c r="G63" s="356"/>
      <c r="H63" s="654"/>
    </row>
    <row r="64" spans="1:13" x14ac:dyDescent="0.25">
      <c r="A64" s="542"/>
      <c r="B64" s="1257"/>
      <c r="C64" s="87"/>
      <c r="D64" s="87"/>
      <c r="E64" s="1218"/>
      <c r="F64" s="1188"/>
      <c r="G64" s="356"/>
      <c r="H64" s="654"/>
    </row>
    <row r="65" spans="1:8" ht="39.6" x14ac:dyDescent="0.25">
      <c r="A65" s="542"/>
      <c r="B65" s="1263" t="s">
        <v>365</v>
      </c>
      <c r="C65" s="87"/>
      <c r="D65" s="87"/>
      <c r="E65" s="1218"/>
      <c r="F65" s="1188"/>
      <c r="G65" s="356"/>
      <c r="H65" s="654"/>
    </row>
    <row r="66" spans="1:8" x14ac:dyDescent="0.25">
      <c r="A66" s="542"/>
      <c r="B66" s="1257"/>
      <c r="C66" s="87"/>
      <c r="D66" s="87"/>
      <c r="E66" s="1218"/>
      <c r="F66" s="1188"/>
      <c r="G66" s="356"/>
      <c r="H66" s="654"/>
    </row>
    <row r="67" spans="1:8" ht="52.8" x14ac:dyDescent="0.25">
      <c r="A67" s="542"/>
      <c r="B67" s="1263" t="s">
        <v>366</v>
      </c>
      <c r="C67" s="87"/>
      <c r="D67" s="87"/>
      <c r="E67" s="1218"/>
      <c r="F67" s="1188"/>
      <c r="G67" s="356"/>
      <c r="H67" s="654"/>
    </row>
    <row r="68" spans="1:8" x14ac:dyDescent="0.25">
      <c r="A68" s="542"/>
      <c r="B68" s="1257"/>
      <c r="C68" s="87"/>
      <c r="D68" s="87"/>
      <c r="E68" s="1218"/>
      <c r="F68" s="1188"/>
      <c r="G68" s="356"/>
      <c r="H68" s="654"/>
    </row>
    <row r="69" spans="1:8" ht="52.8" x14ac:dyDescent="0.25">
      <c r="A69" s="542"/>
      <c r="B69" s="1274" t="s">
        <v>367</v>
      </c>
      <c r="C69" s="87"/>
      <c r="D69" s="87"/>
      <c r="E69" s="1218"/>
      <c r="F69" s="1188"/>
      <c r="G69" s="356"/>
      <c r="H69" s="654"/>
    </row>
    <row r="70" spans="1:8" x14ac:dyDescent="0.25">
      <c r="A70" s="542"/>
      <c r="B70" s="1275"/>
      <c r="C70" s="87"/>
      <c r="D70" s="87"/>
      <c r="E70" s="1218"/>
      <c r="F70" s="1188"/>
      <c r="G70" s="356"/>
      <c r="H70" s="654"/>
    </row>
    <row r="71" spans="1:8" ht="26.4" x14ac:dyDescent="0.25">
      <c r="A71" s="542"/>
      <c r="B71" s="1274" t="s">
        <v>368</v>
      </c>
      <c r="C71" s="87"/>
      <c r="D71" s="87"/>
      <c r="E71" s="1218"/>
      <c r="F71" s="1188"/>
      <c r="G71" s="356"/>
      <c r="H71" s="654"/>
    </row>
    <row r="72" spans="1:8" x14ac:dyDescent="0.25">
      <c r="A72" s="542"/>
      <c r="B72" s="1256"/>
      <c r="C72" s="87"/>
      <c r="D72" s="87"/>
      <c r="E72" s="1218"/>
      <c r="F72" s="1188"/>
      <c r="G72" s="356"/>
      <c r="H72" s="654"/>
    </row>
    <row r="73" spans="1:8" ht="26.4" x14ac:dyDescent="0.25">
      <c r="A73" s="542"/>
      <c r="B73" s="1274" t="s">
        <v>369</v>
      </c>
      <c r="C73" s="87"/>
      <c r="D73" s="87"/>
      <c r="E73" s="1218"/>
      <c r="F73" s="1188"/>
      <c r="G73" s="356"/>
      <c r="H73" s="654"/>
    </row>
    <row r="74" spans="1:8" x14ac:dyDescent="0.25">
      <c r="A74" s="542"/>
      <c r="B74" s="1274"/>
      <c r="C74" s="87"/>
      <c r="D74" s="87"/>
      <c r="E74" s="1218"/>
      <c r="F74" s="1188"/>
      <c r="G74" s="356"/>
      <c r="H74" s="654"/>
    </row>
    <row r="75" spans="1:8" ht="26.4" x14ac:dyDescent="0.25">
      <c r="A75" s="542"/>
      <c r="B75" s="1263" t="s">
        <v>370</v>
      </c>
      <c r="C75" s="87"/>
      <c r="D75" s="87"/>
      <c r="E75" s="1218"/>
      <c r="F75" s="1188"/>
      <c r="G75" s="356"/>
      <c r="H75" s="654"/>
    </row>
    <row r="76" spans="1:8" x14ac:dyDescent="0.25">
      <c r="A76" s="542"/>
      <c r="B76" s="1252"/>
      <c r="C76" s="87"/>
      <c r="D76" s="87"/>
      <c r="E76" s="1218"/>
      <c r="F76" s="1188"/>
      <c r="G76" s="356"/>
      <c r="H76" s="654"/>
    </row>
    <row r="77" spans="1:8" ht="26.4" x14ac:dyDescent="0.25">
      <c r="A77" s="542" t="s">
        <v>371</v>
      </c>
      <c r="B77" s="1258" t="s">
        <v>552</v>
      </c>
      <c r="C77" s="87">
        <v>1</v>
      </c>
      <c r="D77" s="87" t="s">
        <v>10</v>
      </c>
      <c r="E77" s="1218"/>
      <c r="F77" s="1188"/>
      <c r="G77" s="1267">
        <v>75000</v>
      </c>
      <c r="H77" s="1184">
        <f>+G77*C77</f>
        <v>75000</v>
      </c>
    </row>
    <row r="78" spans="1:8" x14ac:dyDescent="0.25">
      <c r="A78" s="542"/>
      <c r="B78" s="1258"/>
      <c r="C78" s="87"/>
      <c r="D78" s="87"/>
      <c r="E78" s="1218"/>
      <c r="F78" s="1188"/>
      <c r="G78" s="356"/>
      <c r="H78" s="654"/>
    </row>
    <row r="79" spans="1:8" ht="26.4" x14ac:dyDescent="0.25">
      <c r="A79" s="542" t="s">
        <v>553</v>
      </c>
      <c r="B79" s="1258" t="s">
        <v>663</v>
      </c>
      <c r="C79" s="87">
        <v>1</v>
      </c>
      <c r="D79" s="87" t="s">
        <v>10</v>
      </c>
      <c r="E79" s="1218"/>
      <c r="F79" s="1188"/>
      <c r="G79" s="1267">
        <v>60000</v>
      </c>
      <c r="H79" s="1184">
        <f>+G79*C79</f>
        <v>60000</v>
      </c>
    </row>
    <row r="80" spans="1:8" x14ac:dyDescent="0.25">
      <c r="A80" s="542"/>
      <c r="B80" s="1258"/>
      <c r="C80" s="87"/>
      <c r="D80" s="87"/>
      <c r="E80" s="1218"/>
      <c r="F80" s="1188"/>
      <c r="G80" s="356"/>
      <c r="H80" s="654"/>
    </row>
    <row r="81" spans="1:8" ht="26.4" x14ac:dyDescent="0.25">
      <c r="A81" s="583" t="s">
        <v>172</v>
      </c>
      <c r="B81" s="1259" t="s">
        <v>376</v>
      </c>
      <c r="C81" s="1259"/>
      <c r="D81" s="1259"/>
      <c r="E81" s="1280"/>
      <c r="F81" s="1264"/>
      <c r="G81" s="356"/>
      <c r="H81" s="654"/>
    </row>
    <row r="82" spans="1:8" x14ac:dyDescent="0.25">
      <c r="A82" s="542"/>
      <c r="B82" s="1257"/>
      <c r="C82" s="87"/>
      <c r="D82" s="87"/>
      <c r="E82" s="1218"/>
      <c r="F82" s="1188"/>
      <c r="G82" s="356"/>
      <c r="H82" s="654"/>
    </row>
    <row r="83" spans="1:8" ht="39.6" x14ac:dyDescent="0.25">
      <c r="A83" s="542"/>
      <c r="B83" s="1257" t="s">
        <v>372</v>
      </c>
      <c r="C83" s="87"/>
      <c r="D83" s="87"/>
      <c r="E83" s="1218"/>
      <c r="F83" s="1188"/>
      <c r="G83" s="356"/>
      <c r="H83" s="654"/>
    </row>
    <row r="84" spans="1:8" x14ac:dyDescent="0.25">
      <c r="A84" s="542"/>
      <c r="B84" s="1257"/>
      <c r="C84" s="87"/>
      <c r="D84" s="87"/>
      <c r="E84" s="1218"/>
      <c r="F84" s="1188"/>
      <c r="G84" s="356"/>
      <c r="H84" s="654"/>
    </row>
    <row r="85" spans="1:8" ht="39.6" x14ac:dyDescent="0.25">
      <c r="A85" s="542"/>
      <c r="B85" s="1257" t="s">
        <v>373</v>
      </c>
      <c r="C85" s="87"/>
      <c r="D85" s="87"/>
      <c r="E85" s="1218"/>
      <c r="F85" s="1188"/>
      <c r="G85" s="356"/>
      <c r="H85" s="654"/>
    </row>
    <row r="86" spans="1:8" x14ac:dyDescent="0.25">
      <c r="A86" s="542"/>
      <c r="B86" s="1257"/>
      <c r="C86" s="87"/>
      <c r="D86" s="87"/>
      <c r="E86" s="1218"/>
      <c r="F86" s="1188"/>
      <c r="G86" s="356"/>
      <c r="H86" s="654"/>
    </row>
    <row r="87" spans="1:8" ht="26.4" x14ac:dyDescent="0.25">
      <c r="A87" s="542"/>
      <c r="B87" s="1257" t="s">
        <v>592</v>
      </c>
      <c r="C87" s="87"/>
      <c r="D87" s="87"/>
      <c r="E87" s="1218"/>
      <c r="F87" s="1188"/>
      <c r="G87" s="356"/>
      <c r="H87" s="654"/>
    </row>
    <row r="88" spans="1:8" x14ac:dyDescent="0.25">
      <c r="A88" s="542"/>
      <c r="B88" s="1257"/>
      <c r="C88" s="87"/>
      <c r="D88" s="87"/>
      <c r="E88" s="1218"/>
      <c r="F88" s="1188"/>
      <c r="G88" s="356"/>
      <c r="H88" s="654"/>
    </row>
    <row r="89" spans="1:8" ht="26.4" x14ac:dyDescent="0.25">
      <c r="A89" s="542"/>
      <c r="B89" s="1257" t="s">
        <v>374</v>
      </c>
      <c r="C89" s="87"/>
      <c r="D89" s="87"/>
      <c r="E89" s="1218"/>
      <c r="F89" s="1188"/>
      <c r="G89" s="356"/>
      <c r="H89" s="654"/>
    </row>
    <row r="90" spans="1:8" ht="14.4" thickBot="1" x14ac:dyDescent="0.3">
      <c r="A90" s="545"/>
      <c r="B90" s="1276"/>
      <c r="C90" s="215"/>
      <c r="D90" s="215"/>
      <c r="E90" s="1221"/>
      <c r="F90" s="1247"/>
      <c r="G90" s="582"/>
      <c r="H90" s="563"/>
    </row>
    <row r="91" spans="1:8" ht="26.4" x14ac:dyDescent="0.25">
      <c r="A91" s="547"/>
      <c r="B91" s="1277" t="s">
        <v>375</v>
      </c>
      <c r="C91" s="113"/>
      <c r="D91" s="113"/>
      <c r="E91" s="1220"/>
      <c r="F91" s="1248"/>
      <c r="G91" s="314"/>
      <c r="H91" s="565"/>
    </row>
    <row r="92" spans="1:8" x14ac:dyDescent="0.25">
      <c r="A92" s="542"/>
      <c r="B92" s="1257"/>
      <c r="C92" s="87"/>
      <c r="D92" s="87"/>
      <c r="E92" s="1218"/>
      <c r="F92" s="1188"/>
      <c r="G92" s="356"/>
      <c r="H92" s="654"/>
    </row>
    <row r="93" spans="1:8" ht="52.8" x14ac:dyDescent="0.25">
      <c r="A93" s="542"/>
      <c r="B93" s="1257" t="s">
        <v>405</v>
      </c>
      <c r="C93" s="87"/>
      <c r="D93" s="87"/>
      <c r="E93" s="1218"/>
      <c r="F93" s="1188"/>
      <c r="G93" s="356"/>
      <c r="H93" s="654"/>
    </row>
    <row r="94" spans="1:8" x14ac:dyDescent="0.25">
      <c r="A94" s="542"/>
      <c r="B94" s="1257"/>
      <c r="C94" s="87"/>
      <c r="D94" s="87"/>
      <c r="E94" s="1218"/>
      <c r="F94" s="1188"/>
      <c r="G94" s="356"/>
      <c r="H94" s="654"/>
    </row>
    <row r="95" spans="1:8" ht="39.6" x14ac:dyDescent="0.25">
      <c r="A95" s="542"/>
      <c r="B95" s="1257" t="s">
        <v>406</v>
      </c>
      <c r="C95" s="87"/>
      <c r="D95" s="87"/>
      <c r="E95" s="1218"/>
      <c r="F95" s="1188"/>
      <c r="G95" s="356"/>
      <c r="H95" s="654"/>
    </row>
    <row r="96" spans="1:8" x14ac:dyDescent="0.25">
      <c r="A96" s="542"/>
      <c r="B96" s="1257"/>
      <c r="C96" s="87"/>
      <c r="D96" s="87"/>
      <c r="E96" s="1218"/>
      <c r="F96" s="1188"/>
      <c r="G96" s="356"/>
      <c r="H96" s="654"/>
    </row>
    <row r="97" spans="1:8" ht="136.80000000000001" customHeight="1" x14ac:dyDescent="0.25">
      <c r="A97" s="542"/>
      <c r="B97" s="1257" t="s">
        <v>461</v>
      </c>
      <c r="C97" s="87"/>
      <c r="D97" s="87"/>
      <c r="E97" s="1218"/>
      <c r="F97" s="1188"/>
      <c r="G97" s="356"/>
      <c r="H97" s="654"/>
    </row>
    <row r="98" spans="1:8" x14ac:dyDescent="0.25">
      <c r="A98" s="542"/>
      <c r="B98" s="1257"/>
      <c r="C98" s="87"/>
      <c r="D98" s="87"/>
      <c r="E98" s="1218"/>
      <c r="F98" s="1188"/>
      <c r="G98" s="356"/>
      <c r="H98" s="654"/>
    </row>
    <row r="99" spans="1:8" ht="26.4" x14ac:dyDescent="0.25">
      <c r="A99" s="542"/>
      <c r="B99" s="1257" t="s">
        <v>408</v>
      </c>
      <c r="C99" s="87"/>
      <c r="D99" s="87"/>
      <c r="E99" s="1218"/>
      <c r="F99" s="1188"/>
      <c r="G99" s="356"/>
      <c r="H99" s="654"/>
    </row>
    <row r="100" spans="1:8" x14ac:dyDescent="0.25">
      <c r="A100" s="542"/>
      <c r="B100" s="1257"/>
      <c r="C100" s="87"/>
      <c r="D100" s="87"/>
      <c r="E100" s="1218"/>
      <c r="F100" s="1188"/>
      <c r="G100" s="356"/>
      <c r="H100" s="654"/>
    </row>
    <row r="101" spans="1:8" ht="66" x14ac:dyDescent="0.25">
      <c r="A101" s="542"/>
      <c r="B101" s="1257" t="s">
        <v>462</v>
      </c>
      <c r="C101" s="87"/>
      <c r="D101" s="87"/>
      <c r="E101" s="1218"/>
      <c r="F101" s="1188"/>
      <c r="G101" s="356"/>
      <c r="H101" s="654"/>
    </row>
    <row r="102" spans="1:8" x14ac:dyDescent="0.25">
      <c r="A102" s="542"/>
      <c r="B102" s="1257"/>
      <c r="C102" s="87"/>
      <c r="D102" s="87"/>
      <c r="E102" s="1218"/>
      <c r="F102" s="1188"/>
      <c r="G102" s="356"/>
      <c r="H102" s="654"/>
    </row>
    <row r="103" spans="1:8" ht="39.6" x14ac:dyDescent="0.25">
      <c r="A103" s="542"/>
      <c r="B103" s="1257" t="s">
        <v>463</v>
      </c>
      <c r="C103" s="87"/>
      <c r="D103" s="87"/>
      <c r="E103" s="1218"/>
      <c r="F103" s="1188"/>
      <c r="G103" s="356"/>
      <c r="H103" s="654"/>
    </row>
    <row r="104" spans="1:8" x14ac:dyDescent="0.25">
      <c r="A104" s="542"/>
      <c r="B104" s="1257"/>
      <c r="C104" s="87"/>
      <c r="D104" s="87"/>
      <c r="E104" s="1218"/>
      <c r="F104" s="1188"/>
      <c r="G104" s="356"/>
      <c r="H104" s="654"/>
    </row>
    <row r="105" spans="1:8" ht="39.6" x14ac:dyDescent="0.25">
      <c r="A105" s="542"/>
      <c r="B105" s="1257" t="s">
        <v>464</v>
      </c>
      <c r="C105" s="87"/>
      <c r="D105" s="87"/>
      <c r="E105" s="1218"/>
      <c r="F105" s="1188"/>
      <c r="G105" s="356"/>
      <c r="H105" s="654"/>
    </row>
    <row r="106" spans="1:8" x14ac:dyDescent="0.25">
      <c r="A106" s="542"/>
      <c r="B106" s="1257"/>
      <c r="C106" s="87"/>
      <c r="D106" s="87"/>
      <c r="E106" s="1218"/>
      <c r="F106" s="1188"/>
      <c r="G106" s="356"/>
      <c r="H106" s="654"/>
    </row>
    <row r="107" spans="1:8" ht="39.6" x14ac:dyDescent="0.25">
      <c r="A107" s="542"/>
      <c r="B107" s="1257" t="s">
        <v>465</v>
      </c>
      <c r="C107" s="87"/>
      <c r="D107" s="87"/>
      <c r="E107" s="1218"/>
      <c r="F107" s="1188"/>
      <c r="G107" s="356"/>
      <c r="H107" s="654"/>
    </row>
    <row r="108" spans="1:8" x14ac:dyDescent="0.25">
      <c r="A108" s="542"/>
      <c r="B108" s="1257"/>
      <c r="C108" s="87"/>
      <c r="D108" s="87"/>
      <c r="E108" s="1218"/>
      <c r="F108" s="1188"/>
      <c r="G108" s="356"/>
      <c r="H108" s="654"/>
    </row>
    <row r="109" spans="1:8" ht="39.6" x14ac:dyDescent="0.25">
      <c r="A109" s="542"/>
      <c r="B109" s="1257" t="s">
        <v>466</v>
      </c>
      <c r="C109" s="87"/>
      <c r="D109" s="87"/>
      <c r="E109" s="1218"/>
      <c r="F109" s="1188"/>
      <c r="G109" s="356"/>
      <c r="H109" s="654"/>
    </row>
    <row r="110" spans="1:8" x14ac:dyDescent="0.25">
      <c r="A110" s="542"/>
      <c r="B110" s="1257"/>
      <c r="C110" s="87"/>
      <c r="D110" s="87"/>
      <c r="E110" s="1218"/>
      <c r="F110" s="1188"/>
      <c r="G110" s="356"/>
      <c r="H110" s="654"/>
    </row>
    <row r="111" spans="1:8" x14ac:dyDescent="0.25">
      <c r="A111" s="542"/>
      <c r="B111" s="1257" t="s">
        <v>467</v>
      </c>
      <c r="C111" s="87"/>
      <c r="D111" s="87"/>
      <c r="E111" s="1218"/>
      <c r="F111" s="1188"/>
      <c r="G111" s="356"/>
      <c r="H111" s="654"/>
    </row>
    <row r="112" spans="1:8" x14ac:dyDescent="0.25">
      <c r="A112" s="542"/>
      <c r="B112" s="1257"/>
      <c r="C112" s="87"/>
      <c r="D112" s="87"/>
      <c r="E112" s="1218"/>
      <c r="F112" s="1188"/>
      <c r="G112" s="356"/>
      <c r="H112" s="654"/>
    </row>
    <row r="113" spans="1:8" x14ac:dyDescent="0.25">
      <c r="A113" s="542"/>
      <c r="B113" s="1257" t="s">
        <v>468</v>
      </c>
      <c r="C113" s="87"/>
      <c r="D113" s="87"/>
      <c r="E113" s="1218"/>
      <c r="F113" s="1188"/>
      <c r="G113" s="356"/>
      <c r="H113" s="654"/>
    </row>
    <row r="114" spans="1:8" x14ac:dyDescent="0.25">
      <c r="A114" s="542"/>
      <c r="B114" s="1257"/>
      <c r="C114" s="87"/>
      <c r="D114" s="87"/>
      <c r="E114" s="1218"/>
      <c r="F114" s="1188"/>
      <c r="G114" s="356"/>
      <c r="H114" s="654"/>
    </row>
    <row r="115" spans="1:8" ht="26.4" x14ac:dyDescent="0.25">
      <c r="A115" s="542"/>
      <c r="B115" s="1257" t="s">
        <v>469</v>
      </c>
      <c r="C115" s="87"/>
      <c r="D115" s="87"/>
      <c r="E115" s="1218"/>
      <c r="F115" s="1188"/>
      <c r="G115" s="356"/>
      <c r="H115" s="654"/>
    </row>
    <row r="116" spans="1:8" ht="14.4" thickBot="1" x14ac:dyDescent="0.3">
      <c r="A116" s="545"/>
      <c r="B116" s="1276"/>
      <c r="C116" s="215"/>
      <c r="D116" s="215"/>
      <c r="E116" s="1221"/>
      <c r="F116" s="1247"/>
      <c r="G116" s="582"/>
      <c r="H116" s="563"/>
    </row>
    <row r="117" spans="1:8" ht="52.8" x14ac:dyDescent="0.25">
      <c r="A117" s="547"/>
      <c r="B117" s="1277" t="s">
        <v>470</v>
      </c>
      <c r="C117" s="113"/>
      <c r="D117" s="113"/>
      <c r="E117" s="1220"/>
      <c r="F117" s="1248"/>
      <c r="G117" s="314"/>
      <c r="H117" s="565"/>
    </row>
    <row r="118" spans="1:8" x14ac:dyDescent="0.25">
      <c r="A118" s="542"/>
      <c r="B118" s="1257"/>
      <c r="C118" s="87"/>
      <c r="D118" s="87"/>
      <c r="E118" s="1218"/>
      <c r="F118" s="1188"/>
      <c r="G118" s="356"/>
      <c r="H118" s="654"/>
    </row>
    <row r="119" spans="1:8" ht="52.8" x14ac:dyDescent="0.25">
      <c r="A119" s="542"/>
      <c r="B119" s="1257" t="s">
        <v>413</v>
      </c>
      <c r="C119" s="87"/>
      <c r="D119" s="87"/>
      <c r="E119" s="1218"/>
      <c r="F119" s="1188"/>
      <c r="G119" s="356"/>
      <c r="H119" s="654"/>
    </row>
    <row r="120" spans="1:8" x14ac:dyDescent="0.25">
      <c r="A120" s="542"/>
      <c r="B120" s="1257"/>
      <c r="C120" s="87"/>
      <c r="D120" s="87"/>
      <c r="E120" s="1218"/>
      <c r="F120" s="1188"/>
      <c r="G120" s="356"/>
      <c r="H120" s="654"/>
    </row>
    <row r="121" spans="1:8" ht="26.4" x14ac:dyDescent="0.25">
      <c r="A121" s="542"/>
      <c r="B121" s="1257" t="s">
        <v>414</v>
      </c>
      <c r="C121" s="87"/>
      <c r="D121" s="87"/>
      <c r="E121" s="1218"/>
      <c r="F121" s="1188"/>
      <c r="G121" s="356"/>
      <c r="H121" s="654"/>
    </row>
    <row r="122" spans="1:8" x14ac:dyDescent="0.25">
      <c r="A122" s="542"/>
      <c r="B122" s="1253"/>
      <c r="C122" s="87"/>
      <c r="D122" s="87"/>
      <c r="E122" s="1218"/>
      <c r="F122" s="1188"/>
      <c r="G122" s="356"/>
      <c r="H122" s="654"/>
    </row>
    <row r="123" spans="1:8" x14ac:dyDescent="0.25">
      <c r="A123" s="542"/>
      <c r="B123" s="1260" t="s">
        <v>664</v>
      </c>
      <c r="C123" s="87"/>
      <c r="D123" s="87"/>
      <c r="E123" s="1218"/>
      <c r="F123" s="1188"/>
      <c r="G123" s="356"/>
      <c r="H123" s="654"/>
    </row>
    <row r="124" spans="1:8" ht="16.2" customHeight="1" x14ac:dyDescent="0.25">
      <c r="A124" s="542" t="s">
        <v>377</v>
      </c>
      <c r="B124" s="1261" t="s">
        <v>763</v>
      </c>
      <c r="C124" s="87"/>
      <c r="D124" s="87"/>
      <c r="E124" s="1218"/>
      <c r="F124" s="1188"/>
      <c r="G124" s="356"/>
      <c r="H124" s="654"/>
    </row>
    <row r="125" spans="1:8" ht="105.6" x14ac:dyDescent="0.25">
      <c r="A125" s="542"/>
      <c r="B125" s="1257" t="s">
        <v>557</v>
      </c>
      <c r="C125" s="190">
        <v>1</v>
      </c>
      <c r="D125" s="87" t="s">
        <v>26</v>
      </c>
      <c r="E125" s="1218">
        <v>105000</v>
      </c>
      <c r="F125" s="1188">
        <f>+$I$1</f>
        <v>0.75</v>
      </c>
      <c r="G125" s="1267">
        <f>ROUNDUP(E125/F125,-1)</f>
        <v>140000</v>
      </c>
      <c r="H125" s="1184">
        <f>+G125*C125</f>
        <v>140000</v>
      </c>
    </row>
    <row r="126" spans="1:8" x14ac:dyDescent="0.25">
      <c r="A126" s="542"/>
      <c r="B126" s="1257"/>
      <c r="C126" s="190"/>
      <c r="D126" s="87"/>
      <c r="E126" s="1218"/>
      <c r="F126" s="1188"/>
      <c r="G126" s="356"/>
      <c r="H126" s="654"/>
    </row>
    <row r="127" spans="1:8" x14ac:dyDescent="0.25">
      <c r="A127" s="583" t="s">
        <v>173</v>
      </c>
      <c r="B127" s="1262" t="s">
        <v>378</v>
      </c>
      <c r="C127" s="190"/>
      <c r="D127" s="87"/>
      <c r="E127" s="1218"/>
      <c r="F127" s="1188"/>
      <c r="G127" s="356"/>
      <c r="H127" s="654"/>
    </row>
    <row r="128" spans="1:8" x14ac:dyDescent="0.25">
      <c r="A128" s="542"/>
      <c r="B128" s="1253"/>
      <c r="C128" s="190"/>
      <c r="D128" s="87"/>
      <c r="E128" s="1218"/>
      <c r="F128" s="1188"/>
      <c r="G128" s="356"/>
      <c r="H128" s="654"/>
    </row>
    <row r="129" spans="1:8" ht="79.2" x14ac:dyDescent="0.25">
      <c r="A129" s="542"/>
      <c r="B129" s="1263" t="s">
        <v>379</v>
      </c>
      <c r="C129" s="190"/>
      <c r="D129" s="87"/>
      <c r="E129" s="1218"/>
      <c r="F129" s="1188"/>
      <c r="G129" s="356"/>
      <c r="H129" s="654"/>
    </row>
    <row r="130" spans="1:8" x14ac:dyDescent="0.25">
      <c r="A130" s="542"/>
      <c r="B130" s="1263"/>
      <c r="C130" s="190"/>
      <c r="D130" s="87"/>
      <c r="E130" s="1218"/>
      <c r="F130" s="1188"/>
      <c r="G130" s="356"/>
      <c r="H130" s="654"/>
    </row>
    <row r="131" spans="1:8" ht="27.6" customHeight="1" x14ac:dyDescent="0.25">
      <c r="A131" s="542"/>
      <c r="B131" s="1263" t="s">
        <v>380</v>
      </c>
      <c r="C131" s="190"/>
      <c r="D131" s="87"/>
      <c r="E131" s="1218"/>
      <c r="F131" s="1188"/>
      <c r="G131" s="356"/>
      <c r="H131" s="654"/>
    </row>
    <row r="132" spans="1:8" x14ac:dyDescent="0.25">
      <c r="A132" s="542"/>
      <c r="B132" s="1263"/>
      <c r="C132" s="190"/>
      <c r="D132" s="87"/>
      <c r="E132" s="1218"/>
      <c r="F132" s="1188"/>
      <c r="G132" s="356"/>
      <c r="H132" s="654"/>
    </row>
    <row r="133" spans="1:8" x14ac:dyDescent="0.25">
      <c r="A133" s="542"/>
      <c r="B133" s="1257" t="s">
        <v>397</v>
      </c>
      <c r="C133" s="190"/>
      <c r="D133" s="87"/>
      <c r="E133" s="1218"/>
      <c r="F133" s="1188"/>
      <c r="G133" s="356"/>
      <c r="H133" s="654"/>
    </row>
    <row r="134" spans="1:8" x14ac:dyDescent="0.25">
      <c r="A134" s="542"/>
      <c r="B134" s="1257"/>
      <c r="C134" s="190"/>
      <c r="D134" s="87"/>
      <c r="E134" s="1218"/>
      <c r="F134" s="1188"/>
      <c r="G134" s="356"/>
      <c r="H134" s="654"/>
    </row>
    <row r="135" spans="1:8" ht="26.4" x14ac:dyDescent="0.25">
      <c r="A135" s="542"/>
      <c r="B135" s="1257" t="s">
        <v>398</v>
      </c>
      <c r="C135" s="190"/>
      <c r="D135" s="87"/>
      <c r="E135" s="1218"/>
      <c r="F135" s="1188"/>
      <c r="G135" s="356"/>
      <c r="H135" s="654"/>
    </row>
    <row r="136" spans="1:8" x14ac:dyDescent="0.25">
      <c r="A136" s="542"/>
      <c r="B136" s="1257"/>
      <c r="C136" s="190"/>
      <c r="D136" s="87"/>
      <c r="E136" s="1218"/>
      <c r="F136" s="1188"/>
      <c r="G136" s="356"/>
      <c r="H136" s="654"/>
    </row>
    <row r="137" spans="1:8" ht="39.6" x14ac:dyDescent="0.25">
      <c r="A137" s="542"/>
      <c r="B137" s="1257" t="s">
        <v>399</v>
      </c>
      <c r="C137" s="190"/>
      <c r="D137" s="87"/>
      <c r="E137" s="1218"/>
      <c r="F137" s="1188"/>
      <c r="G137" s="356"/>
      <c r="H137" s="654"/>
    </row>
    <row r="138" spans="1:8" ht="39.6" x14ac:dyDescent="0.25">
      <c r="A138" s="542"/>
      <c r="B138" s="1257" t="s">
        <v>400</v>
      </c>
      <c r="C138" s="190"/>
      <c r="D138" s="87"/>
      <c r="E138" s="1218"/>
      <c r="F138" s="1188"/>
      <c r="G138" s="356"/>
      <c r="H138" s="654"/>
    </row>
    <row r="139" spans="1:8" x14ac:dyDescent="0.25">
      <c r="A139" s="542"/>
      <c r="B139" s="1257"/>
      <c r="C139" s="190"/>
      <c r="D139" s="87"/>
      <c r="E139" s="1218"/>
      <c r="F139" s="1188"/>
      <c r="G139" s="356"/>
      <c r="H139" s="654"/>
    </row>
    <row r="140" spans="1:8" ht="31.2" customHeight="1" x14ac:dyDescent="0.25">
      <c r="A140" s="542"/>
      <c r="B140" s="1257" t="s">
        <v>401</v>
      </c>
      <c r="C140" s="190"/>
      <c r="D140" s="87"/>
      <c r="E140" s="1218"/>
      <c r="F140" s="1188"/>
      <c r="G140" s="356"/>
      <c r="H140" s="654"/>
    </row>
    <row r="141" spans="1:8" ht="14.4" thickBot="1" x14ac:dyDescent="0.3">
      <c r="A141" s="545"/>
      <c r="B141" s="693"/>
      <c r="C141" s="214"/>
      <c r="D141" s="215"/>
      <c r="E141" s="1221"/>
      <c r="F141" s="1247"/>
      <c r="G141" s="582"/>
      <c r="H141" s="563"/>
    </row>
    <row r="142" spans="1:8" ht="44.4" x14ac:dyDescent="0.25">
      <c r="A142" s="542"/>
      <c r="B142" s="120" t="s">
        <v>1255</v>
      </c>
      <c r="C142" s="190"/>
      <c r="D142" s="87"/>
      <c r="E142" s="1218"/>
      <c r="F142" s="1188"/>
      <c r="G142" s="356"/>
      <c r="H142" s="654"/>
    </row>
    <row r="143" spans="1:8" x14ac:dyDescent="0.25">
      <c r="A143" s="542"/>
      <c r="B143" s="120"/>
      <c r="C143" s="190"/>
      <c r="D143" s="87"/>
      <c r="E143" s="1218"/>
      <c r="F143" s="1188"/>
      <c r="G143" s="356"/>
      <c r="H143" s="654"/>
    </row>
    <row r="144" spans="1:8" ht="41.4" x14ac:dyDescent="0.25">
      <c r="A144" s="542"/>
      <c r="B144" s="120" t="s">
        <v>402</v>
      </c>
      <c r="C144" s="190"/>
      <c r="D144" s="87"/>
      <c r="E144" s="1218"/>
      <c r="F144" s="1188"/>
      <c r="G144" s="356"/>
      <c r="H144" s="654"/>
    </row>
    <row r="145" spans="1:8" x14ac:dyDescent="0.25">
      <c r="A145" s="542"/>
      <c r="B145" s="120"/>
      <c r="C145" s="190"/>
      <c r="D145" s="87"/>
      <c r="E145" s="1218"/>
      <c r="F145" s="1188"/>
      <c r="G145" s="356"/>
      <c r="H145" s="654"/>
    </row>
    <row r="146" spans="1:8" x14ac:dyDescent="0.25">
      <c r="A146" s="542"/>
      <c r="B146" s="120" t="s">
        <v>403</v>
      </c>
      <c r="C146" s="190"/>
      <c r="D146" s="87"/>
      <c r="E146" s="1218"/>
      <c r="F146" s="1188"/>
      <c r="G146" s="356"/>
      <c r="H146" s="654"/>
    </row>
    <row r="147" spans="1:8" x14ac:dyDescent="0.25">
      <c r="A147" s="542"/>
      <c r="B147" s="95"/>
      <c r="C147" s="190"/>
      <c r="D147" s="87"/>
      <c r="E147" s="1218"/>
      <c r="F147" s="1188"/>
      <c r="G147" s="356"/>
      <c r="H147" s="654"/>
    </row>
    <row r="148" spans="1:8" x14ac:dyDescent="0.25">
      <c r="A148" s="542"/>
      <c r="B148" s="95" t="s">
        <v>415</v>
      </c>
      <c r="C148" s="190"/>
      <c r="D148" s="87"/>
      <c r="E148" s="1218"/>
      <c r="F148" s="1188"/>
      <c r="G148" s="356"/>
      <c r="H148" s="654"/>
    </row>
    <row r="149" spans="1:8" ht="41.4" x14ac:dyDescent="0.25">
      <c r="A149" s="542"/>
      <c r="B149" s="120" t="s">
        <v>584</v>
      </c>
      <c r="C149" s="190"/>
      <c r="D149" s="87"/>
      <c r="E149" s="1218"/>
      <c r="F149" s="1188"/>
      <c r="G149" s="356"/>
      <c r="H149" s="654"/>
    </row>
    <row r="150" spans="1:8" x14ac:dyDescent="0.25">
      <c r="A150" s="542"/>
      <c r="B150" s="95"/>
      <c r="C150" s="190"/>
      <c r="D150" s="87"/>
      <c r="E150" s="1218"/>
      <c r="F150" s="1188"/>
      <c r="G150" s="356"/>
      <c r="H150" s="654"/>
    </row>
    <row r="151" spans="1:8" x14ac:dyDescent="0.25">
      <c r="A151" s="542"/>
      <c r="B151" s="1278" t="s">
        <v>64</v>
      </c>
      <c r="C151" s="190"/>
      <c r="D151" s="87"/>
      <c r="E151" s="1218"/>
      <c r="F151" s="1188"/>
      <c r="G151" s="356"/>
      <c r="H151" s="654"/>
    </row>
    <row r="152" spans="1:8" ht="41.4" x14ac:dyDescent="0.25">
      <c r="A152" s="542"/>
      <c r="B152" s="95" t="s">
        <v>402</v>
      </c>
      <c r="C152" s="190"/>
      <c r="D152" s="87"/>
      <c r="E152" s="1218"/>
      <c r="F152" s="1188"/>
      <c r="G152" s="356"/>
      <c r="H152" s="654"/>
    </row>
    <row r="153" spans="1:8" x14ac:dyDescent="0.25">
      <c r="A153" s="542"/>
      <c r="B153" s="95"/>
      <c r="C153" s="190"/>
      <c r="D153" s="87"/>
      <c r="E153" s="1218"/>
      <c r="F153" s="1188"/>
      <c r="G153" s="356"/>
      <c r="H153" s="654"/>
    </row>
    <row r="154" spans="1:8" ht="27.6" x14ac:dyDescent="0.25">
      <c r="A154" s="542"/>
      <c r="B154" s="95" t="s">
        <v>473</v>
      </c>
      <c r="C154" s="190"/>
      <c r="D154" s="87"/>
      <c r="E154" s="1218"/>
      <c r="F154" s="1188"/>
      <c r="G154" s="356"/>
      <c r="H154" s="654"/>
    </row>
    <row r="155" spans="1:8" x14ac:dyDescent="0.25">
      <c r="A155" s="542"/>
      <c r="B155" s="95"/>
      <c r="C155" s="190"/>
      <c r="D155" s="87"/>
      <c r="E155" s="1218"/>
      <c r="F155" s="1188"/>
      <c r="G155" s="356"/>
      <c r="H155" s="654"/>
    </row>
    <row r="156" spans="1:8" ht="41.4" x14ac:dyDescent="0.25">
      <c r="A156" s="542"/>
      <c r="B156" s="195" t="s">
        <v>527</v>
      </c>
      <c r="C156" s="190"/>
      <c r="D156" s="87"/>
      <c r="E156" s="1218"/>
      <c r="F156" s="1188"/>
      <c r="G156" s="356"/>
      <c r="H156" s="654"/>
    </row>
    <row r="157" spans="1:8" x14ac:dyDescent="0.25">
      <c r="A157" s="542"/>
      <c r="B157" s="195"/>
      <c r="C157" s="190"/>
      <c r="D157" s="87"/>
      <c r="E157" s="1218"/>
      <c r="F157" s="1188"/>
      <c r="G157" s="356"/>
      <c r="H157" s="654"/>
    </row>
    <row r="158" spans="1:8" x14ac:dyDescent="0.25">
      <c r="A158" s="542"/>
      <c r="B158" s="1263" t="s">
        <v>665</v>
      </c>
      <c r="C158" s="190"/>
      <c r="D158" s="87"/>
      <c r="E158" s="1218"/>
      <c r="F158" s="1188"/>
      <c r="G158" s="356"/>
      <c r="H158" s="654"/>
    </row>
    <row r="159" spans="1:8" x14ac:dyDescent="0.25">
      <c r="A159" s="542"/>
      <c r="B159" s="95" t="s">
        <v>25</v>
      </c>
      <c r="C159" s="190"/>
      <c r="D159" s="87"/>
      <c r="E159" s="1218"/>
      <c r="F159" s="1188"/>
      <c r="G159" s="356"/>
      <c r="H159" s="654"/>
    </row>
    <row r="160" spans="1:8" x14ac:dyDescent="0.25">
      <c r="A160" s="542"/>
      <c r="B160" s="1278" t="s">
        <v>471</v>
      </c>
      <c r="C160" s="190"/>
      <c r="D160" s="87"/>
      <c r="E160" s="1218"/>
      <c r="F160" s="1188"/>
      <c r="G160" s="356"/>
      <c r="H160" s="654"/>
    </row>
    <row r="161" spans="1:8" x14ac:dyDescent="0.25">
      <c r="A161" s="542"/>
      <c r="B161" s="203"/>
      <c r="C161" s="190"/>
      <c r="D161" s="87"/>
      <c r="E161" s="1218"/>
      <c r="F161" s="1188"/>
      <c r="G161" s="356"/>
      <c r="H161" s="654"/>
    </row>
    <row r="162" spans="1:8" x14ac:dyDescent="0.25">
      <c r="A162" s="542"/>
      <c r="B162" s="122" t="s">
        <v>340</v>
      </c>
      <c r="C162" s="190"/>
      <c r="D162" s="87"/>
      <c r="E162" s="1218"/>
      <c r="F162" s="1188"/>
      <c r="G162" s="356"/>
      <c r="H162" s="654"/>
    </row>
    <row r="163" spans="1:8" x14ac:dyDescent="0.25">
      <c r="A163" s="542"/>
      <c r="B163" s="122"/>
      <c r="C163" s="190"/>
      <c r="D163" s="87"/>
      <c r="E163" s="1218"/>
      <c r="F163" s="1188"/>
      <c r="G163" s="356"/>
      <c r="H163" s="654"/>
    </row>
    <row r="164" spans="1:8" ht="115.2" customHeight="1" x14ac:dyDescent="0.25">
      <c r="A164" s="542" t="s">
        <v>381</v>
      </c>
      <c r="B164" s="95" t="s">
        <v>666</v>
      </c>
      <c r="C164" s="190">
        <v>28</v>
      </c>
      <c r="D164" s="87" t="s">
        <v>449</v>
      </c>
      <c r="E164" s="1218">
        <v>9000</v>
      </c>
      <c r="F164" s="1188">
        <f>+$I$1</f>
        <v>0.75</v>
      </c>
      <c r="G164" s="1267">
        <f>ROUNDUP(E164/F164,-1)</f>
        <v>12000</v>
      </c>
      <c r="H164" s="1184">
        <f>+G164*C164</f>
        <v>336000</v>
      </c>
    </row>
    <row r="165" spans="1:8" x14ac:dyDescent="0.25">
      <c r="A165" s="542"/>
      <c r="B165" s="122"/>
      <c r="C165" s="190"/>
      <c r="D165" s="87"/>
      <c r="E165" s="1218"/>
      <c r="F165" s="1188"/>
      <c r="G165" s="356"/>
      <c r="H165" s="654"/>
    </row>
    <row r="166" spans="1:8" ht="96.6" x14ac:dyDescent="0.25">
      <c r="A166" s="542" t="s">
        <v>383</v>
      </c>
      <c r="B166" s="95" t="s">
        <v>671</v>
      </c>
      <c r="C166" s="190">
        <f>28</f>
        <v>28</v>
      </c>
      <c r="D166" s="87" t="s">
        <v>449</v>
      </c>
      <c r="E166" s="1218">
        <v>7500</v>
      </c>
      <c r="F166" s="1188">
        <f>+$I$1</f>
        <v>0.75</v>
      </c>
      <c r="G166" s="1267">
        <f>ROUNDUP(E166/F166,-1)</f>
        <v>10000</v>
      </c>
      <c r="H166" s="1184">
        <f>+G166*C166</f>
        <v>280000</v>
      </c>
    </row>
    <row r="167" spans="1:8" ht="14.4" thickBot="1" x14ac:dyDescent="0.3">
      <c r="A167" s="545"/>
      <c r="B167" s="694"/>
      <c r="C167" s="214"/>
      <c r="D167" s="215"/>
      <c r="E167" s="1221"/>
      <c r="F167" s="1247"/>
      <c r="G167" s="582"/>
      <c r="H167" s="563"/>
    </row>
    <row r="168" spans="1:8" ht="96.6" x14ac:dyDescent="0.25">
      <c r="A168" s="542" t="s">
        <v>384</v>
      </c>
      <c r="B168" s="315" t="s">
        <v>667</v>
      </c>
      <c r="C168" s="190">
        <v>8</v>
      </c>
      <c r="D168" s="87" t="s">
        <v>449</v>
      </c>
      <c r="E168" s="1218">
        <v>8500</v>
      </c>
      <c r="F168" s="1188">
        <f>+$I$1</f>
        <v>0.75</v>
      </c>
      <c r="G168" s="1267">
        <f>ROUNDUP(E168/F168,-1)</f>
        <v>11340</v>
      </c>
      <c r="H168" s="1184">
        <f>+G168*C168</f>
        <v>90720</v>
      </c>
    </row>
    <row r="169" spans="1:8" x14ac:dyDescent="0.25">
      <c r="A169" s="542"/>
      <c r="B169" s="315"/>
      <c r="C169" s="190"/>
      <c r="D169" s="87"/>
      <c r="E169" s="1218"/>
      <c r="F169" s="1188"/>
      <c r="G169" s="356"/>
      <c r="H169" s="654"/>
    </row>
    <row r="170" spans="1:8" x14ac:dyDescent="0.25">
      <c r="A170" s="542"/>
      <c r="B170" s="122" t="s">
        <v>415</v>
      </c>
      <c r="C170" s="190"/>
      <c r="D170" s="87"/>
      <c r="E170" s="1218"/>
      <c r="F170" s="1188"/>
      <c r="G170" s="356"/>
      <c r="H170" s="654"/>
    </row>
    <row r="171" spans="1:8" x14ac:dyDescent="0.25">
      <c r="A171" s="542"/>
      <c r="B171" s="660"/>
      <c r="C171" s="190"/>
      <c r="D171" s="87"/>
      <c r="E171" s="1218"/>
      <c r="F171" s="1188"/>
      <c r="G171" s="356"/>
      <c r="H171" s="654"/>
    </row>
    <row r="172" spans="1:8" ht="41.4" x14ac:dyDescent="0.25">
      <c r="A172" s="542" t="s">
        <v>385</v>
      </c>
      <c r="B172" s="315" t="s">
        <v>668</v>
      </c>
      <c r="C172" s="190">
        <v>81</v>
      </c>
      <c r="D172" s="174" t="s">
        <v>449</v>
      </c>
      <c r="E172" s="1281">
        <v>900</v>
      </c>
      <c r="F172" s="1188">
        <f>+$I$2</f>
        <v>0.9</v>
      </c>
      <c r="G172" s="1267">
        <f>ROUNDUP(E172/F172,-1)</f>
        <v>1000</v>
      </c>
      <c r="H172" s="1184">
        <f>+G172*C172</f>
        <v>81000</v>
      </c>
    </row>
    <row r="173" spans="1:8" x14ac:dyDescent="0.25">
      <c r="A173" s="542"/>
      <c r="B173" s="315"/>
      <c r="C173" s="190"/>
      <c r="D173" s="174"/>
      <c r="E173" s="1281"/>
      <c r="F173" s="1265"/>
      <c r="G173" s="316"/>
      <c r="H173" s="585"/>
    </row>
    <row r="174" spans="1:8" ht="27.6" x14ac:dyDescent="0.25">
      <c r="A174" s="542" t="s">
        <v>386</v>
      </c>
      <c r="B174" s="95" t="s">
        <v>764</v>
      </c>
      <c r="C174" s="190">
        <v>12</v>
      </c>
      <c r="D174" s="174" t="s">
        <v>449</v>
      </c>
      <c r="E174" s="1281">
        <f>6500+550</f>
        <v>7050</v>
      </c>
      <c r="F174" s="1188">
        <f>+$I$2</f>
        <v>0.9</v>
      </c>
      <c r="G174" s="1267">
        <f>ROUNDUP(E174/F174,-1)</f>
        <v>7840</v>
      </c>
      <c r="H174" s="1184">
        <f>+G174*C174</f>
        <v>94080</v>
      </c>
    </row>
    <row r="175" spans="1:8" x14ac:dyDescent="0.25">
      <c r="A175" s="542"/>
      <c r="B175" s="203"/>
      <c r="C175" s="190"/>
      <c r="D175" s="87"/>
      <c r="E175" s="1218"/>
      <c r="F175" s="1188"/>
      <c r="G175" s="356"/>
      <c r="H175" s="654"/>
    </row>
    <row r="176" spans="1:8" ht="41.4" x14ac:dyDescent="0.25">
      <c r="A176" s="542" t="s">
        <v>387</v>
      </c>
      <c r="B176" s="95" t="s">
        <v>776</v>
      </c>
      <c r="C176" s="190">
        <v>60</v>
      </c>
      <c r="D176" s="87" t="s">
        <v>60</v>
      </c>
      <c r="E176" s="1218">
        <f>6000+650</f>
        <v>6650</v>
      </c>
      <c r="F176" s="1188">
        <f>+$I$2</f>
        <v>0.9</v>
      </c>
      <c r="G176" s="1267">
        <f>ROUNDUP(E176/F176,-1)</f>
        <v>7390</v>
      </c>
      <c r="H176" s="1184">
        <f>+G176*C176</f>
        <v>443400</v>
      </c>
    </row>
    <row r="177" spans="1:9" x14ac:dyDescent="0.25">
      <c r="A177" s="542"/>
      <c r="B177" s="203"/>
      <c r="C177" s="190"/>
      <c r="D177" s="87"/>
      <c r="E177" s="1218"/>
      <c r="F177" s="1188"/>
      <c r="G177" s="356"/>
      <c r="H177" s="654"/>
    </row>
    <row r="178" spans="1:9" ht="27.6" x14ac:dyDescent="0.25">
      <c r="A178" s="542" t="s">
        <v>388</v>
      </c>
      <c r="B178" s="95" t="s">
        <v>790</v>
      </c>
      <c r="C178" s="190">
        <v>3</v>
      </c>
      <c r="D178" s="87" t="s">
        <v>60</v>
      </c>
      <c r="E178" s="1218">
        <f>46000+2500</f>
        <v>48500</v>
      </c>
      <c r="F178" s="1188">
        <f>+$I$2</f>
        <v>0.9</v>
      </c>
      <c r="G178" s="1267">
        <f>ROUNDUP(E178/F178,-1)</f>
        <v>53890</v>
      </c>
      <c r="H178" s="1184">
        <f>+G178*C178</f>
        <v>161670</v>
      </c>
    </row>
    <row r="179" spans="1:9" x14ac:dyDescent="0.25">
      <c r="A179" s="542"/>
      <c r="B179" s="95"/>
      <c r="C179" s="190"/>
      <c r="D179" s="87"/>
      <c r="E179" s="1218"/>
      <c r="F179" s="1188"/>
      <c r="G179" s="356"/>
      <c r="H179" s="654"/>
    </row>
    <row r="180" spans="1:9" ht="41.4" x14ac:dyDescent="0.25">
      <c r="A180" s="542" t="s">
        <v>389</v>
      </c>
      <c r="B180" s="95" t="s">
        <v>997</v>
      </c>
      <c r="C180" s="190">
        <v>3</v>
      </c>
      <c r="D180" s="87" t="s">
        <v>60</v>
      </c>
      <c r="E180" s="1218">
        <f>6000+550</f>
        <v>6550</v>
      </c>
      <c r="F180" s="1188">
        <f>+$I$2</f>
        <v>0.9</v>
      </c>
      <c r="G180" s="1267">
        <f>ROUNDUP(E180/F180,-1)</f>
        <v>7280</v>
      </c>
      <c r="H180" s="1184">
        <f>+G180*C180</f>
        <v>21840</v>
      </c>
    </row>
    <row r="181" spans="1:9" x14ac:dyDescent="0.25">
      <c r="A181" s="542"/>
      <c r="B181" s="95"/>
      <c r="C181" s="190"/>
      <c r="D181" s="87"/>
      <c r="E181" s="1218"/>
      <c r="F181" s="1188"/>
      <c r="G181" s="356"/>
      <c r="H181" s="654"/>
    </row>
    <row r="182" spans="1:9" ht="27.6" x14ac:dyDescent="0.25">
      <c r="A182" s="542" t="s">
        <v>390</v>
      </c>
      <c r="B182" s="95" t="s">
        <v>753</v>
      </c>
      <c r="C182" s="190">
        <v>3</v>
      </c>
      <c r="D182" s="87" t="s">
        <v>26</v>
      </c>
      <c r="E182" s="1218">
        <f>5500+700</f>
        <v>6200</v>
      </c>
      <c r="F182" s="1188">
        <f>+$I$2</f>
        <v>0.9</v>
      </c>
      <c r="G182" s="1267">
        <f>ROUNDUP(E182/F182,-1)</f>
        <v>6890</v>
      </c>
      <c r="H182" s="1184">
        <f>+G182*C182</f>
        <v>20670</v>
      </c>
    </row>
    <row r="183" spans="1:9" x14ac:dyDescent="0.25">
      <c r="A183" s="542"/>
      <c r="B183" s="95"/>
      <c r="C183" s="190"/>
      <c r="D183" s="87"/>
      <c r="E183" s="1218"/>
      <c r="F183" s="1188"/>
      <c r="G183" s="356"/>
      <c r="H183" s="654"/>
    </row>
    <row r="184" spans="1:9" ht="27.6" x14ac:dyDescent="0.25">
      <c r="A184" s="542" t="s">
        <v>391</v>
      </c>
      <c r="B184" s="95" t="s">
        <v>998</v>
      </c>
      <c r="C184" s="190">
        <v>6</v>
      </c>
      <c r="D184" s="174" t="s">
        <v>449</v>
      </c>
      <c r="E184" s="1281">
        <f>60000+4000</f>
        <v>64000</v>
      </c>
      <c r="F184" s="1188">
        <f>+$I$2</f>
        <v>0.9</v>
      </c>
      <c r="G184" s="1267">
        <f>ROUNDUP(E184/F184,-1)</f>
        <v>71120</v>
      </c>
      <c r="H184" s="1184">
        <f>+G184*C184</f>
        <v>426720</v>
      </c>
    </row>
    <row r="185" spans="1:9" x14ac:dyDescent="0.25">
      <c r="A185" s="542"/>
      <c r="B185" s="95"/>
      <c r="C185" s="190"/>
      <c r="D185" s="174"/>
      <c r="E185" s="1281"/>
      <c r="F185" s="1265"/>
      <c r="G185" s="316"/>
      <c r="H185" s="585"/>
    </row>
    <row r="186" spans="1:9" ht="27.6" x14ac:dyDescent="0.25">
      <c r="A186" s="542" t="s">
        <v>392</v>
      </c>
      <c r="B186" s="95" t="s">
        <v>791</v>
      </c>
      <c r="C186" s="190">
        <v>35</v>
      </c>
      <c r="D186" s="174" t="s">
        <v>449</v>
      </c>
      <c r="E186" s="1281">
        <f>9500+750</f>
        <v>10250</v>
      </c>
      <c r="F186" s="1188">
        <f>+$I$2</f>
        <v>0.9</v>
      </c>
      <c r="G186" s="1267">
        <f>ROUNDUP(E186/F186,-1)</f>
        <v>11390</v>
      </c>
      <c r="H186" s="1184">
        <f>+G186*C186</f>
        <v>398650</v>
      </c>
      <c r="I186" s="4" t="s">
        <v>805</v>
      </c>
    </row>
    <row r="187" spans="1:9" x14ac:dyDescent="0.25">
      <c r="A187" s="542"/>
      <c r="B187" s="95"/>
      <c r="C187" s="190"/>
      <c r="D187" s="87"/>
      <c r="E187" s="1218"/>
      <c r="F187" s="1188"/>
      <c r="G187" s="356"/>
      <c r="H187" s="654"/>
      <c r="I187" s="4" t="s">
        <v>806</v>
      </c>
    </row>
    <row r="188" spans="1:9" x14ac:dyDescent="0.25">
      <c r="A188" s="542"/>
      <c r="B188" s="203" t="s">
        <v>472</v>
      </c>
      <c r="C188" s="190"/>
      <c r="D188" s="87"/>
      <c r="E188" s="1218"/>
      <c r="F188" s="1188"/>
      <c r="G188" s="356"/>
      <c r="H188" s="654"/>
    </row>
    <row r="189" spans="1:9" x14ac:dyDescent="0.25">
      <c r="A189" s="542"/>
      <c r="B189" s="203"/>
      <c r="C189" s="190"/>
      <c r="D189" s="87"/>
      <c r="E189" s="1218"/>
      <c r="F189" s="1188"/>
      <c r="G189" s="356"/>
      <c r="H189" s="654"/>
    </row>
    <row r="190" spans="1:9" ht="110.4" x14ac:dyDescent="0.25">
      <c r="A190" s="542" t="s">
        <v>393</v>
      </c>
      <c r="B190" s="95" t="s">
        <v>666</v>
      </c>
      <c r="C190" s="190">
        <v>25</v>
      </c>
      <c r="D190" s="87" t="s">
        <v>449</v>
      </c>
      <c r="E190" s="1218">
        <f>+E164</f>
        <v>9000</v>
      </c>
      <c r="F190" s="1188">
        <f>+$I$1</f>
        <v>0.75</v>
      </c>
      <c r="G190" s="1267">
        <f>ROUNDUP(E190/F190,-1)</f>
        <v>12000</v>
      </c>
      <c r="H190" s="1184">
        <f>+G190*C190</f>
        <v>300000</v>
      </c>
    </row>
    <row r="191" spans="1:9" x14ac:dyDescent="0.25">
      <c r="A191" s="542"/>
      <c r="B191" s="122"/>
      <c r="C191" s="190"/>
      <c r="D191" s="87"/>
      <c r="E191" s="1218"/>
      <c r="F191" s="1188"/>
      <c r="G191" s="356"/>
      <c r="H191" s="654"/>
    </row>
    <row r="192" spans="1:9" ht="96.6" x14ac:dyDescent="0.25">
      <c r="A192" s="542" t="s">
        <v>394</v>
      </c>
      <c r="B192" s="95" t="s">
        <v>671</v>
      </c>
      <c r="C192" s="190">
        <v>25</v>
      </c>
      <c r="D192" s="87" t="s">
        <v>449</v>
      </c>
      <c r="E192" s="1218">
        <f>+E166</f>
        <v>7500</v>
      </c>
      <c r="F192" s="1188">
        <f>+$I$1</f>
        <v>0.75</v>
      </c>
      <c r="G192" s="1267">
        <f>ROUNDUP(E192/F192,-1)</f>
        <v>10000</v>
      </c>
      <c r="H192" s="1184">
        <f>+G192*C192</f>
        <v>250000</v>
      </c>
    </row>
    <row r="193" spans="1:8" ht="14.4" thickBot="1" x14ac:dyDescent="0.3">
      <c r="A193" s="545"/>
      <c r="B193" s="742"/>
      <c r="C193" s="214"/>
      <c r="D193" s="215"/>
      <c r="E193" s="1221"/>
      <c r="F193" s="1247"/>
      <c r="G193" s="582"/>
      <c r="H193" s="563"/>
    </row>
    <row r="194" spans="1:8" ht="96.6" x14ac:dyDescent="0.25">
      <c r="A194" s="547" t="s">
        <v>395</v>
      </c>
      <c r="B194" s="743" t="s">
        <v>667</v>
      </c>
      <c r="C194" s="744">
        <v>4</v>
      </c>
      <c r="D194" s="113" t="s">
        <v>449</v>
      </c>
      <c r="E194" s="1220">
        <f>+E168</f>
        <v>8500</v>
      </c>
      <c r="F194" s="1188">
        <f>+$I$1</f>
        <v>0.75</v>
      </c>
      <c r="G194" s="1267">
        <f>ROUNDUP(E194/F194,-1)</f>
        <v>11340</v>
      </c>
      <c r="H194" s="1184">
        <f>+G194*C194</f>
        <v>45360</v>
      </c>
    </row>
    <row r="195" spans="1:8" x14ac:dyDescent="0.25">
      <c r="A195" s="542"/>
      <c r="B195" s="315"/>
      <c r="C195" s="190"/>
      <c r="D195" s="87"/>
      <c r="E195" s="1218"/>
      <c r="F195" s="1188"/>
      <c r="G195" s="356"/>
      <c r="H195" s="654"/>
    </row>
    <row r="196" spans="1:8" x14ac:dyDescent="0.25">
      <c r="A196" s="542"/>
      <c r="B196" s="122" t="s">
        <v>415</v>
      </c>
      <c r="C196" s="190"/>
      <c r="D196" s="87"/>
      <c r="E196" s="1218"/>
      <c r="F196" s="1188"/>
      <c r="G196" s="356"/>
      <c r="H196" s="654"/>
    </row>
    <row r="197" spans="1:8" x14ac:dyDescent="0.25">
      <c r="A197" s="542"/>
      <c r="B197" s="660"/>
      <c r="C197" s="190"/>
      <c r="D197" s="87"/>
      <c r="E197" s="1218"/>
      <c r="F197" s="1188"/>
      <c r="G197" s="356"/>
      <c r="H197" s="654"/>
    </row>
    <row r="198" spans="1:8" ht="41.4" x14ac:dyDescent="0.25">
      <c r="A198" s="542" t="s">
        <v>396</v>
      </c>
      <c r="B198" s="315" t="s">
        <v>668</v>
      </c>
      <c r="C198" s="190">
        <v>65</v>
      </c>
      <c r="D198" s="174" t="s">
        <v>449</v>
      </c>
      <c r="E198" s="1281">
        <f>+E172</f>
        <v>900</v>
      </c>
      <c r="F198" s="1188">
        <f>+$I$2</f>
        <v>0.9</v>
      </c>
      <c r="G198" s="1267">
        <f>ROUNDUP(E198/F198,-1)</f>
        <v>1000</v>
      </c>
      <c r="H198" s="1184">
        <f>+G198*C198</f>
        <v>65000</v>
      </c>
    </row>
    <row r="199" spans="1:8" x14ac:dyDescent="0.25">
      <c r="A199" s="542"/>
      <c r="B199" s="315"/>
      <c r="C199" s="190"/>
      <c r="D199" s="174"/>
      <c r="E199" s="1281"/>
      <c r="F199" s="1265"/>
      <c r="G199" s="316"/>
      <c r="H199" s="585"/>
    </row>
    <row r="200" spans="1:8" ht="41.4" x14ac:dyDescent="0.25">
      <c r="A200" s="542" t="s">
        <v>474</v>
      </c>
      <c r="B200" s="95" t="s">
        <v>776</v>
      </c>
      <c r="C200" s="190">
        <v>45</v>
      </c>
      <c r="D200" s="87" t="s">
        <v>60</v>
      </c>
      <c r="E200" s="1218">
        <f>+E176</f>
        <v>6650</v>
      </c>
      <c r="F200" s="1188">
        <f>+$I$2</f>
        <v>0.9</v>
      </c>
      <c r="G200" s="1267">
        <f>ROUNDUP(E200/F200,-1)</f>
        <v>7390</v>
      </c>
      <c r="H200" s="1184">
        <f>+G200*C200</f>
        <v>332550</v>
      </c>
    </row>
    <row r="201" spans="1:8" x14ac:dyDescent="0.25">
      <c r="A201" s="542"/>
      <c r="B201" s="203"/>
      <c r="C201" s="190"/>
      <c r="D201" s="87"/>
      <c r="E201" s="1218"/>
      <c r="F201" s="1188"/>
      <c r="G201" s="356"/>
      <c r="H201" s="654"/>
    </row>
    <row r="202" spans="1:8" ht="27.6" x14ac:dyDescent="0.25">
      <c r="A202" s="542" t="s">
        <v>475</v>
      </c>
      <c r="B202" s="95" t="s">
        <v>764</v>
      </c>
      <c r="C202" s="190">
        <v>6</v>
      </c>
      <c r="D202" s="174" t="s">
        <v>449</v>
      </c>
      <c r="E202" s="1281">
        <f>6500+550</f>
        <v>7050</v>
      </c>
      <c r="F202" s="1188">
        <f>+$I$2</f>
        <v>0.9</v>
      </c>
      <c r="G202" s="1267">
        <f>ROUNDUP(E202/F202,-1)</f>
        <v>7840</v>
      </c>
      <c r="H202" s="1184">
        <f>+G202*C202</f>
        <v>47040</v>
      </c>
    </row>
    <row r="203" spans="1:8" x14ac:dyDescent="0.25">
      <c r="A203" s="542"/>
      <c r="B203" s="203"/>
      <c r="C203" s="190"/>
      <c r="D203" s="87"/>
      <c r="E203" s="1218"/>
      <c r="F203" s="1188"/>
      <c r="G203" s="356"/>
      <c r="H203" s="654"/>
    </row>
    <row r="204" spans="1:8" ht="27.6" x14ac:dyDescent="0.25">
      <c r="A204" s="542" t="s">
        <v>476</v>
      </c>
      <c r="B204" s="95" t="s">
        <v>999</v>
      </c>
      <c r="C204" s="190">
        <v>1</v>
      </c>
      <c r="D204" s="87" t="s">
        <v>60</v>
      </c>
      <c r="E204" s="1218">
        <f>146000+7500</f>
        <v>153500</v>
      </c>
      <c r="F204" s="1188">
        <f>+$I$2</f>
        <v>0.9</v>
      </c>
      <c r="G204" s="1267">
        <f>ROUNDUP(E204/F204,-1)</f>
        <v>170560</v>
      </c>
      <c r="H204" s="1184">
        <f>+G204*C204</f>
        <v>170560</v>
      </c>
    </row>
    <row r="205" spans="1:8" x14ac:dyDescent="0.25">
      <c r="A205" s="542"/>
      <c r="B205" s="203"/>
      <c r="C205" s="190"/>
      <c r="D205" s="87"/>
      <c r="E205" s="1218"/>
      <c r="F205" s="1188"/>
      <c r="G205" s="356"/>
      <c r="H205" s="654"/>
    </row>
    <row r="206" spans="1:8" ht="27.6" x14ac:dyDescent="0.25">
      <c r="A206" s="542" t="s">
        <v>792</v>
      </c>
      <c r="B206" s="95" t="s">
        <v>753</v>
      </c>
      <c r="C206" s="190">
        <v>3</v>
      </c>
      <c r="D206" s="87" t="s">
        <v>26</v>
      </c>
      <c r="E206" s="1218">
        <f>5500+750</f>
        <v>6250</v>
      </c>
      <c r="F206" s="1188">
        <f>+$I$2</f>
        <v>0.9</v>
      </c>
      <c r="G206" s="1267">
        <f>ROUNDUP(E206/F206,-1)</f>
        <v>6950</v>
      </c>
      <c r="H206" s="1184">
        <f>+G206*C206</f>
        <v>20850</v>
      </c>
    </row>
    <row r="207" spans="1:8" x14ac:dyDescent="0.25">
      <c r="A207" s="542"/>
      <c r="B207" s="95"/>
      <c r="C207" s="190"/>
      <c r="D207" s="87"/>
      <c r="E207" s="1218"/>
      <c r="F207" s="1188"/>
      <c r="G207" s="356"/>
      <c r="H207" s="654"/>
    </row>
    <row r="208" spans="1:8" ht="27.6" x14ac:dyDescent="0.25">
      <c r="A208" s="542" t="s">
        <v>793</v>
      </c>
      <c r="B208" s="95" t="s">
        <v>998</v>
      </c>
      <c r="C208" s="190">
        <v>4</v>
      </c>
      <c r="D208" s="174" t="s">
        <v>449</v>
      </c>
      <c r="E208" s="1281">
        <f>60000+4500</f>
        <v>64500</v>
      </c>
      <c r="F208" s="1188">
        <f>+$I$2</f>
        <v>0.9</v>
      </c>
      <c r="G208" s="1267">
        <f>ROUNDUP(E208/F208,-1)</f>
        <v>71670</v>
      </c>
      <c r="H208" s="1184">
        <f>+G208*C208</f>
        <v>286680</v>
      </c>
    </row>
    <row r="209" spans="1:8" x14ac:dyDescent="0.25">
      <c r="A209" s="542"/>
      <c r="B209" s="95"/>
      <c r="C209" s="190"/>
      <c r="D209" s="174"/>
      <c r="E209" s="1281"/>
      <c r="F209" s="1265"/>
      <c r="G209" s="316"/>
      <c r="H209" s="585"/>
    </row>
    <row r="210" spans="1:8" x14ac:dyDescent="0.25">
      <c r="A210" s="542"/>
      <c r="B210" s="203" t="s">
        <v>1000</v>
      </c>
      <c r="C210" s="190"/>
      <c r="D210" s="87"/>
      <c r="E210" s="1218"/>
      <c r="F210" s="1188"/>
      <c r="G210" s="356"/>
      <c r="H210" s="654"/>
    </row>
    <row r="211" spans="1:8" x14ac:dyDescent="0.25">
      <c r="A211" s="542"/>
      <c r="B211" s="203"/>
      <c r="C211" s="190"/>
      <c r="D211" s="87"/>
      <c r="E211" s="1218"/>
      <c r="F211" s="1188"/>
      <c r="G211" s="356"/>
      <c r="H211" s="654"/>
    </row>
    <row r="212" spans="1:8" ht="98.4" customHeight="1" x14ac:dyDescent="0.25">
      <c r="A212" s="542" t="s">
        <v>794</v>
      </c>
      <c r="B212" s="95" t="s">
        <v>1001</v>
      </c>
      <c r="C212" s="190">
        <v>15</v>
      </c>
      <c r="D212" s="87" t="s">
        <v>449</v>
      </c>
      <c r="E212" s="1218">
        <f>+E164</f>
        <v>9000</v>
      </c>
      <c r="F212" s="1188">
        <f>+$I$1</f>
        <v>0.75</v>
      </c>
      <c r="G212" s="1267">
        <f>ROUNDUP(E212/F212,-1)</f>
        <v>12000</v>
      </c>
      <c r="H212" s="1184">
        <f>+G212*C212</f>
        <v>180000</v>
      </c>
    </row>
    <row r="213" spans="1:8" x14ac:dyDescent="0.25">
      <c r="A213" s="542"/>
      <c r="B213" s="122"/>
      <c r="C213" s="190"/>
      <c r="D213" s="87"/>
      <c r="E213" s="1218"/>
      <c r="F213" s="1188"/>
      <c r="G213" s="356"/>
      <c r="H213" s="654"/>
    </row>
    <row r="214" spans="1:8" ht="96.6" x14ac:dyDescent="0.25">
      <c r="A214" s="542" t="s">
        <v>795</v>
      </c>
      <c r="B214" s="95" t="s">
        <v>671</v>
      </c>
      <c r="C214" s="190">
        <v>15</v>
      </c>
      <c r="D214" s="87" t="s">
        <v>449</v>
      </c>
      <c r="E214" s="1218">
        <f>+E166</f>
        <v>7500</v>
      </c>
      <c r="F214" s="1188">
        <f>+$I$1</f>
        <v>0.75</v>
      </c>
      <c r="G214" s="1267">
        <f>ROUNDUP(E214/F214,-1)</f>
        <v>10000</v>
      </c>
      <c r="H214" s="1184">
        <f>+G214*C214</f>
        <v>150000</v>
      </c>
    </row>
    <row r="215" spans="1:8" s="745" customFormat="1" x14ac:dyDescent="0.25">
      <c r="A215" s="542"/>
      <c r="B215" s="203"/>
      <c r="C215" s="190"/>
      <c r="D215" s="87"/>
      <c r="E215" s="1218"/>
      <c r="F215" s="1188"/>
      <c r="G215" s="356"/>
      <c r="H215" s="654"/>
    </row>
    <row r="216" spans="1:8" ht="96.6" x14ac:dyDescent="0.25">
      <c r="A216" s="542" t="s">
        <v>796</v>
      </c>
      <c r="B216" s="315" t="s">
        <v>667</v>
      </c>
      <c r="C216" s="190">
        <v>10</v>
      </c>
      <c r="D216" s="87" t="s">
        <v>449</v>
      </c>
      <c r="E216" s="1218">
        <f>+E168</f>
        <v>8500</v>
      </c>
      <c r="F216" s="1188">
        <f>+$I$1</f>
        <v>0.75</v>
      </c>
      <c r="G216" s="1267">
        <f>ROUNDUP(E216/F216,-1)</f>
        <v>11340</v>
      </c>
      <c r="H216" s="1184">
        <f>+G216*C216</f>
        <v>113400</v>
      </c>
    </row>
    <row r="217" spans="1:8" x14ac:dyDescent="0.25">
      <c r="A217" s="542"/>
      <c r="B217" s="315"/>
      <c r="C217" s="190"/>
      <c r="D217" s="87"/>
      <c r="E217" s="1218"/>
      <c r="F217" s="1188"/>
      <c r="G217" s="356"/>
      <c r="H217" s="585"/>
    </row>
    <row r="218" spans="1:8" x14ac:dyDescent="0.25">
      <c r="A218" s="542"/>
      <c r="B218" s="315"/>
      <c r="C218" s="190"/>
      <c r="D218" s="87"/>
      <c r="E218" s="1218"/>
      <c r="F218" s="1188"/>
      <c r="G218" s="356"/>
      <c r="H218" s="585"/>
    </row>
    <row r="219" spans="1:8" ht="14.4" thickBot="1" x14ac:dyDescent="0.3">
      <c r="A219" s="545"/>
      <c r="B219" s="746"/>
      <c r="C219" s="214"/>
      <c r="D219" s="215"/>
      <c r="E219" s="1221"/>
      <c r="F219" s="1247"/>
      <c r="G219" s="582"/>
      <c r="H219" s="747"/>
    </row>
    <row r="220" spans="1:8" x14ac:dyDescent="0.25">
      <c r="A220" s="547"/>
      <c r="B220" s="743"/>
      <c r="C220" s="744"/>
      <c r="D220" s="113"/>
      <c r="E220" s="1220"/>
      <c r="F220" s="1248"/>
      <c r="G220" s="314"/>
      <c r="H220" s="565"/>
    </row>
    <row r="221" spans="1:8" x14ac:dyDescent="0.25">
      <c r="A221" s="542"/>
      <c r="B221" s="122" t="s">
        <v>415</v>
      </c>
      <c r="C221" s="190"/>
      <c r="D221" s="87"/>
      <c r="E221" s="1218"/>
      <c r="F221" s="1188"/>
      <c r="G221" s="356"/>
      <c r="H221" s="654"/>
    </row>
    <row r="222" spans="1:8" x14ac:dyDescent="0.25">
      <c r="A222" s="542"/>
      <c r="B222" s="660"/>
      <c r="C222" s="190"/>
      <c r="D222" s="87"/>
      <c r="E222" s="1218"/>
      <c r="F222" s="1188"/>
      <c r="G222" s="356"/>
      <c r="H222" s="654"/>
    </row>
    <row r="223" spans="1:8" ht="41.4" x14ac:dyDescent="0.25">
      <c r="A223" s="542" t="s">
        <v>797</v>
      </c>
      <c r="B223" s="315" t="s">
        <v>668</v>
      </c>
      <c r="C223" s="190">
        <v>45</v>
      </c>
      <c r="D223" s="174" t="s">
        <v>449</v>
      </c>
      <c r="E223" s="1281">
        <f>+E198</f>
        <v>900</v>
      </c>
      <c r="F223" s="1188">
        <f>+$I$2</f>
        <v>0.9</v>
      </c>
      <c r="G223" s="1267">
        <f>ROUNDUP(E223/F223,-1)</f>
        <v>1000</v>
      </c>
      <c r="H223" s="1184">
        <f>+G223*C223</f>
        <v>45000</v>
      </c>
    </row>
    <row r="224" spans="1:8" x14ac:dyDescent="0.25">
      <c r="A224" s="542"/>
      <c r="B224" s="315"/>
      <c r="C224" s="190"/>
      <c r="D224" s="174"/>
      <c r="E224" s="1281"/>
      <c r="F224" s="1265"/>
      <c r="G224" s="316"/>
      <c r="H224" s="585"/>
    </row>
    <row r="225" spans="1:8" ht="41.4" x14ac:dyDescent="0.25">
      <c r="A225" s="542" t="s">
        <v>798</v>
      </c>
      <c r="B225" s="95" t="s">
        <v>776</v>
      </c>
      <c r="C225" s="190">
        <v>22</v>
      </c>
      <c r="D225" s="87" t="s">
        <v>60</v>
      </c>
      <c r="E225" s="1218">
        <f>6000+750</f>
        <v>6750</v>
      </c>
      <c r="F225" s="1188">
        <f>+$I$2</f>
        <v>0.9</v>
      </c>
      <c r="G225" s="1267">
        <f>ROUNDUP(E225/F225,-1)</f>
        <v>7500</v>
      </c>
      <c r="H225" s="1184">
        <f>+G225*C225</f>
        <v>165000</v>
      </c>
    </row>
    <row r="226" spans="1:8" x14ac:dyDescent="0.25">
      <c r="A226" s="542"/>
      <c r="B226" s="203"/>
      <c r="C226" s="190"/>
      <c r="D226" s="87"/>
      <c r="E226" s="1218"/>
      <c r="F226" s="1188"/>
      <c r="G226" s="356"/>
      <c r="H226" s="654"/>
    </row>
    <row r="227" spans="1:8" ht="27.6" x14ac:dyDescent="0.25">
      <c r="A227" s="542" t="s">
        <v>799</v>
      </c>
      <c r="B227" s="95" t="s">
        <v>753</v>
      </c>
      <c r="C227" s="190">
        <v>1</v>
      </c>
      <c r="D227" s="87" t="s">
        <v>26</v>
      </c>
      <c r="E227" s="1218">
        <f>5500+750</f>
        <v>6250</v>
      </c>
      <c r="F227" s="1188">
        <f>+$I$2</f>
        <v>0.9</v>
      </c>
      <c r="G227" s="1267">
        <f>ROUNDUP(E227/F227,-1)</f>
        <v>6950</v>
      </c>
      <c r="H227" s="1184">
        <f>+G227*C227</f>
        <v>6950</v>
      </c>
    </row>
    <row r="228" spans="1:8" x14ac:dyDescent="0.25">
      <c r="A228" s="542"/>
      <c r="B228" s="95"/>
      <c r="C228" s="190"/>
      <c r="D228" s="87"/>
      <c r="E228" s="1218"/>
      <c r="F228" s="1188"/>
      <c r="G228" s="356"/>
      <c r="H228" s="654"/>
    </row>
    <row r="229" spans="1:8" ht="27.6" x14ac:dyDescent="0.25">
      <c r="A229" s="542" t="s">
        <v>800</v>
      </c>
      <c r="B229" s="95" t="s">
        <v>764</v>
      </c>
      <c r="C229" s="190">
        <v>10</v>
      </c>
      <c r="D229" s="174" t="s">
        <v>449</v>
      </c>
      <c r="E229" s="1281">
        <f>6500+650</f>
        <v>7150</v>
      </c>
      <c r="F229" s="1188">
        <f>+$I$2</f>
        <v>0.9</v>
      </c>
      <c r="G229" s="1267">
        <f>ROUNDUP(E229/F229,-1)</f>
        <v>7950</v>
      </c>
      <c r="H229" s="1184">
        <f>+G229*C229</f>
        <v>79500</v>
      </c>
    </row>
    <row r="230" spans="1:8" x14ac:dyDescent="0.25">
      <c r="A230" s="542"/>
      <c r="B230" s="203"/>
      <c r="C230" s="190"/>
      <c r="D230" s="87"/>
      <c r="E230" s="1218"/>
      <c r="F230" s="1188"/>
      <c r="G230" s="356"/>
      <c r="H230" s="654"/>
    </row>
    <row r="231" spans="1:8" ht="41.4" x14ac:dyDescent="0.25">
      <c r="A231" s="542" t="s">
        <v>801</v>
      </c>
      <c r="B231" s="95" t="s">
        <v>997</v>
      </c>
      <c r="C231" s="190">
        <v>4</v>
      </c>
      <c r="D231" s="87" t="s">
        <v>60</v>
      </c>
      <c r="E231" s="1218">
        <f>6000+650</f>
        <v>6650</v>
      </c>
      <c r="F231" s="1188">
        <f>+$I$2</f>
        <v>0.9</v>
      </c>
      <c r="G231" s="1267">
        <f>ROUNDUP(E231/F231,-1)</f>
        <v>7390</v>
      </c>
      <c r="H231" s="1184">
        <f>+G231*C231</f>
        <v>29560</v>
      </c>
    </row>
    <row r="232" spans="1:8" x14ac:dyDescent="0.25">
      <c r="A232" s="542"/>
      <c r="B232" s="95"/>
      <c r="C232" s="190"/>
      <c r="D232" s="174"/>
      <c r="E232" s="1281"/>
      <c r="F232" s="1265"/>
      <c r="G232" s="316"/>
      <c r="H232" s="585"/>
    </row>
    <row r="233" spans="1:8" x14ac:dyDescent="0.25">
      <c r="A233" s="583">
        <v>5</v>
      </c>
      <c r="B233" s="122" t="s">
        <v>34</v>
      </c>
      <c r="C233" s="190"/>
      <c r="D233" s="87"/>
      <c r="E233" s="1218"/>
      <c r="F233" s="1188"/>
      <c r="G233" s="356"/>
      <c r="H233" s="654"/>
    </row>
    <row r="234" spans="1:8" ht="41.4" x14ac:dyDescent="0.25">
      <c r="A234" s="583"/>
      <c r="B234" s="122" t="s">
        <v>593</v>
      </c>
      <c r="C234" s="190">
        <v>1</v>
      </c>
      <c r="D234" s="87" t="s">
        <v>488</v>
      </c>
      <c r="E234" s="1218">
        <v>95000</v>
      </c>
      <c r="F234" s="1188">
        <f>+$I$1</f>
        <v>0.75</v>
      </c>
      <c r="G234" s="1267">
        <f>ROUNDUP(E234/F234,-1)</f>
        <v>126670</v>
      </c>
      <c r="H234" s="1184">
        <f>+G234*C234</f>
        <v>126670</v>
      </c>
    </row>
    <row r="235" spans="1:8" x14ac:dyDescent="0.25">
      <c r="A235" s="543"/>
      <c r="B235" s="280"/>
      <c r="C235" s="223"/>
      <c r="D235" s="224"/>
      <c r="E235" s="1218"/>
      <c r="F235" s="1188"/>
      <c r="G235" s="318"/>
      <c r="H235" s="567"/>
    </row>
    <row r="236" spans="1:8" s="3" customFormat="1" ht="28.2" thickBot="1" x14ac:dyDescent="0.3">
      <c r="A236" s="586"/>
      <c r="B236" s="587" t="s">
        <v>229</v>
      </c>
      <c r="C236" s="588"/>
      <c r="D236" s="589"/>
      <c r="E236" s="1282"/>
      <c r="F236" s="1266"/>
      <c r="G236" s="590"/>
      <c r="H236" s="591">
        <f>SUM(H4:H235)</f>
        <v>5143870</v>
      </c>
    </row>
  </sheetData>
  <protectedRanges>
    <protectedRange password="D55D" sqref="B168:B169 B194:B195 B216:B220" name="Range1_3_1_1_6_9_3"/>
  </protectedRanges>
  <phoneticPr fontId="28" type="noConversion"/>
  <pageMargins left="0.5" right="0.5" top="0.25" bottom="0.25" header="0.5" footer="0.5"/>
  <pageSetup orientation="portrait" r:id="rId1"/>
  <headerFooter alignWithMargins="0">
    <oddFooter>&amp;C&amp;P</oddFooter>
  </headerFooter>
  <rowBreaks count="5" manualBreakCount="5">
    <brk id="58" max="7" man="1"/>
    <brk id="90" max="7" man="1"/>
    <brk id="116" max="7" man="1"/>
    <brk id="141" max="7" man="1"/>
    <brk id="167" max="7" man="1"/>
  </rowBreaks>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21D4E-0049-470F-AE8F-169B3F703F28}">
  <dimension ref="A2:AC1977"/>
  <sheetViews>
    <sheetView topLeftCell="A716" zoomScaleNormal="100" workbookViewId="0">
      <selection activeCell="G686" sqref="G686"/>
    </sheetView>
  </sheetViews>
  <sheetFormatPr defaultColWidth="9.109375" defaultRowHeight="13.2" x14ac:dyDescent="0.25"/>
  <cols>
    <col min="1" max="1" width="9.109375" style="1291"/>
    <col min="2" max="2" width="47.109375" style="1291" customWidth="1"/>
    <col min="3" max="3" width="9.109375" style="1291"/>
    <col min="4" max="4" width="11.44140625" style="1291" bestFit="1" customWidth="1"/>
    <col min="5" max="5" width="12.88671875" style="1291" customWidth="1"/>
    <col min="6" max="6" width="12.33203125" style="1291" customWidth="1"/>
    <col min="7" max="7" width="14.6640625" style="1291" customWidth="1"/>
    <col min="8" max="8" width="11.44140625" style="1290" bestFit="1" customWidth="1"/>
    <col min="9" max="9" width="11.6640625" style="1290" bestFit="1" customWidth="1"/>
    <col min="10" max="10" width="10.5546875" style="1290" customWidth="1"/>
    <col min="11" max="11" width="11.44140625" style="1332" bestFit="1" customWidth="1"/>
    <col min="12" max="13" width="9.109375" style="1332"/>
    <col min="14" max="15" width="10.88671875" style="1332" customWidth="1"/>
    <col min="16" max="16384" width="9.109375" style="1291"/>
  </cols>
  <sheetData>
    <row r="2" spans="1:7" ht="14.4" customHeight="1" x14ac:dyDescent="0.25">
      <c r="A2" s="1477" t="s">
        <v>1257</v>
      </c>
      <c r="B2" s="1477"/>
      <c r="C2" s="1477"/>
      <c r="D2" s="1477"/>
      <c r="E2" s="1477"/>
      <c r="F2" s="1477"/>
      <c r="G2" s="1477"/>
    </row>
    <row r="3" spans="1:7" ht="13.8" thickBot="1" x14ac:dyDescent="0.3"/>
    <row r="4" spans="1:7" ht="13.8" x14ac:dyDescent="0.25">
      <c r="A4" s="1470" t="s">
        <v>1258</v>
      </c>
      <c r="B4" s="1471"/>
      <c r="C4" s="1471"/>
      <c r="D4" s="1471"/>
      <c r="E4" s="1471"/>
      <c r="F4" s="1471"/>
      <c r="G4" s="1472"/>
    </row>
    <row r="5" spans="1:7" ht="14.4" thickBot="1" x14ac:dyDescent="0.3">
      <c r="A5" s="1473" t="s">
        <v>1259</v>
      </c>
      <c r="B5" s="1474"/>
      <c r="C5" s="1474"/>
      <c r="D5" s="1474"/>
      <c r="E5" s="1474"/>
      <c r="F5" s="1474"/>
      <c r="G5" s="1475"/>
    </row>
    <row r="6" spans="1:7" ht="14.4" thickBot="1" x14ac:dyDescent="0.3">
      <c r="A6" s="1292"/>
      <c r="B6" s="1293" t="s">
        <v>1038</v>
      </c>
      <c r="C6" s="1293" t="s">
        <v>1039</v>
      </c>
      <c r="D6" s="1293" t="s">
        <v>2</v>
      </c>
      <c r="E6" s="1293" t="s">
        <v>1040</v>
      </c>
      <c r="F6" s="1293" t="s">
        <v>5</v>
      </c>
      <c r="G6" s="1293" t="s">
        <v>1260</v>
      </c>
    </row>
    <row r="7" spans="1:7" ht="13.8" x14ac:dyDescent="0.25">
      <c r="A7" s="1294"/>
      <c r="B7" s="1294"/>
      <c r="C7" s="1295"/>
      <c r="D7" s="1296"/>
      <c r="E7" s="1296"/>
      <c r="F7" s="1296"/>
      <c r="G7" s="1296"/>
    </row>
    <row r="8" spans="1:7" ht="13.8" x14ac:dyDescent="0.25">
      <c r="A8" s="1294"/>
      <c r="B8" s="1297" t="s">
        <v>1261</v>
      </c>
      <c r="C8" s="1295"/>
      <c r="D8" s="1296"/>
      <c r="E8" s="1296"/>
      <c r="F8" s="1296">
        <f t="shared" ref="F8:F9" si="0">D8*E8</f>
        <v>0</v>
      </c>
      <c r="G8" s="1296"/>
    </row>
    <row r="9" spans="1:7" ht="13.8" x14ac:dyDescent="0.25">
      <c r="A9" s="1294"/>
      <c r="B9" s="1294" t="s">
        <v>1262</v>
      </c>
      <c r="C9" s="1296" t="s">
        <v>1263</v>
      </c>
      <c r="D9" s="1296">
        <v>10</v>
      </c>
      <c r="E9" s="1296">
        <v>2500</v>
      </c>
      <c r="F9" s="1296">
        <f t="shared" si="0"/>
        <v>25000</v>
      </c>
      <c r="G9" s="1296"/>
    </row>
    <row r="10" spans="1:7" ht="13.8" x14ac:dyDescent="0.25">
      <c r="A10" s="1294"/>
      <c r="B10" s="1294"/>
      <c r="C10" s="1295"/>
      <c r="D10" s="1296"/>
      <c r="E10" s="1296"/>
      <c r="F10" s="1296"/>
      <c r="G10" s="1296"/>
    </row>
    <row r="11" spans="1:7" ht="13.8" x14ac:dyDescent="0.25">
      <c r="A11" s="1298"/>
      <c r="B11" s="1476" t="s">
        <v>1264</v>
      </c>
      <c r="C11" s="1476"/>
      <c r="D11" s="1476"/>
      <c r="E11" s="1476"/>
      <c r="F11" s="1299">
        <f t="shared" ref="F11" si="1">D11*E11</f>
        <v>0</v>
      </c>
      <c r="G11" s="1300">
        <f>SUM(F9:F11)</f>
        <v>25000</v>
      </c>
    </row>
    <row r="12" spans="1:7" ht="13.8" x14ac:dyDescent="0.25">
      <c r="A12" s="1294"/>
      <c r="B12" s="1294"/>
      <c r="C12" s="1295"/>
      <c r="D12" s="1296"/>
      <c r="E12" s="1296"/>
      <c r="F12" s="1296"/>
      <c r="G12" s="1296"/>
    </row>
    <row r="13" spans="1:7" ht="13.8" x14ac:dyDescent="0.25">
      <c r="A13" s="1294"/>
      <c r="B13" s="1301" t="s">
        <v>1265</v>
      </c>
      <c r="C13" s="1302" t="s">
        <v>1105</v>
      </c>
      <c r="D13" s="1302">
        <v>0.2</v>
      </c>
      <c r="E13" s="1302">
        <v>15000</v>
      </c>
      <c r="F13" s="1296">
        <f t="shared" ref="F13" si="2">D13*E13</f>
        <v>3000</v>
      </c>
      <c r="G13" s="1302">
        <f>+F13</f>
        <v>3000</v>
      </c>
    </row>
    <row r="14" spans="1:7" ht="13.8" x14ac:dyDescent="0.25">
      <c r="A14" s="1294"/>
      <c r="B14" s="1302"/>
      <c r="C14" s="1302"/>
      <c r="D14" s="1302"/>
      <c r="E14" s="1302"/>
      <c r="F14" s="1296"/>
      <c r="G14" s="1302"/>
    </row>
    <row r="15" spans="1:7" ht="13.8" x14ac:dyDescent="0.25">
      <c r="A15" s="1469" t="s">
        <v>1266</v>
      </c>
      <c r="B15" s="1469"/>
      <c r="C15" s="1469"/>
      <c r="D15" s="1469"/>
      <c r="E15" s="1469"/>
      <c r="F15" s="1469"/>
      <c r="G15" s="1303">
        <f>SUM(G11:G14)</f>
        <v>28000</v>
      </c>
    </row>
    <row r="16" spans="1:7" ht="13.8" x14ac:dyDescent="0.25">
      <c r="A16" s="1469" t="s">
        <v>1267</v>
      </c>
      <c r="B16" s="1469"/>
      <c r="C16" s="1469"/>
      <c r="D16" s="1469"/>
      <c r="E16" s="1469"/>
      <c r="F16" s="1469"/>
      <c r="G16" s="1303">
        <f>G15/10</f>
        <v>2800</v>
      </c>
    </row>
    <row r="17" spans="1:7" ht="14.4" thickBot="1" x14ac:dyDescent="0.3">
      <c r="A17" s="1469" t="s">
        <v>1268</v>
      </c>
      <c r="B17" s="1469"/>
      <c r="C17" s="1469"/>
      <c r="D17" s="1469"/>
      <c r="E17" s="1469"/>
      <c r="F17" s="1469"/>
      <c r="G17" s="1304">
        <f>G16/9.29</f>
        <v>301.39935414424116</v>
      </c>
    </row>
    <row r="18" spans="1:7" ht="13.8" x14ac:dyDescent="0.25">
      <c r="A18" s="1305"/>
      <c r="B18" s="1305"/>
      <c r="C18" s="1305"/>
      <c r="D18" s="1305"/>
      <c r="E18" s="1305"/>
      <c r="F18" s="1305"/>
      <c r="G18" s="1305"/>
    </row>
    <row r="19" spans="1:7" ht="13.8" thickBot="1" x14ac:dyDescent="0.3"/>
    <row r="20" spans="1:7" ht="13.8" x14ac:dyDescent="0.25">
      <c r="A20" s="1470" t="s">
        <v>1269</v>
      </c>
      <c r="B20" s="1471"/>
      <c r="C20" s="1471"/>
      <c r="D20" s="1471"/>
      <c r="E20" s="1471"/>
      <c r="F20" s="1471"/>
      <c r="G20" s="1472"/>
    </row>
    <row r="21" spans="1:7" ht="14.4" thickBot="1" x14ac:dyDescent="0.3">
      <c r="A21" s="1473" t="s">
        <v>1270</v>
      </c>
      <c r="B21" s="1474"/>
      <c r="C21" s="1474"/>
      <c r="D21" s="1474"/>
      <c r="E21" s="1474"/>
      <c r="F21" s="1474"/>
      <c r="G21" s="1475"/>
    </row>
    <row r="22" spans="1:7" ht="14.4" thickBot="1" x14ac:dyDescent="0.3">
      <c r="A22" s="1292"/>
      <c r="B22" s="1293" t="s">
        <v>1038</v>
      </c>
      <c r="C22" s="1293" t="s">
        <v>1039</v>
      </c>
      <c r="D22" s="1293" t="s">
        <v>2</v>
      </c>
      <c r="E22" s="1293" t="s">
        <v>1040</v>
      </c>
      <c r="F22" s="1293" t="s">
        <v>5</v>
      </c>
      <c r="G22" s="1293" t="s">
        <v>1260</v>
      </c>
    </row>
    <row r="23" spans="1:7" ht="13.8" x14ac:dyDescent="0.25">
      <c r="A23" s="1294"/>
      <c r="B23" s="1294"/>
      <c r="C23" s="1295"/>
      <c r="D23" s="1296"/>
      <c r="E23" s="1296"/>
      <c r="F23" s="1296"/>
      <c r="G23" s="1296"/>
    </row>
    <row r="24" spans="1:7" ht="13.8" x14ac:dyDescent="0.25">
      <c r="A24" s="1294"/>
      <c r="B24" s="1297" t="s">
        <v>1261</v>
      </c>
      <c r="C24" s="1295"/>
      <c r="D24" s="1296"/>
      <c r="E24" s="1296"/>
      <c r="F24" s="1296">
        <f t="shared" ref="F24:F25" si="3">D24*E24</f>
        <v>0</v>
      </c>
      <c r="G24" s="1296"/>
    </row>
    <row r="25" spans="1:7" ht="13.8" x14ac:dyDescent="0.25">
      <c r="A25" s="1306"/>
      <c r="B25" s="1306" t="s">
        <v>1271</v>
      </c>
      <c r="C25" s="1307" t="s">
        <v>1110</v>
      </c>
      <c r="D25" s="1307">
        <v>1</v>
      </c>
      <c r="E25" s="1307">
        <v>6000</v>
      </c>
      <c r="F25" s="1307">
        <f t="shared" si="3"/>
        <v>6000</v>
      </c>
      <c r="G25" s="1307"/>
    </row>
    <row r="26" spans="1:7" ht="13.8" x14ac:dyDescent="0.25">
      <c r="A26" s="1294"/>
      <c r="B26" s="1294"/>
      <c r="C26" s="1295"/>
      <c r="D26" s="1296"/>
      <c r="E26" s="1296"/>
      <c r="F26" s="1296"/>
      <c r="G26" s="1296"/>
    </row>
    <row r="27" spans="1:7" ht="13.8" x14ac:dyDescent="0.25">
      <c r="A27" s="1298"/>
      <c r="B27" s="1476" t="s">
        <v>1264</v>
      </c>
      <c r="C27" s="1476"/>
      <c r="D27" s="1476"/>
      <c r="E27" s="1476"/>
      <c r="F27" s="1299">
        <f t="shared" ref="F27" si="4">D27*E27</f>
        <v>0</v>
      </c>
      <c r="G27" s="1300">
        <f>SUM(F25:F27)</f>
        <v>6000</v>
      </c>
    </row>
    <row r="28" spans="1:7" ht="13.8" x14ac:dyDescent="0.25">
      <c r="A28" s="1294"/>
      <c r="B28" s="1294"/>
      <c r="C28" s="1295"/>
      <c r="D28" s="1296"/>
      <c r="E28" s="1296"/>
      <c r="F28" s="1296"/>
      <c r="G28" s="1296"/>
    </row>
    <row r="29" spans="1:7" ht="13.8" x14ac:dyDescent="0.25">
      <c r="A29" s="1294"/>
      <c r="B29" s="1302"/>
      <c r="C29" s="1302"/>
      <c r="D29" s="1302"/>
      <c r="E29" s="1302"/>
      <c r="F29" s="1296"/>
      <c r="G29" s="1302"/>
    </row>
    <row r="30" spans="1:7" ht="13.8" x14ac:dyDescent="0.25">
      <c r="A30" s="1294"/>
      <c r="B30" s="1302"/>
      <c r="C30" s="1302"/>
      <c r="D30" s="1302"/>
      <c r="E30" s="1302"/>
      <c r="F30" s="1296"/>
      <c r="G30" s="1302"/>
    </row>
    <row r="31" spans="1:7" ht="13.8" x14ac:dyDescent="0.25">
      <c r="A31" s="1469" t="s">
        <v>1272</v>
      </c>
      <c r="B31" s="1469"/>
      <c r="C31" s="1469"/>
      <c r="D31" s="1469"/>
      <c r="E31" s="1469"/>
      <c r="F31" s="1469"/>
      <c r="G31" s="1303">
        <f>G27</f>
        <v>6000</v>
      </c>
    </row>
    <row r="32" spans="1:7" ht="16.2" x14ac:dyDescent="0.25">
      <c r="A32" s="1469" t="s">
        <v>1273</v>
      </c>
      <c r="B32" s="1469"/>
      <c r="C32" s="1469"/>
      <c r="D32" s="1469"/>
      <c r="E32" s="1469"/>
      <c r="F32" s="1469"/>
      <c r="G32" s="1303">
        <f>G31/2.83</f>
        <v>2120.1413427561838</v>
      </c>
    </row>
    <row r="34" spans="1:7" ht="13.8" thickBot="1" x14ac:dyDescent="0.3"/>
    <row r="35" spans="1:7" ht="13.8" x14ac:dyDescent="0.25">
      <c r="A35" s="1470" t="s">
        <v>1274</v>
      </c>
      <c r="B35" s="1471"/>
      <c r="C35" s="1471"/>
      <c r="D35" s="1471"/>
      <c r="E35" s="1471"/>
      <c r="F35" s="1471"/>
      <c r="G35" s="1472"/>
    </row>
    <row r="36" spans="1:7" ht="14.4" thickBot="1" x14ac:dyDescent="0.3">
      <c r="A36" s="1473" t="s">
        <v>1270</v>
      </c>
      <c r="B36" s="1474"/>
      <c r="C36" s="1474"/>
      <c r="D36" s="1474"/>
      <c r="E36" s="1474"/>
      <c r="F36" s="1474"/>
      <c r="G36" s="1475"/>
    </row>
    <row r="37" spans="1:7" ht="14.4" thickBot="1" x14ac:dyDescent="0.3">
      <c r="A37" s="1292"/>
      <c r="B37" s="1293" t="s">
        <v>1038</v>
      </c>
      <c r="C37" s="1293" t="s">
        <v>1039</v>
      </c>
      <c r="D37" s="1293" t="s">
        <v>2</v>
      </c>
      <c r="E37" s="1293" t="s">
        <v>1040</v>
      </c>
      <c r="F37" s="1293" t="s">
        <v>5</v>
      </c>
      <c r="G37" s="1293" t="s">
        <v>1260</v>
      </c>
    </row>
    <row r="38" spans="1:7" ht="15.6" x14ac:dyDescent="0.4">
      <c r="A38" s="1294"/>
      <c r="B38" s="1308" t="s">
        <v>1275</v>
      </c>
      <c r="C38" s="1295"/>
      <c r="D38" s="1296"/>
      <c r="E38" s="1296"/>
      <c r="F38" s="1296"/>
      <c r="G38" s="1296"/>
    </row>
    <row r="39" spans="1:7" ht="13.8" x14ac:dyDescent="0.25">
      <c r="A39" s="1294"/>
      <c r="B39" s="1294"/>
      <c r="C39" s="1295"/>
      <c r="D39" s="1296"/>
      <c r="E39" s="1296"/>
      <c r="F39" s="1296"/>
      <c r="G39" s="1296"/>
    </row>
    <row r="40" spans="1:7" ht="13.8" x14ac:dyDescent="0.25">
      <c r="A40" s="1294"/>
      <c r="B40" s="1297" t="s">
        <v>1276</v>
      </c>
      <c r="C40" s="1295"/>
      <c r="D40" s="1296"/>
      <c r="E40" s="1296"/>
      <c r="F40" s="1296"/>
      <c r="G40" s="1296"/>
    </row>
    <row r="41" spans="1:7" ht="13.8" x14ac:dyDescent="0.25">
      <c r="A41" s="1309"/>
      <c r="B41" s="1309"/>
      <c r="C41" s="1310"/>
      <c r="D41" s="1310"/>
      <c r="E41" s="1310"/>
      <c r="F41" s="1310">
        <f>D41*E41</f>
        <v>0</v>
      </c>
      <c r="G41" s="1310"/>
    </row>
    <row r="42" spans="1:7" ht="13.8" x14ac:dyDescent="0.25">
      <c r="A42" s="1294"/>
      <c r="B42" s="1294"/>
      <c r="C42" s="1295"/>
      <c r="D42" s="1296"/>
      <c r="E42" s="1296"/>
      <c r="F42" s="1296">
        <f t="shared" ref="F42:F45" si="5">D42*E42</f>
        <v>0</v>
      </c>
      <c r="G42" s="1296"/>
    </row>
    <row r="43" spans="1:7" ht="13.8" x14ac:dyDescent="0.25">
      <c r="A43" s="1298"/>
      <c r="B43" s="1476" t="s">
        <v>1277</v>
      </c>
      <c r="C43" s="1476"/>
      <c r="D43" s="1476"/>
      <c r="E43" s="1476"/>
      <c r="F43" s="1299">
        <f t="shared" si="5"/>
        <v>0</v>
      </c>
      <c r="G43" s="1300">
        <f>SUM(F40:F43)</f>
        <v>0</v>
      </c>
    </row>
    <row r="44" spans="1:7" ht="13.8" x14ac:dyDescent="0.25">
      <c r="A44" s="1294"/>
      <c r="B44" s="1297" t="s">
        <v>1261</v>
      </c>
      <c r="C44" s="1295"/>
      <c r="D44" s="1296"/>
      <c r="E44" s="1296"/>
      <c r="F44" s="1296"/>
      <c r="G44" s="1296"/>
    </row>
    <row r="45" spans="1:7" ht="13.8" x14ac:dyDescent="0.25">
      <c r="A45" s="1294"/>
      <c r="B45" s="1294" t="s">
        <v>1278</v>
      </c>
      <c r="C45" s="1296" t="s">
        <v>1279</v>
      </c>
      <c r="D45" s="1296">
        <v>4</v>
      </c>
      <c r="E45" s="1296">
        <v>2500</v>
      </c>
      <c r="F45" s="1296">
        <f t="shared" si="5"/>
        <v>10000</v>
      </c>
      <c r="G45" s="1296"/>
    </row>
    <row r="46" spans="1:7" ht="13.8" x14ac:dyDescent="0.25">
      <c r="A46" s="1294"/>
      <c r="B46" s="1294"/>
      <c r="C46" s="1295"/>
      <c r="D46" s="1296"/>
      <c r="E46" s="1296"/>
      <c r="F46" s="1296"/>
      <c r="G46" s="1296"/>
    </row>
    <row r="47" spans="1:7" ht="13.8" x14ac:dyDescent="0.25">
      <c r="A47" s="1298"/>
      <c r="B47" s="1476" t="s">
        <v>1264</v>
      </c>
      <c r="C47" s="1476"/>
      <c r="D47" s="1476"/>
      <c r="E47" s="1476"/>
      <c r="F47" s="1299">
        <f t="shared" ref="F47" si="6">D47*E47</f>
        <v>0</v>
      </c>
      <c r="G47" s="1300">
        <f>SUM(F45:F47)</f>
        <v>10000</v>
      </c>
    </row>
    <row r="48" spans="1:7" ht="13.8" x14ac:dyDescent="0.25">
      <c r="A48" s="1294"/>
      <c r="B48" s="1297" t="s">
        <v>1280</v>
      </c>
      <c r="C48" s="1295"/>
      <c r="D48" s="1296"/>
      <c r="E48" s="1296"/>
      <c r="F48" s="1296"/>
      <c r="G48" s="1296"/>
    </row>
    <row r="49" spans="1:7" ht="13.8" x14ac:dyDescent="0.25">
      <c r="A49" s="1294"/>
      <c r="B49" s="1294"/>
      <c r="C49" s="1295"/>
      <c r="D49" s="1296"/>
      <c r="E49" s="1296"/>
      <c r="F49" s="1296"/>
      <c r="G49" s="1296"/>
    </row>
    <row r="50" spans="1:7" ht="13.8" x14ac:dyDescent="0.25">
      <c r="A50" s="1294"/>
      <c r="B50" s="1294" t="s">
        <v>1281</v>
      </c>
      <c r="C50" s="1296" t="s">
        <v>1044</v>
      </c>
      <c r="D50" s="1296">
        <v>24</v>
      </c>
      <c r="E50" s="1296">
        <v>625</v>
      </c>
      <c r="F50" s="1296">
        <f>D50*E50</f>
        <v>15000</v>
      </c>
      <c r="G50" s="1296"/>
    </row>
    <row r="51" spans="1:7" ht="13.8" x14ac:dyDescent="0.25">
      <c r="A51" s="1294"/>
      <c r="B51" s="1294"/>
      <c r="C51" s="1295"/>
      <c r="D51" s="1296"/>
      <c r="E51" s="1296"/>
      <c r="F51" s="1296"/>
      <c r="G51" s="1296"/>
    </row>
    <row r="52" spans="1:7" ht="13.8" x14ac:dyDescent="0.25">
      <c r="A52" s="1298"/>
      <c r="B52" s="1476" t="s">
        <v>1282</v>
      </c>
      <c r="C52" s="1476"/>
      <c r="D52" s="1476"/>
      <c r="E52" s="1476"/>
      <c r="F52" s="1299">
        <f t="shared" ref="F52" si="7">D52*E52</f>
        <v>0</v>
      </c>
      <c r="G52" s="1300">
        <f>SUM(F49:F52)</f>
        <v>15000</v>
      </c>
    </row>
    <row r="53" spans="1:7" ht="13.8" x14ac:dyDescent="0.25">
      <c r="A53" s="1294"/>
      <c r="B53" s="1302"/>
      <c r="C53" s="1302"/>
      <c r="D53" s="1302"/>
      <c r="E53" s="1302"/>
      <c r="F53" s="1296"/>
      <c r="G53" s="1302"/>
    </row>
    <row r="54" spans="1:7" ht="13.8" x14ac:dyDescent="0.25">
      <c r="A54" s="1294"/>
      <c r="B54" s="1302"/>
      <c r="C54" s="1302"/>
      <c r="D54" s="1302"/>
      <c r="E54" s="1302"/>
      <c r="F54" s="1296"/>
      <c r="G54" s="1302"/>
    </row>
    <row r="55" spans="1:7" ht="13.8" x14ac:dyDescent="0.25">
      <c r="A55" s="1469" t="s">
        <v>1283</v>
      </c>
      <c r="B55" s="1469"/>
      <c r="C55" s="1469"/>
      <c r="D55" s="1469"/>
      <c r="E55" s="1469"/>
      <c r="F55" s="1469"/>
      <c r="G55" s="1303">
        <f>G43+G47+G52</f>
        <v>25000</v>
      </c>
    </row>
    <row r="56" spans="1:7" ht="13.8" x14ac:dyDescent="0.25">
      <c r="A56" s="1469" t="s">
        <v>1272</v>
      </c>
      <c r="B56" s="1469"/>
      <c r="C56" s="1469"/>
      <c r="D56" s="1469"/>
      <c r="E56" s="1469"/>
      <c r="F56" s="1469"/>
      <c r="G56" s="1303">
        <f>G55/12</f>
        <v>2083.3333333333335</v>
      </c>
    </row>
    <row r="57" spans="1:7" ht="16.2" x14ac:dyDescent="0.25">
      <c r="A57" s="1469" t="s">
        <v>1273</v>
      </c>
      <c r="B57" s="1469"/>
      <c r="C57" s="1469"/>
      <c r="D57" s="1469"/>
      <c r="E57" s="1469"/>
      <c r="F57" s="1469"/>
      <c r="G57" s="1303">
        <f>G56/2.83</f>
        <v>736.1601884570083</v>
      </c>
    </row>
    <row r="62" spans="1:7" ht="13.8" thickBot="1" x14ac:dyDescent="0.3"/>
    <row r="63" spans="1:7" ht="13.8" x14ac:dyDescent="0.25">
      <c r="A63" s="1470" t="s">
        <v>1284</v>
      </c>
      <c r="B63" s="1471"/>
      <c r="C63" s="1471"/>
      <c r="D63" s="1471"/>
      <c r="E63" s="1471"/>
      <c r="F63" s="1471"/>
      <c r="G63" s="1472"/>
    </row>
    <row r="64" spans="1:7" ht="14.4" thickBot="1" x14ac:dyDescent="0.3">
      <c r="A64" s="1473" t="s">
        <v>1270</v>
      </c>
      <c r="B64" s="1474"/>
      <c r="C64" s="1474"/>
      <c r="D64" s="1474"/>
      <c r="E64" s="1474"/>
      <c r="F64" s="1474"/>
      <c r="G64" s="1475"/>
    </row>
    <row r="65" spans="1:7" ht="14.4" thickBot="1" x14ac:dyDescent="0.3">
      <c r="A65" s="1292"/>
      <c r="B65" s="1293" t="s">
        <v>1038</v>
      </c>
      <c r="C65" s="1293" t="s">
        <v>1039</v>
      </c>
      <c r="D65" s="1293" t="s">
        <v>2</v>
      </c>
      <c r="E65" s="1293" t="s">
        <v>1040</v>
      </c>
      <c r="F65" s="1293" t="s">
        <v>5</v>
      </c>
      <c r="G65" s="1293" t="s">
        <v>1260</v>
      </c>
    </row>
    <row r="66" spans="1:7" ht="15.6" x14ac:dyDescent="0.4">
      <c r="A66" s="1294"/>
      <c r="B66" s="1308" t="s">
        <v>1275</v>
      </c>
      <c r="C66" s="1295"/>
      <c r="D66" s="1296"/>
      <c r="E66" s="1296"/>
      <c r="F66" s="1296"/>
      <c r="G66" s="1296"/>
    </row>
    <row r="67" spans="1:7" ht="13.8" x14ac:dyDescent="0.25">
      <c r="A67" s="1294"/>
      <c r="B67" s="1294"/>
      <c r="C67" s="1295"/>
      <c r="D67" s="1296"/>
      <c r="E67" s="1296"/>
      <c r="F67" s="1296"/>
      <c r="G67" s="1296"/>
    </row>
    <row r="68" spans="1:7" ht="13.8" x14ac:dyDescent="0.25">
      <c r="A68" s="1294"/>
      <c r="B68" s="1297" t="s">
        <v>1276</v>
      </c>
      <c r="C68" s="1295"/>
      <c r="D68" s="1296"/>
      <c r="E68" s="1296"/>
      <c r="F68" s="1296"/>
      <c r="G68" s="1296"/>
    </row>
    <row r="69" spans="1:7" ht="13.8" x14ac:dyDescent="0.25">
      <c r="A69" s="1306"/>
      <c r="B69" s="1306" t="s">
        <v>1285</v>
      </c>
      <c r="C69" s="1307" t="s">
        <v>1110</v>
      </c>
      <c r="D69" s="1307">
        <v>12</v>
      </c>
      <c r="E69" s="1307">
        <f>[19]Material!E23</f>
        <v>8000</v>
      </c>
      <c r="F69" s="1307">
        <f>D69*E69</f>
        <v>96000</v>
      </c>
      <c r="G69" s="1307"/>
    </row>
    <row r="70" spans="1:7" ht="13.8" x14ac:dyDescent="0.25">
      <c r="A70" s="1294"/>
      <c r="B70" s="1311" t="s">
        <v>1286</v>
      </c>
      <c r="C70" s="1296"/>
      <c r="D70" s="1296"/>
      <c r="E70" s="1296"/>
      <c r="F70" s="1296">
        <f>F69*35%</f>
        <v>33600</v>
      </c>
      <c r="G70" s="1296"/>
    </row>
    <row r="71" spans="1:7" ht="13.8" x14ac:dyDescent="0.25">
      <c r="A71" s="1294"/>
      <c r="B71" s="1295"/>
      <c r="C71" s="1296"/>
      <c r="D71" s="1296"/>
      <c r="E71" s="1296"/>
      <c r="F71" s="1296">
        <f t="shared" ref="F71:F75" si="8">D71*E71</f>
        <v>0</v>
      </c>
      <c r="G71" s="1296"/>
    </row>
    <row r="72" spans="1:7" ht="13.8" x14ac:dyDescent="0.25">
      <c r="A72" s="1294"/>
      <c r="B72" s="1294"/>
      <c r="C72" s="1295"/>
      <c r="D72" s="1296"/>
      <c r="E72" s="1296"/>
      <c r="F72" s="1296">
        <f t="shared" si="8"/>
        <v>0</v>
      </c>
      <c r="G72" s="1296"/>
    </row>
    <row r="73" spans="1:7" ht="13.8" x14ac:dyDescent="0.25">
      <c r="A73" s="1298"/>
      <c r="B73" s="1476" t="s">
        <v>1277</v>
      </c>
      <c r="C73" s="1476"/>
      <c r="D73" s="1476"/>
      <c r="E73" s="1476"/>
      <c r="F73" s="1299">
        <f t="shared" si="8"/>
        <v>0</v>
      </c>
      <c r="G73" s="1300">
        <f>SUM(F68:F73)</f>
        <v>129600</v>
      </c>
    </row>
    <row r="74" spans="1:7" ht="13.8" x14ac:dyDescent="0.25">
      <c r="A74" s="1294"/>
      <c r="B74" s="1297" t="s">
        <v>1261</v>
      </c>
      <c r="C74" s="1295"/>
      <c r="D74" s="1296"/>
      <c r="E74" s="1296"/>
      <c r="F74" s="1296">
        <f t="shared" si="8"/>
        <v>0</v>
      </c>
      <c r="G74" s="1296"/>
    </row>
    <row r="75" spans="1:7" ht="13.8" x14ac:dyDescent="0.25">
      <c r="A75" s="1294"/>
      <c r="B75" s="1294" t="s">
        <v>1278</v>
      </c>
      <c r="C75" s="1296" t="s">
        <v>1279</v>
      </c>
      <c r="D75" s="1296">
        <v>3</v>
      </c>
      <c r="E75" s="1296">
        <v>2500</v>
      </c>
      <c r="F75" s="1296">
        <f t="shared" si="8"/>
        <v>7500</v>
      </c>
      <c r="G75" s="1296"/>
    </row>
    <row r="76" spans="1:7" ht="13.8" x14ac:dyDescent="0.25">
      <c r="A76" s="1294"/>
      <c r="B76" s="1294"/>
      <c r="C76" s="1295"/>
      <c r="D76" s="1296"/>
      <c r="E76" s="1296"/>
      <c r="F76" s="1296"/>
      <c r="G76" s="1296"/>
    </row>
    <row r="77" spans="1:7" ht="13.8" x14ac:dyDescent="0.25">
      <c r="A77" s="1298"/>
      <c r="B77" s="1476" t="s">
        <v>1264</v>
      </c>
      <c r="C77" s="1476"/>
      <c r="D77" s="1476"/>
      <c r="E77" s="1476"/>
      <c r="F77" s="1299">
        <f t="shared" ref="F77" si="9">D77*E77</f>
        <v>0</v>
      </c>
      <c r="G77" s="1300">
        <f>SUM(F75:F77)</f>
        <v>7500</v>
      </c>
    </row>
    <row r="78" spans="1:7" ht="13.8" x14ac:dyDescent="0.25">
      <c r="A78" s="1294"/>
      <c r="B78" s="1297" t="s">
        <v>1280</v>
      </c>
      <c r="C78" s="1295"/>
      <c r="D78" s="1296"/>
      <c r="E78" s="1296"/>
      <c r="F78" s="1296"/>
      <c r="G78" s="1296"/>
    </row>
    <row r="79" spans="1:7" ht="13.8" x14ac:dyDescent="0.25">
      <c r="A79" s="1294"/>
      <c r="B79" s="1294"/>
      <c r="C79" s="1295"/>
      <c r="D79" s="1296"/>
      <c r="E79" s="1296"/>
      <c r="F79" s="1296"/>
      <c r="G79" s="1296"/>
    </row>
    <row r="80" spans="1:7" ht="13.8" x14ac:dyDescent="0.25">
      <c r="A80" s="1294"/>
      <c r="B80" s="1294" t="s">
        <v>1281</v>
      </c>
      <c r="C80" s="1296" t="s">
        <v>1044</v>
      </c>
      <c r="D80" s="1296">
        <v>24</v>
      </c>
      <c r="E80" s="1296">
        <v>625</v>
      </c>
      <c r="F80" s="1296">
        <f>D80*E80</f>
        <v>15000</v>
      </c>
      <c r="G80" s="1296"/>
    </row>
    <row r="81" spans="1:8" ht="13.8" x14ac:dyDescent="0.25">
      <c r="A81" s="1294"/>
      <c r="B81" s="1294"/>
      <c r="C81" s="1295"/>
      <c r="D81" s="1296"/>
      <c r="E81" s="1296"/>
      <c r="F81" s="1296"/>
      <c r="G81" s="1296"/>
    </row>
    <row r="82" spans="1:8" ht="13.8" x14ac:dyDescent="0.25">
      <c r="A82" s="1298"/>
      <c r="B82" s="1476" t="s">
        <v>1282</v>
      </c>
      <c r="C82" s="1476"/>
      <c r="D82" s="1476"/>
      <c r="E82" s="1476"/>
      <c r="F82" s="1299">
        <f t="shared" ref="F82" si="10">D82*E82</f>
        <v>0</v>
      </c>
      <c r="G82" s="1300">
        <f>SUM(F79:F82)</f>
        <v>15000</v>
      </c>
    </row>
    <row r="83" spans="1:8" ht="13.8" x14ac:dyDescent="0.25">
      <c r="A83" s="1294"/>
      <c r="B83" s="1302"/>
      <c r="C83" s="1302"/>
      <c r="D83" s="1302"/>
      <c r="E83" s="1302"/>
      <c r="F83" s="1296"/>
      <c r="G83" s="1302"/>
    </row>
    <row r="84" spans="1:8" ht="13.8" x14ac:dyDescent="0.25">
      <c r="A84" s="1294"/>
      <c r="B84" s="1302"/>
      <c r="C84" s="1302"/>
      <c r="D84" s="1302"/>
      <c r="E84" s="1302"/>
      <c r="F84" s="1296"/>
      <c r="G84" s="1302"/>
    </row>
    <row r="85" spans="1:8" ht="13.8" x14ac:dyDescent="0.25">
      <c r="A85" s="1469" t="s">
        <v>1283</v>
      </c>
      <c r="B85" s="1469"/>
      <c r="C85" s="1469"/>
      <c r="D85" s="1469"/>
      <c r="E85" s="1469"/>
      <c r="F85" s="1469"/>
      <c r="G85" s="1303">
        <f>G73+G77+G82</f>
        <v>152100</v>
      </c>
    </row>
    <row r="86" spans="1:8" ht="13.8" x14ac:dyDescent="0.25">
      <c r="A86" s="1469" t="s">
        <v>1272</v>
      </c>
      <c r="B86" s="1469"/>
      <c r="C86" s="1469"/>
      <c r="D86" s="1469"/>
      <c r="E86" s="1469"/>
      <c r="F86" s="1469"/>
      <c r="G86" s="1303">
        <f>G85/12</f>
        <v>12675</v>
      </c>
    </row>
    <row r="87" spans="1:8" ht="16.2" x14ac:dyDescent="0.25">
      <c r="A87" s="1469" t="s">
        <v>1273</v>
      </c>
      <c r="B87" s="1469"/>
      <c r="C87" s="1469"/>
      <c r="D87" s="1469"/>
      <c r="E87" s="1469"/>
      <c r="F87" s="1469"/>
      <c r="G87" s="1303">
        <f>G86/2.83</f>
        <v>4478.7985865724377</v>
      </c>
      <c r="H87" s="1312"/>
    </row>
    <row r="89" spans="1:8" ht="13.8" thickBot="1" x14ac:dyDescent="0.3"/>
    <row r="90" spans="1:8" ht="13.8" x14ac:dyDescent="0.25">
      <c r="A90" s="1470" t="s">
        <v>1287</v>
      </c>
      <c r="B90" s="1471"/>
      <c r="C90" s="1471"/>
      <c r="D90" s="1471"/>
      <c r="E90" s="1471"/>
      <c r="F90" s="1471"/>
      <c r="G90" s="1472"/>
    </row>
    <row r="91" spans="1:8" ht="14.4" thickBot="1" x14ac:dyDescent="0.3">
      <c r="A91" s="1473" t="s">
        <v>1270</v>
      </c>
      <c r="B91" s="1474"/>
      <c r="C91" s="1474"/>
      <c r="D91" s="1474"/>
      <c r="E91" s="1474"/>
      <c r="F91" s="1474"/>
      <c r="G91" s="1475"/>
    </row>
    <row r="92" spans="1:8" ht="14.4" thickBot="1" x14ac:dyDescent="0.3">
      <c r="A92" s="1292"/>
      <c r="B92" s="1293" t="s">
        <v>1038</v>
      </c>
      <c r="C92" s="1293" t="s">
        <v>1039</v>
      </c>
      <c r="D92" s="1293" t="s">
        <v>2</v>
      </c>
      <c r="E92" s="1293" t="s">
        <v>1040</v>
      </c>
      <c r="F92" s="1293" t="s">
        <v>5</v>
      </c>
      <c r="G92" s="1293" t="s">
        <v>1260</v>
      </c>
    </row>
    <row r="93" spans="1:8" ht="15.6" x14ac:dyDescent="0.4">
      <c r="A93" s="1294"/>
      <c r="B93" s="1308" t="s">
        <v>1275</v>
      </c>
      <c r="C93" s="1295"/>
      <c r="D93" s="1296"/>
      <c r="E93" s="1296"/>
      <c r="F93" s="1296"/>
      <c r="G93" s="1296"/>
    </row>
    <row r="94" spans="1:8" ht="13.8" x14ac:dyDescent="0.25">
      <c r="A94" s="1294"/>
      <c r="B94" s="1294"/>
      <c r="C94" s="1295"/>
      <c r="D94" s="1296"/>
      <c r="E94" s="1296"/>
      <c r="F94" s="1296"/>
      <c r="G94" s="1296"/>
    </row>
    <row r="95" spans="1:8" ht="13.8" x14ac:dyDescent="0.25">
      <c r="A95" s="1294"/>
      <c r="B95" s="1297" t="s">
        <v>1276</v>
      </c>
      <c r="C95" s="1295"/>
      <c r="D95" s="1296"/>
      <c r="E95" s="1296"/>
      <c r="F95" s="1296"/>
      <c r="G95" s="1296"/>
    </row>
    <row r="96" spans="1:8" ht="13.8" x14ac:dyDescent="0.25">
      <c r="A96" s="1306"/>
      <c r="B96" s="1306" t="s">
        <v>1288</v>
      </c>
      <c r="C96" s="1307" t="s">
        <v>1110</v>
      </c>
      <c r="D96" s="1307">
        <v>5</v>
      </c>
      <c r="E96" s="1307">
        <f>+[19]Material!E24</f>
        <v>17000</v>
      </c>
      <c r="F96" s="1307">
        <f>D96*E96</f>
        <v>85000</v>
      </c>
      <c r="G96" s="1307"/>
    </row>
    <row r="97" spans="1:7" ht="13.8" x14ac:dyDescent="0.25">
      <c r="A97" s="1294"/>
      <c r="B97" s="1311" t="s">
        <v>1289</v>
      </c>
      <c r="C97" s="1296"/>
      <c r="D97" s="1296"/>
      <c r="E97" s="1296"/>
      <c r="F97" s="1296">
        <f>F96*10%</f>
        <v>8500</v>
      </c>
      <c r="G97" s="1296"/>
    </row>
    <row r="98" spans="1:7" ht="13.8" x14ac:dyDescent="0.25">
      <c r="A98" s="1294"/>
      <c r="B98" s="1295"/>
      <c r="C98" s="1296"/>
      <c r="D98" s="1296"/>
      <c r="E98" s="1296"/>
      <c r="F98" s="1296">
        <f t="shared" ref="F98:F102" si="11">D98*E98</f>
        <v>0</v>
      </c>
      <c r="G98" s="1296"/>
    </row>
    <row r="99" spans="1:7" ht="13.8" x14ac:dyDescent="0.25">
      <c r="A99" s="1294"/>
      <c r="B99" s="1294"/>
      <c r="C99" s="1295"/>
      <c r="D99" s="1296"/>
      <c r="E99" s="1296"/>
      <c r="F99" s="1296">
        <f t="shared" si="11"/>
        <v>0</v>
      </c>
      <c r="G99" s="1296"/>
    </row>
    <row r="100" spans="1:7" ht="13.8" x14ac:dyDescent="0.25">
      <c r="A100" s="1298"/>
      <c r="B100" s="1476" t="s">
        <v>1277</v>
      </c>
      <c r="C100" s="1476"/>
      <c r="D100" s="1476"/>
      <c r="E100" s="1476"/>
      <c r="F100" s="1299">
        <f t="shared" si="11"/>
        <v>0</v>
      </c>
      <c r="G100" s="1300">
        <f>SUM(F95:F100)</f>
        <v>93500</v>
      </c>
    </row>
    <row r="101" spans="1:7" ht="13.8" x14ac:dyDescent="0.25">
      <c r="A101" s="1294"/>
      <c r="B101" s="1297" t="s">
        <v>1261</v>
      </c>
      <c r="C101" s="1295"/>
      <c r="D101" s="1296"/>
      <c r="E101" s="1296"/>
      <c r="F101" s="1296">
        <f t="shared" si="11"/>
        <v>0</v>
      </c>
      <c r="G101" s="1296"/>
    </row>
    <row r="102" spans="1:7" ht="13.8" x14ac:dyDescent="0.25">
      <c r="A102" s="1294"/>
      <c r="B102" s="1294" t="s">
        <v>1278</v>
      </c>
      <c r="C102" s="1296" t="s">
        <v>1279</v>
      </c>
      <c r="D102" s="1296">
        <v>3</v>
      </c>
      <c r="E102" s="1296">
        <v>2500</v>
      </c>
      <c r="F102" s="1296">
        <f t="shared" si="11"/>
        <v>7500</v>
      </c>
      <c r="G102" s="1296"/>
    </row>
    <row r="103" spans="1:7" ht="13.8" x14ac:dyDescent="0.25">
      <c r="A103" s="1294"/>
      <c r="B103" s="1294"/>
      <c r="C103" s="1295"/>
      <c r="D103" s="1296"/>
      <c r="E103" s="1296"/>
      <c r="F103" s="1296"/>
      <c r="G103" s="1296"/>
    </row>
    <row r="104" spans="1:7" ht="13.8" x14ac:dyDescent="0.25">
      <c r="A104" s="1298"/>
      <c r="B104" s="1476" t="s">
        <v>1264</v>
      </c>
      <c r="C104" s="1476"/>
      <c r="D104" s="1476"/>
      <c r="E104" s="1476"/>
      <c r="F104" s="1299">
        <f t="shared" ref="F104" si="12">D104*E104</f>
        <v>0</v>
      </c>
      <c r="G104" s="1300">
        <f>SUM(F102:F104)</f>
        <v>7500</v>
      </c>
    </row>
    <row r="105" spans="1:7" ht="13.8" x14ac:dyDescent="0.25">
      <c r="A105" s="1294"/>
      <c r="B105" s="1297" t="s">
        <v>1280</v>
      </c>
      <c r="C105" s="1295"/>
      <c r="D105" s="1296"/>
      <c r="E105" s="1296"/>
      <c r="F105" s="1296"/>
      <c r="G105" s="1296"/>
    </row>
    <row r="106" spans="1:7" ht="13.8" x14ac:dyDescent="0.25">
      <c r="A106" s="1294"/>
      <c r="B106" s="1294"/>
      <c r="C106" s="1295"/>
      <c r="D106" s="1296"/>
      <c r="E106" s="1296"/>
      <c r="F106" s="1296"/>
      <c r="G106" s="1296"/>
    </row>
    <row r="107" spans="1:7" ht="13.8" x14ac:dyDescent="0.25">
      <c r="A107" s="1294"/>
      <c r="B107" s="1294" t="s">
        <v>1290</v>
      </c>
      <c r="C107" s="1296" t="s">
        <v>1044</v>
      </c>
      <c r="D107" s="1296">
        <v>3</v>
      </c>
      <c r="E107" s="1296">
        <v>7000</v>
      </c>
      <c r="F107" s="1296">
        <f>D107*E107</f>
        <v>21000</v>
      </c>
      <c r="G107" s="1296"/>
    </row>
    <row r="108" spans="1:7" ht="13.8" x14ac:dyDescent="0.25">
      <c r="A108" s="1294"/>
      <c r="B108" s="1294" t="s">
        <v>1281</v>
      </c>
      <c r="C108" s="1296" t="s">
        <v>1044</v>
      </c>
      <c r="D108" s="1296">
        <v>10</v>
      </c>
      <c r="E108" s="1296">
        <v>625</v>
      </c>
      <c r="F108" s="1296">
        <f>D108*E108</f>
        <v>6250</v>
      </c>
      <c r="G108" s="1296"/>
    </row>
    <row r="109" spans="1:7" ht="13.8" x14ac:dyDescent="0.25">
      <c r="A109" s="1294"/>
      <c r="B109" s="1294"/>
      <c r="C109" s="1295"/>
      <c r="D109" s="1296"/>
      <c r="E109" s="1296"/>
      <c r="F109" s="1296"/>
      <c r="G109" s="1296"/>
    </row>
    <row r="110" spans="1:7" ht="13.8" x14ac:dyDescent="0.25">
      <c r="A110" s="1298"/>
      <c r="B110" s="1476" t="s">
        <v>1282</v>
      </c>
      <c r="C110" s="1476"/>
      <c r="D110" s="1476"/>
      <c r="E110" s="1476"/>
      <c r="F110" s="1299">
        <f t="shared" ref="F110" si="13">D110*E110</f>
        <v>0</v>
      </c>
      <c r="G110" s="1300">
        <f>SUM(F106:F110)</f>
        <v>27250</v>
      </c>
    </row>
    <row r="111" spans="1:7" ht="13.8" x14ac:dyDescent="0.25">
      <c r="A111" s="1294"/>
      <c r="B111" s="1302"/>
      <c r="C111" s="1302"/>
      <c r="D111" s="1302"/>
      <c r="E111" s="1302"/>
      <c r="F111" s="1296"/>
      <c r="G111" s="1302"/>
    </row>
    <row r="112" spans="1:7" ht="13.8" x14ac:dyDescent="0.25">
      <c r="A112" s="1294"/>
      <c r="B112" s="1302"/>
      <c r="C112" s="1302"/>
      <c r="D112" s="1302"/>
      <c r="E112" s="1302"/>
      <c r="F112" s="1296"/>
      <c r="G112" s="1302"/>
    </row>
    <row r="113" spans="1:7" ht="13.8" x14ac:dyDescent="0.25">
      <c r="A113" s="1469" t="s">
        <v>1283</v>
      </c>
      <c r="B113" s="1469"/>
      <c r="C113" s="1469"/>
      <c r="D113" s="1469"/>
      <c r="E113" s="1469"/>
      <c r="F113" s="1469"/>
      <c r="G113" s="1303">
        <f>G100+G104+G110</f>
        <v>128250</v>
      </c>
    </row>
    <row r="114" spans="1:7" ht="13.8" x14ac:dyDescent="0.25">
      <c r="A114" s="1469" t="s">
        <v>1272</v>
      </c>
      <c r="B114" s="1469"/>
      <c r="C114" s="1469"/>
      <c r="D114" s="1469"/>
      <c r="E114" s="1469"/>
      <c r="F114" s="1469"/>
      <c r="G114" s="1303">
        <f>G113/12</f>
        <v>10687.5</v>
      </c>
    </row>
    <row r="115" spans="1:7" ht="16.2" x14ac:dyDescent="0.25">
      <c r="A115" s="1469" t="s">
        <v>1273</v>
      </c>
      <c r="B115" s="1469"/>
      <c r="C115" s="1469"/>
      <c r="D115" s="1469"/>
      <c r="E115" s="1469"/>
      <c r="F115" s="1469"/>
      <c r="G115" s="1303">
        <f>G114/2.83</f>
        <v>3776.5017667844522</v>
      </c>
    </row>
    <row r="119" spans="1:7" ht="13.8" thickBot="1" x14ac:dyDescent="0.3"/>
    <row r="120" spans="1:7" ht="13.8" x14ac:dyDescent="0.25">
      <c r="A120" s="1470" t="s">
        <v>1291</v>
      </c>
      <c r="B120" s="1471"/>
      <c r="C120" s="1471"/>
      <c r="D120" s="1471"/>
      <c r="E120" s="1471"/>
      <c r="F120" s="1471"/>
      <c r="G120" s="1472"/>
    </row>
    <row r="121" spans="1:7" ht="14.4" thickBot="1" x14ac:dyDescent="0.3">
      <c r="A121" s="1473" t="s">
        <v>1259</v>
      </c>
      <c r="B121" s="1474"/>
      <c r="C121" s="1474"/>
      <c r="D121" s="1474"/>
      <c r="E121" s="1474"/>
      <c r="F121" s="1474"/>
      <c r="G121" s="1475"/>
    </row>
    <row r="122" spans="1:7" ht="14.4" thickBot="1" x14ac:dyDescent="0.3">
      <c r="A122" s="1292"/>
      <c r="B122" s="1293" t="s">
        <v>1038</v>
      </c>
      <c r="C122" s="1293" t="s">
        <v>1039</v>
      </c>
      <c r="D122" s="1293" t="s">
        <v>2</v>
      </c>
      <c r="E122" s="1293" t="s">
        <v>1040</v>
      </c>
      <c r="F122" s="1293" t="s">
        <v>5</v>
      </c>
      <c r="G122" s="1293" t="s">
        <v>1260</v>
      </c>
    </row>
    <row r="123" spans="1:7" ht="13.8" x14ac:dyDescent="0.25">
      <c r="A123" s="1294"/>
      <c r="B123" s="1294"/>
      <c r="C123" s="1295"/>
      <c r="D123" s="1296"/>
      <c r="E123" s="1296"/>
      <c r="F123" s="1296"/>
      <c r="G123" s="1296"/>
    </row>
    <row r="124" spans="1:7" ht="13.8" x14ac:dyDescent="0.25">
      <c r="A124" s="1294"/>
      <c r="B124" s="1297" t="s">
        <v>1276</v>
      </c>
      <c r="C124" s="1295"/>
      <c r="D124" s="1296"/>
      <c r="E124" s="1296"/>
      <c r="F124" s="1296"/>
      <c r="G124" s="1296"/>
    </row>
    <row r="125" spans="1:7" ht="13.8" x14ac:dyDescent="0.25">
      <c r="A125" s="1309"/>
      <c r="B125" s="1309" t="s">
        <v>1292</v>
      </c>
      <c r="C125" s="1310" t="s">
        <v>37</v>
      </c>
      <c r="D125" s="1310">
        <v>2.5</v>
      </c>
      <c r="E125" s="1310">
        <f>[19]Material!E63</f>
        <v>650</v>
      </c>
      <c r="F125" s="1310">
        <f>D125*E125</f>
        <v>1625</v>
      </c>
      <c r="G125" s="1310"/>
    </row>
    <row r="126" spans="1:7" ht="13.8" x14ac:dyDescent="0.25">
      <c r="A126" s="1294"/>
      <c r="B126" s="1311"/>
      <c r="C126" s="1296"/>
      <c r="D126" s="1296"/>
      <c r="E126" s="1296"/>
      <c r="F126" s="1296"/>
      <c r="G126" s="1296"/>
    </row>
    <row r="127" spans="1:7" ht="13.8" x14ac:dyDescent="0.25">
      <c r="A127" s="1294"/>
      <c r="B127" s="1295"/>
      <c r="C127" s="1296"/>
      <c r="D127" s="1296"/>
      <c r="E127" s="1296"/>
      <c r="F127" s="1296"/>
      <c r="G127" s="1296"/>
    </row>
    <row r="128" spans="1:7" ht="13.8" x14ac:dyDescent="0.25">
      <c r="A128" s="1294"/>
      <c r="B128" s="1294"/>
      <c r="C128" s="1295"/>
      <c r="D128" s="1296"/>
      <c r="E128" s="1296"/>
      <c r="F128" s="1296">
        <f t="shared" ref="F128:F131" si="14">D128*E128</f>
        <v>0</v>
      </c>
      <c r="G128" s="1296"/>
    </row>
    <row r="129" spans="1:7" ht="13.8" x14ac:dyDescent="0.25">
      <c r="A129" s="1298"/>
      <c r="B129" s="1476" t="s">
        <v>1277</v>
      </c>
      <c r="C129" s="1476"/>
      <c r="D129" s="1476"/>
      <c r="E129" s="1476"/>
      <c r="F129" s="1299">
        <f t="shared" si="14"/>
        <v>0</v>
      </c>
      <c r="G129" s="1300">
        <f>SUM(F124:F129)</f>
        <v>1625</v>
      </c>
    </row>
    <row r="130" spans="1:7" ht="13.8" x14ac:dyDescent="0.25">
      <c r="A130" s="1294"/>
      <c r="B130" s="1297" t="s">
        <v>1261</v>
      </c>
      <c r="C130" s="1295"/>
      <c r="D130" s="1296"/>
      <c r="E130" s="1296"/>
      <c r="F130" s="1296">
        <f t="shared" si="14"/>
        <v>0</v>
      </c>
      <c r="G130" s="1296"/>
    </row>
    <row r="131" spans="1:7" ht="13.8" x14ac:dyDescent="0.25">
      <c r="A131" s="1294"/>
      <c r="B131" s="1294" t="s">
        <v>1293</v>
      </c>
      <c r="C131" s="1296" t="s">
        <v>1294</v>
      </c>
      <c r="D131" s="1296">
        <v>100</v>
      </c>
      <c r="E131" s="1296">
        <v>5</v>
      </c>
      <c r="F131" s="1296">
        <f t="shared" si="14"/>
        <v>500</v>
      </c>
      <c r="G131" s="1296"/>
    </row>
    <row r="132" spans="1:7" ht="13.8" x14ac:dyDescent="0.25">
      <c r="A132" s="1294"/>
      <c r="B132" s="1294"/>
      <c r="C132" s="1295"/>
      <c r="D132" s="1296"/>
      <c r="E132" s="1296"/>
      <c r="F132" s="1296"/>
      <c r="G132" s="1296"/>
    </row>
    <row r="133" spans="1:7" ht="13.8" x14ac:dyDescent="0.25">
      <c r="A133" s="1298"/>
      <c r="B133" s="1476" t="s">
        <v>1264</v>
      </c>
      <c r="C133" s="1476"/>
      <c r="D133" s="1476"/>
      <c r="E133" s="1476"/>
      <c r="F133" s="1299">
        <f t="shared" ref="F133" si="15">D133*E133</f>
        <v>0</v>
      </c>
      <c r="G133" s="1300">
        <f>SUM(F131:F133)</f>
        <v>500</v>
      </c>
    </row>
    <row r="134" spans="1:7" ht="13.8" x14ac:dyDescent="0.25">
      <c r="A134" s="1294"/>
      <c r="B134" s="1302"/>
      <c r="C134" s="1302"/>
      <c r="D134" s="1302"/>
      <c r="E134" s="1302"/>
      <c r="F134" s="1296"/>
      <c r="G134" s="1302"/>
    </row>
    <row r="135" spans="1:7" ht="13.8" x14ac:dyDescent="0.25">
      <c r="A135" s="1294"/>
      <c r="B135" s="1302"/>
      <c r="C135" s="1302"/>
      <c r="D135" s="1302"/>
      <c r="E135" s="1302"/>
      <c r="F135" s="1296"/>
      <c r="G135" s="1302"/>
    </row>
    <row r="136" spans="1:7" ht="13.8" x14ac:dyDescent="0.25">
      <c r="A136" s="1469" t="s">
        <v>1295</v>
      </c>
      <c r="B136" s="1469"/>
      <c r="C136" s="1469"/>
      <c r="D136" s="1469"/>
      <c r="E136" s="1469"/>
      <c r="F136" s="1469"/>
      <c r="G136" s="1303">
        <f>G129+G133</f>
        <v>2125</v>
      </c>
    </row>
    <row r="137" spans="1:7" ht="13.8" x14ac:dyDescent="0.25">
      <c r="A137" s="1469" t="s">
        <v>1296</v>
      </c>
      <c r="B137" s="1469"/>
      <c r="C137" s="1469"/>
      <c r="D137" s="1469"/>
      <c r="E137" s="1469"/>
      <c r="F137" s="1469"/>
      <c r="G137" s="1303">
        <f>G136/9.29</f>
        <v>228.74058127018301</v>
      </c>
    </row>
    <row r="138" spans="1:7" ht="14.4" thickBot="1" x14ac:dyDescent="0.3">
      <c r="A138" s="1478" t="s">
        <v>1297</v>
      </c>
      <c r="B138" s="1478"/>
      <c r="C138" s="1478"/>
      <c r="D138" s="1478"/>
      <c r="E138" s="1478"/>
      <c r="F138" s="1478"/>
      <c r="G138" s="1304">
        <f>G137/10.76</f>
        <v>21.258418333660131</v>
      </c>
    </row>
    <row r="139" spans="1:7" ht="13.8" thickBot="1" x14ac:dyDescent="0.3"/>
    <row r="140" spans="1:7" ht="13.8" x14ac:dyDescent="0.25">
      <c r="A140" s="1470" t="s">
        <v>343</v>
      </c>
      <c r="B140" s="1471"/>
      <c r="C140" s="1471"/>
      <c r="D140" s="1471"/>
      <c r="E140" s="1471"/>
      <c r="F140" s="1471"/>
      <c r="G140" s="1472"/>
    </row>
    <row r="141" spans="1:7" ht="14.4" thickBot="1" x14ac:dyDescent="0.3">
      <c r="A141" s="1473" t="s">
        <v>1259</v>
      </c>
      <c r="B141" s="1474"/>
      <c r="C141" s="1474"/>
      <c r="D141" s="1474"/>
      <c r="E141" s="1474"/>
      <c r="F141" s="1474"/>
      <c r="G141" s="1475"/>
    </row>
    <row r="142" spans="1:7" ht="14.4" thickBot="1" x14ac:dyDescent="0.3">
      <c r="A142" s="1292"/>
      <c r="B142" s="1293" t="s">
        <v>1038</v>
      </c>
      <c r="C142" s="1293" t="s">
        <v>1039</v>
      </c>
      <c r="D142" s="1293" t="s">
        <v>2</v>
      </c>
      <c r="E142" s="1293" t="s">
        <v>1040</v>
      </c>
      <c r="F142" s="1293" t="s">
        <v>5</v>
      </c>
      <c r="G142" s="1293" t="s">
        <v>1260</v>
      </c>
    </row>
    <row r="143" spans="1:7" ht="13.8" x14ac:dyDescent="0.25">
      <c r="A143" s="1294"/>
      <c r="B143" s="1294"/>
      <c r="C143" s="1295"/>
      <c r="D143" s="1296"/>
      <c r="E143" s="1296"/>
      <c r="F143" s="1296"/>
      <c r="G143" s="1296"/>
    </row>
    <row r="144" spans="1:7" ht="13.8" x14ac:dyDescent="0.25">
      <c r="A144" s="1294"/>
      <c r="B144" s="1297" t="s">
        <v>1276</v>
      </c>
      <c r="C144" s="1295"/>
      <c r="D144" s="1296"/>
      <c r="E144" s="1296"/>
      <c r="F144" s="1296"/>
      <c r="G144" s="1296"/>
    </row>
    <row r="145" spans="1:7" ht="13.8" x14ac:dyDescent="0.25">
      <c r="A145" s="1309"/>
      <c r="B145" s="1309" t="s">
        <v>1298</v>
      </c>
      <c r="C145" s="1310" t="s">
        <v>1094</v>
      </c>
      <c r="D145" s="1310">
        <v>0.8</v>
      </c>
      <c r="E145" s="1310">
        <f>+F197</f>
        <v>2235.625</v>
      </c>
      <c r="F145" s="1310">
        <f>D145*E145</f>
        <v>1788.5</v>
      </c>
      <c r="G145" s="1310"/>
    </row>
    <row r="146" spans="1:7" ht="13.8" x14ac:dyDescent="0.25">
      <c r="A146" s="1294"/>
      <c r="B146" s="1311" t="s">
        <v>1159</v>
      </c>
      <c r="C146" s="1296" t="s">
        <v>1159</v>
      </c>
      <c r="D146" s="1296">
        <v>0.03</v>
      </c>
      <c r="E146" s="1296">
        <f>+[19]Material!E13</f>
        <v>23500</v>
      </c>
      <c r="F146" s="1310">
        <f t="shared" ref="F146" si="16">D146*E146</f>
        <v>705</v>
      </c>
      <c r="G146" s="1296"/>
    </row>
    <row r="147" spans="1:7" ht="13.8" x14ac:dyDescent="0.25">
      <c r="A147" s="1294"/>
      <c r="B147" s="1311"/>
      <c r="C147" s="1296"/>
      <c r="D147" s="1296"/>
      <c r="E147" s="1296"/>
      <c r="F147" s="1310"/>
      <c r="G147" s="1296"/>
    </row>
    <row r="148" spans="1:7" ht="13.8" x14ac:dyDescent="0.25">
      <c r="A148" s="1294"/>
      <c r="B148" s="1311" t="s">
        <v>1299</v>
      </c>
      <c r="C148" s="1296" t="s">
        <v>1300</v>
      </c>
      <c r="D148" s="1296">
        <v>3.5</v>
      </c>
      <c r="E148" s="1296">
        <v>925</v>
      </c>
      <c r="F148" s="1310">
        <f>+E148*D148</f>
        <v>3237.5</v>
      </c>
      <c r="G148" s="1296"/>
    </row>
    <row r="149" spans="1:7" ht="13.8" x14ac:dyDescent="0.25">
      <c r="A149" s="1294"/>
      <c r="B149" s="1295"/>
      <c r="C149" s="1296"/>
      <c r="D149" s="1296"/>
      <c r="E149" s="1296"/>
      <c r="F149" s="1310"/>
      <c r="G149" s="1296"/>
    </row>
    <row r="150" spans="1:7" ht="13.8" x14ac:dyDescent="0.25">
      <c r="A150" s="1294"/>
      <c r="B150" s="1294"/>
      <c r="C150" s="1295"/>
      <c r="D150" s="1296"/>
      <c r="E150" s="1296"/>
      <c r="F150" s="1296"/>
      <c r="G150" s="1296"/>
    </row>
    <row r="151" spans="1:7" ht="13.8" x14ac:dyDescent="0.25">
      <c r="A151" s="1298"/>
      <c r="B151" s="1476" t="s">
        <v>1277</v>
      </c>
      <c r="C151" s="1476"/>
      <c r="D151" s="1476"/>
      <c r="E151" s="1476"/>
      <c r="F151" s="1299"/>
      <c r="G151" s="1300">
        <f>SUM(F144:F151)</f>
        <v>5731</v>
      </c>
    </row>
    <row r="152" spans="1:7" ht="13.8" x14ac:dyDescent="0.25">
      <c r="A152" s="1294"/>
      <c r="B152" s="1297" t="s">
        <v>1261</v>
      </c>
      <c r="C152" s="1295"/>
      <c r="D152" s="1296"/>
      <c r="E152" s="1296"/>
      <c r="F152" s="1296"/>
      <c r="G152" s="1296"/>
    </row>
    <row r="153" spans="1:7" ht="13.8" x14ac:dyDescent="0.25">
      <c r="A153" s="1294"/>
      <c r="B153" s="1294" t="s">
        <v>1293</v>
      </c>
      <c r="C153" s="1296" t="s">
        <v>1294</v>
      </c>
      <c r="D153" s="1296">
        <v>100</v>
      </c>
      <c r="E153" s="1296">
        <v>5</v>
      </c>
      <c r="F153" s="1296">
        <f t="shared" ref="F153" si="17">D153*E153</f>
        <v>500</v>
      </c>
      <c r="G153" s="1296"/>
    </row>
    <row r="154" spans="1:7" ht="13.8" x14ac:dyDescent="0.25">
      <c r="A154" s="1294"/>
      <c r="B154" s="1294"/>
      <c r="C154" s="1295"/>
      <c r="D154" s="1296"/>
      <c r="E154" s="1296"/>
      <c r="F154" s="1296"/>
      <c r="G154" s="1296"/>
    </row>
    <row r="155" spans="1:7" ht="13.8" x14ac:dyDescent="0.25">
      <c r="A155" s="1298"/>
      <c r="B155" s="1476" t="s">
        <v>1264</v>
      </c>
      <c r="C155" s="1476"/>
      <c r="D155" s="1476"/>
      <c r="E155" s="1476"/>
      <c r="F155" s="1299">
        <f t="shared" ref="F155" si="18">D155*E155</f>
        <v>0</v>
      </c>
      <c r="G155" s="1300">
        <f>SUM(F153:F155)</f>
        <v>500</v>
      </c>
    </row>
    <row r="156" spans="1:7" ht="13.8" x14ac:dyDescent="0.25">
      <c r="A156" s="1294"/>
      <c r="B156" s="1302"/>
      <c r="C156" s="1302"/>
      <c r="D156" s="1302"/>
      <c r="E156" s="1302"/>
      <c r="F156" s="1296"/>
      <c r="G156" s="1302"/>
    </row>
    <row r="157" spans="1:7" ht="13.8" x14ac:dyDescent="0.25">
      <c r="A157" s="1294"/>
      <c r="B157" s="1302"/>
      <c r="C157" s="1302"/>
      <c r="D157" s="1302"/>
      <c r="E157" s="1302"/>
      <c r="F157" s="1296"/>
      <c r="G157" s="1302"/>
    </row>
    <row r="158" spans="1:7" ht="13.8" x14ac:dyDescent="0.25">
      <c r="A158" s="1469" t="s">
        <v>1295</v>
      </c>
      <c r="B158" s="1469"/>
      <c r="C158" s="1469"/>
      <c r="D158" s="1469"/>
      <c r="E158" s="1469"/>
      <c r="F158" s="1469"/>
      <c r="G158" s="1303">
        <f>G151+G155</f>
        <v>6231</v>
      </c>
    </row>
    <row r="159" spans="1:7" ht="13.8" x14ac:dyDescent="0.25">
      <c r="A159" s="1469" t="s">
        <v>1296</v>
      </c>
      <c r="B159" s="1469"/>
      <c r="C159" s="1469"/>
      <c r="D159" s="1469"/>
      <c r="E159" s="1469"/>
      <c r="F159" s="1469"/>
      <c r="G159" s="1303">
        <f>G158/9.29</f>
        <v>670.72120559741666</v>
      </c>
    </row>
    <row r="160" spans="1:7" ht="14.4" thickBot="1" x14ac:dyDescent="0.3">
      <c r="A160" s="1478" t="s">
        <v>1297</v>
      </c>
      <c r="B160" s="1478"/>
      <c r="C160" s="1478"/>
      <c r="D160" s="1478"/>
      <c r="E160" s="1478"/>
      <c r="F160" s="1478"/>
      <c r="G160" s="1304">
        <f>G159/10.76</f>
        <v>62.334684535075901</v>
      </c>
    </row>
    <row r="183" spans="1:7" x14ac:dyDescent="0.25">
      <c r="A183" s="1477" t="s">
        <v>1301</v>
      </c>
      <c r="B183" s="1477"/>
      <c r="C183" s="1477"/>
      <c r="D183" s="1477"/>
      <c r="E183" s="1477"/>
      <c r="F183" s="1477"/>
      <c r="G183" s="1477"/>
    </row>
    <row r="187" spans="1:7" ht="13.8" x14ac:dyDescent="0.25">
      <c r="A187" s="1479" t="s">
        <v>1092</v>
      </c>
      <c r="B187" s="1479"/>
      <c r="C187" s="1313"/>
      <c r="D187" s="1314"/>
      <c r="E187" s="1314"/>
      <c r="F187" s="1314"/>
    </row>
    <row r="188" spans="1:7" ht="13.8" x14ac:dyDescent="0.25">
      <c r="A188" s="1315"/>
      <c r="B188" s="1316" t="s">
        <v>1038</v>
      </c>
      <c r="C188" s="1316" t="s">
        <v>1039</v>
      </c>
      <c r="D188" s="1316" t="s">
        <v>2</v>
      </c>
      <c r="E188" s="1316" t="s">
        <v>1040</v>
      </c>
      <c r="F188" s="1316" t="s">
        <v>5</v>
      </c>
    </row>
    <row r="189" spans="1:7" ht="13.8" x14ac:dyDescent="0.25">
      <c r="A189" s="1317"/>
      <c r="B189" s="1317"/>
      <c r="C189" s="1318"/>
      <c r="D189" s="1319"/>
      <c r="E189" s="1319"/>
      <c r="F189" s="1319"/>
    </row>
    <row r="190" spans="1:7" ht="13.8" x14ac:dyDescent="0.25">
      <c r="A190" s="1320"/>
      <c r="B190" s="1320" t="s">
        <v>1093</v>
      </c>
      <c r="C190" s="1321" t="s">
        <v>1094</v>
      </c>
      <c r="D190" s="1321">
        <v>50</v>
      </c>
      <c r="E190" s="1321">
        <f>[19]Material!D10</f>
        <v>2100</v>
      </c>
      <c r="F190" s="1321">
        <f>D190*E190</f>
        <v>105000</v>
      </c>
    </row>
    <row r="191" spans="1:7" ht="13.8" x14ac:dyDescent="0.25">
      <c r="A191" s="1317"/>
      <c r="B191" s="1322" t="s">
        <v>1043</v>
      </c>
      <c r="C191" s="1319" t="s">
        <v>1044</v>
      </c>
      <c r="D191" s="1319">
        <v>2.5</v>
      </c>
      <c r="E191" s="1319">
        <v>312.5</v>
      </c>
      <c r="F191" s="1319">
        <f>D191*E191</f>
        <v>781.25</v>
      </c>
    </row>
    <row r="192" spans="1:7" ht="13.8" x14ac:dyDescent="0.25">
      <c r="A192" s="1317"/>
      <c r="B192" s="1318" t="s">
        <v>1045</v>
      </c>
      <c r="C192" s="1319" t="s">
        <v>1046</v>
      </c>
      <c r="D192" s="1319">
        <v>1</v>
      </c>
      <c r="E192" s="1319">
        <v>6000</v>
      </c>
      <c r="F192" s="1319">
        <f t="shared" ref="F192" si="19">D192*E192</f>
        <v>6000</v>
      </c>
    </row>
    <row r="193" spans="1:7" ht="13.8" x14ac:dyDescent="0.25">
      <c r="A193" s="1317"/>
      <c r="B193" s="1317"/>
      <c r="C193" s="1318"/>
      <c r="D193" s="1319"/>
      <c r="E193" s="1319"/>
      <c r="F193" s="1319"/>
    </row>
    <row r="194" spans="1:7" ht="13.8" x14ac:dyDescent="0.25">
      <c r="A194" s="1317"/>
      <c r="B194" s="1317"/>
      <c r="C194" s="1318"/>
      <c r="D194" s="1319"/>
      <c r="E194" s="1319"/>
      <c r="F194" s="1319"/>
    </row>
    <row r="195" spans="1:7" ht="13.8" x14ac:dyDescent="0.25">
      <c r="A195" s="1317"/>
      <c r="B195" s="1317"/>
      <c r="C195" s="1318"/>
      <c r="D195" s="1319"/>
      <c r="E195" s="1319"/>
      <c r="F195" s="1319"/>
    </row>
    <row r="196" spans="1:7" ht="13.8" x14ac:dyDescent="0.25">
      <c r="A196" s="1480" t="s">
        <v>1097</v>
      </c>
      <c r="B196" s="1481"/>
      <c r="C196" s="1481"/>
      <c r="D196" s="1481"/>
      <c r="E196" s="1482"/>
      <c r="F196" s="1323">
        <f>SUM(F190:F195)</f>
        <v>111781.25</v>
      </c>
    </row>
    <row r="197" spans="1:7" ht="13.8" x14ac:dyDescent="0.25">
      <c r="A197" s="1480" t="s">
        <v>1098</v>
      </c>
      <c r="B197" s="1481"/>
      <c r="C197" s="1481"/>
      <c r="D197" s="1481"/>
      <c r="E197" s="1482"/>
      <c r="F197" s="1323">
        <f>F196/50</f>
        <v>2235.625</v>
      </c>
    </row>
    <row r="200" spans="1:7" ht="13.8" thickBot="1" x14ac:dyDescent="0.3"/>
    <row r="201" spans="1:7" ht="13.8" x14ac:dyDescent="0.25">
      <c r="A201" s="1470" t="s">
        <v>1302</v>
      </c>
      <c r="B201" s="1471"/>
      <c r="C201" s="1471"/>
      <c r="D201" s="1471"/>
      <c r="E201" s="1471"/>
      <c r="F201" s="1471"/>
      <c r="G201" s="1472"/>
    </row>
    <row r="202" spans="1:7" ht="14.4" thickBot="1" x14ac:dyDescent="0.3">
      <c r="A202" s="1473" t="s">
        <v>1270</v>
      </c>
      <c r="B202" s="1474"/>
      <c r="C202" s="1474"/>
      <c r="D202" s="1474"/>
      <c r="E202" s="1474"/>
      <c r="F202" s="1474"/>
      <c r="G202" s="1475"/>
    </row>
    <row r="203" spans="1:7" ht="14.4" thickBot="1" x14ac:dyDescent="0.3">
      <c r="A203" s="1292"/>
      <c r="B203" s="1293" t="s">
        <v>1038</v>
      </c>
      <c r="C203" s="1293" t="s">
        <v>1039</v>
      </c>
      <c r="D203" s="1293" t="s">
        <v>2</v>
      </c>
      <c r="E203" s="1293" t="s">
        <v>1040</v>
      </c>
      <c r="F203" s="1293" t="s">
        <v>5</v>
      </c>
      <c r="G203" s="1293" t="s">
        <v>1260</v>
      </c>
    </row>
    <row r="204" spans="1:7" ht="13.8" x14ac:dyDescent="0.25">
      <c r="A204" s="1294"/>
      <c r="B204" s="1294"/>
      <c r="C204" s="1295"/>
      <c r="D204" s="1296"/>
      <c r="E204" s="1296"/>
      <c r="F204" s="1296"/>
      <c r="G204" s="1296"/>
    </row>
    <row r="205" spans="1:7" ht="13.8" x14ac:dyDescent="0.25">
      <c r="A205" s="1294"/>
      <c r="B205" s="1297" t="s">
        <v>1276</v>
      </c>
      <c r="C205" s="1295"/>
      <c r="D205" s="1296"/>
      <c r="E205" s="1296"/>
      <c r="F205" s="1296"/>
      <c r="G205" s="1296"/>
    </row>
    <row r="206" spans="1:7" ht="13.8" x14ac:dyDescent="0.25">
      <c r="A206" s="1306"/>
      <c r="B206" s="1306" t="s">
        <v>1093</v>
      </c>
      <c r="C206" s="1307" t="s">
        <v>1094</v>
      </c>
      <c r="D206" s="1307">
        <v>13</v>
      </c>
      <c r="E206" s="1307">
        <f>F197</f>
        <v>2235.625</v>
      </c>
      <c r="F206" s="1307">
        <f>D206*E206</f>
        <v>29063.125</v>
      </c>
      <c r="G206" s="1307"/>
    </row>
    <row r="207" spans="1:7" ht="13.8" x14ac:dyDescent="0.25">
      <c r="A207" s="1306"/>
      <c r="B207" s="1324" t="s">
        <v>1159</v>
      </c>
      <c r="C207" s="1307" t="s">
        <v>1110</v>
      </c>
      <c r="D207" s="1307">
        <v>0.53</v>
      </c>
      <c r="E207" s="1307">
        <f>[19]Material!E13</f>
        <v>23500</v>
      </c>
      <c r="F207" s="1307">
        <f t="shared" ref="F207:F212" si="20">D207*E207</f>
        <v>12455</v>
      </c>
      <c r="G207" s="1307"/>
    </row>
    <row r="208" spans="1:7" ht="13.8" x14ac:dyDescent="0.25">
      <c r="A208" s="1306"/>
      <c r="B208" s="1325" t="s">
        <v>1303</v>
      </c>
      <c r="C208" s="1307" t="s">
        <v>1110</v>
      </c>
      <c r="D208" s="1307">
        <v>0.92</v>
      </c>
      <c r="E208" s="1307">
        <f>[19]Material!E17</f>
        <v>13500</v>
      </c>
      <c r="F208" s="1307">
        <f t="shared" si="20"/>
        <v>12420</v>
      </c>
      <c r="G208" s="1307"/>
    </row>
    <row r="209" spans="1:7" ht="13.8" x14ac:dyDescent="0.25">
      <c r="A209" s="1294"/>
      <c r="B209" s="1294"/>
      <c r="C209" s="1295"/>
      <c r="D209" s="1296"/>
      <c r="E209" s="1296"/>
      <c r="F209" s="1296">
        <f t="shared" si="20"/>
        <v>0</v>
      </c>
      <c r="G209" s="1296"/>
    </row>
    <row r="210" spans="1:7" ht="13.8" x14ac:dyDescent="0.25">
      <c r="A210" s="1298"/>
      <c r="B210" s="1476" t="s">
        <v>1277</v>
      </c>
      <c r="C210" s="1476"/>
      <c r="D210" s="1476"/>
      <c r="E210" s="1476"/>
      <c r="F210" s="1299">
        <f t="shared" si="20"/>
        <v>0</v>
      </c>
      <c r="G210" s="1300">
        <f>SUM(F205:F210)</f>
        <v>53938.125</v>
      </c>
    </row>
    <row r="211" spans="1:7" ht="13.8" x14ac:dyDescent="0.25">
      <c r="A211" s="1294"/>
      <c r="B211" s="1297" t="s">
        <v>1261</v>
      </c>
      <c r="C211" s="1295"/>
      <c r="D211" s="1296"/>
      <c r="E211" s="1296"/>
      <c r="F211" s="1296">
        <f t="shared" si="20"/>
        <v>0</v>
      </c>
      <c r="G211" s="1296"/>
    </row>
    <row r="212" spans="1:7" ht="13.8" x14ac:dyDescent="0.25">
      <c r="A212" s="1306"/>
      <c r="B212" s="1306" t="s">
        <v>1271</v>
      </c>
      <c r="C212" s="1307" t="s">
        <v>1110</v>
      </c>
      <c r="D212" s="1307">
        <v>1</v>
      </c>
      <c r="E212" s="1307">
        <v>15000</v>
      </c>
      <c r="F212" s="1307">
        <f t="shared" si="20"/>
        <v>15000</v>
      </c>
      <c r="G212" s="1307"/>
    </row>
    <row r="213" spans="1:7" ht="13.8" x14ac:dyDescent="0.25">
      <c r="A213" s="1294"/>
      <c r="B213" s="1294"/>
      <c r="C213" s="1295"/>
      <c r="D213" s="1296"/>
      <c r="E213" s="1296"/>
      <c r="F213" s="1296"/>
      <c r="G213" s="1296"/>
    </row>
    <row r="214" spans="1:7" ht="13.8" x14ac:dyDescent="0.25">
      <c r="A214" s="1298"/>
      <c r="B214" s="1476" t="s">
        <v>1264</v>
      </c>
      <c r="C214" s="1476"/>
      <c r="D214" s="1476"/>
      <c r="E214" s="1476"/>
      <c r="F214" s="1299">
        <f t="shared" ref="F214" si="21">D214*E214</f>
        <v>0</v>
      </c>
      <c r="G214" s="1300">
        <f>SUM(F212:F214)</f>
        <v>15000</v>
      </c>
    </row>
    <row r="215" spans="1:7" ht="13.8" x14ac:dyDescent="0.25">
      <c r="A215" s="1294"/>
      <c r="B215" s="1297" t="s">
        <v>1280</v>
      </c>
      <c r="C215" s="1295"/>
      <c r="D215" s="1296"/>
      <c r="E215" s="1296"/>
      <c r="F215" s="1296"/>
      <c r="G215" s="1296"/>
    </row>
    <row r="216" spans="1:7" ht="13.8" x14ac:dyDescent="0.25">
      <c r="A216" s="1294"/>
      <c r="B216" s="1294"/>
      <c r="C216" s="1295"/>
      <c r="D216" s="1296"/>
      <c r="E216" s="1296"/>
      <c r="F216" s="1296"/>
      <c r="G216" s="1296"/>
    </row>
    <row r="217" spans="1:7" ht="13.8" x14ac:dyDescent="0.25">
      <c r="A217" s="1294"/>
      <c r="B217" s="1294" t="s">
        <v>1304</v>
      </c>
      <c r="C217" s="1296" t="s">
        <v>1279</v>
      </c>
      <c r="D217" s="1296">
        <v>0.33</v>
      </c>
      <c r="E217" s="1296">
        <v>5000</v>
      </c>
      <c r="F217" s="1296">
        <f>D217*E217</f>
        <v>1650</v>
      </c>
      <c r="G217" s="1296"/>
    </row>
    <row r="218" spans="1:7" ht="13.8" x14ac:dyDescent="0.25">
      <c r="A218" s="1294"/>
      <c r="B218" s="1294" t="s">
        <v>1107</v>
      </c>
      <c r="C218" s="1296" t="s">
        <v>1279</v>
      </c>
      <c r="D218" s="1296">
        <v>0.33</v>
      </c>
      <c r="E218" s="1296">
        <v>2000</v>
      </c>
      <c r="F218" s="1296">
        <f>D218*E218</f>
        <v>660</v>
      </c>
      <c r="G218" s="1296"/>
    </row>
    <row r="219" spans="1:7" ht="13.8" x14ac:dyDescent="0.25">
      <c r="A219" s="1294"/>
      <c r="B219" s="1294"/>
      <c r="C219" s="1295"/>
      <c r="D219" s="1296"/>
      <c r="E219" s="1296"/>
      <c r="F219" s="1296"/>
      <c r="G219" s="1296"/>
    </row>
    <row r="220" spans="1:7" ht="13.8" x14ac:dyDescent="0.25">
      <c r="A220" s="1298"/>
      <c r="B220" s="1476" t="s">
        <v>1282</v>
      </c>
      <c r="C220" s="1476"/>
      <c r="D220" s="1476"/>
      <c r="E220" s="1476"/>
      <c r="F220" s="1299">
        <f t="shared" ref="F220" si="22">D220*E220</f>
        <v>0</v>
      </c>
      <c r="G220" s="1300">
        <f>SUM(F216:F220)</f>
        <v>2310</v>
      </c>
    </row>
    <row r="221" spans="1:7" ht="13.8" x14ac:dyDescent="0.25">
      <c r="A221" s="1294"/>
      <c r="B221" s="1302"/>
      <c r="C221" s="1302"/>
      <c r="D221" s="1302"/>
      <c r="E221" s="1302"/>
      <c r="F221" s="1296"/>
      <c r="G221" s="1302"/>
    </row>
    <row r="222" spans="1:7" ht="13.8" x14ac:dyDescent="0.25">
      <c r="A222" s="1294"/>
      <c r="B222" s="1302"/>
      <c r="C222" s="1302"/>
      <c r="D222" s="1302"/>
      <c r="E222" s="1302"/>
      <c r="F222" s="1296"/>
      <c r="G222" s="1302"/>
    </row>
    <row r="223" spans="1:7" ht="13.8" x14ac:dyDescent="0.25">
      <c r="A223" s="1469" t="s">
        <v>1272</v>
      </c>
      <c r="B223" s="1469"/>
      <c r="C223" s="1469"/>
      <c r="D223" s="1469"/>
      <c r="E223" s="1469"/>
      <c r="F223" s="1469"/>
      <c r="G223" s="1303">
        <f>G210+G214+G220</f>
        <v>71248.125</v>
      </c>
    </row>
    <row r="224" spans="1:7" ht="16.2" x14ac:dyDescent="0.25">
      <c r="A224" s="1469" t="s">
        <v>1273</v>
      </c>
      <c r="B224" s="1469"/>
      <c r="C224" s="1469"/>
      <c r="D224" s="1469"/>
      <c r="E224" s="1469"/>
      <c r="F224" s="1469"/>
      <c r="G224" s="1303">
        <f>G223/2.83</f>
        <v>25176.015901060069</v>
      </c>
    </row>
    <row r="225" spans="1:7" ht="16.2" x14ac:dyDescent="0.25">
      <c r="A225" s="1469" t="s">
        <v>1305</v>
      </c>
      <c r="B225" s="1469"/>
      <c r="C225" s="1469"/>
      <c r="D225" s="1469"/>
      <c r="E225" s="1469"/>
      <c r="F225" s="1469"/>
      <c r="G225" s="1303">
        <f>+G224*0.05</f>
        <v>1258.8007950530036</v>
      </c>
    </row>
    <row r="226" spans="1:7" ht="13.8" x14ac:dyDescent="0.25">
      <c r="A226" s="1326"/>
      <c r="B226" s="1326"/>
      <c r="C226" s="1326"/>
      <c r="D226" s="1326"/>
      <c r="E226" s="1326"/>
      <c r="F226" s="1314"/>
      <c r="G226" s="1314"/>
    </row>
    <row r="227" spans="1:7" ht="13.8" x14ac:dyDescent="0.25">
      <c r="A227" s="1326"/>
      <c r="B227" s="1326"/>
      <c r="C227" s="1326"/>
      <c r="D227" s="1326"/>
      <c r="E227" s="1326"/>
      <c r="F227" s="1314"/>
      <c r="G227" s="1314"/>
    </row>
    <row r="228" spans="1:7" ht="14.4" thickBot="1" x14ac:dyDescent="0.3">
      <c r="A228" s="1326"/>
      <c r="B228" s="1326"/>
      <c r="C228" s="1326"/>
      <c r="D228" s="1326"/>
      <c r="E228" s="1326"/>
      <c r="F228" s="1314"/>
      <c r="G228" s="1314"/>
    </row>
    <row r="229" spans="1:7" ht="13.8" x14ac:dyDescent="0.25">
      <c r="A229" s="1470" t="s">
        <v>1306</v>
      </c>
      <c r="B229" s="1471"/>
      <c r="C229" s="1471"/>
      <c r="D229" s="1471"/>
      <c r="E229" s="1471"/>
      <c r="F229" s="1471"/>
      <c r="G229" s="1472"/>
    </row>
    <row r="230" spans="1:7" ht="14.4" thickBot="1" x14ac:dyDescent="0.3">
      <c r="A230" s="1473" t="s">
        <v>1270</v>
      </c>
      <c r="B230" s="1474"/>
      <c r="C230" s="1474"/>
      <c r="D230" s="1474"/>
      <c r="E230" s="1474"/>
      <c r="F230" s="1474"/>
      <c r="G230" s="1475"/>
    </row>
    <row r="231" spans="1:7" ht="14.4" thickBot="1" x14ac:dyDescent="0.3">
      <c r="A231" s="1292"/>
      <c r="B231" s="1293" t="s">
        <v>1038</v>
      </c>
      <c r="C231" s="1293" t="s">
        <v>1039</v>
      </c>
      <c r="D231" s="1293" t="s">
        <v>2</v>
      </c>
      <c r="E231" s="1293" t="s">
        <v>1040</v>
      </c>
      <c r="F231" s="1293" t="s">
        <v>5</v>
      </c>
      <c r="G231" s="1293" t="s">
        <v>1260</v>
      </c>
    </row>
    <row r="232" spans="1:7" ht="13.8" x14ac:dyDescent="0.25">
      <c r="A232" s="1294"/>
      <c r="B232" s="1294"/>
      <c r="C232" s="1295"/>
      <c r="D232" s="1296"/>
      <c r="E232" s="1296"/>
      <c r="F232" s="1296"/>
      <c r="G232" s="1296"/>
    </row>
    <row r="233" spans="1:7" ht="13.8" x14ac:dyDescent="0.25">
      <c r="A233" s="1294"/>
      <c r="B233" s="1297" t="s">
        <v>1276</v>
      </c>
      <c r="C233" s="1295"/>
      <c r="D233" s="1296"/>
      <c r="E233" s="1296"/>
      <c r="F233" s="1296"/>
      <c r="G233" s="1296"/>
    </row>
    <row r="234" spans="1:7" ht="13.8" x14ac:dyDescent="0.25">
      <c r="A234" s="1306"/>
      <c r="B234" s="1306" t="s">
        <v>1093</v>
      </c>
      <c r="C234" s="1307" t="s">
        <v>1094</v>
      </c>
      <c r="D234" s="1307">
        <v>18</v>
      </c>
      <c r="E234" s="1307">
        <f>F197</f>
        <v>2235.625</v>
      </c>
      <c r="F234" s="1307">
        <f>D234*E234</f>
        <v>40241.25</v>
      </c>
      <c r="G234" s="1307"/>
    </row>
    <row r="235" spans="1:7" ht="13.8" x14ac:dyDescent="0.25">
      <c r="A235" s="1306"/>
      <c r="B235" s="1324" t="s">
        <v>1159</v>
      </c>
      <c r="C235" s="1307" t="s">
        <v>1110</v>
      </c>
      <c r="D235" s="1307">
        <v>0.5</v>
      </c>
      <c r="E235" s="1307">
        <f>[19]Material!E13</f>
        <v>23500</v>
      </c>
      <c r="F235" s="1307">
        <f t="shared" ref="F235:F236" si="23">D235*E235</f>
        <v>11750</v>
      </c>
      <c r="G235" s="1307"/>
    </row>
    <row r="236" spans="1:7" ht="13.8" x14ac:dyDescent="0.25">
      <c r="A236" s="1306"/>
      <c r="B236" s="1325" t="s">
        <v>1303</v>
      </c>
      <c r="C236" s="1307" t="s">
        <v>1110</v>
      </c>
      <c r="D236" s="1307">
        <v>0.88</v>
      </c>
      <c r="E236" s="1307">
        <f>[19]Material!E17</f>
        <v>13500</v>
      </c>
      <c r="F236" s="1307">
        <f t="shared" si="23"/>
        <v>11880</v>
      </c>
      <c r="G236" s="1307"/>
    </row>
    <row r="237" spans="1:7" ht="13.8" x14ac:dyDescent="0.25">
      <c r="A237" s="1294"/>
      <c r="B237" s="1294"/>
      <c r="C237" s="1295"/>
      <c r="D237" s="1296"/>
      <c r="E237" s="1296"/>
      <c r="F237" s="1310"/>
      <c r="G237" s="1296"/>
    </row>
    <row r="238" spans="1:7" ht="13.8" x14ac:dyDescent="0.25">
      <c r="A238" s="1298"/>
      <c r="B238" s="1476" t="s">
        <v>1277</v>
      </c>
      <c r="C238" s="1476"/>
      <c r="D238" s="1476"/>
      <c r="E238" s="1476"/>
      <c r="F238" s="1299"/>
      <c r="G238" s="1300">
        <f>SUM(F233:F238)</f>
        <v>63871.25</v>
      </c>
    </row>
    <row r="239" spans="1:7" ht="13.8" x14ac:dyDescent="0.25">
      <c r="A239" s="1294"/>
      <c r="B239" s="1297" t="s">
        <v>1261</v>
      </c>
      <c r="C239" s="1295"/>
      <c r="D239" s="1296"/>
      <c r="E239" s="1296"/>
      <c r="F239" s="1296"/>
      <c r="G239" s="1296"/>
    </row>
    <row r="240" spans="1:7" ht="13.8" x14ac:dyDescent="0.25">
      <c r="A240" s="1306"/>
      <c r="B240" s="1306" t="s">
        <v>1271</v>
      </c>
      <c r="C240" s="1307" t="s">
        <v>1110</v>
      </c>
      <c r="D240" s="1307">
        <v>1</v>
      </c>
      <c r="E240" s="1307">
        <v>18000</v>
      </c>
      <c r="F240" s="1307">
        <f t="shared" ref="F240" si="24">D240*E240</f>
        <v>18000</v>
      </c>
      <c r="G240" s="1307"/>
    </row>
    <row r="241" spans="1:7" ht="13.8" x14ac:dyDescent="0.25">
      <c r="A241" s="1294"/>
      <c r="B241" s="1294"/>
      <c r="C241" s="1295"/>
      <c r="D241" s="1296"/>
      <c r="E241" s="1296"/>
      <c r="F241" s="1296"/>
      <c r="G241" s="1296"/>
    </row>
    <row r="242" spans="1:7" ht="13.8" x14ac:dyDescent="0.25">
      <c r="A242" s="1298"/>
      <c r="B242" s="1476" t="s">
        <v>1264</v>
      </c>
      <c r="C242" s="1476"/>
      <c r="D242" s="1476"/>
      <c r="E242" s="1476"/>
      <c r="F242" s="1299"/>
      <c r="G242" s="1300">
        <f>SUM(F240:F242)</f>
        <v>18000</v>
      </c>
    </row>
    <row r="243" spans="1:7" ht="13.8" x14ac:dyDescent="0.25">
      <c r="A243" s="1294"/>
      <c r="B243" s="1297" t="s">
        <v>1280</v>
      </c>
      <c r="C243" s="1295"/>
      <c r="D243" s="1296"/>
      <c r="E243" s="1296"/>
      <c r="F243" s="1296"/>
      <c r="G243" s="1296"/>
    </row>
    <row r="244" spans="1:7" ht="13.8" x14ac:dyDescent="0.25">
      <c r="A244" s="1294"/>
      <c r="B244" s="1294"/>
      <c r="C244" s="1295"/>
      <c r="D244" s="1296"/>
      <c r="E244" s="1296"/>
      <c r="F244" s="1296"/>
      <c r="G244" s="1296"/>
    </row>
    <row r="245" spans="1:7" ht="13.8" x14ac:dyDescent="0.25">
      <c r="A245" s="1294"/>
      <c r="B245" s="1294" t="s">
        <v>1304</v>
      </c>
      <c r="C245" s="1296" t="s">
        <v>1279</v>
      </c>
      <c r="D245" s="1296">
        <v>0.33</v>
      </c>
      <c r="E245" s="1296">
        <v>5000</v>
      </c>
      <c r="F245" s="1296">
        <f>D245*E245</f>
        <v>1650</v>
      </c>
      <c r="G245" s="1296"/>
    </row>
    <row r="246" spans="1:7" ht="13.8" x14ac:dyDescent="0.25">
      <c r="A246" s="1294"/>
      <c r="B246" s="1294" t="s">
        <v>1107</v>
      </c>
      <c r="C246" s="1296" t="s">
        <v>1279</v>
      </c>
      <c r="D246" s="1296">
        <v>0.33</v>
      </c>
      <c r="E246" s="1296">
        <v>2000</v>
      </c>
      <c r="F246" s="1296">
        <f>D246*E246</f>
        <v>660</v>
      </c>
      <c r="G246" s="1296"/>
    </row>
    <row r="247" spans="1:7" ht="13.8" x14ac:dyDescent="0.25">
      <c r="A247" s="1294"/>
      <c r="B247" s="1294"/>
      <c r="C247" s="1295"/>
      <c r="D247" s="1296"/>
      <c r="E247" s="1296"/>
      <c r="F247" s="1296"/>
      <c r="G247" s="1296"/>
    </row>
    <row r="248" spans="1:7" ht="13.8" x14ac:dyDescent="0.25">
      <c r="A248" s="1298"/>
      <c r="B248" s="1476" t="s">
        <v>1282</v>
      </c>
      <c r="C248" s="1476"/>
      <c r="D248" s="1476"/>
      <c r="E248" s="1476"/>
      <c r="F248" s="1299"/>
      <c r="G248" s="1300">
        <f>SUM(F244:F248)</f>
        <v>2310</v>
      </c>
    </row>
    <row r="249" spans="1:7" ht="13.8" x14ac:dyDescent="0.25">
      <c r="A249" s="1294"/>
      <c r="B249" s="1302"/>
      <c r="C249" s="1302"/>
      <c r="D249" s="1302"/>
      <c r="E249" s="1302"/>
      <c r="F249" s="1296"/>
      <c r="G249" s="1302"/>
    </row>
    <row r="250" spans="1:7" ht="13.8" x14ac:dyDescent="0.25">
      <c r="A250" s="1294"/>
      <c r="B250" s="1302"/>
      <c r="C250" s="1302"/>
      <c r="D250" s="1302"/>
      <c r="E250" s="1302"/>
      <c r="F250" s="1296"/>
      <c r="G250" s="1302"/>
    </row>
    <row r="251" spans="1:7" ht="13.8" x14ac:dyDescent="0.25">
      <c r="A251" s="1483" t="s">
        <v>1307</v>
      </c>
      <c r="B251" s="1484"/>
      <c r="C251" s="1484"/>
      <c r="D251" s="1484"/>
      <c r="E251" s="1484"/>
      <c r="F251" s="1484"/>
      <c r="G251" s="1327">
        <f>G238+G242+G248</f>
        <v>84181.25</v>
      </c>
    </row>
    <row r="252" spans="1:7" ht="16.2" x14ac:dyDescent="0.25">
      <c r="A252" s="1483" t="s">
        <v>1273</v>
      </c>
      <c r="B252" s="1484"/>
      <c r="C252" s="1484"/>
      <c r="D252" s="1484"/>
      <c r="E252" s="1484"/>
      <c r="F252" s="1484"/>
      <c r="G252" s="1327">
        <f>G251/2.83</f>
        <v>29746.024734982333</v>
      </c>
    </row>
    <row r="253" spans="1:7" ht="13.8" x14ac:dyDescent="0.25">
      <c r="A253" s="1483" t="s">
        <v>1308</v>
      </c>
      <c r="B253" s="1484"/>
      <c r="C253" s="1484"/>
      <c r="D253" s="1484"/>
      <c r="E253" s="1484"/>
      <c r="F253" s="1484"/>
      <c r="G253" s="1327">
        <f>G251*1.03</f>
        <v>86706.6875</v>
      </c>
    </row>
    <row r="254" spans="1:7" ht="14.4" thickBot="1" x14ac:dyDescent="0.3">
      <c r="A254" s="1485" t="s">
        <v>1309</v>
      </c>
      <c r="B254" s="1486"/>
      <c r="C254" s="1486"/>
      <c r="D254" s="1486"/>
      <c r="E254" s="1486"/>
      <c r="F254" s="1486"/>
      <c r="G254" s="1328">
        <f>G251*1.05</f>
        <v>88390.3125</v>
      </c>
    </row>
    <row r="255" spans="1:7" ht="13.8" x14ac:dyDescent="0.25">
      <c r="A255" s="1326"/>
      <c r="B255" s="1326"/>
      <c r="C255" s="1326"/>
      <c r="D255" s="1326"/>
      <c r="E255" s="1326"/>
      <c r="F255" s="1314"/>
      <c r="G255" s="1314"/>
    </row>
    <row r="256" spans="1:7" ht="13.8" x14ac:dyDescent="0.25">
      <c r="A256" s="1326"/>
      <c r="B256" s="1326"/>
      <c r="C256" s="1326"/>
      <c r="D256" s="1326"/>
      <c r="E256" s="1326"/>
      <c r="F256" s="1314"/>
      <c r="G256" s="1314"/>
    </row>
    <row r="257" spans="1:7" ht="13.8" x14ac:dyDescent="0.25">
      <c r="A257" s="1326"/>
      <c r="B257" s="1326"/>
      <c r="C257" s="1326"/>
      <c r="D257" s="1326"/>
      <c r="E257" s="1326"/>
      <c r="F257" s="1314"/>
      <c r="G257" s="1314"/>
    </row>
    <row r="258" spans="1:7" ht="14.4" thickBot="1" x14ac:dyDescent="0.3">
      <c r="A258" s="1329"/>
      <c r="B258" s="1329"/>
      <c r="C258" s="1329"/>
      <c r="D258" s="1329"/>
      <c r="E258" s="1329"/>
      <c r="F258" s="1330"/>
      <c r="G258" s="1330"/>
    </row>
    <row r="259" spans="1:7" ht="13.8" x14ac:dyDescent="0.25">
      <c r="A259" s="1470" t="s">
        <v>1310</v>
      </c>
      <c r="B259" s="1471"/>
      <c r="C259" s="1471"/>
      <c r="D259" s="1471"/>
      <c r="E259" s="1471"/>
      <c r="F259" s="1471"/>
      <c r="G259" s="1472"/>
    </row>
    <row r="260" spans="1:7" ht="14.4" thickBot="1" x14ac:dyDescent="0.3">
      <c r="A260" s="1473" t="s">
        <v>1270</v>
      </c>
      <c r="B260" s="1474"/>
      <c r="C260" s="1474"/>
      <c r="D260" s="1474"/>
      <c r="E260" s="1474"/>
      <c r="F260" s="1474"/>
      <c r="G260" s="1475"/>
    </row>
    <row r="261" spans="1:7" ht="14.4" thickBot="1" x14ac:dyDescent="0.3">
      <c r="A261" s="1292"/>
      <c r="B261" s="1293" t="s">
        <v>1038</v>
      </c>
      <c r="C261" s="1293" t="s">
        <v>1039</v>
      </c>
      <c r="D261" s="1293" t="s">
        <v>2</v>
      </c>
      <c r="E261" s="1293" t="s">
        <v>1040</v>
      </c>
      <c r="F261" s="1293" t="s">
        <v>5</v>
      </c>
      <c r="G261" s="1293" t="s">
        <v>1260</v>
      </c>
    </row>
    <row r="262" spans="1:7" ht="13.8" x14ac:dyDescent="0.25">
      <c r="A262" s="1294"/>
      <c r="B262" s="1294"/>
      <c r="C262" s="1295"/>
      <c r="D262" s="1296"/>
      <c r="E262" s="1296"/>
      <c r="F262" s="1296"/>
      <c r="G262" s="1296"/>
    </row>
    <row r="263" spans="1:7" ht="13.8" x14ac:dyDescent="0.25">
      <c r="A263" s="1294"/>
      <c r="B263" s="1297" t="s">
        <v>1276</v>
      </c>
      <c r="C263" s="1295"/>
      <c r="D263" s="1296"/>
      <c r="E263" s="1296"/>
      <c r="F263" s="1296"/>
      <c r="G263" s="1296"/>
    </row>
    <row r="264" spans="1:7" ht="13.8" x14ac:dyDescent="0.25">
      <c r="A264" s="1306"/>
      <c r="B264" s="1306" t="s">
        <v>1093</v>
      </c>
      <c r="C264" s="1307" t="s">
        <v>1094</v>
      </c>
      <c r="D264" s="1307">
        <v>23</v>
      </c>
      <c r="E264" s="1307">
        <f>F197</f>
        <v>2235.625</v>
      </c>
      <c r="F264" s="1307">
        <f>D264*E264</f>
        <v>51419.375</v>
      </c>
      <c r="G264" s="1307"/>
    </row>
    <row r="265" spans="1:7" ht="13.8" x14ac:dyDescent="0.25">
      <c r="A265" s="1306"/>
      <c r="B265" s="1324" t="s">
        <v>1159</v>
      </c>
      <c r="C265" s="1307" t="s">
        <v>1110</v>
      </c>
      <c r="D265" s="1307">
        <v>0.42</v>
      </c>
      <c r="E265" s="1307">
        <f>[19]Material!E13</f>
        <v>23500</v>
      </c>
      <c r="F265" s="1307">
        <f t="shared" ref="F265:F270" si="25">D265*E265</f>
        <v>9870</v>
      </c>
      <c r="G265" s="1307"/>
    </row>
    <row r="266" spans="1:7" ht="13.8" x14ac:dyDescent="0.25">
      <c r="A266" s="1306"/>
      <c r="B266" s="1325" t="s">
        <v>1311</v>
      </c>
      <c r="C266" s="1307" t="s">
        <v>1110</v>
      </c>
      <c r="D266" s="1307">
        <v>0.82</v>
      </c>
      <c r="E266" s="1307">
        <f>[19]Material!E17</f>
        <v>13500</v>
      </c>
      <c r="F266" s="1307">
        <f t="shared" si="25"/>
        <v>11070</v>
      </c>
      <c r="G266" s="1307"/>
    </row>
    <row r="267" spans="1:7" ht="13.8" x14ac:dyDescent="0.25">
      <c r="A267" s="1294"/>
      <c r="B267" s="1294"/>
      <c r="C267" s="1295"/>
      <c r="D267" s="1296"/>
      <c r="E267" s="1296"/>
      <c r="F267" s="1296">
        <f t="shared" si="25"/>
        <v>0</v>
      </c>
      <c r="G267" s="1296"/>
    </row>
    <row r="268" spans="1:7" ht="13.8" x14ac:dyDescent="0.25">
      <c r="A268" s="1298"/>
      <c r="B268" s="1476" t="s">
        <v>1277</v>
      </c>
      <c r="C268" s="1476"/>
      <c r="D268" s="1476"/>
      <c r="E268" s="1476"/>
      <c r="F268" s="1299">
        <f t="shared" si="25"/>
        <v>0</v>
      </c>
      <c r="G268" s="1300">
        <f>SUM(F263:F268)</f>
        <v>72359.375</v>
      </c>
    </row>
    <row r="269" spans="1:7" ht="13.8" x14ac:dyDescent="0.25">
      <c r="A269" s="1294"/>
      <c r="B269" s="1297" t="s">
        <v>1261</v>
      </c>
      <c r="C269" s="1295"/>
      <c r="D269" s="1296"/>
      <c r="E269" s="1296"/>
      <c r="F269" s="1296">
        <f t="shared" si="25"/>
        <v>0</v>
      </c>
      <c r="G269" s="1296"/>
    </row>
    <row r="270" spans="1:7" ht="13.8" x14ac:dyDescent="0.25">
      <c r="A270" s="1306"/>
      <c r="B270" s="1306" t="s">
        <v>1271</v>
      </c>
      <c r="C270" s="1307" t="s">
        <v>1110</v>
      </c>
      <c r="D270" s="1307">
        <v>1</v>
      </c>
      <c r="E270" s="1307">
        <v>18000</v>
      </c>
      <c r="F270" s="1307">
        <f t="shared" si="25"/>
        <v>18000</v>
      </c>
      <c r="G270" s="1307"/>
    </row>
    <row r="271" spans="1:7" ht="13.8" x14ac:dyDescent="0.25">
      <c r="A271" s="1294"/>
      <c r="B271" s="1294"/>
      <c r="C271" s="1295"/>
      <c r="D271" s="1296"/>
      <c r="E271" s="1296"/>
      <c r="F271" s="1296"/>
      <c r="G271" s="1296"/>
    </row>
    <row r="272" spans="1:7" ht="13.8" x14ac:dyDescent="0.25">
      <c r="A272" s="1298"/>
      <c r="B272" s="1476" t="s">
        <v>1264</v>
      </c>
      <c r="C272" s="1476"/>
      <c r="D272" s="1476"/>
      <c r="E272" s="1476"/>
      <c r="F272" s="1299">
        <f t="shared" ref="F272" si="26">D272*E272</f>
        <v>0</v>
      </c>
      <c r="G272" s="1300">
        <f>SUM(F270:F272)</f>
        <v>18000</v>
      </c>
    </row>
    <row r="273" spans="1:7" ht="13.8" x14ac:dyDescent="0.25">
      <c r="A273" s="1294"/>
      <c r="B273" s="1297" t="s">
        <v>1280</v>
      </c>
      <c r="C273" s="1295"/>
      <c r="D273" s="1296"/>
      <c r="E273" s="1296"/>
      <c r="F273" s="1296"/>
      <c r="G273" s="1296"/>
    </row>
    <row r="274" spans="1:7" ht="13.8" x14ac:dyDescent="0.25">
      <c r="A274" s="1294"/>
      <c r="B274" s="1294"/>
      <c r="C274" s="1295"/>
      <c r="D274" s="1296"/>
      <c r="E274" s="1296"/>
      <c r="F274" s="1296"/>
      <c r="G274" s="1296"/>
    </row>
    <row r="275" spans="1:7" ht="13.8" x14ac:dyDescent="0.25">
      <c r="A275" s="1294"/>
      <c r="B275" s="1294" t="s">
        <v>1304</v>
      </c>
      <c r="C275" s="1296" t="s">
        <v>1279</v>
      </c>
      <c r="D275" s="1296">
        <v>0.33</v>
      </c>
      <c r="E275" s="1296">
        <v>5000</v>
      </c>
      <c r="F275" s="1296">
        <f>D275*E275</f>
        <v>1650</v>
      </c>
      <c r="G275" s="1296"/>
    </row>
    <row r="276" spans="1:7" ht="13.8" x14ac:dyDescent="0.25">
      <c r="A276" s="1294"/>
      <c r="B276" s="1294" t="s">
        <v>1107</v>
      </c>
      <c r="C276" s="1296" t="s">
        <v>1279</v>
      </c>
      <c r="D276" s="1296">
        <v>0.33</v>
      </c>
      <c r="E276" s="1296">
        <v>2000</v>
      </c>
      <c r="F276" s="1296">
        <f>D276*E276</f>
        <v>660</v>
      </c>
      <c r="G276" s="1296"/>
    </row>
    <row r="277" spans="1:7" ht="13.8" x14ac:dyDescent="0.25">
      <c r="A277" s="1294"/>
      <c r="B277" s="1294"/>
      <c r="C277" s="1295"/>
      <c r="D277" s="1296"/>
      <c r="E277" s="1296"/>
      <c r="F277" s="1296"/>
      <c r="G277" s="1296"/>
    </row>
    <row r="278" spans="1:7" ht="13.8" x14ac:dyDescent="0.25">
      <c r="A278" s="1298"/>
      <c r="B278" s="1476" t="s">
        <v>1282</v>
      </c>
      <c r="C278" s="1476"/>
      <c r="D278" s="1476"/>
      <c r="E278" s="1476"/>
      <c r="F278" s="1299">
        <f t="shared" ref="F278" si="27">D278*E278</f>
        <v>0</v>
      </c>
      <c r="G278" s="1300">
        <f>SUM(F274:F278)</f>
        <v>2310</v>
      </c>
    </row>
    <row r="279" spans="1:7" ht="13.8" x14ac:dyDescent="0.25">
      <c r="A279" s="1294"/>
      <c r="B279" s="1302"/>
      <c r="C279" s="1302"/>
      <c r="D279" s="1302"/>
      <c r="E279" s="1302"/>
      <c r="F279" s="1296"/>
      <c r="G279" s="1302"/>
    </row>
    <row r="280" spans="1:7" ht="13.8" x14ac:dyDescent="0.25">
      <c r="A280" s="1294"/>
      <c r="B280" s="1302"/>
      <c r="C280" s="1302"/>
      <c r="D280" s="1302"/>
      <c r="E280" s="1302"/>
      <c r="F280" s="1296"/>
      <c r="G280" s="1302"/>
    </row>
    <row r="281" spans="1:7" ht="13.8" x14ac:dyDescent="0.25">
      <c r="A281" s="1469" t="s">
        <v>1272</v>
      </c>
      <c r="B281" s="1469"/>
      <c r="C281" s="1469"/>
      <c r="D281" s="1469"/>
      <c r="E281" s="1469"/>
      <c r="F281" s="1469"/>
      <c r="G281" s="1303">
        <f>G268+G272+G278</f>
        <v>92669.375</v>
      </c>
    </row>
    <row r="282" spans="1:7" ht="16.2" x14ac:dyDescent="0.25">
      <c r="A282" s="1469" t="s">
        <v>1273</v>
      </c>
      <c r="B282" s="1469"/>
      <c r="C282" s="1469"/>
      <c r="D282" s="1469"/>
      <c r="E282" s="1469"/>
      <c r="F282" s="1469"/>
      <c r="G282" s="1303">
        <f>G281/2.83</f>
        <v>32745.362190812721</v>
      </c>
    </row>
    <row r="283" spans="1:7" ht="14.4" thickBot="1" x14ac:dyDescent="0.3">
      <c r="A283" s="1487"/>
      <c r="B283" s="1487"/>
      <c r="C283" s="1487"/>
      <c r="D283" s="1487"/>
      <c r="E283" s="1487"/>
      <c r="F283" s="1487"/>
      <c r="G283" s="1331"/>
    </row>
    <row r="286" spans="1:7" ht="13.8" thickBot="1" x14ac:dyDescent="0.3"/>
    <row r="287" spans="1:7" ht="13.8" x14ac:dyDescent="0.25">
      <c r="A287" s="1470" t="s">
        <v>1312</v>
      </c>
      <c r="B287" s="1471"/>
      <c r="C287" s="1471"/>
      <c r="D287" s="1471"/>
      <c r="E287" s="1471"/>
      <c r="F287" s="1471"/>
      <c r="G287" s="1472"/>
    </row>
    <row r="288" spans="1:7" ht="14.4" thickBot="1" x14ac:dyDescent="0.3">
      <c r="A288" s="1473" t="s">
        <v>1259</v>
      </c>
      <c r="B288" s="1474"/>
      <c r="C288" s="1474"/>
      <c r="D288" s="1474"/>
      <c r="E288" s="1474"/>
      <c r="F288" s="1474"/>
      <c r="G288" s="1475"/>
    </row>
    <row r="289" spans="1:7" ht="14.4" thickBot="1" x14ac:dyDescent="0.3">
      <c r="A289" s="1292"/>
      <c r="B289" s="1293" t="s">
        <v>1038</v>
      </c>
      <c r="C289" s="1293" t="s">
        <v>1039</v>
      </c>
      <c r="D289" s="1293" t="s">
        <v>2</v>
      </c>
      <c r="E289" s="1293" t="s">
        <v>1040</v>
      </c>
      <c r="F289" s="1293" t="s">
        <v>5</v>
      </c>
      <c r="G289" s="1293" t="s">
        <v>1260</v>
      </c>
    </row>
    <row r="290" spans="1:7" ht="13.8" x14ac:dyDescent="0.25">
      <c r="A290" s="1294"/>
      <c r="B290" s="1294"/>
      <c r="C290" s="1295"/>
      <c r="D290" s="1296"/>
      <c r="E290" s="1296"/>
      <c r="F290" s="1296"/>
      <c r="G290" s="1296"/>
    </row>
    <row r="291" spans="1:7" ht="13.8" x14ac:dyDescent="0.25">
      <c r="A291" s="1294"/>
      <c r="B291" s="1297"/>
      <c r="C291" s="1295"/>
      <c r="D291" s="1296"/>
      <c r="E291" s="1296"/>
      <c r="F291" s="1296"/>
      <c r="G291" s="1296"/>
    </row>
    <row r="292" spans="1:7" ht="13.8" x14ac:dyDescent="0.25">
      <c r="A292" s="1294"/>
      <c r="B292" s="1294" t="s">
        <v>1313</v>
      </c>
      <c r="C292" s="1296" t="s">
        <v>1110</v>
      </c>
      <c r="D292" s="1296">
        <v>0.17</v>
      </c>
      <c r="E292" s="1296">
        <f>G210</f>
        <v>53938.125</v>
      </c>
      <c r="F292" s="1296">
        <f>D292*E292</f>
        <v>9169.4812500000007</v>
      </c>
      <c r="G292" s="1296"/>
    </row>
    <row r="293" spans="1:7" ht="13.8" x14ac:dyDescent="0.25">
      <c r="A293" s="1294"/>
      <c r="B293" s="1294"/>
      <c r="C293" s="1296"/>
      <c r="D293" s="1296"/>
      <c r="E293" s="1296"/>
      <c r="F293" s="1296"/>
      <c r="G293" s="1296"/>
    </row>
    <row r="294" spans="1:7" ht="13.8" x14ac:dyDescent="0.25">
      <c r="A294" s="1294"/>
      <c r="B294" s="1311" t="s">
        <v>1314</v>
      </c>
      <c r="C294" s="1296"/>
      <c r="D294" s="1296"/>
      <c r="E294" s="1296"/>
      <c r="F294" s="1296">
        <f>F292*10%</f>
        <v>916.94812500000012</v>
      </c>
      <c r="G294" s="1296"/>
    </row>
    <row r="295" spans="1:7" ht="13.8" x14ac:dyDescent="0.25">
      <c r="A295" s="1294"/>
      <c r="B295" s="1295"/>
      <c r="C295" s="1296"/>
      <c r="D295" s="1296"/>
      <c r="E295" s="1296"/>
      <c r="F295" s="1296"/>
      <c r="G295" s="1296"/>
    </row>
    <row r="296" spans="1:7" ht="13.8" x14ac:dyDescent="0.25">
      <c r="A296" s="1294"/>
      <c r="B296" s="1294"/>
      <c r="C296" s="1295"/>
      <c r="D296" s="1296"/>
      <c r="E296" s="1296"/>
      <c r="F296" s="1296"/>
      <c r="G296" s="1296"/>
    </row>
    <row r="297" spans="1:7" ht="13.8" x14ac:dyDescent="0.25">
      <c r="A297" s="1298"/>
      <c r="B297" s="1476" t="s">
        <v>1277</v>
      </c>
      <c r="C297" s="1476"/>
      <c r="D297" s="1476"/>
      <c r="E297" s="1476"/>
      <c r="F297" s="1299">
        <f t="shared" ref="F297:F299" si="28">D297*E297</f>
        <v>0</v>
      </c>
      <c r="G297" s="1300">
        <f>SUM(F291:F297)</f>
        <v>10086.429375000002</v>
      </c>
    </row>
    <row r="298" spans="1:7" ht="13.8" x14ac:dyDescent="0.25">
      <c r="A298" s="1294"/>
      <c r="B298" s="1297" t="s">
        <v>1261</v>
      </c>
      <c r="C298" s="1295"/>
      <c r="D298" s="1296"/>
      <c r="E298" s="1296"/>
      <c r="F298" s="1296"/>
      <c r="G298" s="1296"/>
    </row>
    <row r="299" spans="1:7" ht="13.8" x14ac:dyDescent="0.25">
      <c r="A299" s="1306"/>
      <c r="B299" s="1306" t="s">
        <v>1315</v>
      </c>
      <c r="C299" s="1307" t="s">
        <v>1316</v>
      </c>
      <c r="D299" s="1307">
        <v>100</v>
      </c>
      <c r="E299" s="1307">
        <v>50</v>
      </c>
      <c r="F299" s="1307">
        <f t="shared" si="28"/>
        <v>5000</v>
      </c>
      <c r="G299" s="1307"/>
    </row>
    <row r="300" spans="1:7" ht="13.8" x14ac:dyDescent="0.25">
      <c r="A300" s="1294"/>
      <c r="B300" s="1294"/>
      <c r="C300" s="1295"/>
      <c r="D300" s="1296"/>
      <c r="E300" s="1296"/>
      <c r="F300" s="1296"/>
      <c r="G300" s="1296"/>
    </row>
    <row r="301" spans="1:7" ht="13.8" x14ac:dyDescent="0.25">
      <c r="A301" s="1298"/>
      <c r="B301" s="1476" t="s">
        <v>1264</v>
      </c>
      <c r="C301" s="1476"/>
      <c r="D301" s="1476"/>
      <c r="E301" s="1476"/>
      <c r="F301" s="1299">
        <f t="shared" ref="F301" si="29">D301*E301</f>
        <v>0</v>
      </c>
      <c r="G301" s="1300">
        <f>SUM(F299:F301)</f>
        <v>5000</v>
      </c>
    </row>
    <row r="302" spans="1:7" ht="13.8" x14ac:dyDescent="0.25">
      <c r="A302" s="1294"/>
      <c r="B302" s="1297" t="s">
        <v>1280</v>
      </c>
      <c r="C302" s="1295"/>
      <c r="D302" s="1296"/>
      <c r="E302" s="1296"/>
      <c r="F302" s="1296"/>
      <c r="G302" s="1296"/>
    </row>
    <row r="303" spans="1:7" ht="13.8" x14ac:dyDescent="0.25">
      <c r="A303" s="1294"/>
      <c r="B303" s="1294"/>
      <c r="C303" s="1295"/>
      <c r="D303" s="1296"/>
      <c r="E303" s="1296"/>
      <c r="F303" s="1296"/>
      <c r="G303" s="1296"/>
    </row>
    <row r="304" spans="1:7" ht="13.8" x14ac:dyDescent="0.25">
      <c r="A304" s="1294"/>
      <c r="B304" s="1294" t="s">
        <v>1304</v>
      </c>
      <c r="C304" s="1296" t="s">
        <v>1279</v>
      </c>
      <c r="D304" s="1296">
        <v>0.06</v>
      </c>
      <c r="E304" s="1296">
        <v>5000</v>
      </c>
      <c r="F304" s="1296">
        <f>D304*E304</f>
        <v>300</v>
      </c>
      <c r="G304" s="1296"/>
    </row>
    <row r="305" spans="1:29" ht="13.8" x14ac:dyDescent="0.25">
      <c r="A305" s="1294"/>
      <c r="B305" s="1294"/>
      <c r="C305" s="1296"/>
      <c r="D305" s="1296"/>
      <c r="E305" s="1296"/>
      <c r="F305" s="1296"/>
      <c r="G305" s="1296"/>
    </row>
    <row r="306" spans="1:29" ht="13.8" x14ac:dyDescent="0.25">
      <c r="A306" s="1294"/>
      <c r="B306" s="1294"/>
      <c r="C306" s="1295"/>
      <c r="D306" s="1296"/>
      <c r="E306" s="1296"/>
      <c r="F306" s="1296"/>
      <c r="G306" s="1296"/>
    </row>
    <row r="307" spans="1:29" ht="13.8" x14ac:dyDescent="0.25">
      <c r="A307" s="1298"/>
      <c r="B307" s="1476" t="s">
        <v>1282</v>
      </c>
      <c r="C307" s="1476"/>
      <c r="D307" s="1476"/>
      <c r="E307" s="1476"/>
      <c r="F307" s="1299">
        <f t="shared" ref="F307" si="30">D307*E307</f>
        <v>0</v>
      </c>
      <c r="G307" s="1300">
        <f>SUM(F303:F307)</f>
        <v>300</v>
      </c>
    </row>
    <row r="308" spans="1:29" ht="13.8" x14ac:dyDescent="0.25">
      <c r="A308" s="1294"/>
      <c r="B308" s="1302"/>
      <c r="C308" s="1302"/>
      <c r="D308" s="1302"/>
      <c r="E308" s="1302"/>
      <c r="F308" s="1296"/>
      <c r="G308" s="1302"/>
    </row>
    <row r="309" spans="1:29" ht="13.8" x14ac:dyDescent="0.25">
      <c r="A309" s="1294"/>
      <c r="B309" s="1302"/>
      <c r="C309" s="1302"/>
      <c r="D309" s="1302"/>
      <c r="E309" s="1302"/>
      <c r="F309" s="1296"/>
      <c r="G309" s="1302"/>
    </row>
    <row r="310" spans="1:29" s="1332" customFormat="1" ht="13.8" x14ac:dyDescent="0.25">
      <c r="A310" s="1469" t="s">
        <v>1295</v>
      </c>
      <c r="B310" s="1469"/>
      <c r="C310" s="1469"/>
      <c r="D310" s="1469"/>
      <c r="E310" s="1469"/>
      <c r="F310" s="1469"/>
      <c r="G310" s="1303">
        <f>G297+G301+G307</f>
        <v>15386.429375000002</v>
      </c>
      <c r="H310" s="1290"/>
      <c r="I310" s="1290"/>
      <c r="J310" s="1290"/>
      <c r="P310" s="1291"/>
      <c r="Q310" s="1291"/>
      <c r="R310" s="1291"/>
      <c r="S310" s="1291"/>
      <c r="T310" s="1291"/>
      <c r="U310" s="1291"/>
      <c r="V310" s="1291"/>
      <c r="W310" s="1291"/>
      <c r="X310" s="1291"/>
      <c r="Y310" s="1291"/>
      <c r="Z310" s="1291"/>
      <c r="AA310" s="1291"/>
      <c r="AB310" s="1291"/>
      <c r="AC310" s="1291"/>
    </row>
    <row r="311" spans="1:29" s="1332" customFormat="1" ht="13.8" x14ac:dyDescent="0.25">
      <c r="A311" s="1469" t="s">
        <v>1296</v>
      </c>
      <c r="B311" s="1469"/>
      <c r="C311" s="1469"/>
      <c r="D311" s="1469"/>
      <c r="E311" s="1469"/>
      <c r="F311" s="1469"/>
      <c r="G311" s="1303">
        <f>G310/9.29</f>
        <v>1656.2356700753501</v>
      </c>
      <c r="H311" s="1290"/>
      <c r="I311" s="1290"/>
      <c r="J311" s="1290"/>
      <c r="P311" s="1291"/>
      <c r="Q311" s="1291"/>
      <c r="R311" s="1291"/>
      <c r="S311" s="1291"/>
      <c r="T311" s="1291"/>
      <c r="U311" s="1291"/>
      <c r="V311" s="1291"/>
      <c r="W311" s="1291"/>
      <c r="X311" s="1291"/>
      <c r="Y311" s="1291"/>
      <c r="Z311" s="1291"/>
      <c r="AA311" s="1291"/>
      <c r="AB311" s="1291"/>
      <c r="AC311" s="1291"/>
    </row>
    <row r="312" spans="1:29" s="1332" customFormat="1" ht="14.4" thickBot="1" x14ac:dyDescent="0.3">
      <c r="A312" s="1478" t="s">
        <v>1297</v>
      </c>
      <c r="B312" s="1478"/>
      <c r="C312" s="1478"/>
      <c r="D312" s="1478"/>
      <c r="E312" s="1478"/>
      <c r="F312" s="1478"/>
      <c r="G312" s="1333">
        <f>G311/10.76</f>
        <v>153.92524814826675</v>
      </c>
      <c r="H312" s="1290"/>
      <c r="I312" s="1290"/>
      <c r="J312" s="1290"/>
      <c r="P312" s="1291"/>
      <c r="Q312" s="1291"/>
      <c r="R312" s="1291"/>
      <c r="S312" s="1291"/>
      <c r="T312" s="1291"/>
      <c r="U312" s="1291"/>
      <c r="V312" s="1291"/>
      <c r="W312" s="1291"/>
      <c r="X312" s="1291"/>
      <c r="Y312" s="1291"/>
      <c r="Z312" s="1291"/>
      <c r="AA312" s="1291"/>
      <c r="AB312" s="1291"/>
      <c r="AC312" s="1291"/>
    </row>
    <row r="314" spans="1:29" s="1332" customFormat="1" ht="13.8" thickBot="1" x14ac:dyDescent="0.3">
      <c r="A314" s="1291"/>
      <c r="B314" s="1291"/>
      <c r="C314" s="1291"/>
      <c r="D314" s="1291"/>
      <c r="E314" s="1291"/>
      <c r="F314" s="1291"/>
      <c r="G314" s="1291"/>
      <c r="H314" s="1290"/>
      <c r="I314" s="1290"/>
      <c r="J314" s="1290"/>
      <c r="P314" s="1291"/>
      <c r="Q314" s="1291"/>
      <c r="R314" s="1291"/>
      <c r="S314" s="1291"/>
      <c r="T314" s="1291"/>
      <c r="U314" s="1291"/>
      <c r="V314" s="1291"/>
      <c r="W314" s="1291"/>
      <c r="X314" s="1291"/>
      <c r="Y314" s="1291"/>
      <c r="Z314" s="1291"/>
      <c r="AA314" s="1291"/>
      <c r="AB314" s="1291"/>
      <c r="AC314" s="1291"/>
    </row>
    <row r="315" spans="1:29" s="1332" customFormat="1" ht="13.8" x14ac:dyDescent="0.25">
      <c r="A315" s="1470" t="s">
        <v>1317</v>
      </c>
      <c r="B315" s="1471"/>
      <c r="C315" s="1471"/>
      <c r="D315" s="1471"/>
      <c r="E315" s="1471"/>
      <c r="F315" s="1471"/>
      <c r="G315" s="1472"/>
      <c r="H315" s="1290"/>
      <c r="I315" s="1290"/>
      <c r="J315" s="1290"/>
      <c r="P315" s="1291"/>
      <c r="Q315" s="1291"/>
      <c r="R315" s="1291"/>
      <c r="S315" s="1291"/>
      <c r="T315" s="1291"/>
      <c r="U315" s="1291"/>
      <c r="V315" s="1291"/>
      <c r="W315" s="1291"/>
      <c r="X315" s="1291"/>
      <c r="Y315" s="1291"/>
      <c r="Z315" s="1291"/>
      <c r="AA315" s="1291"/>
      <c r="AB315" s="1291"/>
      <c r="AC315" s="1291"/>
    </row>
    <row r="316" spans="1:29" s="1332" customFormat="1" ht="14.4" thickBot="1" x14ac:dyDescent="0.3">
      <c r="A316" s="1473" t="s">
        <v>1259</v>
      </c>
      <c r="B316" s="1474"/>
      <c r="C316" s="1474"/>
      <c r="D316" s="1474"/>
      <c r="E316" s="1474"/>
      <c r="F316" s="1474"/>
      <c r="G316" s="1475"/>
      <c r="H316" s="1290"/>
      <c r="I316" s="1290"/>
      <c r="J316" s="1290"/>
      <c r="P316" s="1291"/>
      <c r="Q316" s="1291"/>
      <c r="R316" s="1291"/>
      <c r="S316" s="1291"/>
      <c r="T316" s="1291"/>
      <c r="U316" s="1291"/>
      <c r="V316" s="1291"/>
      <c r="W316" s="1291"/>
      <c r="X316" s="1291"/>
      <c r="Y316" s="1291"/>
      <c r="Z316" s="1291"/>
      <c r="AA316" s="1291"/>
      <c r="AB316" s="1291"/>
      <c r="AC316" s="1291"/>
    </row>
    <row r="317" spans="1:29" s="1332" customFormat="1" ht="14.4" thickBot="1" x14ac:dyDescent="0.3">
      <c r="A317" s="1292"/>
      <c r="B317" s="1293" t="s">
        <v>1038</v>
      </c>
      <c r="C317" s="1293" t="s">
        <v>1039</v>
      </c>
      <c r="D317" s="1293" t="s">
        <v>2</v>
      </c>
      <c r="E317" s="1293" t="s">
        <v>1040</v>
      </c>
      <c r="F317" s="1293" t="s">
        <v>5</v>
      </c>
      <c r="G317" s="1293" t="s">
        <v>1260</v>
      </c>
      <c r="H317" s="1290"/>
      <c r="I317" s="1290"/>
      <c r="J317" s="1290"/>
      <c r="P317" s="1291"/>
      <c r="Q317" s="1291"/>
      <c r="R317" s="1291"/>
      <c r="S317" s="1291"/>
      <c r="T317" s="1291"/>
      <c r="U317" s="1291"/>
      <c r="V317" s="1291"/>
      <c r="W317" s="1291"/>
      <c r="X317" s="1291"/>
      <c r="Y317" s="1291"/>
      <c r="Z317" s="1291"/>
      <c r="AA317" s="1291"/>
      <c r="AB317" s="1291"/>
      <c r="AC317" s="1291"/>
    </row>
    <row r="318" spans="1:29" s="1332" customFormat="1" ht="13.8" x14ac:dyDescent="0.25">
      <c r="A318" s="1294"/>
      <c r="B318" s="1294"/>
      <c r="C318" s="1295"/>
      <c r="D318" s="1296"/>
      <c r="E318" s="1296"/>
      <c r="F318" s="1296"/>
      <c r="G318" s="1296"/>
      <c r="H318" s="1290"/>
      <c r="I318" s="1290"/>
      <c r="J318" s="1290"/>
      <c r="P318" s="1291"/>
      <c r="Q318" s="1291"/>
      <c r="R318" s="1291"/>
      <c r="S318" s="1291"/>
      <c r="T318" s="1291"/>
      <c r="U318" s="1291"/>
      <c r="V318" s="1291"/>
      <c r="W318" s="1291"/>
      <c r="X318" s="1291"/>
      <c r="Y318" s="1291"/>
      <c r="Z318" s="1291"/>
      <c r="AA318" s="1291"/>
      <c r="AB318" s="1291"/>
      <c r="AC318" s="1291"/>
    </row>
    <row r="319" spans="1:29" s="1332" customFormat="1" ht="13.8" x14ac:dyDescent="0.25">
      <c r="A319" s="1294"/>
      <c r="B319" s="1297"/>
      <c r="C319" s="1295"/>
      <c r="D319" s="1296"/>
      <c r="E319" s="1296"/>
      <c r="F319" s="1296"/>
      <c r="G319" s="1296"/>
      <c r="H319" s="1290"/>
      <c r="I319" s="1290"/>
      <c r="J319" s="1290"/>
      <c r="P319" s="1291"/>
      <c r="Q319" s="1291"/>
      <c r="R319" s="1291"/>
      <c r="S319" s="1291"/>
      <c r="T319" s="1291"/>
      <c r="U319" s="1291"/>
      <c r="V319" s="1291"/>
      <c r="W319" s="1291"/>
      <c r="X319" s="1291"/>
      <c r="Y319" s="1291"/>
      <c r="Z319" s="1291"/>
      <c r="AA319" s="1291"/>
      <c r="AB319" s="1291"/>
      <c r="AC319" s="1291"/>
    </row>
    <row r="320" spans="1:29" s="1332" customFormat="1" ht="13.8" x14ac:dyDescent="0.25">
      <c r="A320" s="1294"/>
      <c r="B320" s="1294" t="s">
        <v>1313</v>
      </c>
      <c r="C320" s="1296" t="s">
        <v>1110</v>
      </c>
      <c r="D320" s="1296">
        <v>0.25</v>
      </c>
      <c r="E320" s="1296">
        <f>G238</f>
        <v>63871.25</v>
      </c>
      <c r="F320" s="1296">
        <f>D320*E320</f>
        <v>15967.8125</v>
      </c>
      <c r="G320" s="1296"/>
      <c r="H320" s="1290"/>
      <c r="I320" s="1290">
        <f>9.29*0.075</f>
        <v>0.69674999999999987</v>
      </c>
      <c r="J320" s="1290">
        <f>I320/2.83</f>
        <v>0.24620141342756177</v>
      </c>
      <c r="P320" s="1291"/>
      <c r="Q320" s="1291"/>
      <c r="R320" s="1291"/>
      <c r="S320" s="1291"/>
      <c r="T320" s="1291"/>
      <c r="U320" s="1291"/>
      <c r="V320" s="1291"/>
      <c r="W320" s="1291"/>
      <c r="X320" s="1291"/>
      <c r="Y320" s="1291"/>
      <c r="Z320" s="1291"/>
      <c r="AA320" s="1291"/>
      <c r="AB320" s="1291"/>
      <c r="AC320" s="1291"/>
    </row>
    <row r="321" spans="1:29" s="1332" customFormat="1" ht="13.8" x14ac:dyDescent="0.25">
      <c r="A321" s="1294"/>
      <c r="B321" s="1294"/>
      <c r="C321" s="1296"/>
      <c r="D321" s="1296"/>
      <c r="E321" s="1296"/>
      <c r="F321" s="1296"/>
      <c r="G321" s="1296"/>
      <c r="H321" s="1290"/>
      <c r="I321" s="1290"/>
      <c r="J321" s="1290"/>
      <c r="P321" s="1291"/>
      <c r="Q321" s="1291"/>
      <c r="R321" s="1291"/>
      <c r="S321" s="1291"/>
      <c r="T321" s="1291"/>
      <c r="U321" s="1291"/>
      <c r="V321" s="1291"/>
      <c r="W321" s="1291"/>
      <c r="X321" s="1291"/>
      <c r="Y321" s="1291"/>
      <c r="Z321" s="1291"/>
      <c r="AA321" s="1291"/>
      <c r="AB321" s="1291"/>
      <c r="AC321" s="1291"/>
    </row>
    <row r="322" spans="1:29" s="1332" customFormat="1" ht="13.8" x14ac:dyDescent="0.25">
      <c r="A322" s="1294"/>
      <c r="B322" s="1311" t="s">
        <v>1314</v>
      </c>
      <c r="C322" s="1296"/>
      <c r="D322" s="1296"/>
      <c r="E322" s="1296"/>
      <c r="F322" s="1296">
        <f>F320*10%</f>
        <v>1596.78125</v>
      </c>
      <c r="G322" s="1296"/>
      <c r="H322" s="1290"/>
      <c r="I322" s="1290"/>
      <c r="J322" s="1290"/>
      <c r="P322" s="1291"/>
      <c r="Q322" s="1291"/>
      <c r="R322" s="1291"/>
      <c r="S322" s="1291"/>
      <c r="T322" s="1291"/>
      <c r="U322" s="1291"/>
      <c r="V322" s="1291"/>
      <c r="W322" s="1291"/>
      <c r="X322" s="1291"/>
      <c r="Y322" s="1291"/>
      <c r="Z322" s="1291"/>
      <c r="AA322" s="1291"/>
      <c r="AB322" s="1291"/>
      <c r="AC322" s="1291"/>
    </row>
    <row r="323" spans="1:29" s="1332" customFormat="1" ht="13.8" x14ac:dyDescent="0.25">
      <c r="A323" s="1294"/>
      <c r="B323" s="1295"/>
      <c r="C323" s="1296"/>
      <c r="D323" s="1296"/>
      <c r="E323" s="1296"/>
      <c r="F323" s="1296"/>
      <c r="G323" s="1296"/>
      <c r="H323" s="1290"/>
      <c r="I323" s="1290"/>
      <c r="J323" s="1290"/>
      <c r="P323" s="1291"/>
      <c r="Q323" s="1291"/>
      <c r="R323" s="1291"/>
      <c r="S323" s="1291"/>
      <c r="T323" s="1291"/>
      <c r="U323" s="1291"/>
      <c r="V323" s="1291"/>
      <c r="W323" s="1291"/>
      <c r="X323" s="1291"/>
      <c r="Y323" s="1291"/>
      <c r="Z323" s="1291"/>
      <c r="AA323" s="1291"/>
      <c r="AB323" s="1291"/>
      <c r="AC323" s="1291"/>
    </row>
    <row r="324" spans="1:29" s="1332" customFormat="1" ht="13.8" x14ac:dyDescent="0.25">
      <c r="A324" s="1294"/>
      <c r="B324" s="1294"/>
      <c r="C324" s="1295"/>
      <c r="D324" s="1296"/>
      <c r="E324" s="1296"/>
      <c r="F324" s="1296"/>
      <c r="G324" s="1296"/>
      <c r="H324" s="1290"/>
      <c r="I324" s="1290"/>
      <c r="J324" s="1290"/>
      <c r="P324" s="1291"/>
      <c r="Q324" s="1291"/>
      <c r="R324" s="1291"/>
      <c r="S324" s="1291"/>
      <c r="T324" s="1291"/>
      <c r="U324" s="1291"/>
      <c r="V324" s="1291"/>
      <c r="W324" s="1291"/>
      <c r="X324" s="1291"/>
      <c r="Y324" s="1291"/>
      <c r="Z324" s="1291"/>
      <c r="AA324" s="1291"/>
      <c r="AB324" s="1291"/>
      <c r="AC324" s="1291"/>
    </row>
    <row r="325" spans="1:29" s="1332" customFormat="1" ht="13.8" x14ac:dyDescent="0.25">
      <c r="A325" s="1298"/>
      <c r="B325" s="1476" t="s">
        <v>1277</v>
      </c>
      <c r="C325" s="1476"/>
      <c r="D325" s="1476"/>
      <c r="E325" s="1476"/>
      <c r="F325" s="1299">
        <f t="shared" ref="F325:F327" si="31">D325*E325</f>
        <v>0</v>
      </c>
      <c r="G325" s="1300">
        <f>SUM(F319:F325)</f>
        <v>17564.59375</v>
      </c>
      <c r="H325" s="1290"/>
      <c r="I325" s="1290"/>
      <c r="J325" s="1290"/>
      <c r="P325" s="1291"/>
      <c r="Q325" s="1291"/>
      <c r="R325" s="1291"/>
      <c r="S325" s="1291"/>
      <c r="T325" s="1291"/>
      <c r="U325" s="1291"/>
      <c r="V325" s="1291"/>
      <c r="W325" s="1291"/>
      <c r="X325" s="1291"/>
      <c r="Y325" s="1291"/>
      <c r="Z325" s="1291"/>
      <c r="AA325" s="1291"/>
      <c r="AB325" s="1291"/>
      <c r="AC325" s="1291"/>
    </row>
    <row r="326" spans="1:29" ht="13.8" x14ac:dyDescent="0.25">
      <c r="A326" s="1294"/>
      <c r="B326" s="1297" t="s">
        <v>1261</v>
      </c>
      <c r="C326" s="1295"/>
      <c r="D326" s="1296"/>
      <c r="E326" s="1296"/>
      <c r="F326" s="1296"/>
      <c r="G326" s="1296"/>
    </row>
    <row r="327" spans="1:29" ht="13.8" x14ac:dyDescent="0.25">
      <c r="A327" s="1306"/>
      <c r="B327" s="1306" t="s">
        <v>1271</v>
      </c>
      <c r="C327" s="1307" t="s">
        <v>1316</v>
      </c>
      <c r="D327" s="1307">
        <v>100</v>
      </c>
      <c r="E327" s="1307">
        <v>65</v>
      </c>
      <c r="F327" s="1307">
        <f t="shared" si="31"/>
        <v>6500</v>
      </c>
      <c r="G327" s="1307"/>
    </row>
    <row r="328" spans="1:29" ht="13.8" x14ac:dyDescent="0.25">
      <c r="A328" s="1294"/>
      <c r="B328" s="1294"/>
      <c r="C328" s="1295"/>
      <c r="D328" s="1296"/>
      <c r="E328" s="1296"/>
      <c r="F328" s="1296"/>
      <c r="G328" s="1296"/>
    </row>
    <row r="329" spans="1:29" ht="13.8" x14ac:dyDescent="0.25">
      <c r="A329" s="1298"/>
      <c r="B329" s="1476" t="s">
        <v>1264</v>
      </c>
      <c r="C329" s="1476"/>
      <c r="D329" s="1476"/>
      <c r="E329" s="1476"/>
      <c r="F329" s="1299">
        <f t="shared" ref="F329" si="32">D329*E329</f>
        <v>0</v>
      </c>
      <c r="G329" s="1300">
        <f>SUM(F327:F329)</f>
        <v>6500</v>
      </c>
    </row>
    <row r="330" spans="1:29" ht="13.8" x14ac:dyDescent="0.25">
      <c r="A330" s="1294"/>
      <c r="B330" s="1297" t="s">
        <v>1280</v>
      </c>
      <c r="C330" s="1295"/>
      <c r="D330" s="1296"/>
      <c r="E330" s="1296"/>
      <c r="F330" s="1296"/>
      <c r="G330" s="1296"/>
    </row>
    <row r="331" spans="1:29" ht="13.8" x14ac:dyDescent="0.25">
      <c r="A331" s="1294"/>
      <c r="B331" s="1294"/>
      <c r="C331" s="1295"/>
      <c r="D331" s="1296"/>
      <c r="E331" s="1296"/>
      <c r="F331" s="1296"/>
      <c r="G331" s="1296"/>
    </row>
    <row r="332" spans="1:29" ht="13.8" x14ac:dyDescent="0.25">
      <c r="A332" s="1294"/>
      <c r="B332" s="1294" t="s">
        <v>1304</v>
      </c>
      <c r="C332" s="1296" t="s">
        <v>1279</v>
      </c>
      <c r="D332" s="1296">
        <v>0.08</v>
      </c>
      <c r="E332" s="1296">
        <v>5000</v>
      </c>
      <c r="F332" s="1296">
        <f>D332*E332</f>
        <v>400</v>
      </c>
      <c r="G332" s="1296"/>
    </row>
    <row r="333" spans="1:29" ht="13.8" x14ac:dyDescent="0.25">
      <c r="A333" s="1294"/>
      <c r="B333" s="1294" t="s">
        <v>1107</v>
      </c>
      <c r="C333" s="1296" t="s">
        <v>1279</v>
      </c>
      <c r="D333" s="1296">
        <v>0.08</v>
      </c>
      <c r="E333" s="1296">
        <v>2000</v>
      </c>
      <c r="F333" s="1296">
        <f>D333*E333</f>
        <v>160</v>
      </c>
      <c r="G333" s="1296"/>
    </row>
    <row r="334" spans="1:29" ht="13.8" x14ac:dyDescent="0.25">
      <c r="A334" s="1294"/>
      <c r="B334" s="1294"/>
      <c r="C334" s="1295"/>
      <c r="D334" s="1296"/>
      <c r="E334" s="1296"/>
      <c r="F334" s="1296"/>
      <c r="G334" s="1296"/>
    </row>
    <row r="335" spans="1:29" ht="13.8" x14ac:dyDescent="0.25">
      <c r="A335" s="1298"/>
      <c r="B335" s="1476" t="s">
        <v>1282</v>
      </c>
      <c r="C335" s="1476"/>
      <c r="D335" s="1476"/>
      <c r="E335" s="1476"/>
      <c r="F335" s="1299">
        <f t="shared" ref="F335" si="33">D335*E335</f>
        <v>0</v>
      </c>
      <c r="G335" s="1300">
        <f>SUM(F331:F335)</f>
        <v>560</v>
      </c>
    </row>
    <row r="336" spans="1:29" ht="13.8" x14ac:dyDescent="0.25">
      <c r="A336" s="1294"/>
      <c r="B336" s="1302"/>
      <c r="C336" s="1302"/>
      <c r="D336" s="1302"/>
      <c r="E336" s="1302"/>
      <c r="F336" s="1296"/>
      <c r="G336" s="1302"/>
    </row>
    <row r="337" spans="1:7" ht="13.8" x14ac:dyDescent="0.25">
      <c r="A337" s="1294"/>
      <c r="B337" s="1302"/>
      <c r="C337" s="1302"/>
      <c r="D337" s="1302"/>
      <c r="E337" s="1302"/>
      <c r="F337" s="1296"/>
      <c r="G337" s="1302"/>
    </row>
    <row r="338" spans="1:7" ht="13.8" x14ac:dyDescent="0.25">
      <c r="A338" s="1469" t="s">
        <v>1295</v>
      </c>
      <c r="B338" s="1469"/>
      <c r="C338" s="1469"/>
      <c r="D338" s="1469"/>
      <c r="E338" s="1469"/>
      <c r="F338" s="1469"/>
      <c r="G338" s="1303">
        <f>G325+G329+G335</f>
        <v>24624.59375</v>
      </c>
    </row>
    <row r="339" spans="1:7" ht="13.8" x14ac:dyDescent="0.25">
      <c r="A339" s="1469" t="s">
        <v>1296</v>
      </c>
      <c r="B339" s="1469"/>
      <c r="C339" s="1469"/>
      <c r="D339" s="1469"/>
      <c r="E339" s="1469"/>
      <c r="F339" s="1469"/>
      <c r="G339" s="1303">
        <f>G338/9.29</f>
        <v>2650.6559472551135</v>
      </c>
    </row>
    <row r="340" spans="1:7" ht="14.4" thickBot="1" x14ac:dyDescent="0.3">
      <c r="A340" s="1478" t="s">
        <v>1297</v>
      </c>
      <c r="B340" s="1478"/>
      <c r="C340" s="1478"/>
      <c r="D340" s="1478"/>
      <c r="E340" s="1478"/>
      <c r="F340" s="1478"/>
      <c r="G340" s="1333">
        <f>G339/10.76</f>
        <v>246.3434895218507</v>
      </c>
    </row>
    <row r="342" spans="1:7" ht="13.8" thickBot="1" x14ac:dyDescent="0.3"/>
    <row r="343" spans="1:7" ht="13.8" x14ac:dyDescent="0.25">
      <c r="A343" s="1470" t="s">
        <v>1318</v>
      </c>
      <c r="B343" s="1471"/>
      <c r="C343" s="1471"/>
      <c r="D343" s="1471"/>
      <c r="E343" s="1471"/>
      <c r="F343" s="1471"/>
      <c r="G343" s="1472"/>
    </row>
    <row r="344" spans="1:7" ht="14.4" thickBot="1" x14ac:dyDescent="0.3">
      <c r="A344" s="1473" t="s">
        <v>1259</v>
      </c>
      <c r="B344" s="1474"/>
      <c r="C344" s="1474"/>
      <c r="D344" s="1474"/>
      <c r="E344" s="1474"/>
      <c r="F344" s="1474"/>
      <c r="G344" s="1475"/>
    </row>
    <row r="345" spans="1:7" ht="14.4" thickBot="1" x14ac:dyDescent="0.3">
      <c r="A345" s="1292"/>
      <c r="B345" s="1293" t="s">
        <v>1038</v>
      </c>
      <c r="C345" s="1293" t="s">
        <v>1039</v>
      </c>
      <c r="D345" s="1293" t="s">
        <v>2</v>
      </c>
      <c r="E345" s="1293" t="s">
        <v>1040</v>
      </c>
      <c r="F345" s="1293" t="s">
        <v>5</v>
      </c>
      <c r="G345" s="1293" t="s">
        <v>1260</v>
      </c>
    </row>
    <row r="346" spans="1:7" ht="13.8" x14ac:dyDescent="0.25">
      <c r="A346" s="1294"/>
      <c r="B346" s="1294"/>
      <c r="C346" s="1295"/>
      <c r="D346" s="1296"/>
      <c r="E346" s="1296"/>
      <c r="F346" s="1296"/>
      <c r="G346" s="1296"/>
    </row>
    <row r="347" spans="1:7" ht="13.8" x14ac:dyDescent="0.25">
      <c r="A347" s="1294"/>
      <c r="B347" s="1297"/>
      <c r="C347" s="1295"/>
      <c r="D347" s="1296"/>
      <c r="E347" s="1296"/>
      <c r="F347" s="1296"/>
      <c r="G347" s="1296"/>
    </row>
    <row r="348" spans="1:7" ht="13.8" x14ac:dyDescent="0.25">
      <c r="A348" s="1294"/>
      <c r="B348" s="1294" t="s">
        <v>1313</v>
      </c>
      <c r="C348" s="1296" t="s">
        <v>1110</v>
      </c>
      <c r="D348" s="1296">
        <v>0.25</v>
      </c>
      <c r="E348" s="1296">
        <f>G238</f>
        <v>63871.25</v>
      </c>
      <c r="F348" s="1296">
        <f>D348*E348</f>
        <v>15967.8125</v>
      </c>
      <c r="G348" s="1296"/>
    </row>
    <row r="349" spans="1:7" ht="13.8" x14ac:dyDescent="0.25">
      <c r="A349" s="1294"/>
      <c r="B349" s="1294"/>
      <c r="C349" s="1296"/>
      <c r="D349" s="1296"/>
      <c r="E349" s="1296"/>
      <c r="F349" s="1296"/>
      <c r="G349" s="1296"/>
    </row>
    <row r="350" spans="1:7" ht="13.8" x14ac:dyDescent="0.25">
      <c r="A350" s="1294"/>
      <c r="B350" s="1311" t="s">
        <v>1319</v>
      </c>
      <c r="C350" s="1296"/>
      <c r="D350" s="1296"/>
      <c r="E350" s="1296"/>
      <c r="F350" s="1296">
        <f>F348*10%</f>
        <v>1596.78125</v>
      </c>
      <c r="G350" s="1296"/>
    </row>
    <row r="351" spans="1:7" ht="13.8" x14ac:dyDescent="0.25">
      <c r="A351" s="1294"/>
      <c r="B351" s="1311"/>
      <c r="C351" s="1296"/>
      <c r="D351" s="1296"/>
      <c r="E351" s="1296"/>
      <c r="F351" s="1296"/>
      <c r="G351" s="1296"/>
    </row>
    <row r="352" spans="1:7" ht="13.8" x14ac:dyDescent="0.25">
      <c r="A352" s="1294"/>
      <c r="B352" s="1311" t="s">
        <v>1320</v>
      </c>
      <c r="C352" s="1296" t="s">
        <v>1294</v>
      </c>
      <c r="D352" s="1296">
        <v>100</v>
      </c>
      <c r="E352" s="1296">
        <v>100</v>
      </c>
      <c r="F352" s="1296">
        <f>D352*E352</f>
        <v>10000</v>
      </c>
      <c r="G352" s="1296"/>
    </row>
    <row r="353" spans="1:7" ht="13.8" x14ac:dyDescent="0.25">
      <c r="A353" s="1294"/>
      <c r="B353" s="1295"/>
      <c r="C353" s="1296"/>
      <c r="D353" s="1296"/>
      <c r="E353" s="1296"/>
      <c r="F353" s="1296"/>
      <c r="G353" s="1296"/>
    </row>
    <row r="354" spans="1:7" ht="13.8" x14ac:dyDescent="0.25">
      <c r="A354" s="1294"/>
      <c r="B354" s="1294"/>
      <c r="C354" s="1295"/>
      <c r="D354" s="1296"/>
      <c r="E354" s="1296"/>
      <c r="F354" s="1296"/>
      <c r="G354" s="1296"/>
    </row>
    <row r="355" spans="1:7" ht="13.8" x14ac:dyDescent="0.25">
      <c r="A355" s="1298"/>
      <c r="B355" s="1476" t="s">
        <v>1277</v>
      </c>
      <c r="C355" s="1476"/>
      <c r="D355" s="1476"/>
      <c r="E355" s="1476"/>
      <c r="F355" s="1299">
        <f t="shared" ref="F355" si="34">D355*E355</f>
        <v>0</v>
      </c>
      <c r="G355" s="1300">
        <f>SUM(F347:F355)</f>
        <v>27564.59375</v>
      </c>
    </row>
    <row r="356" spans="1:7" ht="13.8" x14ac:dyDescent="0.25">
      <c r="A356" s="1294"/>
      <c r="B356" s="1297" t="s">
        <v>1261</v>
      </c>
      <c r="C356" s="1295"/>
      <c r="D356" s="1296"/>
      <c r="E356" s="1296"/>
      <c r="F356" s="1296"/>
      <c r="G356" s="1296"/>
    </row>
    <row r="357" spans="1:7" ht="13.8" x14ac:dyDescent="0.25">
      <c r="A357" s="1306"/>
      <c r="B357" s="1306" t="s">
        <v>1271</v>
      </c>
      <c r="C357" s="1307" t="s">
        <v>1316</v>
      </c>
      <c r="D357" s="1307">
        <v>100</v>
      </c>
      <c r="E357" s="1307">
        <v>65</v>
      </c>
      <c r="F357" s="1307">
        <f t="shared" ref="F357" si="35">D357*E357</f>
        <v>6500</v>
      </c>
      <c r="G357" s="1307"/>
    </row>
    <row r="358" spans="1:7" ht="13.8" x14ac:dyDescent="0.25">
      <c r="A358" s="1294"/>
      <c r="B358" s="1294"/>
      <c r="C358" s="1295"/>
      <c r="D358" s="1296"/>
      <c r="E358" s="1296"/>
      <c r="F358" s="1296"/>
      <c r="G358" s="1296"/>
    </row>
    <row r="359" spans="1:7" ht="13.8" x14ac:dyDescent="0.25">
      <c r="A359" s="1298"/>
      <c r="B359" s="1476" t="s">
        <v>1264</v>
      </c>
      <c r="C359" s="1476"/>
      <c r="D359" s="1476"/>
      <c r="E359" s="1476"/>
      <c r="F359" s="1299">
        <f t="shared" ref="F359" si="36">D359*E359</f>
        <v>0</v>
      </c>
      <c r="G359" s="1300">
        <f>SUM(F357:F359)</f>
        <v>6500</v>
      </c>
    </row>
    <row r="360" spans="1:7" ht="13.8" x14ac:dyDescent="0.25">
      <c r="A360" s="1294"/>
      <c r="B360" s="1297" t="s">
        <v>1280</v>
      </c>
      <c r="C360" s="1295"/>
      <c r="D360" s="1296"/>
      <c r="E360" s="1296"/>
      <c r="F360" s="1296"/>
      <c r="G360" s="1296"/>
    </row>
    <row r="361" spans="1:7" ht="13.8" x14ac:dyDescent="0.25">
      <c r="A361" s="1294"/>
      <c r="B361" s="1294"/>
      <c r="C361" s="1295"/>
      <c r="D361" s="1296"/>
      <c r="E361" s="1296"/>
      <c r="F361" s="1296"/>
      <c r="G361" s="1296"/>
    </row>
    <row r="362" spans="1:7" ht="13.8" x14ac:dyDescent="0.25">
      <c r="A362" s="1294"/>
      <c r="B362" s="1294" t="s">
        <v>1304</v>
      </c>
      <c r="C362" s="1296" t="s">
        <v>1279</v>
      </c>
      <c r="D362" s="1296">
        <v>0.08</v>
      </c>
      <c r="E362" s="1296">
        <v>5000</v>
      </c>
      <c r="F362" s="1296">
        <f>D362*E362</f>
        <v>400</v>
      </c>
      <c r="G362" s="1296"/>
    </row>
    <row r="363" spans="1:7" ht="13.8" x14ac:dyDescent="0.25">
      <c r="A363" s="1294"/>
      <c r="B363" s="1294" t="s">
        <v>1107</v>
      </c>
      <c r="C363" s="1296" t="s">
        <v>1279</v>
      </c>
      <c r="D363" s="1296">
        <v>0.08</v>
      </c>
      <c r="E363" s="1296">
        <v>2000</v>
      </c>
      <c r="F363" s="1296">
        <f>D363*E363</f>
        <v>160</v>
      </c>
      <c r="G363" s="1296"/>
    </row>
    <row r="364" spans="1:7" ht="13.8" x14ac:dyDescent="0.25">
      <c r="A364" s="1294"/>
      <c r="B364" s="1294"/>
      <c r="C364" s="1295"/>
      <c r="D364" s="1296"/>
      <c r="E364" s="1296"/>
      <c r="F364" s="1296"/>
      <c r="G364" s="1296"/>
    </row>
    <row r="365" spans="1:7" ht="13.8" x14ac:dyDescent="0.25">
      <c r="A365" s="1298"/>
      <c r="B365" s="1476" t="s">
        <v>1282</v>
      </c>
      <c r="C365" s="1476"/>
      <c r="D365" s="1476"/>
      <c r="E365" s="1476"/>
      <c r="F365" s="1299">
        <f t="shared" ref="F365" si="37">D365*E365</f>
        <v>0</v>
      </c>
      <c r="G365" s="1300">
        <f>SUM(F361:F365)</f>
        <v>560</v>
      </c>
    </row>
    <row r="366" spans="1:7" ht="13.8" x14ac:dyDescent="0.25">
      <c r="A366" s="1294"/>
      <c r="B366" s="1302"/>
      <c r="C366" s="1302"/>
      <c r="D366" s="1302"/>
      <c r="E366" s="1302"/>
      <c r="F366" s="1296"/>
      <c r="G366" s="1302"/>
    </row>
    <row r="367" spans="1:7" ht="13.8" x14ac:dyDescent="0.25">
      <c r="A367" s="1294"/>
      <c r="B367" s="1302"/>
      <c r="C367" s="1302"/>
      <c r="D367" s="1302"/>
      <c r="E367" s="1302"/>
      <c r="F367" s="1296"/>
      <c r="G367" s="1302"/>
    </row>
    <row r="368" spans="1:7" ht="13.8" x14ac:dyDescent="0.25">
      <c r="A368" s="1469" t="s">
        <v>1295</v>
      </c>
      <c r="B368" s="1469"/>
      <c r="C368" s="1469"/>
      <c r="D368" s="1469"/>
      <c r="E368" s="1469"/>
      <c r="F368" s="1469"/>
      <c r="G368" s="1303">
        <f>G355+G359+G365</f>
        <v>34624.59375</v>
      </c>
    </row>
    <row r="369" spans="1:29" ht="13.8" x14ac:dyDescent="0.25">
      <c r="A369" s="1469" t="s">
        <v>1296</v>
      </c>
      <c r="B369" s="1469"/>
      <c r="C369" s="1469"/>
      <c r="D369" s="1469"/>
      <c r="E369" s="1469"/>
      <c r="F369" s="1469"/>
      <c r="G369" s="1303">
        <f>G368/9.29</f>
        <v>3727.0822120559747</v>
      </c>
    </row>
    <row r="370" spans="1:29" ht="14.4" thickBot="1" x14ac:dyDescent="0.3">
      <c r="A370" s="1478" t="s">
        <v>1297</v>
      </c>
      <c r="B370" s="1478"/>
      <c r="C370" s="1478"/>
      <c r="D370" s="1478"/>
      <c r="E370" s="1478"/>
      <c r="F370" s="1478"/>
      <c r="G370" s="1333">
        <f>G369/10.76</f>
        <v>346.38310520966309</v>
      </c>
    </row>
    <row r="373" spans="1:29" x14ac:dyDescent="0.25">
      <c r="A373" s="1477" t="s">
        <v>1321</v>
      </c>
      <c r="B373" s="1477"/>
      <c r="C373" s="1477"/>
      <c r="D373" s="1477"/>
      <c r="E373" s="1477"/>
      <c r="F373" s="1477"/>
      <c r="G373" s="1477"/>
    </row>
    <row r="375" spans="1:29" s="1332" customFormat="1" ht="13.8" thickBot="1" x14ac:dyDescent="0.3">
      <c r="A375" s="1291"/>
      <c r="B375" s="1291"/>
      <c r="C375" s="1291"/>
      <c r="D375" s="1291"/>
      <c r="E375" s="1291"/>
      <c r="F375" s="1291"/>
      <c r="G375" s="1291"/>
      <c r="H375" s="1290"/>
      <c r="I375" s="1290"/>
      <c r="J375" s="1290"/>
      <c r="P375" s="1291"/>
      <c r="Q375" s="1291"/>
      <c r="R375" s="1291"/>
      <c r="S375" s="1291"/>
      <c r="T375" s="1291"/>
      <c r="U375" s="1291"/>
      <c r="V375" s="1291"/>
      <c r="W375" s="1291"/>
      <c r="X375" s="1291"/>
      <c r="Y375" s="1291"/>
      <c r="Z375" s="1291"/>
      <c r="AA375" s="1291"/>
      <c r="AB375" s="1291"/>
      <c r="AC375" s="1291"/>
    </row>
    <row r="376" spans="1:29" s="1332" customFormat="1" ht="13.8" x14ac:dyDescent="0.25">
      <c r="A376" s="1470" t="s">
        <v>1322</v>
      </c>
      <c r="B376" s="1471"/>
      <c r="C376" s="1471"/>
      <c r="D376" s="1471"/>
      <c r="E376" s="1471"/>
      <c r="F376" s="1471"/>
      <c r="G376" s="1472"/>
      <c r="H376" s="1290"/>
      <c r="I376" s="1290"/>
      <c r="J376" s="1290"/>
      <c r="P376" s="1291"/>
      <c r="Q376" s="1291"/>
      <c r="R376" s="1291"/>
      <c r="S376" s="1291"/>
      <c r="T376" s="1291"/>
      <c r="U376" s="1291"/>
      <c r="V376" s="1291"/>
      <c r="W376" s="1291"/>
      <c r="X376" s="1291"/>
      <c r="Y376" s="1291"/>
      <c r="Z376" s="1291"/>
      <c r="AA376" s="1291"/>
      <c r="AB376" s="1291"/>
      <c r="AC376" s="1291"/>
    </row>
    <row r="377" spans="1:29" s="1332" customFormat="1" ht="14.4" thickBot="1" x14ac:dyDescent="0.3">
      <c r="A377" s="1473" t="s">
        <v>1323</v>
      </c>
      <c r="B377" s="1474"/>
      <c r="C377" s="1474"/>
      <c r="D377" s="1474"/>
      <c r="E377" s="1474"/>
      <c r="F377" s="1474"/>
      <c r="G377" s="1475"/>
      <c r="H377" s="1290"/>
      <c r="I377" s="1290"/>
      <c r="J377" s="1290"/>
      <c r="P377" s="1291"/>
      <c r="Q377" s="1291"/>
      <c r="R377" s="1291"/>
      <c r="S377" s="1291"/>
      <c r="T377" s="1291"/>
      <c r="U377" s="1291"/>
      <c r="V377" s="1291"/>
      <c r="W377" s="1291"/>
      <c r="X377" s="1291"/>
      <c r="Y377" s="1291"/>
      <c r="Z377" s="1291"/>
      <c r="AA377" s="1291"/>
      <c r="AB377" s="1291"/>
      <c r="AC377" s="1291"/>
    </row>
    <row r="378" spans="1:29" s="1332" customFormat="1" ht="14.4" thickBot="1" x14ac:dyDescent="0.3">
      <c r="A378" s="1292"/>
      <c r="B378" s="1293" t="s">
        <v>1038</v>
      </c>
      <c r="C378" s="1293" t="s">
        <v>1039</v>
      </c>
      <c r="D378" s="1293" t="s">
        <v>2</v>
      </c>
      <c r="E378" s="1293" t="s">
        <v>1040</v>
      </c>
      <c r="F378" s="1293" t="s">
        <v>5</v>
      </c>
      <c r="G378" s="1293" t="s">
        <v>1260</v>
      </c>
      <c r="H378" s="1290"/>
      <c r="I378" s="1290"/>
      <c r="J378" s="1290"/>
      <c r="P378" s="1291"/>
      <c r="Q378" s="1291"/>
      <c r="R378" s="1291"/>
      <c r="S378" s="1291"/>
      <c r="T378" s="1291"/>
      <c r="U378" s="1291"/>
      <c r="V378" s="1291"/>
      <c r="W378" s="1291"/>
      <c r="X378" s="1291"/>
      <c r="Y378" s="1291"/>
      <c r="Z378" s="1291"/>
      <c r="AA378" s="1291"/>
      <c r="AB378" s="1291"/>
      <c r="AC378" s="1291"/>
    </row>
    <row r="379" spans="1:29" s="1332" customFormat="1" ht="13.8" x14ac:dyDescent="0.25">
      <c r="A379" s="1294"/>
      <c r="B379" s="1294"/>
      <c r="C379" s="1295"/>
      <c r="D379" s="1296"/>
      <c r="E379" s="1296"/>
      <c r="F379" s="1296"/>
      <c r="G379" s="1296"/>
      <c r="H379" s="1290"/>
      <c r="I379" s="1290"/>
      <c r="J379" s="1290"/>
      <c r="P379" s="1291"/>
      <c r="Q379" s="1291"/>
      <c r="R379" s="1291"/>
      <c r="S379" s="1291"/>
      <c r="T379" s="1291"/>
      <c r="U379" s="1291"/>
      <c r="V379" s="1291"/>
      <c r="W379" s="1291"/>
      <c r="X379" s="1291"/>
      <c r="Y379" s="1291"/>
      <c r="Z379" s="1291"/>
      <c r="AA379" s="1291"/>
      <c r="AB379" s="1291"/>
      <c r="AC379" s="1291"/>
    </row>
    <row r="380" spans="1:29" s="1332" customFormat="1" ht="13.8" x14ac:dyDescent="0.25">
      <c r="A380" s="1294"/>
      <c r="B380" s="1297"/>
      <c r="C380" s="1295"/>
      <c r="D380" s="1296"/>
      <c r="E380" s="1296"/>
      <c r="F380" s="1296"/>
      <c r="G380" s="1296"/>
      <c r="H380" s="1290"/>
      <c r="I380" s="1290"/>
      <c r="J380" s="1290"/>
      <c r="P380" s="1291"/>
      <c r="Q380" s="1291"/>
      <c r="R380" s="1291"/>
      <c r="S380" s="1291"/>
      <c r="T380" s="1291"/>
      <c r="U380" s="1291"/>
      <c r="V380" s="1291"/>
      <c r="W380" s="1291"/>
      <c r="X380" s="1291"/>
      <c r="Y380" s="1291"/>
      <c r="Z380" s="1291"/>
      <c r="AA380" s="1291"/>
      <c r="AB380" s="1291"/>
      <c r="AC380" s="1291"/>
    </row>
    <row r="381" spans="1:29" s="1332" customFormat="1" ht="13.8" x14ac:dyDescent="0.25">
      <c r="A381" s="1294"/>
      <c r="B381" s="1294" t="s">
        <v>1313</v>
      </c>
      <c r="C381" s="1296" t="s">
        <v>1110</v>
      </c>
      <c r="D381" s="1296">
        <v>0.04</v>
      </c>
      <c r="E381" s="1334"/>
      <c r="F381" s="1296">
        <f t="shared" ref="F381" si="38">F379*10%</f>
        <v>0</v>
      </c>
      <c r="G381" s="1296"/>
      <c r="H381" s="1290"/>
      <c r="I381" s="1335">
        <f>0.1*0.1*10</f>
        <v>0.10000000000000002</v>
      </c>
      <c r="J381" s="1335">
        <f>I381/2.83</f>
        <v>3.5335689045936404E-2</v>
      </c>
      <c r="P381" s="1291"/>
      <c r="Q381" s="1291"/>
      <c r="R381" s="1291"/>
      <c r="S381" s="1291"/>
      <c r="T381" s="1291"/>
      <c r="U381" s="1291"/>
      <c r="V381" s="1291"/>
      <c r="W381" s="1291"/>
      <c r="X381" s="1291"/>
      <c r="Y381" s="1291"/>
      <c r="Z381" s="1291"/>
      <c r="AA381" s="1291"/>
      <c r="AB381" s="1291"/>
      <c r="AC381" s="1291"/>
    </row>
    <row r="382" spans="1:29" s="1332" customFormat="1" ht="13.8" x14ac:dyDescent="0.25">
      <c r="A382" s="1306"/>
      <c r="B382" s="1306" t="s">
        <v>1108</v>
      </c>
      <c r="C382" s="1307" t="s">
        <v>1324</v>
      </c>
      <c r="D382" s="1307">
        <v>2.76</v>
      </c>
      <c r="E382" s="1307">
        <f>F197</f>
        <v>2235.625</v>
      </c>
      <c r="F382" s="1307">
        <f t="shared" ref="F382:F383" si="39">D382*E382</f>
        <v>6170.3249999999998</v>
      </c>
      <c r="G382" s="1307"/>
      <c r="H382" s="1336">
        <f>D381*23</f>
        <v>0.92</v>
      </c>
      <c r="I382" s="1290"/>
      <c r="J382" s="1290"/>
      <c r="P382" s="1291"/>
      <c r="Q382" s="1291"/>
      <c r="R382" s="1291"/>
      <c r="S382" s="1291"/>
      <c r="T382" s="1291"/>
      <c r="U382" s="1291"/>
      <c r="V382" s="1291"/>
      <c r="W382" s="1291"/>
      <c r="X382" s="1291"/>
      <c r="Y382" s="1291"/>
      <c r="Z382" s="1291"/>
      <c r="AA382" s="1291"/>
      <c r="AB382" s="1291"/>
      <c r="AC382" s="1291"/>
    </row>
    <row r="383" spans="1:29" s="1332" customFormat="1" ht="13.8" x14ac:dyDescent="0.25">
      <c r="A383" s="1306"/>
      <c r="B383" s="1324" t="s">
        <v>1159</v>
      </c>
      <c r="C383" s="1307" t="s">
        <v>1110</v>
      </c>
      <c r="D383" s="1307">
        <v>0.02</v>
      </c>
      <c r="E383" s="1307">
        <f>[19]Material!E13</f>
        <v>23500</v>
      </c>
      <c r="F383" s="1307">
        <f t="shared" si="39"/>
        <v>470</v>
      </c>
      <c r="G383" s="1307"/>
      <c r="H383" s="1336">
        <f>D381*0.42</f>
        <v>1.6799999999999999E-2</v>
      </c>
      <c r="I383" s="1290"/>
      <c r="J383" s="1290"/>
      <c r="P383" s="1291"/>
      <c r="Q383" s="1291"/>
      <c r="R383" s="1291"/>
      <c r="S383" s="1291"/>
      <c r="T383" s="1291"/>
      <c r="U383" s="1291"/>
      <c r="V383" s="1291"/>
      <c r="W383" s="1291"/>
      <c r="X383" s="1291"/>
      <c r="Y383" s="1291"/>
      <c r="Z383" s="1291"/>
      <c r="AA383" s="1291"/>
      <c r="AB383" s="1291"/>
      <c r="AC383" s="1291"/>
    </row>
    <row r="384" spans="1:29" s="1332" customFormat="1" ht="13.8" x14ac:dyDescent="0.25">
      <c r="A384" s="1306"/>
      <c r="B384" s="1325" t="s">
        <v>1311</v>
      </c>
      <c r="C384" s="1307" t="s">
        <v>1110</v>
      </c>
      <c r="D384" s="1307">
        <v>0.03</v>
      </c>
      <c r="E384" s="1307">
        <f>[19]Material!E17</f>
        <v>13500</v>
      </c>
      <c r="F384" s="1307">
        <f>D384*E384</f>
        <v>405</v>
      </c>
      <c r="G384" s="1307"/>
      <c r="H384" s="1336">
        <f>D381*0.82</f>
        <v>3.2799999999999996E-2</v>
      </c>
      <c r="I384" s="1290"/>
      <c r="J384" s="1290"/>
      <c r="P384" s="1291"/>
      <c r="Q384" s="1291"/>
      <c r="R384" s="1291"/>
      <c r="S384" s="1291"/>
      <c r="T384" s="1291"/>
      <c r="U384" s="1291"/>
      <c r="V384" s="1291"/>
      <c r="W384" s="1291"/>
      <c r="X384" s="1291"/>
      <c r="Y384" s="1291"/>
      <c r="Z384" s="1291"/>
      <c r="AA384" s="1291"/>
      <c r="AB384" s="1291"/>
      <c r="AC384" s="1291"/>
    </row>
    <row r="385" spans="1:29" s="1332" customFormat="1" ht="13.8" x14ac:dyDescent="0.25">
      <c r="A385" s="1294"/>
      <c r="B385" s="1295"/>
      <c r="C385" s="1296"/>
      <c r="D385" s="1296"/>
      <c r="E385" s="1296"/>
      <c r="F385" s="1296">
        <f t="shared" ref="F385:F386" si="40">D385*E385</f>
        <v>0</v>
      </c>
      <c r="G385" s="1296"/>
      <c r="H385" s="1290"/>
      <c r="I385" s="1290"/>
      <c r="J385" s="1290"/>
      <c r="P385" s="1291"/>
      <c r="Q385" s="1291"/>
      <c r="R385" s="1291"/>
      <c r="S385" s="1291"/>
      <c r="T385" s="1291"/>
      <c r="U385" s="1291"/>
      <c r="V385" s="1291"/>
      <c r="W385" s="1291"/>
      <c r="X385" s="1291"/>
      <c r="Y385" s="1291"/>
      <c r="Z385" s="1291"/>
      <c r="AA385" s="1291"/>
      <c r="AB385" s="1291"/>
      <c r="AC385" s="1291"/>
    </row>
    <row r="386" spans="1:29" s="1332" customFormat="1" ht="13.8" x14ac:dyDescent="0.25">
      <c r="A386" s="1306"/>
      <c r="B386" s="1325" t="s">
        <v>1325</v>
      </c>
      <c r="C386" s="1307" t="s">
        <v>37</v>
      </c>
      <c r="D386" s="1307">
        <v>15.06</v>
      </c>
      <c r="E386" s="1307">
        <f>F562</f>
        <v>375.9375</v>
      </c>
      <c r="F386" s="1307">
        <f t="shared" si="40"/>
        <v>5661.6187500000005</v>
      </c>
      <c r="G386" s="1307"/>
      <c r="H386" s="1290">
        <f>11*2*0.617</f>
        <v>13.574</v>
      </c>
      <c r="I386" s="1290"/>
      <c r="J386" s="1290"/>
      <c r="P386" s="1291"/>
      <c r="Q386" s="1291"/>
      <c r="R386" s="1291"/>
      <c r="S386" s="1291"/>
      <c r="T386" s="1291"/>
      <c r="U386" s="1291"/>
      <c r="V386" s="1291"/>
      <c r="W386" s="1291"/>
      <c r="X386" s="1291"/>
      <c r="Y386" s="1291"/>
      <c r="Z386" s="1291"/>
      <c r="AA386" s="1291"/>
      <c r="AB386" s="1291"/>
      <c r="AC386" s="1291"/>
    </row>
    <row r="387" spans="1:29" s="1332" customFormat="1" ht="13.8" x14ac:dyDescent="0.25">
      <c r="A387" s="1294"/>
      <c r="B387" s="1295"/>
      <c r="C387" s="1296"/>
      <c r="D387" s="1296"/>
      <c r="E387" s="1296"/>
      <c r="F387" s="1296"/>
      <c r="G387" s="1296"/>
      <c r="H387" s="1290">
        <f>0.1*67*0.222</f>
        <v>1.4874000000000001</v>
      </c>
      <c r="I387" s="1290"/>
      <c r="J387" s="1290"/>
      <c r="P387" s="1291"/>
      <c r="Q387" s="1291"/>
      <c r="R387" s="1291"/>
      <c r="S387" s="1291"/>
      <c r="T387" s="1291"/>
      <c r="U387" s="1291"/>
      <c r="V387" s="1291"/>
      <c r="W387" s="1291"/>
      <c r="X387" s="1291"/>
      <c r="Y387" s="1291"/>
      <c r="Z387" s="1291"/>
      <c r="AA387" s="1291"/>
      <c r="AB387" s="1291"/>
      <c r="AC387" s="1291"/>
    </row>
    <row r="388" spans="1:29" s="1332" customFormat="1" ht="13.8" x14ac:dyDescent="0.25">
      <c r="A388" s="1294"/>
      <c r="B388" s="1294"/>
      <c r="C388" s="1295"/>
      <c r="D388" s="1296"/>
      <c r="E388" s="1296"/>
      <c r="F388" s="1296">
        <f t="shared" ref="F388:F391" si="41">D388*E388</f>
        <v>0</v>
      </c>
      <c r="G388" s="1296"/>
      <c r="H388" s="1290"/>
      <c r="I388" s="1290"/>
      <c r="J388" s="1290"/>
      <c r="P388" s="1291"/>
      <c r="Q388" s="1291"/>
      <c r="R388" s="1291"/>
      <c r="S388" s="1291"/>
      <c r="T388" s="1291"/>
      <c r="U388" s="1291"/>
      <c r="V388" s="1291"/>
      <c r="W388" s="1291"/>
      <c r="X388" s="1291"/>
      <c r="Y388" s="1291"/>
      <c r="Z388" s="1291"/>
      <c r="AA388" s="1291"/>
      <c r="AB388" s="1291"/>
      <c r="AC388" s="1291"/>
    </row>
    <row r="389" spans="1:29" s="1332" customFormat="1" ht="13.8" x14ac:dyDescent="0.25">
      <c r="A389" s="1298"/>
      <c r="B389" s="1476" t="s">
        <v>1277</v>
      </c>
      <c r="C389" s="1476"/>
      <c r="D389" s="1476"/>
      <c r="E389" s="1476"/>
      <c r="F389" s="1299">
        <f t="shared" si="41"/>
        <v>0</v>
      </c>
      <c r="G389" s="1300">
        <f>SUM(F380:F389)</f>
        <v>12706.94375</v>
      </c>
      <c r="H389" s="1290"/>
      <c r="I389" s="1290"/>
      <c r="J389" s="1290"/>
      <c r="P389" s="1291"/>
      <c r="Q389" s="1291"/>
      <c r="R389" s="1291"/>
      <c r="S389" s="1291"/>
      <c r="T389" s="1291"/>
      <c r="U389" s="1291"/>
      <c r="V389" s="1291"/>
      <c r="W389" s="1291"/>
      <c r="X389" s="1291"/>
      <c r="Y389" s="1291"/>
      <c r="Z389" s="1291"/>
      <c r="AA389" s="1291"/>
      <c r="AB389" s="1291"/>
      <c r="AC389" s="1291"/>
    </row>
    <row r="390" spans="1:29" ht="13.8" x14ac:dyDescent="0.25">
      <c r="A390" s="1294"/>
      <c r="B390" s="1297" t="s">
        <v>1261</v>
      </c>
      <c r="C390" s="1295"/>
      <c r="D390" s="1296"/>
      <c r="E390" s="1296"/>
      <c r="F390" s="1296">
        <f t="shared" si="41"/>
        <v>0</v>
      </c>
      <c r="G390" s="1296"/>
    </row>
    <row r="391" spans="1:29" ht="13.8" x14ac:dyDescent="0.25">
      <c r="A391" s="1306"/>
      <c r="B391" s="1306" t="s">
        <v>1326</v>
      </c>
      <c r="C391" s="1307" t="s">
        <v>1327</v>
      </c>
      <c r="D391" s="1307">
        <v>10</v>
      </c>
      <c r="E391" s="1307">
        <v>280</v>
      </c>
      <c r="F391" s="1307">
        <f t="shared" si="41"/>
        <v>2800</v>
      </c>
      <c r="G391" s="1307"/>
    </row>
    <row r="392" spans="1:29" ht="13.8" x14ac:dyDescent="0.25">
      <c r="A392" s="1294"/>
      <c r="B392" s="1294"/>
      <c r="C392" s="1295"/>
      <c r="D392" s="1296"/>
      <c r="E392" s="1296"/>
      <c r="F392" s="1296"/>
      <c r="G392" s="1296"/>
    </row>
    <row r="393" spans="1:29" ht="13.8" x14ac:dyDescent="0.25">
      <c r="A393" s="1298"/>
      <c r="B393" s="1476" t="s">
        <v>1264</v>
      </c>
      <c r="C393" s="1476"/>
      <c r="D393" s="1476"/>
      <c r="E393" s="1476"/>
      <c r="F393" s="1299">
        <f t="shared" ref="F393" si="42">D393*E393</f>
        <v>0</v>
      </c>
      <c r="G393" s="1300">
        <f>SUM(F391:F393)</f>
        <v>2800</v>
      </c>
    </row>
    <row r="394" spans="1:29" ht="13.8" x14ac:dyDescent="0.25">
      <c r="A394" s="1294"/>
      <c r="B394" s="1297" t="s">
        <v>1280</v>
      </c>
      <c r="C394" s="1295"/>
      <c r="D394" s="1296"/>
      <c r="E394" s="1296"/>
      <c r="F394" s="1296"/>
      <c r="G394" s="1296"/>
    </row>
    <row r="395" spans="1:29" ht="13.8" x14ac:dyDescent="0.25">
      <c r="A395" s="1294"/>
      <c r="B395" s="1294"/>
      <c r="C395" s="1295"/>
      <c r="D395" s="1296"/>
      <c r="E395" s="1296"/>
      <c r="F395" s="1296"/>
      <c r="G395" s="1296"/>
    </row>
    <row r="396" spans="1:29" ht="13.8" x14ac:dyDescent="0.25">
      <c r="A396" s="1294"/>
      <c r="B396" s="1294" t="s">
        <v>1304</v>
      </c>
      <c r="C396" s="1296" t="s">
        <v>1279</v>
      </c>
      <c r="D396" s="1296">
        <v>0.08</v>
      </c>
      <c r="E396" s="1296">
        <v>5000</v>
      </c>
      <c r="F396" s="1296">
        <f>D396*E396</f>
        <v>400</v>
      </c>
      <c r="G396" s="1296"/>
    </row>
    <row r="397" spans="1:29" ht="13.8" x14ac:dyDescent="0.25">
      <c r="A397" s="1294"/>
      <c r="B397" s="1294" t="s">
        <v>1107</v>
      </c>
      <c r="C397" s="1296" t="s">
        <v>1279</v>
      </c>
      <c r="D397" s="1296">
        <v>0.08</v>
      </c>
      <c r="E397" s="1296">
        <v>2000</v>
      </c>
      <c r="F397" s="1296">
        <f>D397*E397</f>
        <v>160</v>
      </c>
      <c r="G397" s="1296"/>
    </row>
    <row r="398" spans="1:29" ht="13.8" x14ac:dyDescent="0.25">
      <c r="A398" s="1294"/>
      <c r="B398" s="1294"/>
      <c r="C398" s="1295"/>
      <c r="D398" s="1296"/>
      <c r="E398" s="1296"/>
      <c r="F398" s="1296"/>
      <c r="G398" s="1296"/>
    </row>
    <row r="399" spans="1:29" ht="13.8" x14ac:dyDescent="0.25">
      <c r="A399" s="1298"/>
      <c r="B399" s="1476" t="s">
        <v>1282</v>
      </c>
      <c r="C399" s="1476"/>
      <c r="D399" s="1476"/>
      <c r="E399" s="1476"/>
      <c r="F399" s="1299">
        <f t="shared" ref="F399" si="43">D399*E399</f>
        <v>0</v>
      </c>
      <c r="G399" s="1300">
        <f>SUM(F395:F399)</f>
        <v>560</v>
      </c>
    </row>
    <row r="400" spans="1:29" ht="13.8" x14ac:dyDescent="0.25">
      <c r="A400" s="1294"/>
      <c r="B400" s="1302"/>
      <c r="C400" s="1302"/>
      <c r="D400" s="1302"/>
      <c r="E400" s="1302"/>
      <c r="F400" s="1296"/>
      <c r="G400" s="1302"/>
    </row>
    <row r="401" spans="1:29" ht="13.8" x14ac:dyDescent="0.25">
      <c r="A401" s="1294"/>
      <c r="B401" s="1302"/>
      <c r="C401" s="1302"/>
      <c r="D401" s="1302"/>
      <c r="E401" s="1302"/>
      <c r="F401" s="1296"/>
      <c r="G401" s="1302"/>
    </row>
    <row r="402" spans="1:29" ht="13.8" x14ac:dyDescent="0.25">
      <c r="A402" s="1469" t="s">
        <v>1328</v>
      </c>
      <c r="B402" s="1469"/>
      <c r="C402" s="1469"/>
      <c r="D402" s="1469"/>
      <c r="E402" s="1469"/>
      <c r="F402" s="1469"/>
      <c r="G402" s="1303">
        <f>G389+G393+G399</f>
        <v>16066.94375</v>
      </c>
    </row>
    <row r="403" spans="1:29" ht="13.8" x14ac:dyDescent="0.25">
      <c r="A403" s="1469" t="s">
        <v>1329</v>
      </c>
      <c r="B403" s="1469"/>
      <c r="C403" s="1469"/>
      <c r="D403" s="1469"/>
      <c r="E403" s="1469"/>
      <c r="F403" s="1469"/>
      <c r="G403" s="1303">
        <f>G402/10</f>
        <v>1606.694375</v>
      </c>
    </row>
    <row r="404" spans="1:29" ht="14.4" thickBot="1" x14ac:dyDescent="0.3">
      <c r="A404" s="1478" t="s">
        <v>1330</v>
      </c>
      <c r="B404" s="1478"/>
      <c r="C404" s="1478"/>
      <c r="D404" s="1478"/>
      <c r="E404" s="1478"/>
      <c r="F404" s="1478"/>
      <c r="G404" s="1333">
        <f>G403/3.28</f>
        <v>489.84584603658539</v>
      </c>
    </row>
    <row r="406" spans="1:29" s="1332" customFormat="1" ht="13.8" thickBot="1" x14ac:dyDescent="0.3">
      <c r="A406" s="1291"/>
      <c r="B406" s="1291"/>
      <c r="C406" s="1291"/>
      <c r="D406" s="1291"/>
      <c r="E406" s="1291"/>
      <c r="F406" s="1291"/>
      <c r="G406" s="1291"/>
      <c r="H406" s="1290"/>
      <c r="I406" s="1290"/>
      <c r="J406" s="1290"/>
      <c r="P406" s="1291"/>
      <c r="Q406" s="1291"/>
      <c r="R406" s="1291"/>
      <c r="S406" s="1291"/>
      <c r="T406" s="1291"/>
      <c r="U406" s="1291"/>
      <c r="V406" s="1291"/>
      <c r="W406" s="1291"/>
      <c r="X406" s="1291"/>
      <c r="Y406" s="1291"/>
      <c r="Z406" s="1291"/>
      <c r="AA406" s="1291"/>
      <c r="AB406" s="1291"/>
      <c r="AC406" s="1291"/>
    </row>
    <row r="407" spans="1:29" s="1332" customFormat="1" ht="13.8" x14ac:dyDescent="0.25">
      <c r="A407" s="1470" t="s">
        <v>1331</v>
      </c>
      <c r="B407" s="1471"/>
      <c r="C407" s="1471"/>
      <c r="D407" s="1471"/>
      <c r="E407" s="1471"/>
      <c r="F407" s="1471"/>
      <c r="G407" s="1472"/>
      <c r="H407" s="1290"/>
      <c r="I407" s="1290"/>
      <c r="J407" s="1290"/>
      <c r="P407" s="1291"/>
      <c r="Q407" s="1291"/>
      <c r="R407" s="1291"/>
      <c r="S407" s="1291"/>
      <c r="T407" s="1291"/>
      <c r="U407" s="1291"/>
      <c r="V407" s="1291"/>
      <c r="W407" s="1291"/>
      <c r="X407" s="1291"/>
      <c r="Y407" s="1291"/>
      <c r="Z407" s="1291"/>
      <c r="AA407" s="1291"/>
      <c r="AB407" s="1291"/>
      <c r="AC407" s="1291"/>
    </row>
    <row r="408" spans="1:29" s="1332" customFormat="1" ht="14.4" thickBot="1" x14ac:dyDescent="0.3">
      <c r="A408" s="1473" t="s">
        <v>1323</v>
      </c>
      <c r="B408" s="1474"/>
      <c r="C408" s="1474"/>
      <c r="D408" s="1474"/>
      <c r="E408" s="1474"/>
      <c r="F408" s="1474"/>
      <c r="G408" s="1475"/>
      <c r="H408" s="1290"/>
      <c r="I408" s="1290"/>
      <c r="J408" s="1290"/>
      <c r="P408" s="1291"/>
      <c r="Q408" s="1291"/>
      <c r="R408" s="1291"/>
      <c r="S408" s="1291"/>
      <c r="T408" s="1291"/>
      <c r="U408" s="1291"/>
      <c r="V408" s="1291"/>
      <c r="W408" s="1291"/>
      <c r="X408" s="1291"/>
      <c r="Y408" s="1291"/>
      <c r="Z408" s="1291"/>
      <c r="AA408" s="1291"/>
      <c r="AB408" s="1291"/>
      <c r="AC408" s="1291"/>
    </row>
    <row r="409" spans="1:29" s="1332" customFormat="1" ht="14.4" thickBot="1" x14ac:dyDescent="0.3">
      <c r="A409" s="1292"/>
      <c r="B409" s="1293" t="s">
        <v>1038</v>
      </c>
      <c r="C409" s="1293" t="s">
        <v>1039</v>
      </c>
      <c r="D409" s="1293" t="s">
        <v>2</v>
      </c>
      <c r="E409" s="1293" t="s">
        <v>1040</v>
      </c>
      <c r="F409" s="1293" t="s">
        <v>5</v>
      </c>
      <c r="G409" s="1293" t="s">
        <v>1260</v>
      </c>
      <c r="H409" s="1290"/>
      <c r="I409" s="1290"/>
      <c r="J409" s="1290"/>
      <c r="P409" s="1291"/>
      <c r="Q409" s="1291"/>
      <c r="R409" s="1291"/>
      <c r="S409" s="1291"/>
      <c r="T409" s="1291"/>
      <c r="U409" s="1291"/>
      <c r="V409" s="1291"/>
      <c r="W409" s="1291"/>
      <c r="X409" s="1291"/>
      <c r="Y409" s="1291"/>
      <c r="Z409" s="1291"/>
      <c r="AA409" s="1291"/>
      <c r="AB409" s="1291"/>
      <c r="AC409" s="1291"/>
    </row>
    <row r="410" spans="1:29" s="1332" customFormat="1" ht="13.8" x14ac:dyDescent="0.25">
      <c r="A410" s="1294"/>
      <c r="B410" s="1294"/>
      <c r="C410" s="1295"/>
      <c r="D410" s="1296"/>
      <c r="E410" s="1296"/>
      <c r="F410" s="1296"/>
      <c r="G410" s="1296"/>
      <c r="H410" s="1290"/>
      <c r="I410" s="1290"/>
      <c r="J410" s="1290"/>
      <c r="P410" s="1291"/>
      <c r="Q410" s="1291"/>
      <c r="R410" s="1291"/>
      <c r="S410" s="1291"/>
      <c r="T410" s="1291"/>
      <c r="U410" s="1291"/>
      <c r="V410" s="1291"/>
      <c r="W410" s="1291"/>
      <c r="X410" s="1291"/>
      <c r="Y410" s="1291"/>
      <c r="Z410" s="1291"/>
      <c r="AA410" s="1291"/>
      <c r="AB410" s="1291"/>
      <c r="AC410" s="1291"/>
    </row>
    <row r="411" spans="1:29" s="1332" customFormat="1" ht="13.8" x14ac:dyDescent="0.25">
      <c r="A411" s="1294"/>
      <c r="B411" s="1297"/>
      <c r="C411" s="1295"/>
      <c r="D411" s="1296"/>
      <c r="E411" s="1296"/>
      <c r="F411" s="1296"/>
      <c r="G411" s="1296"/>
      <c r="H411" s="1290"/>
      <c r="I411" s="1290"/>
      <c r="J411" s="1290"/>
      <c r="P411" s="1291"/>
      <c r="Q411" s="1291"/>
      <c r="R411" s="1291"/>
      <c r="S411" s="1291"/>
      <c r="T411" s="1291"/>
      <c r="U411" s="1291"/>
      <c r="V411" s="1291"/>
      <c r="W411" s="1291"/>
      <c r="X411" s="1291"/>
      <c r="Y411" s="1291"/>
      <c r="Z411" s="1291"/>
      <c r="AA411" s="1291"/>
      <c r="AB411" s="1291"/>
      <c r="AC411" s="1291"/>
    </row>
    <row r="412" spans="1:29" s="1332" customFormat="1" ht="13.8" x14ac:dyDescent="0.25">
      <c r="A412" s="1294"/>
      <c r="B412" s="1294" t="s">
        <v>1313</v>
      </c>
      <c r="C412" s="1296" t="s">
        <v>1110</v>
      </c>
      <c r="D412" s="1296">
        <v>0.08</v>
      </c>
      <c r="E412" s="1334"/>
      <c r="F412" s="1296">
        <f t="shared" ref="F412" si="44">F410*10%</f>
        <v>0</v>
      </c>
      <c r="G412" s="1296"/>
      <c r="H412" s="1290"/>
      <c r="I412" s="1290">
        <f>0.15*0.15*10</f>
        <v>0.22499999999999998</v>
      </c>
      <c r="J412" s="1335">
        <f>I412/2.83</f>
        <v>7.9505300353356886E-2</v>
      </c>
      <c r="P412" s="1291"/>
      <c r="Q412" s="1291"/>
      <c r="R412" s="1291"/>
      <c r="S412" s="1291"/>
      <c r="T412" s="1291"/>
      <c r="U412" s="1291"/>
      <c r="V412" s="1291"/>
      <c r="W412" s="1291"/>
      <c r="X412" s="1291"/>
      <c r="Y412" s="1291"/>
      <c r="Z412" s="1291"/>
      <c r="AA412" s="1291"/>
      <c r="AB412" s="1291"/>
      <c r="AC412" s="1291"/>
    </row>
    <row r="413" spans="1:29" s="1332" customFormat="1" ht="13.8" x14ac:dyDescent="0.25">
      <c r="A413" s="1306"/>
      <c r="B413" s="1306" t="s">
        <v>1108</v>
      </c>
      <c r="C413" s="1307" t="s">
        <v>1324</v>
      </c>
      <c r="D413" s="1307">
        <v>2.76</v>
      </c>
      <c r="E413" s="1307">
        <f>F197</f>
        <v>2235.625</v>
      </c>
      <c r="F413" s="1307">
        <f t="shared" ref="F413:F414" si="45">D413*E413</f>
        <v>6170.3249999999998</v>
      </c>
      <c r="G413" s="1307"/>
      <c r="H413" s="1290"/>
      <c r="I413" s="1336">
        <f>J412*0.42</f>
        <v>3.3392226148409893E-2</v>
      </c>
      <c r="J413" s="1290"/>
      <c r="P413" s="1291"/>
      <c r="Q413" s="1291"/>
      <c r="R413" s="1291"/>
      <c r="S413" s="1291"/>
      <c r="T413" s="1291"/>
      <c r="U413" s="1291"/>
      <c r="V413" s="1291"/>
      <c r="W413" s="1291"/>
      <c r="X413" s="1291"/>
      <c r="Y413" s="1291"/>
      <c r="Z413" s="1291"/>
      <c r="AA413" s="1291"/>
      <c r="AB413" s="1291"/>
      <c r="AC413" s="1291"/>
    </row>
    <row r="414" spans="1:29" s="1332" customFormat="1" ht="13.8" x14ac:dyDescent="0.25">
      <c r="A414" s="1306"/>
      <c r="B414" s="1324" t="s">
        <v>1159</v>
      </c>
      <c r="C414" s="1307" t="s">
        <v>1110</v>
      </c>
      <c r="D414" s="1307">
        <v>0.03</v>
      </c>
      <c r="E414" s="1307">
        <f>[19]Material!E13</f>
        <v>23500</v>
      </c>
      <c r="F414" s="1307">
        <f t="shared" si="45"/>
        <v>705</v>
      </c>
      <c r="G414" s="1307"/>
      <c r="H414" s="1290"/>
      <c r="I414" s="1336">
        <f>J412*0.82</f>
        <v>6.5194346289752639E-2</v>
      </c>
      <c r="J414" s="1290"/>
      <c r="P414" s="1291"/>
      <c r="Q414" s="1291"/>
      <c r="R414" s="1291"/>
      <c r="S414" s="1291"/>
      <c r="T414" s="1291"/>
      <c r="U414" s="1291"/>
      <c r="V414" s="1291"/>
      <c r="W414" s="1291"/>
      <c r="X414" s="1291"/>
      <c r="Y414" s="1291"/>
      <c r="Z414" s="1291"/>
      <c r="AA414" s="1291"/>
      <c r="AB414" s="1291"/>
      <c r="AC414" s="1291"/>
    </row>
    <row r="415" spans="1:29" s="1332" customFormat="1" ht="13.8" x14ac:dyDescent="0.25">
      <c r="A415" s="1306"/>
      <c r="B415" s="1325" t="s">
        <v>1311</v>
      </c>
      <c r="C415" s="1307" t="s">
        <v>1110</v>
      </c>
      <c r="D415" s="1307">
        <v>7.0000000000000007E-2</v>
      </c>
      <c r="E415" s="1307">
        <f>[19]Material!E17</f>
        <v>13500</v>
      </c>
      <c r="F415" s="1307">
        <f>D415*E415</f>
        <v>945.00000000000011</v>
      </c>
      <c r="G415" s="1307"/>
      <c r="H415" s="1290"/>
      <c r="I415" s="1290"/>
      <c r="J415" s="1290"/>
      <c r="P415" s="1291"/>
      <c r="Q415" s="1291"/>
      <c r="R415" s="1291"/>
      <c r="S415" s="1291"/>
      <c r="T415" s="1291"/>
      <c r="U415" s="1291"/>
      <c r="V415" s="1291"/>
      <c r="W415" s="1291"/>
      <c r="X415" s="1291"/>
      <c r="Y415" s="1291"/>
      <c r="Z415" s="1291"/>
      <c r="AA415" s="1291"/>
      <c r="AB415" s="1291"/>
      <c r="AC415" s="1291"/>
    </row>
    <row r="416" spans="1:29" s="1332" customFormat="1" ht="13.8" x14ac:dyDescent="0.25">
      <c r="A416" s="1294"/>
      <c r="B416" s="1295"/>
      <c r="C416" s="1296"/>
      <c r="D416" s="1296"/>
      <c r="E416" s="1296"/>
      <c r="F416" s="1296">
        <f t="shared" ref="F416:F417" si="46">D416*E416</f>
        <v>0</v>
      </c>
      <c r="G416" s="1296"/>
      <c r="H416" s="1290"/>
      <c r="I416" s="1290"/>
      <c r="J416" s="1290"/>
      <c r="P416" s="1291"/>
      <c r="Q416" s="1291"/>
      <c r="R416" s="1291"/>
      <c r="S416" s="1291"/>
      <c r="T416" s="1291"/>
      <c r="U416" s="1291"/>
      <c r="V416" s="1291"/>
      <c r="W416" s="1291"/>
      <c r="X416" s="1291"/>
      <c r="Y416" s="1291"/>
      <c r="Z416" s="1291"/>
      <c r="AA416" s="1291"/>
      <c r="AB416" s="1291"/>
      <c r="AC416" s="1291"/>
    </row>
    <row r="417" spans="1:29" s="1332" customFormat="1" ht="13.8" x14ac:dyDescent="0.25">
      <c r="A417" s="1306"/>
      <c r="B417" s="1325" t="s">
        <v>1325</v>
      </c>
      <c r="C417" s="1307" t="s">
        <v>37</v>
      </c>
      <c r="D417" s="1307">
        <v>34.880000000000003</v>
      </c>
      <c r="E417" s="1307">
        <f>F562</f>
        <v>375.9375</v>
      </c>
      <c r="F417" s="1307">
        <f t="shared" si="46"/>
        <v>13112.7</v>
      </c>
      <c r="G417" s="1307"/>
      <c r="H417" s="1290"/>
      <c r="I417" s="1290">
        <f>11*4*0.617</f>
        <v>27.148</v>
      </c>
      <c r="J417" s="1290"/>
      <c r="P417" s="1291"/>
      <c r="Q417" s="1291"/>
      <c r="R417" s="1291"/>
      <c r="S417" s="1291"/>
      <c r="T417" s="1291"/>
      <c r="U417" s="1291"/>
      <c r="V417" s="1291"/>
      <c r="W417" s="1291"/>
      <c r="X417" s="1291"/>
      <c r="Y417" s="1291"/>
      <c r="Z417" s="1291"/>
      <c r="AA417" s="1291"/>
      <c r="AB417" s="1291"/>
      <c r="AC417" s="1291"/>
    </row>
    <row r="418" spans="1:29" s="1332" customFormat="1" ht="13.8" x14ac:dyDescent="0.25">
      <c r="A418" s="1294"/>
      <c r="B418" s="1295"/>
      <c r="C418" s="1296"/>
      <c r="D418" s="1296"/>
      <c r="E418" s="1296"/>
      <c r="F418" s="1296"/>
      <c r="G418" s="1296"/>
      <c r="H418" s="1290"/>
      <c r="I418" s="1290">
        <f>0.52*67*0.222</f>
        <v>7.7344800000000005</v>
      </c>
      <c r="J418" s="1290"/>
      <c r="P418" s="1291"/>
      <c r="Q418" s="1291"/>
      <c r="R418" s="1291"/>
      <c r="S418" s="1291"/>
      <c r="T418" s="1291"/>
      <c r="U418" s="1291"/>
      <c r="V418" s="1291"/>
      <c r="W418" s="1291"/>
      <c r="X418" s="1291"/>
      <c r="Y418" s="1291"/>
      <c r="Z418" s="1291"/>
      <c r="AA418" s="1291"/>
      <c r="AB418" s="1291"/>
      <c r="AC418" s="1291"/>
    </row>
    <row r="419" spans="1:29" s="1332" customFormat="1" ht="13.8" x14ac:dyDescent="0.25">
      <c r="A419" s="1294"/>
      <c r="B419" s="1294"/>
      <c r="C419" s="1295"/>
      <c r="D419" s="1296"/>
      <c r="E419" s="1296"/>
      <c r="F419" s="1296">
        <f t="shared" ref="F419:F422" si="47">D419*E419</f>
        <v>0</v>
      </c>
      <c r="G419" s="1296"/>
      <c r="H419" s="1290"/>
      <c r="I419" s="1290"/>
      <c r="J419" s="1290"/>
      <c r="P419" s="1291"/>
      <c r="Q419" s="1291"/>
      <c r="R419" s="1291"/>
      <c r="S419" s="1291"/>
      <c r="T419" s="1291"/>
      <c r="U419" s="1291"/>
      <c r="V419" s="1291"/>
      <c r="W419" s="1291"/>
      <c r="X419" s="1291"/>
      <c r="Y419" s="1291"/>
      <c r="Z419" s="1291"/>
      <c r="AA419" s="1291"/>
      <c r="AB419" s="1291"/>
      <c r="AC419" s="1291"/>
    </row>
    <row r="420" spans="1:29" s="1332" customFormat="1" ht="13.8" x14ac:dyDescent="0.25">
      <c r="A420" s="1298"/>
      <c r="B420" s="1476" t="s">
        <v>1277</v>
      </c>
      <c r="C420" s="1476"/>
      <c r="D420" s="1476"/>
      <c r="E420" s="1476"/>
      <c r="F420" s="1299">
        <f t="shared" si="47"/>
        <v>0</v>
      </c>
      <c r="G420" s="1300">
        <f>SUM(F411:F420)</f>
        <v>20933.025000000001</v>
      </c>
      <c r="H420" s="1290"/>
      <c r="I420" s="1290"/>
      <c r="J420" s="1290"/>
      <c r="P420" s="1291"/>
      <c r="Q420" s="1291"/>
      <c r="R420" s="1291"/>
      <c r="S420" s="1291"/>
      <c r="T420" s="1291"/>
      <c r="U420" s="1291"/>
      <c r="V420" s="1291"/>
      <c r="W420" s="1291"/>
      <c r="X420" s="1291"/>
      <c r="Y420" s="1291"/>
      <c r="Z420" s="1291"/>
      <c r="AA420" s="1291"/>
      <c r="AB420" s="1291"/>
      <c r="AC420" s="1291"/>
    </row>
    <row r="421" spans="1:29" s="1332" customFormat="1" ht="13.8" x14ac:dyDescent="0.25">
      <c r="A421" s="1294"/>
      <c r="B421" s="1297" t="s">
        <v>1261</v>
      </c>
      <c r="C421" s="1295"/>
      <c r="D421" s="1296"/>
      <c r="E421" s="1296"/>
      <c r="F421" s="1296">
        <f t="shared" si="47"/>
        <v>0</v>
      </c>
      <c r="G421" s="1296"/>
      <c r="H421" s="1290"/>
      <c r="I421" s="1290"/>
      <c r="J421" s="1290"/>
      <c r="P421" s="1291"/>
      <c r="Q421" s="1291"/>
      <c r="R421" s="1291"/>
      <c r="S421" s="1291"/>
      <c r="T421" s="1291"/>
      <c r="U421" s="1291"/>
      <c r="V421" s="1291"/>
      <c r="W421" s="1291"/>
      <c r="X421" s="1291"/>
      <c r="Y421" s="1291"/>
      <c r="Z421" s="1291"/>
      <c r="AA421" s="1291"/>
      <c r="AB421" s="1291"/>
      <c r="AC421" s="1291"/>
    </row>
    <row r="422" spans="1:29" ht="13.8" x14ac:dyDescent="0.25">
      <c r="A422" s="1306"/>
      <c r="B422" s="1306" t="s">
        <v>1326</v>
      </c>
      <c r="C422" s="1307" t="s">
        <v>1327</v>
      </c>
      <c r="D422" s="1307">
        <v>10</v>
      </c>
      <c r="E422" s="1307">
        <v>300</v>
      </c>
      <c r="F422" s="1307">
        <f t="shared" si="47"/>
        <v>3000</v>
      </c>
      <c r="G422" s="1307"/>
    </row>
    <row r="423" spans="1:29" ht="13.8" x14ac:dyDescent="0.25">
      <c r="A423" s="1294"/>
      <c r="B423" s="1294"/>
      <c r="C423" s="1295"/>
      <c r="D423" s="1296"/>
      <c r="E423" s="1296"/>
      <c r="F423" s="1296"/>
      <c r="G423" s="1296"/>
    </row>
    <row r="424" spans="1:29" ht="13.8" x14ac:dyDescent="0.25">
      <c r="A424" s="1298"/>
      <c r="B424" s="1476" t="s">
        <v>1264</v>
      </c>
      <c r="C424" s="1476"/>
      <c r="D424" s="1476"/>
      <c r="E424" s="1476"/>
      <c r="F424" s="1299">
        <f t="shared" ref="F424" si="48">D424*E424</f>
        <v>0</v>
      </c>
      <c r="G424" s="1300">
        <f>SUM(F422:F424)</f>
        <v>3000</v>
      </c>
    </row>
    <row r="425" spans="1:29" ht="13.8" x14ac:dyDescent="0.25">
      <c r="A425" s="1294"/>
      <c r="B425" s="1297" t="s">
        <v>1280</v>
      </c>
      <c r="C425" s="1295"/>
      <c r="D425" s="1296"/>
      <c r="E425" s="1296"/>
      <c r="F425" s="1296"/>
      <c r="G425" s="1296"/>
    </row>
    <row r="426" spans="1:29" ht="13.8" x14ac:dyDescent="0.25">
      <c r="A426" s="1294"/>
      <c r="B426" s="1294"/>
      <c r="C426" s="1295"/>
      <c r="D426" s="1296"/>
      <c r="E426" s="1296"/>
      <c r="F426" s="1296"/>
      <c r="G426" s="1296"/>
    </row>
    <row r="427" spans="1:29" ht="13.8" x14ac:dyDescent="0.25">
      <c r="A427" s="1294"/>
      <c r="B427" s="1294" t="s">
        <v>1304</v>
      </c>
      <c r="C427" s="1296" t="s">
        <v>1279</v>
      </c>
      <c r="D427" s="1296">
        <v>0.08</v>
      </c>
      <c r="E427" s="1296">
        <v>5000</v>
      </c>
      <c r="F427" s="1296">
        <f>D427*E427</f>
        <v>400</v>
      </c>
      <c r="G427" s="1296"/>
    </row>
    <row r="428" spans="1:29" ht="13.8" x14ac:dyDescent="0.25">
      <c r="A428" s="1294"/>
      <c r="B428" s="1294" t="s">
        <v>1107</v>
      </c>
      <c r="C428" s="1296" t="s">
        <v>1279</v>
      </c>
      <c r="D428" s="1296">
        <v>0.08</v>
      </c>
      <c r="E428" s="1296">
        <v>2000</v>
      </c>
      <c r="F428" s="1296">
        <f>D428*E428</f>
        <v>160</v>
      </c>
      <c r="G428" s="1296"/>
    </row>
    <row r="429" spans="1:29" ht="13.8" x14ac:dyDescent="0.25">
      <c r="A429" s="1294"/>
      <c r="B429" s="1294"/>
      <c r="C429" s="1295"/>
      <c r="D429" s="1296"/>
      <c r="E429" s="1296"/>
      <c r="F429" s="1296"/>
      <c r="G429" s="1296"/>
    </row>
    <row r="430" spans="1:29" ht="13.8" x14ac:dyDescent="0.25">
      <c r="A430" s="1298"/>
      <c r="B430" s="1476" t="s">
        <v>1282</v>
      </c>
      <c r="C430" s="1476"/>
      <c r="D430" s="1476"/>
      <c r="E430" s="1476"/>
      <c r="F430" s="1299">
        <f t="shared" ref="F430" si="49">D430*E430</f>
        <v>0</v>
      </c>
      <c r="G430" s="1300">
        <f>SUM(F426:F430)</f>
        <v>560</v>
      </c>
    </row>
    <row r="431" spans="1:29" ht="13.8" x14ac:dyDescent="0.25">
      <c r="A431" s="1294"/>
      <c r="B431" s="1302"/>
      <c r="C431" s="1302"/>
      <c r="D431" s="1302"/>
      <c r="E431" s="1302"/>
      <c r="F431" s="1296"/>
      <c r="G431" s="1302"/>
    </row>
    <row r="432" spans="1:29" ht="13.8" x14ac:dyDescent="0.25">
      <c r="A432" s="1294"/>
      <c r="B432" s="1302"/>
      <c r="C432" s="1302"/>
      <c r="D432" s="1302"/>
      <c r="E432" s="1302"/>
      <c r="F432" s="1296"/>
      <c r="G432" s="1302"/>
    </row>
    <row r="433" spans="1:15" ht="13.8" x14ac:dyDescent="0.25">
      <c r="A433" s="1469" t="s">
        <v>1328</v>
      </c>
      <c r="B433" s="1469"/>
      <c r="C433" s="1469"/>
      <c r="D433" s="1469"/>
      <c r="E433" s="1469"/>
      <c r="F433" s="1469"/>
      <c r="G433" s="1303">
        <f>G420+G424+G430</f>
        <v>24493.025000000001</v>
      </c>
    </row>
    <row r="434" spans="1:15" ht="13.8" x14ac:dyDescent="0.25">
      <c r="A434" s="1469" t="s">
        <v>1329</v>
      </c>
      <c r="B434" s="1469"/>
      <c r="C434" s="1469"/>
      <c r="D434" s="1469"/>
      <c r="E434" s="1469"/>
      <c r="F434" s="1469"/>
      <c r="G434" s="1303">
        <f>G433/10</f>
        <v>2449.3025000000002</v>
      </c>
    </row>
    <row r="435" spans="1:15" ht="14.4" thickBot="1" x14ac:dyDescent="0.3">
      <c r="A435" s="1478" t="s">
        <v>1330</v>
      </c>
      <c r="B435" s="1478"/>
      <c r="C435" s="1478"/>
      <c r="D435" s="1478"/>
      <c r="E435" s="1478"/>
      <c r="F435" s="1478"/>
      <c r="G435" s="1333">
        <f>G434/3.28</f>
        <v>746.73856707317088</v>
      </c>
    </row>
    <row r="438" spans="1:15" ht="13.8" thickBot="1" x14ac:dyDescent="0.3"/>
    <row r="439" spans="1:15" ht="13.8" x14ac:dyDescent="0.25">
      <c r="A439" s="1470" t="s">
        <v>1332</v>
      </c>
      <c r="B439" s="1471"/>
      <c r="C439" s="1471"/>
      <c r="D439" s="1471"/>
      <c r="E439" s="1471"/>
      <c r="F439" s="1471"/>
      <c r="G439" s="1472"/>
      <c r="K439" s="1337" t="s">
        <v>0</v>
      </c>
      <c r="L439" s="1337" t="s">
        <v>1333</v>
      </c>
      <c r="M439" s="1337" t="s">
        <v>1334</v>
      </c>
      <c r="N439" s="1337" t="s">
        <v>1335</v>
      </c>
      <c r="O439" s="1337" t="s">
        <v>1260</v>
      </c>
    </row>
    <row r="440" spans="1:15" ht="14.4" thickBot="1" x14ac:dyDescent="0.3">
      <c r="A440" s="1473" t="s">
        <v>1323</v>
      </c>
      <c r="B440" s="1474"/>
      <c r="C440" s="1474"/>
      <c r="D440" s="1474"/>
      <c r="E440" s="1474"/>
      <c r="F440" s="1474"/>
      <c r="G440" s="1475"/>
      <c r="K440" s="1338"/>
      <c r="L440" s="1338"/>
      <c r="M440" s="1338"/>
      <c r="N440" s="1338"/>
      <c r="O440" s="1338"/>
    </row>
    <row r="441" spans="1:15" ht="14.4" thickBot="1" x14ac:dyDescent="0.3">
      <c r="A441" s="1292"/>
      <c r="B441" s="1293" t="s">
        <v>1038</v>
      </c>
      <c r="C441" s="1293" t="s">
        <v>1039</v>
      </c>
      <c r="D441" s="1293" t="s">
        <v>2</v>
      </c>
      <c r="E441" s="1293" t="s">
        <v>1040</v>
      </c>
      <c r="F441" s="1293" t="s">
        <v>5</v>
      </c>
      <c r="G441" s="1293" t="s">
        <v>1260</v>
      </c>
      <c r="K441" s="1338"/>
      <c r="L441" s="1338"/>
      <c r="M441" s="1338"/>
      <c r="N441" s="1338"/>
      <c r="O441" s="1338"/>
    </row>
    <row r="442" spans="1:15" ht="13.8" x14ac:dyDescent="0.25">
      <c r="A442" s="1294"/>
      <c r="B442" s="1294"/>
      <c r="C442" s="1295"/>
      <c r="D442" s="1296"/>
      <c r="E442" s="1296"/>
      <c r="F442" s="1296"/>
      <c r="G442" s="1296"/>
      <c r="K442" s="1338">
        <v>1</v>
      </c>
      <c r="L442" s="1338">
        <v>10</v>
      </c>
      <c r="M442" s="1338">
        <v>0.23</v>
      </c>
      <c r="N442" s="1338">
        <v>0.15</v>
      </c>
      <c r="O442" s="1338">
        <f>PRODUCT(K442,L442,M442,N442)</f>
        <v>0.34500000000000003</v>
      </c>
    </row>
    <row r="443" spans="1:15" ht="14.4" thickBot="1" x14ac:dyDescent="0.3">
      <c r="A443" s="1294"/>
      <c r="B443" s="1297"/>
      <c r="C443" s="1295"/>
      <c r="D443" s="1296"/>
      <c r="E443" s="1296"/>
      <c r="F443" s="1296"/>
      <c r="G443" s="1296"/>
      <c r="K443" s="1338"/>
      <c r="L443" s="1338"/>
      <c r="M443" s="1338"/>
      <c r="N443" s="1338"/>
      <c r="O443" s="1339">
        <f>O442/2.83</f>
        <v>0.12190812720848057</v>
      </c>
    </row>
    <row r="444" spans="1:15" ht="14.4" thickTop="1" x14ac:dyDescent="0.25">
      <c r="A444" s="1294"/>
      <c r="B444" s="1294" t="s">
        <v>1313</v>
      </c>
      <c r="C444" s="1296" t="s">
        <v>1110</v>
      </c>
      <c r="D444" s="1296">
        <f>0.12</f>
        <v>0.12</v>
      </c>
      <c r="E444" s="1334"/>
      <c r="F444" s="1296">
        <f t="shared" ref="F444" si="50">F442*10%</f>
        <v>0</v>
      </c>
      <c r="G444" s="1296"/>
      <c r="K444" s="1338"/>
      <c r="L444" s="1338"/>
      <c r="M444" s="1338"/>
      <c r="N444" s="1338"/>
      <c r="O444" s="1340"/>
    </row>
    <row r="445" spans="1:15" ht="13.8" x14ac:dyDescent="0.25">
      <c r="A445" s="1306"/>
      <c r="B445" s="1306" t="s">
        <v>1108</v>
      </c>
      <c r="C445" s="1307" t="s">
        <v>1324</v>
      </c>
      <c r="D445" s="1307">
        <v>2.76</v>
      </c>
      <c r="E445" s="1307">
        <f>F197</f>
        <v>2235.625</v>
      </c>
      <c r="F445" s="1307">
        <f t="shared" ref="F445:F446" si="51">D445*E445</f>
        <v>6170.3249999999998</v>
      </c>
      <c r="G445" s="1307"/>
      <c r="H445" s="1336">
        <f>D444*23</f>
        <v>2.76</v>
      </c>
      <c r="K445" s="1338"/>
      <c r="L445" s="1338"/>
      <c r="M445" s="1338"/>
      <c r="N445" s="1338"/>
      <c r="O445" s="1338"/>
    </row>
    <row r="446" spans="1:15" ht="13.8" x14ac:dyDescent="0.25">
      <c r="A446" s="1306"/>
      <c r="B446" s="1324" t="s">
        <v>1159</v>
      </c>
      <c r="C446" s="1307" t="s">
        <v>1110</v>
      </c>
      <c r="D446" s="1307">
        <v>0.06</v>
      </c>
      <c r="E446" s="1307">
        <f>[19]Material!E13</f>
        <v>23500</v>
      </c>
      <c r="F446" s="1307">
        <f t="shared" si="51"/>
        <v>1410</v>
      </c>
      <c r="G446" s="1307"/>
      <c r="H446" s="1336">
        <f>D444*0.42</f>
        <v>5.0399999999999993E-2</v>
      </c>
      <c r="K446" s="1338">
        <v>24</v>
      </c>
      <c r="L446" s="1338">
        <v>0.75</v>
      </c>
      <c r="M446" s="1338"/>
      <c r="N446" s="1338">
        <v>0.62</v>
      </c>
      <c r="O446" s="1338">
        <f>PRODUCT(K446,L446,M446,N446)</f>
        <v>11.16</v>
      </c>
    </row>
    <row r="447" spans="1:15" ht="13.8" x14ac:dyDescent="0.25">
      <c r="A447" s="1306"/>
      <c r="B447" s="1325" t="s">
        <v>1311</v>
      </c>
      <c r="C447" s="1307" t="s">
        <v>1110</v>
      </c>
      <c r="D447" s="1307">
        <v>0.11</v>
      </c>
      <c r="E447" s="1307">
        <f>[19]Material!E17</f>
        <v>13500</v>
      </c>
      <c r="F447" s="1307">
        <f>D447*E447</f>
        <v>1485</v>
      </c>
      <c r="G447" s="1307"/>
      <c r="H447" s="1336">
        <f>D444*0.82</f>
        <v>9.8399999999999987E-2</v>
      </c>
      <c r="K447" s="1338">
        <v>4</v>
      </c>
      <c r="L447" s="1338">
        <v>3.5</v>
      </c>
      <c r="M447" s="1338"/>
      <c r="N447" s="1338">
        <v>0.62</v>
      </c>
      <c r="O447" s="1338">
        <f>PRODUCT(K447,L447,M447,N447)</f>
        <v>8.68</v>
      </c>
    </row>
    <row r="448" spans="1:15" ht="13.8" x14ac:dyDescent="0.25">
      <c r="A448" s="1294"/>
      <c r="B448" s="1295"/>
      <c r="C448" s="1296"/>
      <c r="D448" s="1296"/>
      <c r="E448" s="1296"/>
      <c r="F448" s="1296">
        <f t="shared" ref="F448:F449" si="52">D448*E448</f>
        <v>0</v>
      </c>
      <c r="G448" s="1296"/>
      <c r="K448" s="1338"/>
      <c r="L448" s="1338"/>
      <c r="M448" s="1338"/>
      <c r="N448" s="1338"/>
      <c r="O448" s="1338"/>
    </row>
    <row r="449" spans="1:15" ht="13.8" x14ac:dyDescent="0.25">
      <c r="A449" s="1306"/>
      <c r="B449" s="1325" t="s">
        <v>1325</v>
      </c>
      <c r="C449" s="1307" t="s">
        <v>37</v>
      </c>
      <c r="D449" s="1307">
        <v>37.26</v>
      </c>
      <c r="E449" s="1307">
        <f>F562</f>
        <v>375.9375</v>
      </c>
      <c r="F449" s="1307">
        <f t="shared" si="52"/>
        <v>14007.43125</v>
      </c>
      <c r="G449" s="1307"/>
      <c r="H449" s="1290">
        <f>11*4*0.617</f>
        <v>27.148</v>
      </c>
      <c r="K449" s="1338"/>
      <c r="L449" s="1338"/>
      <c r="M449" s="1338"/>
      <c r="N449" s="1338"/>
      <c r="O449" s="1341">
        <f>SUM(O446:O447)</f>
        <v>19.84</v>
      </c>
    </row>
    <row r="450" spans="1:15" ht="13.8" x14ac:dyDescent="0.25">
      <c r="A450" s="1294"/>
      <c r="B450" s="1295"/>
      <c r="C450" s="1296"/>
      <c r="D450" s="1296"/>
      <c r="E450" s="1296"/>
      <c r="F450" s="1296"/>
      <c r="G450" s="1296"/>
      <c r="H450" s="1290">
        <f>0.67*68*0.222</f>
        <v>10.114320000000001</v>
      </c>
      <c r="I450" s="1290">
        <f>0.225*0.15*10</f>
        <v>0.33750000000000002</v>
      </c>
      <c r="K450" s="1338"/>
      <c r="L450" s="1338"/>
      <c r="M450" s="1338"/>
      <c r="N450" s="1338"/>
      <c r="O450" s="1338"/>
    </row>
    <row r="451" spans="1:15" ht="13.8" x14ac:dyDescent="0.25">
      <c r="A451" s="1294"/>
      <c r="B451" s="1294"/>
      <c r="C451" s="1295"/>
      <c r="D451" s="1296"/>
      <c r="E451" s="1296"/>
      <c r="F451" s="1296">
        <f t="shared" ref="F451:F454" si="53">D451*E451</f>
        <v>0</v>
      </c>
      <c r="G451" s="1296"/>
      <c r="I451" s="1290">
        <f>I450/2.83</f>
        <v>0.11925795053003534</v>
      </c>
      <c r="K451" s="1338"/>
      <c r="L451" s="1338"/>
      <c r="M451" s="1338"/>
      <c r="N451" s="1338"/>
      <c r="O451" s="1338"/>
    </row>
    <row r="452" spans="1:15" ht="13.8" x14ac:dyDescent="0.25">
      <c r="A452" s="1298"/>
      <c r="B452" s="1476" t="s">
        <v>1277</v>
      </c>
      <c r="C452" s="1476"/>
      <c r="D452" s="1476"/>
      <c r="E452" s="1476"/>
      <c r="F452" s="1299">
        <f t="shared" si="53"/>
        <v>0</v>
      </c>
      <c r="G452" s="1300">
        <f>SUM(F443:F452)</f>
        <v>23072.756249999999</v>
      </c>
      <c r="K452" s="1338"/>
      <c r="L452" s="1338"/>
      <c r="M452" s="1338"/>
      <c r="N452" s="1338"/>
      <c r="O452" s="1338"/>
    </row>
    <row r="453" spans="1:15" ht="13.8" x14ac:dyDescent="0.25">
      <c r="A453" s="1294"/>
      <c r="B453" s="1297" t="s">
        <v>1261</v>
      </c>
      <c r="C453" s="1295"/>
      <c r="D453" s="1296"/>
      <c r="E453" s="1296"/>
      <c r="F453" s="1296">
        <f t="shared" si="53"/>
        <v>0</v>
      </c>
      <c r="G453" s="1296"/>
      <c r="K453" s="1338"/>
      <c r="L453" s="1338"/>
      <c r="M453" s="1338"/>
      <c r="N453" s="1338"/>
      <c r="O453" s="1338"/>
    </row>
    <row r="454" spans="1:15" ht="13.8" x14ac:dyDescent="0.25">
      <c r="A454" s="1306"/>
      <c r="B454" s="1306" t="s">
        <v>1326</v>
      </c>
      <c r="C454" s="1307" t="s">
        <v>1327</v>
      </c>
      <c r="D454" s="1307">
        <v>10</v>
      </c>
      <c r="E454" s="1307">
        <v>325</v>
      </c>
      <c r="F454" s="1307">
        <f t="shared" si="53"/>
        <v>3250</v>
      </c>
      <c r="G454" s="1307"/>
      <c r="K454" s="1338"/>
      <c r="L454" s="1338"/>
      <c r="M454" s="1338"/>
      <c r="N454" s="1338"/>
      <c r="O454" s="1338"/>
    </row>
    <row r="455" spans="1:15" ht="13.8" x14ac:dyDescent="0.25">
      <c r="A455" s="1294"/>
      <c r="B455" s="1294"/>
      <c r="C455" s="1295"/>
      <c r="D455" s="1296"/>
      <c r="E455" s="1296"/>
      <c r="F455" s="1296"/>
      <c r="G455" s="1296"/>
    </row>
    <row r="456" spans="1:15" ht="13.8" x14ac:dyDescent="0.25">
      <c r="A456" s="1298"/>
      <c r="B456" s="1476" t="s">
        <v>1264</v>
      </c>
      <c r="C456" s="1476"/>
      <c r="D456" s="1476"/>
      <c r="E456" s="1476"/>
      <c r="F456" s="1299">
        <f t="shared" ref="F456" si="54">D456*E456</f>
        <v>0</v>
      </c>
      <c r="G456" s="1300">
        <f>SUM(F454:F456)</f>
        <v>3250</v>
      </c>
    </row>
    <row r="457" spans="1:15" ht="13.8" x14ac:dyDescent="0.25">
      <c r="A457" s="1294"/>
      <c r="B457" s="1297" t="s">
        <v>1280</v>
      </c>
      <c r="C457" s="1295"/>
      <c r="D457" s="1296"/>
      <c r="E457" s="1296"/>
      <c r="F457" s="1296"/>
      <c r="G457" s="1296"/>
    </row>
    <row r="458" spans="1:15" ht="13.8" x14ac:dyDescent="0.25">
      <c r="A458" s="1294"/>
      <c r="B458" s="1294"/>
      <c r="C458" s="1295"/>
      <c r="D458" s="1296"/>
      <c r="E458" s="1296"/>
      <c r="F458" s="1296"/>
      <c r="G458" s="1296"/>
    </row>
    <row r="459" spans="1:15" ht="13.8" x14ac:dyDescent="0.25">
      <c r="A459" s="1294"/>
      <c r="B459" s="1294" t="s">
        <v>1304</v>
      </c>
      <c r="C459" s="1296" t="s">
        <v>1279</v>
      </c>
      <c r="D459" s="1296">
        <v>0.08</v>
      </c>
      <c r="E459" s="1296">
        <v>5000</v>
      </c>
      <c r="F459" s="1296">
        <f>D459*E459</f>
        <v>400</v>
      </c>
      <c r="G459" s="1296"/>
    </row>
    <row r="460" spans="1:15" ht="13.8" x14ac:dyDescent="0.25">
      <c r="A460" s="1294"/>
      <c r="B460" s="1294" t="s">
        <v>1107</v>
      </c>
      <c r="C460" s="1296" t="s">
        <v>1279</v>
      </c>
      <c r="D460" s="1296">
        <v>0.08</v>
      </c>
      <c r="E460" s="1296">
        <v>2000</v>
      </c>
      <c r="F460" s="1296">
        <f>D460*E460</f>
        <v>160</v>
      </c>
      <c r="G460" s="1296"/>
    </row>
    <row r="461" spans="1:15" ht="13.8" x14ac:dyDescent="0.25">
      <c r="A461" s="1294"/>
      <c r="B461" s="1294"/>
      <c r="C461" s="1295"/>
      <c r="D461" s="1296"/>
      <c r="E461" s="1296"/>
      <c r="F461" s="1296"/>
      <c r="G461" s="1296"/>
    </row>
    <row r="462" spans="1:15" ht="13.8" x14ac:dyDescent="0.25">
      <c r="A462" s="1298"/>
      <c r="B462" s="1476" t="s">
        <v>1282</v>
      </c>
      <c r="C462" s="1476"/>
      <c r="D462" s="1476"/>
      <c r="E462" s="1476"/>
      <c r="F462" s="1299">
        <f t="shared" ref="F462" si="55">D462*E462</f>
        <v>0</v>
      </c>
      <c r="G462" s="1300">
        <f>SUM(F458:F462)</f>
        <v>560</v>
      </c>
    </row>
    <row r="463" spans="1:15" ht="13.8" x14ac:dyDescent="0.25">
      <c r="A463" s="1294"/>
      <c r="B463" s="1302"/>
      <c r="C463" s="1302"/>
      <c r="D463" s="1302"/>
      <c r="E463" s="1302"/>
      <c r="F463" s="1296"/>
      <c r="G463" s="1302"/>
    </row>
    <row r="464" spans="1:15" ht="13.8" x14ac:dyDescent="0.25">
      <c r="A464" s="1294"/>
      <c r="B464" s="1302"/>
      <c r="C464" s="1302"/>
      <c r="D464" s="1302"/>
      <c r="E464" s="1302"/>
      <c r="F464" s="1296"/>
      <c r="G464" s="1302"/>
    </row>
    <row r="465" spans="1:15" ht="13.8" x14ac:dyDescent="0.25">
      <c r="A465" s="1469" t="s">
        <v>1328</v>
      </c>
      <c r="B465" s="1469"/>
      <c r="C465" s="1469"/>
      <c r="D465" s="1469"/>
      <c r="E465" s="1469"/>
      <c r="F465" s="1469"/>
      <c r="G465" s="1303">
        <f>G452+G456+G462</f>
        <v>26882.756249999999</v>
      </c>
    </row>
    <row r="466" spans="1:15" ht="13.8" x14ac:dyDescent="0.25">
      <c r="A466" s="1469" t="s">
        <v>1329</v>
      </c>
      <c r="B466" s="1469"/>
      <c r="C466" s="1469"/>
      <c r="D466" s="1469"/>
      <c r="E466" s="1469"/>
      <c r="F466" s="1469"/>
      <c r="G466" s="1303">
        <f>G465/10</f>
        <v>2688.2756249999998</v>
      </c>
    </row>
    <row r="467" spans="1:15" ht="14.4" thickBot="1" x14ac:dyDescent="0.3">
      <c r="A467" s="1478" t="s">
        <v>1330</v>
      </c>
      <c r="B467" s="1478"/>
      <c r="C467" s="1478"/>
      <c r="D467" s="1478"/>
      <c r="E467" s="1478"/>
      <c r="F467" s="1478"/>
      <c r="G467" s="1333">
        <f>G466/3.28</f>
        <v>819.59622713414637</v>
      </c>
    </row>
    <row r="469" spans="1:15" ht="13.8" thickBot="1" x14ac:dyDescent="0.3"/>
    <row r="470" spans="1:15" ht="13.8" x14ac:dyDescent="0.25">
      <c r="A470" s="1470" t="s">
        <v>1336</v>
      </c>
      <c r="B470" s="1471"/>
      <c r="C470" s="1471"/>
      <c r="D470" s="1471"/>
      <c r="E470" s="1471"/>
      <c r="F470" s="1471"/>
      <c r="G470" s="1472"/>
      <c r="K470" s="1337" t="s">
        <v>0</v>
      </c>
      <c r="L470" s="1337" t="s">
        <v>1333</v>
      </c>
      <c r="M470" s="1337" t="s">
        <v>1334</v>
      </c>
      <c r="N470" s="1337" t="s">
        <v>1335</v>
      </c>
      <c r="O470" s="1337" t="s">
        <v>1260</v>
      </c>
    </row>
    <row r="471" spans="1:15" ht="14.4" thickBot="1" x14ac:dyDescent="0.3">
      <c r="A471" s="1473" t="s">
        <v>1323</v>
      </c>
      <c r="B471" s="1474"/>
      <c r="C471" s="1474"/>
      <c r="D471" s="1474"/>
      <c r="E471" s="1474"/>
      <c r="F471" s="1474"/>
      <c r="G471" s="1475"/>
      <c r="K471" s="1338"/>
      <c r="L471" s="1338"/>
      <c r="M471" s="1338"/>
      <c r="N471" s="1338"/>
      <c r="O471" s="1338"/>
    </row>
    <row r="472" spans="1:15" ht="14.4" thickBot="1" x14ac:dyDescent="0.3">
      <c r="A472" s="1292"/>
      <c r="B472" s="1293" t="s">
        <v>1038</v>
      </c>
      <c r="C472" s="1293" t="s">
        <v>1039</v>
      </c>
      <c r="D472" s="1293" t="s">
        <v>2</v>
      </c>
      <c r="E472" s="1293" t="s">
        <v>1040</v>
      </c>
      <c r="F472" s="1293" t="s">
        <v>5</v>
      </c>
      <c r="G472" s="1293" t="s">
        <v>1260</v>
      </c>
      <c r="K472" s="1338"/>
      <c r="L472" s="1338"/>
      <c r="M472" s="1338"/>
      <c r="N472" s="1338"/>
      <c r="O472" s="1338"/>
    </row>
    <row r="473" spans="1:15" ht="13.8" x14ac:dyDescent="0.25">
      <c r="A473" s="1294"/>
      <c r="B473" s="1294"/>
      <c r="C473" s="1295"/>
      <c r="D473" s="1296"/>
      <c r="E473" s="1296"/>
      <c r="F473" s="1296"/>
      <c r="G473" s="1296"/>
      <c r="K473" s="1338">
        <v>1</v>
      </c>
      <c r="L473" s="1338">
        <v>10</v>
      </c>
      <c r="M473" s="1338">
        <v>0.23</v>
      </c>
      <c r="N473" s="1338">
        <v>0.15</v>
      </c>
      <c r="O473" s="1338">
        <f>PRODUCT(K473,L473,M473,N473)</f>
        <v>0.34500000000000003</v>
      </c>
    </row>
    <row r="474" spans="1:15" ht="14.4" thickBot="1" x14ac:dyDescent="0.3">
      <c r="A474" s="1294"/>
      <c r="B474" s="1297"/>
      <c r="C474" s="1295"/>
      <c r="D474" s="1296"/>
      <c r="E474" s="1296"/>
      <c r="F474" s="1296"/>
      <c r="G474" s="1296"/>
      <c r="K474" s="1338"/>
      <c r="L474" s="1338"/>
      <c r="M474" s="1338"/>
      <c r="N474" s="1338"/>
      <c r="O474" s="1339">
        <f>O473/2.83</f>
        <v>0.12190812720848057</v>
      </c>
    </row>
    <row r="475" spans="1:15" ht="14.4" thickTop="1" x14ac:dyDescent="0.25">
      <c r="A475" s="1294"/>
      <c r="B475" s="1294" t="s">
        <v>1313</v>
      </c>
      <c r="C475" s="1296" t="s">
        <v>1110</v>
      </c>
      <c r="D475" s="1296">
        <v>0.18</v>
      </c>
      <c r="E475" s="1334"/>
      <c r="F475" s="1296">
        <f t="shared" ref="F475" si="56">F473*10%</f>
        <v>0</v>
      </c>
      <c r="G475" s="1296"/>
      <c r="I475" s="1290">
        <f>0.225*0.225*10</f>
        <v>0.50625000000000009</v>
      </c>
      <c r="K475" s="1338"/>
      <c r="L475" s="1338"/>
      <c r="M475" s="1338"/>
      <c r="N475" s="1338"/>
      <c r="O475" s="1340"/>
    </row>
    <row r="476" spans="1:15" ht="13.8" x14ac:dyDescent="0.25">
      <c r="A476" s="1306"/>
      <c r="B476" s="1306" t="s">
        <v>1108</v>
      </c>
      <c r="C476" s="1307" t="s">
        <v>1324</v>
      </c>
      <c r="D476" s="1307">
        <v>4.1399999999999997</v>
      </c>
      <c r="E476" s="1307">
        <f>F197</f>
        <v>2235.625</v>
      </c>
      <c r="F476" s="1307">
        <f t="shared" ref="F476:F477" si="57">D476*E476</f>
        <v>9255.4874999999993</v>
      </c>
      <c r="G476" s="1307"/>
      <c r="H476" s="1336">
        <f>D475*23</f>
        <v>4.1399999999999997</v>
      </c>
      <c r="I476" s="1290">
        <f>I475/2.83</f>
        <v>0.17888692579505303</v>
      </c>
      <c r="K476" s="1338"/>
      <c r="L476" s="1338"/>
      <c r="M476" s="1338"/>
      <c r="N476" s="1338"/>
      <c r="O476" s="1338"/>
    </row>
    <row r="477" spans="1:15" ht="13.8" x14ac:dyDescent="0.25">
      <c r="A477" s="1306"/>
      <c r="B477" s="1324" t="s">
        <v>1159</v>
      </c>
      <c r="C477" s="1307" t="s">
        <v>1110</v>
      </c>
      <c r="D477" s="1307">
        <v>0.08</v>
      </c>
      <c r="E477" s="1307">
        <f>[19]Material!E13</f>
        <v>23500</v>
      </c>
      <c r="F477" s="1307">
        <f t="shared" si="57"/>
        <v>1880</v>
      </c>
      <c r="G477" s="1307"/>
      <c r="H477" s="1336">
        <f>D475*0.42</f>
        <v>7.5600000000000001E-2</v>
      </c>
      <c r="K477" s="1338">
        <v>24</v>
      </c>
      <c r="L477" s="1338">
        <v>0.75</v>
      </c>
      <c r="M477" s="1338"/>
      <c r="N477" s="1338">
        <v>0.62</v>
      </c>
      <c r="O477" s="1338">
        <f>PRODUCT(K477,L477,M477,N477)</f>
        <v>11.16</v>
      </c>
    </row>
    <row r="478" spans="1:15" ht="13.8" x14ac:dyDescent="0.25">
      <c r="A478" s="1306"/>
      <c r="B478" s="1325" t="s">
        <v>1311</v>
      </c>
      <c r="C478" s="1307" t="s">
        <v>1110</v>
      </c>
      <c r="D478" s="1307">
        <v>0.15</v>
      </c>
      <c r="E478" s="1307">
        <f>[19]Material!E17</f>
        <v>13500</v>
      </c>
      <c r="F478" s="1307">
        <f>D478*E478</f>
        <v>2025</v>
      </c>
      <c r="G478" s="1307"/>
      <c r="H478" s="1336">
        <f>D475*0.82</f>
        <v>0.14759999999999998</v>
      </c>
      <c r="K478" s="1338">
        <v>4</v>
      </c>
      <c r="L478" s="1338">
        <v>3.5</v>
      </c>
      <c r="M478" s="1338"/>
      <c r="N478" s="1338">
        <v>0.62</v>
      </c>
      <c r="O478" s="1338">
        <f>PRODUCT(K478,L478,M478,N478)</f>
        <v>8.68</v>
      </c>
    </row>
    <row r="479" spans="1:15" ht="13.8" x14ac:dyDescent="0.25">
      <c r="A479" s="1294"/>
      <c r="B479" s="1295"/>
      <c r="C479" s="1296"/>
      <c r="D479" s="1296"/>
      <c r="E479" s="1296"/>
      <c r="F479" s="1296">
        <f t="shared" ref="F479:F480" si="58">D479*E479</f>
        <v>0</v>
      </c>
      <c r="G479" s="1296"/>
      <c r="K479" s="1338"/>
      <c r="L479" s="1338"/>
      <c r="M479" s="1338"/>
      <c r="N479" s="1338"/>
      <c r="O479" s="1338"/>
    </row>
    <row r="480" spans="1:15" ht="13.8" x14ac:dyDescent="0.25">
      <c r="A480" s="1306"/>
      <c r="B480" s="1325" t="s">
        <v>1325</v>
      </c>
      <c r="C480" s="1307" t="s">
        <v>37</v>
      </c>
      <c r="D480" s="1307">
        <v>39.53</v>
      </c>
      <c r="E480" s="1307">
        <f>F562</f>
        <v>375.9375</v>
      </c>
      <c r="F480" s="1307">
        <f t="shared" si="58"/>
        <v>14860.809375000001</v>
      </c>
      <c r="G480" s="1307"/>
      <c r="H480" s="1290">
        <f>11*4*0.617</f>
        <v>27.148</v>
      </c>
      <c r="K480" s="1338"/>
      <c r="L480" s="1338"/>
      <c r="M480" s="1338"/>
      <c r="N480" s="1338"/>
      <c r="O480" s="1341">
        <f>SUM(O477:O478)</f>
        <v>19.84</v>
      </c>
    </row>
    <row r="481" spans="1:15" ht="13.8" x14ac:dyDescent="0.25">
      <c r="A481" s="1294"/>
      <c r="B481" s="1295"/>
      <c r="C481" s="1296"/>
      <c r="D481" s="1296"/>
      <c r="E481" s="1296"/>
      <c r="F481" s="1296"/>
      <c r="G481" s="1296"/>
      <c r="H481" s="1290">
        <f>0.82*68*0.222</f>
        <v>12.37872</v>
      </c>
      <c r="I481" s="1290">
        <f>0.225*0.15*10</f>
        <v>0.33750000000000002</v>
      </c>
      <c r="K481" s="1338"/>
      <c r="L481" s="1338"/>
      <c r="M481" s="1338"/>
      <c r="N481" s="1338"/>
      <c r="O481" s="1338"/>
    </row>
    <row r="482" spans="1:15" ht="13.8" x14ac:dyDescent="0.25">
      <c r="A482" s="1294"/>
      <c r="B482" s="1294"/>
      <c r="C482" s="1295"/>
      <c r="D482" s="1296"/>
      <c r="E482" s="1296"/>
      <c r="F482" s="1296">
        <f t="shared" ref="F482:F485" si="59">D482*E482</f>
        <v>0</v>
      </c>
      <c r="G482" s="1296"/>
      <c r="I482" s="1290">
        <f>I481/2.83</f>
        <v>0.11925795053003534</v>
      </c>
      <c r="K482" s="1338"/>
      <c r="L482" s="1338"/>
      <c r="M482" s="1338"/>
      <c r="N482" s="1338"/>
      <c r="O482" s="1338"/>
    </row>
    <row r="483" spans="1:15" ht="13.8" x14ac:dyDescent="0.25">
      <c r="A483" s="1298"/>
      <c r="B483" s="1476" t="s">
        <v>1277</v>
      </c>
      <c r="C483" s="1476"/>
      <c r="D483" s="1476"/>
      <c r="E483" s="1476"/>
      <c r="F483" s="1299">
        <f t="shared" si="59"/>
        <v>0</v>
      </c>
      <c r="G483" s="1300">
        <f>SUM(F474:F483)</f>
        <v>28021.296875</v>
      </c>
      <c r="K483" s="1338"/>
      <c r="L483" s="1338"/>
      <c r="M483" s="1338"/>
      <c r="N483" s="1338"/>
      <c r="O483" s="1338"/>
    </row>
    <row r="484" spans="1:15" ht="13.8" x14ac:dyDescent="0.25">
      <c r="A484" s="1294"/>
      <c r="B484" s="1297" t="s">
        <v>1261</v>
      </c>
      <c r="C484" s="1295"/>
      <c r="D484" s="1296"/>
      <c r="E484" s="1296"/>
      <c r="F484" s="1296">
        <f t="shared" si="59"/>
        <v>0</v>
      </c>
      <c r="G484" s="1296"/>
      <c r="K484" s="1338"/>
      <c r="L484" s="1338"/>
      <c r="M484" s="1338"/>
      <c r="N484" s="1338"/>
      <c r="O484" s="1338"/>
    </row>
    <row r="485" spans="1:15" ht="13.8" x14ac:dyDescent="0.25">
      <c r="A485" s="1306"/>
      <c r="B485" s="1306" t="s">
        <v>1326</v>
      </c>
      <c r="C485" s="1307" t="s">
        <v>1327</v>
      </c>
      <c r="D485" s="1307">
        <v>10</v>
      </c>
      <c r="E485" s="1307">
        <v>375</v>
      </c>
      <c r="F485" s="1307">
        <f t="shared" si="59"/>
        <v>3750</v>
      </c>
      <c r="G485" s="1307"/>
      <c r="K485" s="1338"/>
      <c r="L485" s="1338"/>
      <c r="M485" s="1338"/>
      <c r="N485" s="1338"/>
      <c r="O485" s="1338"/>
    </row>
    <row r="486" spans="1:15" ht="13.8" x14ac:dyDescent="0.25">
      <c r="A486" s="1294"/>
      <c r="B486" s="1294"/>
      <c r="C486" s="1295"/>
      <c r="D486" s="1296"/>
      <c r="E486" s="1296"/>
      <c r="F486" s="1296"/>
      <c r="G486" s="1296"/>
    </row>
    <row r="487" spans="1:15" ht="13.8" x14ac:dyDescent="0.25">
      <c r="A487" s="1298"/>
      <c r="B487" s="1476" t="s">
        <v>1264</v>
      </c>
      <c r="C487" s="1476"/>
      <c r="D487" s="1476"/>
      <c r="E487" s="1476"/>
      <c r="F487" s="1299">
        <f t="shared" ref="F487" si="60">D487*E487</f>
        <v>0</v>
      </c>
      <c r="G487" s="1300">
        <f>SUM(F485:F487)</f>
        <v>3750</v>
      </c>
    </row>
    <row r="488" spans="1:15" ht="13.8" x14ac:dyDescent="0.25">
      <c r="A488" s="1294"/>
      <c r="B488" s="1297" t="s">
        <v>1280</v>
      </c>
      <c r="C488" s="1295"/>
      <c r="D488" s="1296"/>
      <c r="E488" s="1296"/>
      <c r="F488" s="1296"/>
      <c r="G488" s="1296"/>
    </row>
    <row r="489" spans="1:15" ht="13.8" x14ac:dyDescent="0.25">
      <c r="A489" s="1294"/>
      <c r="B489" s="1294"/>
      <c r="C489" s="1295"/>
      <c r="D489" s="1296"/>
      <c r="E489" s="1296"/>
      <c r="F489" s="1296"/>
      <c r="G489" s="1296"/>
    </row>
    <row r="490" spans="1:15" ht="13.8" x14ac:dyDescent="0.25">
      <c r="A490" s="1294"/>
      <c r="B490" s="1294" t="s">
        <v>1304</v>
      </c>
      <c r="C490" s="1296" t="s">
        <v>1279</v>
      </c>
      <c r="D490" s="1296">
        <v>0.08</v>
      </c>
      <c r="E490" s="1296">
        <v>5000</v>
      </c>
      <c r="F490" s="1296">
        <f>D490*E490</f>
        <v>400</v>
      </c>
      <c r="G490" s="1296"/>
    </row>
    <row r="491" spans="1:15" ht="13.8" x14ac:dyDescent="0.25">
      <c r="A491" s="1294"/>
      <c r="B491" s="1294" t="s">
        <v>1107</v>
      </c>
      <c r="C491" s="1296" t="s">
        <v>1279</v>
      </c>
      <c r="D491" s="1296">
        <v>0.08</v>
      </c>
      <c r="E491" s="1296">
        <v>2000</v>
      </c>
      <c r="F491" s="1296">
        <f>D491*E491</f>
        <v>160</v>
      </c>
      <c r="G491" s="1296"/>
    </row>
    <row r="492" spans="1:15" ht="13.8" x14ac:dyDescent="0.25">
      <c r="A492" s="1294"/>
      <c r="B492" s="1294"/>
      <c r="C492" s="1295"/>
      <c r="D492" s="1296"/>
      <c r="E492" s="1296"/>
      <c r="F492" s="1296"/>
      <c r="G492" s="1296"/>
    </row>
    <row r="493" spans="1:15" ht="13.8" x14ac:dyDescent="0.25">
      <c r="A493" s="1298"/>
      <c r="B493" s="1476" t="s">
        <v>1282</v>
      </c>
      <c r="C493" s="1476"/>
      <c r="D493" s="1476"/>
      <c r="E493" s="1476"/>
      <c r="F493" s="1299">
        <f t="shared" ref="F493" si="61">D493*E493</f>
        <v>0</v>
      </c>
      <c r="G493" s="1300">
        <f>SUM(F489:F493)</f>
        <v>560</v>
      </c>
    </row>
    <row r="494" spans="1:15" ht="13.8" x14ac:dyDescent="0.25">
      <c r="A494" s="1294"/>
      <c r="B494" s="1302"/>
      <c r="C494" s="1302"/>
      <c r="D494" s="1302"/>
      <c r="E494" s="1302"/>
      <c r="F494" s="1296"/>
      <c r="G494" s="1302"/>
    </row>
    <row r="495" spans="1:15" ht="13.8" x14ac:dyDescent="0.25">
      <c r="A495" s="1294"/>
      <c r="B495" s="1302"/>
      <c r="C495" s="1302"/>
      <c r="D495" s="1302"/>
      <c r="E495" s="1302"/>
      <c r="F495" s="1296"/>
      <c r="G495" s="1302"/>
    </row>
    <row r="496" spans="1:15" ht="13.8" x14ac:dyDescent="0.25">
      <c r="A496" s="1469" t="s">
        <v>1328</v>
      </c>
      <c r="B496" s="1469"/>
      <c r="C496" s="1469"/>
      <c r="D496" s="1469"/>
      <c r="E496" s="1469"/>
      <c r="F496" s="1469"/>
      <c r="G496" s="1303">
        <f>G483+G487+G493</f>
        <v>32331.296875</v>
      </c>
    </row>
    <row r="497" spans="1:7" ht="13.8" x14ac:dyDescent="0.25">
      <c r="A497" s="1469" t="s">
        <v>1329</v>
      </c>
      <c r="B497" s="1469"/>
      <c r="C497" s="1469"/>
      <c r="D497" s="1469"/>
      <c r="E497" s="1469"/>
      <c r="F497" s="1469"/>
      <c r="G497" s="1303">
        <f>G496/10</f>
        <v>3233.1296874999998</v>
      </c>
    </row>
    <row r="498" spans="1:7" ht="14.4" thickBot="1" x14ac:dyDescent="0.3">
      <c r="A498" s="1478" t="s">
        <v>1330</v>
      </c>
      <c r="B498" s="1478"/>
      <c r="C498" s="1478"/>
      <c r="D498" s="1478"/>
      <c r="E498" s="1478"/>
      <c r="F498" s="1478"/>
      <c r="G498" s="1333">
        <f>G497/3.28</f>
        <v>985.71027057926824</v>
      </c>
    </row>
    <row r="502" spans="1:7" x14ac:dyDescent="0.25">
      <c r="A502" s="1488" t="s">
        <v>1337</v>
      </c>
      <c r="B502" s="1488"/>
      <c r="C502" s="1488"/>
      <c r="D502" s="1488"/>
      <c r="E502" s="1488"/>
      <c r="F502" s="1488"/>
      <c r="G502" s="1488"/>
    </row>
    <row r="504" spans="1:7" ht="13.8" thickBot="1" x14ac:dyDescent="0.3"/>
    <row r="505" spans="1:7" ht="13.8" x14ac:dyDescent="0.25">
      <c r="A505" s="1470" t="s">
        <v>1338</v>
      </c>
      <c r="B505" s="1471"/>
      <c r="C505" s="1471"/>
      <c r="D505" s="1471"/>
      <c r="E505" s="1471"/>
      <c r="F505" s="1471"/>
      <c r="G505" s="1472"/>
    </row>
    <row r="506" spans="1:7" ht="14.4" thickBot="1" x14ac:dyDescent="0.3">
      <c r="A506" s="1473" t="s">
        <v>1339</v>
      </c>
      <c r="B506" s="1474"/>
      <c r="C506" s="1474"/>
      <c r="D506" s="1474"/>
      <c r="E506" s="1474"/>
      <c r="F506" s="1474"/>
      <c r="G506" s="1475"/>
    </row>
    <row r="507" spans="1:7" ht="14.4" thickBot="1" x14ac:dyDescent="0.3">
      <c r="A507" s="1292"/>
      <c r="B507" s="1293" t="s">
        <v>1038</v>
      </c>
      <c r="C507" s="1293" t="s">
        <v>1039</v>
      </c>
      <c r="D507" s="1293" t="s">
        <v>2</v>
      </c>
      <c r="E507" s="1293" t="s">
        <v>1040</v>
      </c>
      <c r="F507" s="1293" t="s">
        <v>5</v>
      </c>
      <c r="G507" s="1293" t="s">
        <v>1260</v>
      </c>
    </row>
    <row r="508" spans="1:7" ht="13.8" x14ac:dyDescent="0.25">
      <c r="A508" s="1294"/>
      <c r="B508" s="1294"/>
      <c r="C508" s="1295"/>
      <c r="D508" s="1296"/>
      <c r="E508" s="1296"/>
      <c r="F508" s="1296"/>
      <c r="G508" s="1296"/>
    </row>
    <row r="509" spans="1:7" ht="13.8" x14ac:dyDescent="0.25">
      <c r="A509" s="1294"/>
      <c r="B509" s="1297" t="s">
        <v>1276</v>
      </c>
      <c r="C509" s="1295"/>
      <c r="D509" s="1296"/>
      <c r="E509" s="1296"/>
      <c r="F509" s="1296"/>
      <c r="G509" s="1296"/>
    </row>
    <row r="510" spans="1:7" ht="13.8" x14ac:dyDescent="0.25">
      <c r="A510" s="1294"/>
      <c r="B510" s="1297"/>
      <c r="C510" s="1296"/>
      <c r="D510" s="1296"/>
      <c r="E510" s="1296"/>
      <c r="F510" s="1296"/>
      <c r="G510" s="1296"/>
    </row>
    <row r="511" spans="1:7" ht="16.2" x14ac:dyDescent="0.25">
      <c r="A511" s="1294"/>
      <c r="B511" s="1297" t="s">
        <v>1340</v>
      </c>
      <c r="C511" s="1296" t="s">
        <v>1341</v>
      </c>
      <c r="D511" s="1296">
        <v>24</v>
      </c>
      <c r="E511" s="1296">
        <f>[19]Material!E74</f>
        <v>29000</v>
      </c>
      <c r="F511" s="1310">
        <f t="shared" ref="F511:F514" si="62">D511*E511</f>
        <v>696000</v>
      </c>
      <c r="G511" s="1296"/>
    </row>
    <row r="512" spans="1:7" ht="16.2" x14ac:dyDescent="0.25">
      <c r="A512" s="1294"/>
      <c r="B512" s="1297" t="s">
        <v>1342</v>
      </c>
      <c r="C512" s="1296" t="s">
        <v>1341</v>
      </c>
      <c r="D512" s="1296">
        <v>1</v>
      </c>
      <c r="E512" s="1296">
        <f>[19]Material!E74</f>
        <v>29000</v>
      </c>
      <c r="F512" s="1310">
        <f t="shared" si="62"/>
        <v>29000</v>
      </c>
      <c r="G512" s="1296"/>
    </row>
    <row r="513" spans="1:7" ht="13.8" x14ac:dyDescent="0.25">
      <c r="A513" s="1309"/>
      <c r="B513" s="1309" t="s">
        <v>1093</v>
      </c>
      <c r="C513" s="1310" t="s">
        <v>1094</v>
      </c>
      <c r="D513" s="1310">
        <v>1</v>
      </c>
      <c r="E513" s="1310">
        <f>F197</f>
        <v>2235.625</v>
      </c>
      <c r="F513" s="1310">
        <f t="shared" si="62"/>
        <v>2235.625</v>
      </c>
      <c r="G513" s="1310"/>
    </row>
    <row r="514" spans="1:7" ht="13.8" x14ac:dyDescent="0.25">
      <c r="A514" s="1309"/>
      <c r="B514" s="1342" t="s">
        <v>1159</v>
      </c>
      <c r="C514" s="1310" t="s">
        <v>1110</v>
      </c>
      <c r="D514" s="1310">
        <v>0.05</v>
      </c>
      <c r="E514" s="1310">
        <f>[19]Material!E13</f>
        <v>23500</v>
      </c>
      <c r="F514" s="1310">
        <f t="shared" si="62"/>
        <v>1175</v>
      </c>
      <c r="G514" s="1310"/>
    </row>
    <row r="515" spans="1:7" ht="13.8" x14ac:dyDescent="0.25">
      <c r="A515" s="1309"/>
      <c r="B515" s="1343"/>
      <c r="C515" s="1310"/>
      <c r="D515" s="1310"/>
      <c r="E515" s="1310"/>
      <c r="F515" s="1310"/>
      <c r="G515" s="1310"/>
    </row>
    <row r="516" spans="1:7" ht="13.8" x14ac:dyDescent="0.25">
      <c r="A516" s="1294"/>
      <c r="B516" s="1294"/>
      <c r="C516" s="1295"/>
      <c r="D516" s="1296"/>
      <c r="E516" s="1296"/>
      <c r="F516" s="1296"/>
      <c r="G516" s="1296"/>
    </row>
    <row r="517" spans="1:7" ht="13.8" x14ac:dyDescent="0.25">
      <c r="A517" s="1298"/>
      <c r="B517" s="1476" t="s">
        <v>1277</v>
      </c>
      <c r="C517" s="1476"/>
      <c r="D517" s="1476"/>
      <c r="E517" s="1476"/>
      <c r="F517" s="1299">
        <f t="shared" ref="F517:F519" si="63">D517*E517</f>
        <v>0</v>
      </c>
      <c r="G517" s="1300">
        <f>SUM(F510:F517)</f>
        <v>728410.625</v>
      </c>
    </row>
    <row r="518" spans="1:7" ht="13.8" x14ac:dyDescent="0.25">
      <c r="A518" s="1294"/>
      <c r="B518" s="1297" t="s">
        <v>1261</v>
      </c>
      <c r="C518" s="1295"/>
      <c r="D518" s="1296"/>
      <c r="E518" s="1296"/>
      <c r="F518" s="1296">
        <f t="shared" si="63"/>
        <v>0</v>
      </c>
      <c r="G518" s="1296"/>
    </row>
    <row r="519" spans="1:7" ht="13.8" x14ac:dyDescent="0.25">
      <c r="A519" s="1306"/>
      <c r="B519" s="1306" t="s">
        <v>1343</v>
      </c>
      <c r="C519" s="1307" t="s">
        <v>872</v>
      </c>
      <c r="D519" s="1307">
        <v>24</v>
      </c>
      <c r="E519" s="1307">
        <v>550</v>
      </c>
      <c r="F519" s="1307">
        <f t="shared" si="63"/>
        <v>13200</v>
      </c>
      <c r="G519" s="1307"/>
    </row>
    <row r="520" spans="1:7" ht="13.8" x14ac:dyDescent="0.25">
      <c r="A520" s="1294"/>
      <c r="B520" s="1294"/>
      <c r="C520" s="1295"/>
      <c r="D520" s="1296"/>
      <c r="E520" s="1296"/>
      <c r="F520" s="1296"/>
      <c r="G520" s="1296"/>
    </row>
    <row r="521" spans="1:7" ht="13.8" x14ac:dyDescent="0.25">
      <c r="A521" s="1298"/>
      <c r="B521" s="1476" t="s">
        <v>1264</v>
      </c>
      <c r="C521" s="1476"/>
      <c r="D521" s="1476"/>
      <c r="E521" s="1476"/>
      <c r="F521" s="1299">
        <f t="shared" ref="F521" si="64">D521*E521</f>
        <v>0</v>
      </c>
      <c r="G521" s="1300">
        <f>SUM(F519:F521)</f>
        <v>13200</v>
      </c>
    </row>
    <row r="522" spans="1:7" ht="13.8" x14ac:dyDescent="0.25">
      <c r="A522" s="1294"/>
      <c r="B522" s="1297" t="s">
        <v>1280</v>
      </c>
      <c r="C522" s="1295"/>
      <c r="D522" s="1296"/>
      <c r="E522" s="1296"/>
      <c r="F522" s="1296"/>
      <c r="G522" s="1296"/>
    </row>
    <row r="523" spans="1:7" ht="13.8" x14ac:dyDescent="0.25">
      <c r="A523" s="1294"/>
      <c r="B523" s="1294"/>
      <c r="C523" s="1295"/>
      <c r="D523" s="1296"/>
      <c r="E523" s="1296"/>
      <c r="F523" s="1296"/>
      <c r="G523" s="1296"/>
    </row>
    <row r="524" spans="1:7" ht="13.8" x14ac:dyDescent="0.25">
      <c r="A524" s="1294"/>
      <c r="B524" s="1294" t="s">
        <v>1344</v>
      </c>
      <c r="C524" s="1295"/>
      <c r="D524" s="1296">
        <v>25</v>
      </c>
      <c r="E524" s="1296"/>
      <c r="F524" s="1296">
        <v>40000</v>
      </c>
      <c r="G524" s="1296"/>
    </row>
    <row r="525" spans="1:7" ht="13.8" x14ac:dyDescent="0.25">
      <c r="A525" s="1294"/>
      <c r="B525" s="1294" t="s">
        <v>1304</v>
      </c>
      <c r="C525" s="1296" t="s">
        <v>1279</v>
      </c>
      <c r="D525" s="1296">
        <v>0.33</v>
      </c>
      <c r="E525" s="1296"/>
      <c r="F525" s="1296">
        <f>D525*E525</f>
        <v>0</v>
      </c>
      <c r="G525" s="1296"/>
    </row>
    <row r="526" spans="1:7" ht="13.8" x14ac:dyDescent="0.25">
      <c r="A526" s="1294"/>
      <c r="B526" s="1294" t="s">
        <v>1107</v>
      </c>
      <c r="C526" s="1296" t="s">
        <v>1279</v>
      </c>
      <c r="D526" s="1296">
        <v>0.33</v>
      </c>
      <c r="E526" s="1296">
        <v>2000</v>
      </c>
      <c r="F526" s="1296">
        <f>D526*E526</f>
        <v>660</v>
      </c>
      <c r="G526" s="1296"/>
    </row>
    <row r="527" spans="1:7" ht="13.8" x14ac:dyDescent="0.25">
      <c r="A527" s="1294"/>
      <c r="B527" s="1294"/>
      <c r="C527" s="1295"/>
      <c r="D527" s="1296"/>
      <c r="E527" s="1296"/>
      <c r="F527" s="1296"/>
      <c r="G527" s="1296"/>
    </row>
    <row r="528" spans="1:7" ht="13.8" x14ac:dyDescent="0.25">
      <c r="A528" s="1298"/>
      <c r="B528" s="1476" t="s">
        <v>1282</v>
      </c>
      <c r="C528" s="1476"/>
      <c r="D528" s="1476"/>
      <c r="E528" s="1476"/>
      <c r="F528" s="1299">
        <f t="shared" ref="F528" si="65">D528*E528</f>
        <v>0</v>
      </c>
      <c r="G528" s="1300">
        <f>SUM(F523:F528)</f>
        <v>40660</v>
      </c>
    </row>
    <row r="529" spans="1:7" ht="13.8" x14ac:dyDescent="0.25">
      <c r="A529" s="1294"/>
      <c r="B529" s="1302"/>
      <c r="C529" s="1302"/>
      <c r="D529" s="1302"/>
      <c r="E529" s="1302"/>
      <c r="F529" s="1296"/>
      <c r="G529" s="1302"/>
    </row>
    <row r="530" spans="1:7" ht="13.8" x14ac:dyDescent="0.25">
      <c r="A530" s="1294"/>
      <c r="B530" s="1302"/>
      <c r="C530" s="1302"/>
      <c r="D530" s="1302"/>
      <c r="E530" s="1302"/>
      <c r="F530" s="1296"/>
      <c r="G530" s="1302"/>
    </row>
    <row r="531" spans="1:7" ht="13.8" x14ac:dyDescent="0.25">
      <c r="A531" s="1469" t="s">
        <v>1345</v>
      </c>
      <c r="B531" s="1469"/>
      <c r="C531" s="1469"/>
      <c r="D531" s="1469"/>
      <c r="E531" s="1469"/>
      <c r="F531" s="1469"/>
      <c r="G531" s="1303">
        <f>G517+G521+G528</f>
        <v>782270.625</v>
      </c>
    </row>
    <row r="532" spans="1:7" ht="16.2" x14ac:dyDescent="0.25">
      <c r="A532" s="1469" t="s">
        <v>1273</v>
      </c>
      <c r="B532" s="1469"/>
      <c r="C532" s="1469"/>
      <c r="D532" s="1469"/>
      <c r="E532" s="1469"/>
      <c r="F532" s="1469"/>
      <c r="G532" s="1303">
        <f>G531/24</f>
        <v>32594.609375</v>
      </c>
    </row>
    <row r="533" spans="1:7" ht="16.2" x14ac:dyDescent="0.25">
      <c r="A533" s="1469" t="s">
        <v>1273</v>
      </c>
      <c r="B533" s="1469"/>
      <c r="C533" s="1469"/>
      <c r="D533" s="1469"/>
      <c r="E533" s="1469"/>
      <c r="F533" s="1469"/>
      <c r="G533" s="1303">
        <f>G532*2.83</f>
        <v>92242.744531250006</v>
      </c>
    </row>
    <row r="545" spans="1:7" x14ac:dyDescent="0.25">
      <c r="D545" s="1344"/>
    </row>
    <row r="548" spans="1:7" x14ac:dyDescent="0.25">
      <c r="A548" s="1477" t="s">
        <v>1036</v>
      </c>
      <c r="B548" s="1477"/>
      <c r="C548" s="1477"/>
      <c r="D548" s="1477"/>
      <c r="E548" s="1477"/>
      <c r="F548" s="1477"/>
      <c r="G548" s="1477"/>
    </row>
    <row r="551" spans="1:7" ht="13.8" x14ac:dyDescent="0.25">
      <c r="A551" s="1479" t="s">
        <v>1037</v>
      </c>
      <c r="B551" s="1479"/>
      <c r="C551" s="1313"/>
      <c r="D551" s="1314"/>
      <c r="E551" s="1314"/>
      <c r="F551" s="1314"/>
      <c r="G551" s="1326"/>
    </row>
    <row r="552" spans="1:7" ht="13.8" x14ac:dyDescent="0.25">
      <c r="A552" s="1315"/>
      <c r="B552" s="1316" t="s">
        <v>1038</v>
      </c>
      <c r="C552" s="1316" t="s">
        <v>1039</v>
      </c>
      <c r="D552" s="1316" t="s">
        <v>2</v>
      </c>
      <c r="E552" s="1316" t="s">
        <v>1040</v>
      </c>
      <c r="F552" s="1316" t="s">
        <v>5</v>
      </c>
      <c r="G552" s="1326"/>
    </row>
    <row r="553" spans="1:7" ht="13.8" x14ac:dyDescent="0.25">
      <c r="A553" s="1317"/>
      <c r="B553" s="1317"/>
      <c r="C553" s="1318"/>
      <c r="D553" s="1319"/>
      <c r="E553" s="1319"/>
      <c r="F553" s="1319"/>
      <c r="G553" s="1326"/>
    </row>
    <row r="554" spans="1:7" ht="13.8" x14ac:dyDescent="0.25">
      <c r="A554" s="1317"/>
      <c r="B554" s="1317" t="s">
        <v>1041</v>
      </c>
      <c r="C554" s="1319" t="s">
        <v>1042</v>
      </c>
      <c r="D554" s="1319">
        <v>1</v>
      </c>
      <c r="E554" s="1319">
        <f>[19]Material!D30</f>
        <v>365000</v>
      </c>
      <c r="F554" s="1319">
        <f>D554*E554</f>
        <v>365000</v>
      </c>
      <c r="G554" s="1326"/>
    </row>
    <row r="555" spans="1:7" ht="13.8" x14ac:dyDescent="0.25">
      <c r="A555" s="1317"/>
      <c r="B555" s="1322" t="s">
        <v>1043</v>
      </c>
      <c r="C555" s="1319" t="s">
        <v>1044</v>
      </c>
      <c r="D555" s="1319">
        <v>3</v>
      </c>
      <c r="E555" s="1319">
        <v>312.5</v>
      </c>
      <c r="F555" s="1319">
        <f t="shared" ref="F555:F556" si="66">D555*E555</f>
        <v>937.5</v>
      </c>
      <c r="G555" s="1326"/>
    </row>
    <row r="556" spans="1:7" ht="13.8" x14ac:dyDescent="0.25">
      <c r="A556" s="1317"/>
      <c r="B556" s="1318" t="s">
        <v>1045</v>
      </c>
      <c r="C556" s="1319" t="s">
        <v>1046</v>
      </c>
      <c r="D556" s="1319">
        <v>1</v>
      </c>
      <c r="E556" s="1319">
        <v>10000</v>
      </c>
      <c r="F556" s="1319">
        <f t="shared" si="66"/>
        <v>10000</v>
      </c>
      <c r="G556" s="1326"/>
    </row>
    <row r="557" spans="1:7" ht="13.8" x14ac:dyDescent="0.25">
      <c r="A557" s="1317"/>
      <c r="B557" s="1317"/>
      <c r="C557" s="1318"/>
      <c r="D557" s="1319"/>
      <c r="E557" s="1319"/>
      <c r="F557" s="1319"/>
      <c r="G557" s="1326"/>
    </row>
    <row r="558" spans="1:7" ht="13.8" x14ac:dyDescent="0.25">
      <c r="A558" s="1317"/>
      <c r="B558" s="1317"/>
      <c r="C558" s="1318"/>
      <c r="D558" s="1319"/>
      <c r="E558" s="1319"/>
      <c r="F558" s="1319"/>
      <c r="G558" s="1326"/>
    </row>
    <row r="559" spans="1:7" ht="13.8" x14ac:dyDescent="0.25">
      <c r="A559" s="1317"/>
      <c r="B559" s="1317"/>
      <c r="C559" s="1318"/>
      <c r="D559" s="1319"/>
      <c r="E559" s="1319"/>
      <c r="F559" s="1319"/>
      <c r="G559" s="1326"/>
    </row>
    <row r="560" spans="1:7" ht="13.8" x14ac:dyDescent="0.25">
      <c r="A560" s="1480" t="s">
        <v>1047</v>
      </c>
      <c r="B560" s="1481"/>
      <c r="C560" s="1481"/>
      <c r="D560" s="1481"/>
      <c r="E560" s="1482"/>
      <c r="F560" s="1316">
        <f>SUM(F554:F559)</f>
        <v>375937.5</v>
      </c>
      <c r="G560" s="1326"/>
    </row>
    <row r="561" spans="1:8" ht="13.8" x14ac:dyDescent="0.25">
      <c r="A561" s="1480" t="s">
        <v>1346</v>
      </c>
      <c r="B561" s="1481"/>
      <c r="C561" s="1481"/>
      <c r="D561" s="1481"/>
      <c r="E561" s="1482"/>
      <c r="F561" s="1316">
        <f>F560/20</f>
        <v>18796.875</v>
      </c>
      <c r="G561" s="1326"/>
    </row>
    <row r="562" spans="1:8" ht="13.8" x14ac:dyDescent="0.25">
      <c r="A562" s="1480" t="s">
        <v>1048</v>
      </c>
      <c r="B562" s="1481"/>
      <c r="C562" s="1481"/>
      <c r="D562" s="1481"/>
      <c r="E562" s="1482"/>
      <c r="F562" s="1316">
        <f>F560/1000</f>
        <v>375.9375</v>
      </c>
      <c r="G562" s="1326"/>
    </row>
    <row r="563" spans="1:8" ht="13.8" x14ac:dyDescent="0.25">
      <c r="A563" s="1334"/>
      <c r="B563" s="1326"/>
      <c r="C563" s="1326"/>
      <c r="D563" s="1326"/>
      <c r="E563" s="1326"/>
      <c r="F563" s="1314"/>
      <c r="G563" s="1326"/>
    </row>
    <row r="564" spans="1:8" ht="14.4" thickBot="1" x14ac:dyDescent="0.3">
      <c r="A564" s="1334"/>
      <c r="B564" s="1326"/>
      <c r="C564" s="1326"/>
      <c r="D564" s="1326"/>
      <c r="E564" s="1326"/>
      <c r="F564" s="1314"/>
      <c r="G564" s="1326"/>
    </row>
    <row r="565" spans="1:8" ht="13.8" x14ac:dyDescent="0.25">
      <c r="A565" s="1470" t="s">
        <v>1347</v>
      </c>
      <c r="B565" s="1471"/>
      <c r="C565" s="1471"/>
      <c r="D565" s="1471"/>
      <c r="E565" s="1471"/>
      <c r="F565" s="1471"/>
      <c r="G565" s="1472"/>
    </row>
    <row r="566" spans="1:8" ht="14.4" thickBot="1" x14ac:dyDescent="0.3">
      <c r="A566" s="1473" t="s">
        <v>1348</v>
      </c>
      <c r="B566" s="1474"/>
      <c r="C566" s="1474"/>
      <c r="D566" s="1474"/>
      <c r="E566" s="1474"/>
      <c r="F566" s="1474"/>
      <c r="G566" s="1475"/>
    </row>
    <row r="567" spans="1:8" ht="14.4" thickBot="1" x14ac:dyDescent="0.3">
      <c r="A567" s="1292"/>
      <c r="B567" s="1293" t="s">
        <v>1038</v>
      </c>
      <c r="C567" s="1293" t="s">
        <v>1039</v>
      </c>
      <c r="D567" s="1293" t="s">
        <v>2</v>
      </c>
      <c r="E567" s="1293" t="s">
        <v>1040</v>
      </c>
      <c r="F567" s="1293" t="s">
        <v>5</v>
      </c>
      <c r="G567" s="1293" t="s">
        <v>1260</v>
      </c>
    </row>
    <row r="568" spans="1:8" ht="13.8" x14ac:dyDescent="0.25">
      <c r="A568" s="1294"/>
      <c r="B568" s="1294"/>
      <c r="C568" s="1295"/>
      <c r="D568" s="1296"/>
      <c r="E568" s="1296"/>
      <c r="F568" s="1296"/>
      <c r="G568" s="1296"/>
    </row>
    <row r="569" spans="1:8" ht="13.8" x14ac:dyDescent="0.25">
      <c r="A569" s="1294"/>
      <c r="B569" s="1297"/>
      <c r="C569" s="1295"/>
      <c r="D569" s="1296"/>
      <c r="E569" s="1296"/>
      <c r="F569" s="1296"/>
      <c r="G569" s="1296"/>
    </row>
    <row r="570" spans="1:8" ht="13.8" x14ac:dyDescent="0.25">
      <c r="A570" s="1309"/>
      <c r="B570" s="1309" t="s">
        <v>1349</v>
      </c>
      <c r="C570" s="1310" t="s">
        <v>1350</v>
      </c>
      <c r="D570" s="1310">
        <v>1</v>
      </c>
      <c r="E570" s="1310">
        <f>F561</f>
        <v>18796.875</v>
      </c>
      <c r="F570" s="1310">
        <f>D570*E570</f>
        <v>18796.875</v>
      </c>
      <c r="G570" s="1310"/>
      <c r="H570" s="1290">
        <f>+E570/50</f>
        <v>375.9375</v>
      </c>
    </row>
    <row r="571" spans="1:8" ht="13.8" x14ac:dyDescent="0.25">
      <c r="A571" s="1309"/>
      <c r="B571" s="1342" t="s">
        <v>1314</v>
      </c>
      <c r="C571" s="1310"/>
      <c r="D571" s="1310"/>
      <c r="E571" s="1310"/>
      <c r="F571" s="1310">
        <f>F570*10%</f>
        <v>1879.6875</v>
      </c>
      <c r="G571" s="1310"/>
    </row>
    <row r="572" spans="1:8" ht="13.8" x14ac:dyDescent="0.25">
      <c r="A572" s="1309"/>
      <c r="B572" s="1343" t="s">
        <v>1074</v>
      </c>
      <c r="C572" s="1310" t="s">
        <v>37</v>
      </c>
      <c r="D572" s="1310">
        <v>1.5</v>
      </c>
      <c r="E572" s="1310">
        <v>340</v>
      </c>
      <c r="F572" s="1310">
        <f t="shared" ref="F572" si="67">D572*E572</f>
        <v>510</v>
      </c>
      <c r="G572" s="1310"/>
    </row>
    <row r="573" spans="1:8" ht="13.8" x14ac:dyDescent="0.25">
      <c r="A573" s="1309"/>
      <c r="B573" s="1343" t="s">
        <v>1351</v>
      </c>
      <c r="C573" s="1343"/>
      <c r="D573" s="1310"/>
      <c r="E573" s="1310"/>
      <c r="F573" s="1310">
        <f>(F570+F571)*1.5%</f>
        <v>310.1484375</v>
      </c>
      <c r="G573" s="1310"/>
    </row>
    <row r="574" spans="1:8" ht="13.8" x14ac:dyDescent="0.25">
      <c r="A574" s="1294"/>
      <c r="B574" s="1295" t="s">
        <v>1352</v>
      </c>
      <c r="C574" s="1295"/>
      <c r="D574" s="1296"/>
      <c r="E574" s="1296"/>
      <c r="F574" s="1296">
        <f>(F570+F571)*3%</f>
        <v>620.296875</v>
      </c>
      <c r="G574" s="1296"/>
    </row>
    <row r="575" spans="1:8" ht="13.8" x14ac:dyDescent="0.25">
      <c r="A575" s="1298"/>
      <c r="B575" s="1476" t="s">
        <v>1277</v>
      </c>
      <c r="C575" s="1476"/>
      <c r="D575" s="1476"/>
      <c r="E575" s="1476"/>
      <c r="F575" s="1299"/>
      <c r="G575" s="1300">
        <f>SUM(F569:F575)</f>
        <v>22117.0078125</v>
      </c>
    </row>
    <row r="576" spans="1:8" ht="13.8" x14ac:dyDescent="0.25">
      <c r="A576" s="1294"/>
      <c r="B576" s="1297" t="s">
        <v>1261</v>
      </c>
      <c r="C576" s="1295"/>
      <c r="D576" s="1296"/>
      <c r="E576" s="1296"/>
      <c r="F576" s="1296"/>
      <c r="G576" s="1296"/>
    </row>
    <row r="577" spans="1:8" ht="13.8" x14ac:dyDescent="0.25">
      <c r="A577" s="1294"/>
      <c r="B577" s="1294" t="s">
        <v>1271</v>
      </c>
      <c r="C577" s="1296" t="s">
        <v>37</v>
      </c>
      <c r="D577" s="1296">
        <v>50</v>
      </c>
      <c r="E577" s="1345">
        <v>28</v>
      </c>
      <c r="F577" s="1296">
        <f>D577*E577</f>
        <v>1400</v>
      </c>
      <c r="G577" s="1296"/>
    </row>
    <row r="578" spans="1:8" ht="13.8" x14ac:dyDescent="0.25">
      <c r="A578" s="1294"/>
      <c r="B578" s="1294"/>
      <c r="C578" s="1295"/>
      <c r="D578" s="1296"/>
      <c r="E578" s="1296"/>
      <c r="F578" s="1296"/>
      <c r="G578" s="1296"/>
    </row>
    <row r="579" spans="1:8" ht="13.8" x14ac:dyDescent="0.25">
      <c r="A579" s="1298"/>
      <c r="B579" s="1476" t="s">
        <v>1264</v>
      </c>
      <c r="C579" s="1476"/>
      <c r="D579" s="1476"/>
      <c r="E579" s="1476"/>
      <c r="F579" s="1299">
        <f t="shared" ref="F579" si="68">D579*E579</f>
        <v>0</v>
      </c>
      <c r="G579" s="1300">
        <f>SUM(F577:F579)</f>
        <v>1400</v>
      </c>
    </row>
    <row r="580" spans="1:8" ht="13.8" x14ac:dyDescent="0.25">
      <c r="A580" s="1294"/>
      <c r="B580" s="1297"/>
      <c r="C580" s="1295"/>
      <c r="D580" s="1296"/>
      <c r="E580" s="1296"/>
      <c r="F580" s="1296"/>
      <c r="G580" s="1296"/>
    </row>
    <row r="581" spans="1:8" ht="13.8" x14ac:dyDescent="0.25">
      <c r="A581" s="1294"/>
      <c r="B581" s="1294"/>
      <c r="C581" s="1295"/>
      <c r="D581" s="1296"/>
      <c r="E581" s="1296"/>
      <c r="F581" s="1296"/>
      <c r="G581" s="1296"/>
    </row>
    <row r="582" spans="1:8" ht="13.8" x14ac:dyDescent="0.25">
      <c r="A582" s="1294"/>
      <c r="B582" s="1294"/>
      <c r="C582" s="1295"/>
      <c r="D582" s="1296"/>
      <c r="E582" s="1296"/>
      <c r="F582" s="1296"/>
      <c r="G582" s="1296"/>
    </row>
    <row r="583" spans="1:8" ht="13.8" x14ac:dyDescent="0.25">
      <c r="A583" s="1294"/>
      <c r="B583" s="1302"/>
      <c r="C583" s="1302"/>
      <c r="D583" s="1302"/>
      <c r="E583" s="1302"/>
      <c r="F583" s="1296"/>
      <c r="G583" s="1302"/>
    </row>
    <row r="584" spans="1:8" ht="13.8" x14ac:dyDescent="0.25">
      <c r="A584" s="1469" t="s">
        <v>1353</v>
      </c>
      <c r="B584" s="1469"/>
      <c r="C584" s="1469"/>
      <c r="D584" s="1469"/>
      <c r="E584" s="1469"/>
      <c r="F584" s="1469"/>
      <c r="G584" s="1303">
        <f>G575+G579</f>
        <v>23517.0078125</v>
      </c>
      <c r="H584" s="1346">
        <f>G575</f>
        <v>22117.0078125</v>
      </c>
    </row>
    <row r="585" spans="1:8" ht="13.8" x14ac:dyDescent="0.25">
      <c r="A585" s="1469" t="s">
        <v>1354</v>
      </c>
      <c r="B585" s="1469"/>
      <c r="C585" s="1469"/>
      <c r="D585" s="1469"/>
      <c r="E585" s="1469"/>
      <c r="F585" s="1469"/>
      <c r="G585" s="1303">
        <f>G584*20</f>
        <v>470340.15625</v>
      </c>
      <c r="H585" s="1336">
        <f>H584*20</f>
        <v>442340.15625</v>
      </c>
    </row>
    <row r="586" spans="1:8" ht="14.4" thickBot="1" x14ac:dyDescent="0.3">
      <c r="A586" s="1478" t="s">
        <v>1355</v>
      </c>
      <c r="B586" s="1478"/>
      <c r="C586" s="1478"/>
      <c r="D586" s="1478"/>
      <c r="E586" s="1478"/>
      <c r="F586" s="1478"/>
      <c r="G586" s="1333">
        <f>G585/1000</f>
        <v>470.34015625000001</v>
      </c>
      <c r="H586" s="1336">
        <f>H585/1000</f>
        <v>442.34015625000001</v>
      </c>
    </row>
    <row r="592" spans="1:8" x14ac:dyDescent="0.25">
      <c r="A592" s="1477" t="s">
        <v>1356</v>
      </c>
      <c r="B592" s="1477"/>
      <c r="C592" s="1477"/>
      <c r="D592" s="1477"/>
      <c r="E592" s="1477"/>
      <c r="F592" s="1477"/>
      <c r="G592" s="1477"/>
    </row>
    <row r="594" spans="1:7" ht="13.8" thickBot="1" x14ac:dyDescent="0.3"/>
    <row r="595" spans="1:7" ht="13.8" x14ac:dyDescent="0.25">
      <c r="A595" s="1470" t="s">
        <v>1357</v>
      </c>
      <c r="B595" s="1471"/>
      <c r="C595" s="1471"/>
      <c r="D595" s="1471"/>
      <c r="E595" s="1471"/>
      <c r="F595" s="1471"/>
      <c r="G595" s="1472"/>
    </row>
    <row r="596" spans="1:7" ht="14.4" thickBot="1" x14ac:dyDescent="0.3">
      <c r="A596" s="1473" t="s">
        <v>1358</v>
      </c>
      <c r="B596" s="1474"/>
      <c r="C596" s="1474"/>
      <c r="D596" s="1474"/>
      <c r="E596" s="1474"/>
      <c r="F596" s="1474"/>
      <c r="G596" s="1475"/>
    </row>
    <row r="597" spans="1:7" ht="14.4" thickBot="1" x14ac:dyDescent="0.3">
      <c r="A597" s="1292"/>
      <c r="B597" s="1293" t="s">
        <v>1038</v>
      </c>
      <c r="C597" s="1347" t="s">
        <v>1039</v>
      </c>
      <c r="D597" s="1293" t="s">
        <v>2</v>
      </c>
      <c r="E597" s="1293" t="s">
        <v>1040</v>
      </c>
      <c r="F597" s="1293" t="s">
        <v>5</v>
      </c>
      <c r="G597" s="1293" t="s">
        <v>1260</v>
      </c>
    </row>
    <row r="598" spans="1:7" ht="13.8" x14ac:dyDescent="0.25">
      <c r="A598" s="1294"/>
      <c r="B598" s="1297" t="s">
        <v>1276</v>
      </c>
      <c r="C598" s="1348"/>
      <c r="D598" s="1296"/>
      <c r="E598" s="1296"/>
      <c r="F598" s="1296"/>
      <c r="G598" s="1296"/>
    </row>
    <row r="599" spans="1:7" ht="15.6" x14ac:dyDescent="0.4">
      <c r="A599" s="1294"/>
      <c r="B599" s="1308" t="s">
        <v>1359</v>
      </c>
      <c r="C599" s="1348"/>
      <c r="D599" s="1296"/>
      <c r="E599" s="1296"/>
      <c r="F599" s="1296"/>
      <c r="G599" s="1296"/>
    </row>
    <row r="600" spans="1:7" ht="13.8" x14ac:dyDescent="0.25">
      <c r="A600" s="1294"/>
      <c r="B600" s="1294" t="s">
        <v>1108</v>
      </c>
      <c r="C600" s="1348" t="s">
        <v>1360</v>
      </c>
      <c r="D600" s="1296">
        <v>0.3</v>
      </c>
      <c r="E600" s="1296">
        <f>F197</f>
        <v>2235.625</v>
      </c>
      <c r="F600" s="1296">
        <f t="shared" ref="F600:F601" si="69">D600*E600</f>
        <v>670.6875</v>
      </c>
      <c r="G600" s="1296"/>
    </row>
    <row r="601" spans="1:7" ht="13.8" x14ac:dyDescent="0.25">
      <c r="A601" s="1294"/>
      <c r="B601" s="1294" t="s">
        <v>1159</v>
      </c>
      <c r="C601" s="1348" t="s">
        <v>1361</v>
      </c>
      <c r="D601" s="1296">
        <v>0.01</v>
      </c>
      <c r="E601" s="1296">
        <f>[19]Material!E13</f>
        <v>23500</v>
      </c>
      <c r="F601" s="1296">
        <f t="shared" si="69"/>
        <v>235</v>
      </c>
      <c r="G601" s="1296"/>
    </row>
    <row r="602" spans="1:7" ht="14.4" customHeight="1" x14ac:dyDescent="0.25">
      <c r="A602" s="1294"/>
      <c r="B602" s="1294"/>
      <c r="C602" s="1348"/>
      <c r="D602" s="1296"/>
      <c r="E602" s="1296"/>
      <c r="F602" s="1296"/>
      <c r="G602" s="1296"/>
    </row>
    <row r="603" spans="1:7" ht="13.8" x14ac:dyDescent="0.25">
      <c r="A603" s="1294"/>
      <c r="B603" s="1294" t="s">
        <v>1362</v>
      </c>
      <c r="C603" s="1348" t="s">
        <v>1360</v>
      </c>
      <c r="D603" s="1296">
        <v>0.05</v>
      </c>
      <c r="E603" s="1296">
        <v>5500</v>
      </c>
      <c r="F603" s="1296">
        <f>D603*E603</f>
        <v>275</v>
      </c>
      <c r="G603" s="1296"/>
    </row>
    <row r="604" spans="1:7" ht="13.8" x14ac:dyDescent="0.25">
      <c r="A604" s="1294"/>
      <c r="B604" s="1294" t="s">
        <v>1363</v>
      </c>
      <c r="C604" s="1348" t="s">
        <v>1360</v>
      </c>
      <c r="D604" s="1296">
        <v>0.2</v>
      </c>
      <c r="E604" s="1296">
        <v>47500</v>
      </c>
      <c r="F604" s="1296">
        <f>D604*E604</f>
        <v>9500</v>
      </c>
      <c r="G604" s="1296"/>
    </row>
    <row r="605" spans="1:7" ht="13.8" x14ac:dyDescent="0.25">
      <c r="A605" s="1294"/>
      <c r="B605" s="1294"/>
      <c r="C605" s="1348"/>
      <c r="D605" s="1296"/>
      <c r="E605" s="1296"/>
      <c r="F605" s="1349">
        <f>SUM(F600:F604)</f>
        <v>10680.6875</v>
      </c>
      <c r="G605" s="1296"/>
    </row>
    <row r="606" spans="1:7" ht="13.8" x14ac:dyDescent="0.25">
      <c r="A606" s="1294"/>
      <c r="B606" s="1295" t="s">
        <v>1364</v>
      </c>
      <c r="C606" s="1348"/>
      <c r="D606" s="1296"/>
      <c r="E606" s="1296"/>
      <c r="F606" s="1296">
        <v>200</v>
      </c>
      <c r="G606" s="1296"/>
    </row>
    <row r="607" spans="1:7" ht="13.8" x14ac:dyDescent="0.25">
      <c r="A607" s="1294"/>
      <c r="B607" s="1295"/>
      <c r="C607" s="1348"/>
      <c r="D607" s="1296"/>
      <c r="E607" s="1296"/>
      <c r="F607" s="1296"/>
      <c r="G607" s="1296"/>
    </row>
    <row r="608" spans="1:7" ht="13.8" x14ac:dyDescent="0.25">
      <c r="A608" s="1298"/>
      <c r="B608" s="1492" t="s">
        <v>1277</v>
      </c>
      <c r="C608" s="1493"/>
      <c r="D608" s="1493"/>
      <c r="E608" s="1494"/>
      <c r="F608" s="1299"/>
      <c r="G608" s="1300">
        <f>SUM(F605:F608)</f>
        <v>10880.6875</v>
      </c>
    </row>
    <row r="609" spans="1:7" ht="13.8" x14ac:dyDescent="0.25">
      <c r="A609" s="1294"/>
      <c r="B609" s="1297" t="s">
        <v>1261</v>
      </c>
      <c r="C609" s="1348"/>
      <c r="D609" s="1296"/>
      <c r="E609" s="1296"/>
      <c r="F609" s="1296">
        <f t="shared" ref="F609:F610" si="70">D609*E609</f>
        <v>0</v>
      </c>
      <c r="G609" s="1296"/>
    </row>
    <row r="610" spans="1:7" ht="13.8" x14ac:dyDescent="0.25">
      <c r="A610" s="1294"/>
      <c r="B610" s="1311" t="s">
        <v>1365</v>
      </c>
      <c r="C610" s="1348" t="s">
        <v>1294</v>
      </c>
      <c r="D610" s="1296">
        <v>38.75</v>
      </c>
      <c r="E610" s="1296">
        <v>40</v>
      </c>
      <c r="F610" s="1296">
        <f t="shared" si="70"/>
        <v>1550</v>
      </c>
      <c r="G610" s="1296"/>
    </row>
    <row r="611" spans="1:7" ht="13.8" x14ac:dyDescent="0.25">
      <c r="A611" s="1294"/>
      <c r="B611" s="1311" t="s">
        <v>1366</v>
      </c>
      <c r="C611" s="1348" t="s">
        <v>1190</v>
      </c>
      <c r="D611" s="1296">
        <v>45</v>
      </c>
      <c r="E611" s="1296">
        <v>65</v>
      </c>
      <c r="F611" s="1296">
        <f>D611*E611</f>
        <v>2925</v>
      </c>
      <c r="G611" s="1296"/>
    </row>
    <row r="612" spans="1:7" ht="13.8" x14ac:dyDescent="0.25">
      <c r="A612" s="1294"/>
      <c r="B612" s="1294"/>
      <c r="C612" s="1348"/>
      <c r="D612" s="1296"/>
      <c r="E612" s="1296"/>
      <c r="F612" s="1296"/>
      <c r="G612" s="1296"/>
    </row>
    <row r="613" spans="1:7" ht="13.8" x14ac:dyDescent="0.25">
      <c r="A613" s="1298"/>
      <c r="B613" s="1492" t="s">
        <v>1264</v>
      </c>
      <c r="C613" s="1493"/>
      <c r="D613" s="1493"/>
      <c r="E613" s="1494"/>
      <c r="F613" s="1299">
        <f t="shared" ref="F613" si="71">D613*E613</f>
        <v>0</v>
      </c>
      <c r="G613" s="1300">
        <f>SUM(F610:F613)</f>
        <v>4475</v>
      </c>
    </row>
    <row r="614" spans="1:7" ht="13.8" x14ac:dyDescent="0.25">
      <c r="A614" s="1294"/>
      <c r="B614" s="1302"/>
      <c r="C614" s="1350"/>
      <c r="D614" s="1302"/>
      <c r="E614" s="1302"/>
      <c r="F614" s="1296"/>
      <c r="G614" s="1302"/>
    </row>
    <row r="615" spans="1:7" ht="13.8" x14ac:dyDescent="0.25">
      <c r="A615" s="1294"/>
      <c r="B615" s="1302"/>
      <c r="C615" s="1350"/>
      <c r="D615" s="1302"/>
      <c r="E615" s="1302"/>
      <c r="F615" s="1296"/>
      <c r="G615" s="1302"/>
    </row>
    <row r="616" spans="1:7" ht="13.8" x14ac:dyDescent="0.25">
      <c r="A616" s="1489" t="s">
        <v>1367</v>
      </c>
      <c r="B616" s="1490"/>
      <c r="C616" s="1490"/>
      <c r="D616" s="1490"/>
      <c r="E616" s="1490"/>
      <c r="F616" s="1491"/>
      <c r="G616" s="1303">
        <f>G608+G613</f>
        <v>15355.6875</v>
      </c>
    </row>
    <row r="617" spans="1:7" ht="13.8" x14ac:dyDescent="0.25">
      <c r="A617" s="1489" t="s">
        <v>1297</v>
      </c>
      <c r="B617" s="1490"/>
      <c r="C617" s="1490"/>
      <c r="D617" s="1490"/>
      <c r="E617" s="1490"/>
      <c r="F617" s="1491"/>
      <c r="G617" s="1303">
        <f>G616/38.75</f>
        <v>396.27580645161288</v>
      </c>
    </row>
    <row r="618" spans="1:7" ht="13.8" x14ac:dyDescent="0.25">
      <c r="A618" s="1489" t="s">
        <v>1296</v>
      </c>
      <c r="B618" s="1490"/>
      <c r="C618" s="1490"/>
      <c r="D618" s="1490"/>
      <c r="E618" s="1490"/>
      <c r="F618" s="1491"/>
      <c r="G618" s="1303">
        <f>G617*10.76</f>
        <v>4263.9276774193549</v>
      </c>
    </row>
    <row r="622" spans="1:7" x14ac:dyDescent="0.25">
      <c r="A622" s="1477" t="s">
        <v>1368</v>
      </c>
      <c r="B622" s="1477"/>
      <c r="C622" s="1477"/>
      <c r="D622" s="1477"/>
      <c r="E622" s="1477"/>
      <c r="F622" s="1477"/>
      <c r="G622" s="1477"/>
    </row>
    <row r="624" spans="1:7" ht="13.8" thickBot="1" x14ac:dyDescent="0.3"/>
    <row r="625" spans="1:7" ht="13.8" x14ac:dyDescent="0.25">
      <c r="A625" s="1470" t="s">
        <v>1369</v>
      </c>
      <c r="B625" s="1471"/>
      <c r="C625" s="1471"/>
      <c r="D625" s="1471"/>
      <c r="E625" s="1471"/>
      <c r="F625" s="1471"/>
      <c r="G625" s="1472"/>
    </row>
    <row r="626" spans="1:7" ht="14.4" thickBot="1" x14ac:dyDescent="0.3">
      <c r="A626" s="1473" t="s">
        <v>1270</v>
      </c>
      <c r="B626" s="1474"/>
      <c r="C626" s="1474"/>
      <c r="D626" s="1474"/>
      <c r="E626" s="1474"/>
      <c r="F626" s="1474"/>
      <c r="G626" s="1475"/>
    </row>
    <row r="627" spans="1:7" ht="14.4" thickBot="1" x14ac:dyDescent="0.3">
      <c r="A627" s="1292"/>
      <c r="B627" s="1293" t="s">
        <v>1038</v>
      </c>
      <c r="C627" s="1293" t="s">
        <v>1039</v>
      </c>
      <c r="D627" s="1293" t="s">
        <v>2</v>
      </c>
      <c r="E627" s="1293" t="s">
        <v>1040</v>
      </c>
      <c r="F627" s="1293" t="s">
        <v>5</v>
      </c>
      <c r="G627" s="1293" t="s">
        <v>1260</v>
      </c>
    </row>
    <row r="628" spans="1:7" ht="13.8" x14ac:dyDescent="0.25">
      <c r="A628" s="1294"/>
      <c r="B628" s="1294"/>
      <c r="C628" s="1295"/>
      <c r="D628" s="1296"/>
      <c r="E628" s="1296"/>
      <c r="F628" s="1296"/>
      <c r="G628" s="1296"/>
    </row>
    <row r="629" spans="1:7" ht="13.8" x14ac:dyDescent="0.25">
      <c r="A629" s="1309"/>
      <c r="B629" s="1343"/>
      <c r="C629" s="1343"/>
      <c r="D629" s="1310"/>
      <c r="E629" s="1310"/>
      <c r="F629" s="1310"/>
      <c r="G629" s="1310"/>
    </row>
    <row r="630" spans="1:7" ht="13.8" x14ac:dyDescent="0.25">
      <c r="A630" s="1309"/>
      <c r="B630" s="1343" t="s">
        <v>1370</v>
      </c>
      <c r="C630" s="1310" t="s">
        <v>1110</v>
      </c>
      <c r="D630" s="1310">
        <v>1.4</v>
      </c>
      <c r="E630" s="1310">
        <f>[19]Material!E20</f>
        <v>14500</v>
      </c>
      <c r="F630" s="1310">
        <f>D630*E630</f>
        <v>20300</v>
      </c>
      <c r="G630" s="1310"/>
    </row>
    <row r="631" spans="1:7" ht="13.8" x14ac:dyDescent="0.25">
      <c r="A631" s="1309"/>
      <c r="B631" s="1309" t="s">
        <v>1108</v>
      </c>
      <c r="C631" s="1310" t="s">
        <v>1324</v>
      </c>
      <c r="D631" s="1310">
        <v>5</v>
      </c>
      <c r="E631" s="1310">
        <f>F197</f>
        <v>2235.625</v>
      </c>
      <c r="F631" s="1310">
        <f t="shared" ref="F631:F632" si="72">D631*E631</f>
        <v>11178.125</v>
      </c>
      <c r="G631" s="1310"/>
    </row>
    <row r="632" spans="1:7" ht="13.8" x14ac:dyDescent="0.25">
      <c r="A632" s="1309"/>
      <c r="B632" s="1309" t="s">
        <v>1159</v>
      </c>
      <c r="C632" s="1310" t="s">
        <v>1110</v>
      </c>
      <c r="D632" s="1310">
        <v>0.3</v>
      </c>
      <c r="E632" s="1310">
        <f>[19]Material!E13</f>
        <v>23500</v>
      </c>
      <c r="F632" s="1310">
        <f t="shared" si="72"/>
        <v>7050</v>
      </c>
      <c r="G632" s="1310"/>
    </row>
    <row r="633" spans="1:7" ht="13.8" x14ac:dyDescent="0.25">
      <c r="A633" s="1294"/>
      <c r="B633" s="1311"/>
      <c r="C633" s="1296"/>
      <c r="D633" s="1296"/>
      <c r="E633" s="1296">
        <f>[20]Material!D555</f>
        <v>0</v>
      </c>
      <c r="F633" s="1296"/>
      <c r="G633" s="1296"/>
    </row>
    <row r="634" spans="1:7" ht="13.8" x14ac:dyDescent="0.25">
      <c r="A634" s="1294"/>
      <c r="B634" s="1294"/>
      <c r="C634" s="1295"/>
      <c r="D634" s="1296"/>
      <c r="E634" s="1296"/>
      <c r="F634" s="1296">
        <f t="shared" ref="F634:F637" si="73">D634*E634</f>
        <v>0</v>
      </c>
      <c r="G634" s="1296"/>
    </row>
    <row r="635" spans="1:7" ht="13.8" x14ac:dyDescent="0.25">
      <c r="A635" s="1298"/>
      <c r="B635" s="1476" t="s">
        <v>1277</v>
      </c>
      <c r="C635" s="1476"/>
      <c r="D635" s="1476"/>
      <c r="E635" s="1476"/>
      <c r="F635" s="1299"/>
      <c r="G635" s="1300">
        <f>SUM(F629:F635)</f>
        <v>38528.125</v>
      </c>
    </row>
    <row r="636" spans="1:7" ht="13.8" x14ac:dyDescent="0.25">
      <c r="A636" s="1294"/>
      <c r="B636" s="1297" t="s">
        <v>1261</v>
      </c>
      <c r="C636" s="1295"/>
      <c r="D636" s="1296"/>
      <c r="E636" s="1296"/>
      <c r="F636" s="1296">
        <f t="shared" si="73"/>
        <v>0</v>
      </c>
      <c r="G636" s="1296"/>
    </row>
    <row r="637" spans="1:7" ht="13.8" x14ac:dyDescent="0.25">
      <c r="A637" s="1309"/>
      <c r="B637" s="1309" t="s">
        <v>1271</v>
      </c>
      <c r="C637" s="1310" t="s">
        <v>1371</v>
      </c>
      <c r="D637" s="1310">
        <v>100</v>
      </c>
      <c r="E637" s="1310">
        <v>120</v>
      </c>
      <c r="F637" s="1310">
        <f t="shared" si="73"/>
        <v>12000</v>
      </c>
      <c r="G637" s="1310"/>
    </row>
    <row r="638" spans="1:7" ht="13.8" x14ac:dyDescent="0.25">
      <c r="A638" s="1294"/>
      <c r="B638" s="1294"/>
      <c r="C638" s="1296"/>
      <c r="D638" s="1296"/>
      <c r="E638" s="1296"/>
      <c r="F638" s="1296"/>
      <c r="G638" s="1296"/>
    </row>
    <row r="639" spans="1:7" ht="13.8" x14ac:dyDescent="0.25">
      <c r="A639" s="1294"/>
      <c r="B639" s="1294"/>
      <c r="C639" s="1295"/>
      <c r="D639" s="1296"/>
      <c r="E639" s="1296"/>
      <c r="F639" s="1296"/>
      <c r="G639" s="1296"/>
    </row>
    <row r="640" spans="1:7" ht="13.8" x14ac:dyDescent="0.25">
      <c r="A640" s="1298"/>
      <c r="B640" s="1476" t="s">
        <v>1264</v>
      </c>
      <c r="C640" s="1476"/>
      <c r="D640" s="1476"/>
      <c r="E640" s="1476"/>
      <c r="F640" s="1299">
        <f t="shared" ref="F640" si="74">D640*E640</f>
        <v>0</v>
      </c>
      <c r="G640" s="1300">
        <f>SUM(F637:F640)</f>
        <v>12000</v>
      </c>
    </row>
    <row r="641" spans="1:7" ht="13.8" x14ac:dyDescent="0.25">
      <c r="A641" s="1294"/>
      <c r="B641" s="1302"/>
      <c r="C641" s="1302"/>
      <c r="D641" s="1302"/>
      <c r="E641" s="1302"/>
      <c r="F641" s="1296"/>
      <c r="G641" s="1302"/>
    </row>
    <row r="642" spans="1:7" ht="13.8" x14ac:dyDescent="0.25">
      <c r="A642" s="1294"/>
      <c r="B642" s="1302"/>
      <c r="C642" s="1302"/>
      <c r="D642" s="1302"/>
      <c r="E642" s="1302"/>
      <c r="F642" s="1296"/>
      <c r="G642" s="1302"/>
    </row>
    <row r="643" spans="1:7" ht="13.8" x14ac:dyDescent="0.25">
      <c r="A643" s="1469" t="s">
        <v>1272</v>
      </c>
      <c r="B643" s="1469"/>
      <c r="C643" s="1469"/>
      <c r="D643" s="1469"/>
      <c r="E643" s="1469"/>
      <c r="F643" s="1469"/>
      <c r="G643" s="1303">
        <f>G635+G640</f>
        <v>50528.125</v>
      </c>
    </row>
    <row r="644" spans="1:7" ht="13.8" x14ac:dyDescent="0.25">
      <c r="A644" s="1469" t="s">
        <v>1372</v>
      </c>
      <c r="B644" s="1469"/>
      <c r="C644" s="1469"/>
      <c r="D644" s="1469"/>
      <c r="E644" s="1469"/>
      <c r="F644" s="1469"/>
      <c r="G644" s="1303">
        <f>G643/2.83</f>
        <v>17854.461130742049</v>
      </c>
    </row>
    <row r="647" spans="1:7" x14ac:dyDescent="0.25">
      <c r="A647" s="1477" t="s">
        <v>1373</v>
      </c>
      <c r="B647" s="1477"/>
      <c r="C647" s="1477"/>
      <c r="D647" s="1477"/>
      <c r="E647" s="1477"/>
      <c r="F647" s="1477"/>
      <c r="G647" s="1477"/>
    </row>
    <row r="648" spans="1:7" ht="13.8" thickBot="1" x14ac:dyDescent="0.3"/>
    <row r="649" spans="1:7" ht="13.8" x14ac:dyDescent="0.25">
      <c r="A649" s="1470" t="s">
        <v>1374</v>
      </c>
      <c r="B649" s="1471"/>
      <c r="C649" s="1471"/>
      <c r="D649" s="1471"/>
      <c r="E649" s="1471"/>
      <c r="F649" s="1471"/>
      <c r="G649" s="1472"/>
    </row>
    <row r="650" spans="1:7" ht="14.4" thickBot="1" x14ac:dyDescent="0.3">
      <c r="A650" s="1473" t="s">
        <v>1259</v>
      </c>
      <c r="B650" s="1474"/>
      <c r="C650" s="1474"/>
      <c r="D650" s="1474"/>
      <c r="E650" s="1474"/>
      <c r="F650" s="1474"/>
      <c r="G650" s="1475"/>
    </row>
    <row r="651" spans="1:7" ht="14.4" thickBot="1" x14ac:dyDescent="0.3">
      <c r="A651" s="1292"/>
      <c r="B651" s="1293" t="s">
        <v>1038</v>
      </c>
      <c r="C651" s="1293" t="s">
        <v>1039</v>
      </c>
      <c r="D651" s="1293" t="s">
        <v>2</v>
      </c>
      <c r="E651" s="1293" t="s">
        <v>1040</v>
      </c>
      <c r="F651" s="1293" t="s">
        <v>5</v>
      </c>
      <c r="G651" s="1293" t="s">
        <v>1260</v>
      </c>
    </row>
    <row r="652" spans="1:7" ht="13.8" x14ac:dyDescent="0.25">
      <c r="A652" s="1294"/>
      <c r="B652" s="1294"/>
      <c r="C652" s="1295"/>
      <c r="D652" s="1296"/>
      <c r="E652" s="1296"/>
      <c r="F652" s="1296"/>
      <c r="G652" s="1296"/>
    </row>
    <row r="653" spans="1:7" ht="13.8" x14ac:dyDescent="0.25">
      <c r="A653" s="1294"/>
      <c r="B653" s="1297" t="s">
        <v>1276</v>
      </c>
      <c r="C653" s="1295"/>
      <c r="D653" s="1296"/>
      <c r="E653" s="1296"/>
      <c r="F653" s="1296"/>
      <c r="G653" s="1296"/>
    </row>
    <row r="654" spans="1:7" ht="13.8" x14ac:dyDescent="0.25">
      <c r="A654" s="1309"/>
      <c r="B654" s="1309" t="s">
        <v>1375</v>
      </c>
      <c r="C654" s="1310" t="s">
        <v>0</v>
      </c>
      <c r="D654" s="1310">
        <v>1325</v>
      </c>
      <c r="E654" s="1310">
        <f>[19]Material!E107</f>
        <v>18</v>
      </c>
      <c r="F654" s="1310">
        <f>D654*E654</f>
        <v>23850</v>
      </c>
      <c r="G654" s="1310"/>
    </row>
    <row r="655" spans="1:7" ht="13.8" x14ac:dyDescent="0.25">
      <c r="A655" s="1309"/>
      <c r="B655" s="1342" t="s">
        <v>1376</v>
      </c>
      <c r="C655" s="1343"/>
      <c r="D655" s="1310"/>
      <c r="E655" s="1310"/>
      <c r="F655" s="1310">
        <f>F654*5%</f>
        <v>1192.5</v>
      </c>
      <c r="G655" s="1310"/>
    </row>
    <row r="656" spans="1:7" ht="13.8" x14ac:dyDescent="0.25">
      <c r="A656" s="1309"/>
      <c r="B656" s="1309" t="s">
        <v>1108</v>
      </c>
      <c r="C656" s="1310" t="s">
        <v>1324</v>
      </c>
      <c r="D656" s="1310">
        <v>4.4000000000000004</v>
      </c>
      <c r="E656" s="1310">
        <f>F197</f>
        <v>2235.625</v>
      </c>
      <c r="F656" s="1310">
        <f>D656*E656</f>
        <v>9836.75</v>
      </c>
      <c r="G656" s="1310"/>
    </row>
    <row r="657" spans="1:7" ht="13.8" x14ac:dyDescent="0.25">
      <c r="A657" s="1309"/>
      <c r="B657" s="1309" t="s">
        <v>1159</v>
      </c>
      <c r="C657" s="1310" t="s">
        <v>1110</v>
      </c>
      <c r="D657" s="1310">
        <v>0.27</v>
      </c>
      <c r="E657" s="1310">
        <f>[19]Material!E13</f>
        <v>23500</v>
      </c>
      <c r="F657" s="1310">
        <f>D657*E657</f>
        <v>6345</v>
      </c>
      <c r="G657" s="1310"/>
    </row>
    <row r="658" spans="1:7" ht="13.8" x14ac:dyDescent="0.25">
      <c r="A658" s="1294"/>
      <c r="B658" s="1294"/>
      <c r="C658" s="1295"/>
      <c r="D658" s="1296"/>
      <c r="E658" s="1296"/>
      <c r="F658" s="1296">
        <f t="shared" ref="F658" si="75">D658*E658</f>
        <v>0</v>
      </c>
      <c r="G658" s="1296"/>
    </row>
    <row r="659" spans="1:7" ht="13.8" x14ac:dyDescent="0.25">
      <c r="A659" s="1298"/>
      <c r="B659" s="1476" t="s">
        <v>1277</v>
      </c>
      <c r="C659" s="1476"/>
      <c r="D659" s="1476"/>
      <c r="E659" s="1476"/>
      <c r="F659" s="1299"/>
      <c r="G659" s="1300">
        <f>SUM(F654:F659)</f>
        <v>41224.25</v>
      </c>
    </row>
    <row r="660" spans="1:7" ht="13.8" x14ac:dyDescent="0.25">
      <c r="A660" s="1294"/>
      <c r="B660" s="1297" t="s">
        <v>1261</v>
      </c>
      <c r="C660" s="1295"/>
      <c r="D660" s="1296"/>
      <c r="E660" s="1296"/>
      <c r="F660" s="1296">
        <f t="shared" ref="F660:F661" si="76">D660*E660</f>
        <v>0</v>
      </c>
      <c r="G660" s="1296"/>
    </row>
    <row r="661" spans="1:7" ht="13.8" x14ac:dyDescent="0.25">
      <c r="A661" s="1309"/>
      <c r="B661" s="1309" t="s">
        <v>1271</v>
      </c>
      <c r="C661" s="1310" t="s">
        <v>1294</v>
      </c>
      <c r="D661" s="1310">
        <v>100</v>
      </c>
      <c r="E661" s="1310">
        <v>130</v>
      </c>
      <c r="F661" s="1310">
        <f t="shared" si="76"/>
        <v>13000</v>
      </c>
      <c r="G661" s="1310"/>
    </row>
    <row r="662" spans="1:7" ht="13.8" x14ac:dyDescent="0.25">
      <c r="A662" s="1309"/>
      <c r="B662" s="1309"/>
      <c r="C662" s="1310"/>
      <c r="D662" s="1310"/>
      <c r="E662" s="1310"/>
      <c r="F662" s="1310"/>
      <c r="G662" s="1310"/>
    </row>
    <row r="663" spans="1:7" ht="13.8" x14ac:dyDescent="0.25">
      <c r="A663" s="1294"/>
      <c r="B663" s="1294" t="s">
        <v>1377</v>
      </c>
      <c r="C663" s="1296"/>
      <c r="D663" s="1296"/>
      <c r="E663" s="1296"/>
      <c r="F663" s="1296">
        <f>F661*5%</f>
        <v>650</v>
      </c>
      <c r="G663" s="1296"/>
    </row>
    <row r="664" spans="1:7" ht="13.8" x14ac:dyDescent="0.25">
      <c r="A664" s="1294"/>
      <c r="B664" s="1294"/>
      <c r="C664" s="1295"/>
      <c r="D664" s="1296"/>
      <c r="E664" s="1296"/>
      <c r="F664" s="1296"/>
      <c r="G664" s="1296"/>
    </row>
    <row r="665" spans="1:7" ht="13.8" x14ac:dyDescent="0.25">
      <c r="A665" s="1298"/>
      <c r="B665" s="1476" t="s">
        <v>1264</v>
      </c>
      <c r="C665" s="1476"/>
      <c r="D665" s="1476"/>
      <c r="E665" s="1476"/>
      <c r="F665" s="1299">
        <f t="shared" ref="F665" si="77">D665*E665</f>
        <v>0</v>
      </c>
      <c r="G665" s="1300">
        <f>SUM(F661:F665)</f>
        <v>13650</v>
      </c>
    </row>
    <row r="666" spans="1:7" ht="13.8" x14ac:dyDescent="0.25">
      <c r="A666" s="1294"/>
      <c r="B666" s="1302"/>
      <c r="C666" s="1302"/>
      <c r="D666" s="1302"/>
      <c r="E666" s="1302"/>
      <c r="F666" s="1296"/>
      <c r="G666" s="1302"/>
    </row>
    <row r="667" spans="1:7" ht="13.8" x14ac:dyDescent="0.25">
      <c r="A667" s="1294"/>
      <c r="B667" s="1302"/>
      <c r="C667" s="1302"/>
      <c r="D667" s="1302"/>
      <c r="E667" s="1302"/>
      <c r="F667" s="1296"/>
      <c r="G667" s="1302"/>
    </row>
    <row r="668" spans="1:7" ht="13.8" x14ac:dyDescent="0.25">
      <c r="A668" s="1469" t="s">
        <v>1295</v>
      </c>
      <c r="B668" s="1469"/>
      <c r="C668" s="1469"/>
      <c r="D668" s="1469"/>
      <c r="E668" s="1469"/>
      <c r="F668" s="1469"/>
      <c r="G668" s="1303">
        <f>G659+G665</f>
        <v>54874.25</v>
      </c>
    </row>
    <row r="669" spans="1:7" ht="13.8" x14ac:dyDescent="0.25">
      <c r="A669" s="1469" t="s">
        <v>1296</v>
      </c>
      <c r="B669" s="1469"/>
      <c r="C669" s="1469"/>
      <c r="D669" s="1469"/>
      <c r="E669" s="1469"/>
      <c r="F669" s="1469"/>
      <c r="G669" s="1303">
        <f>G668/9.29</f>
        <v>5906.8083961248658</v>
      </c>
    </row>
    <row r="670" spans="1:7" ht="13.8" x14ac:dyDescent="0.25">
      <c r="A670" s="1469" t="s">
        <v>1297</v>
      </c>
      <c r="B670" s="1469"/>
      <c r="C670" s="1469"/>
      <c r="D670" s="1469"/>
      <c r="E670" s="1469"/>
      <c r="F670" s="1469"/>
      <c r="G670" s="1351">
        <f>G669/10.76</f>
        <v>548.95988811569384</v>
      </c>
    </row>
    <row r="673" spans="1:7" ht="13.8" thickBot="1" x14ac:dyDescent="0.3"/>
    <row r="674" spans="1:7" ht="13.8" x14ac:dyDescent="0.25">
      <c r="A674" s="1470" t="s">
        <v>1378</v>
      </c>
      <c r="B674" s="1471"/>
      <c r="C674" s="1471"/>
      <c r="D674" s="1471"/>
      <c r="E674" s="1471"/>
      <c r="F674" s="1471"/>
      <c r="G674" s="1472"/>
    </row>
    <row r="675" spans="1:7" ht="14.4" thickBot="1" x14ac:dyDescent="0.3">
      <c r="A675" s="1473" t="s">
        <v>1259</v>
      </c>
      <c r="B675" s="1474"/>
      <c r="C675" s="1474"/>
      <c r="D675" s="1474"/>
      <c r="E675" s="1474"/>
      <c r="F675" s="1474"/>
      <c r="G675" s="1475"/>
    </row>
    <row r="676" spans="1:7" ht="14.4" thickBot="1" x14ac:dyDescent="0.3">
      <c r="A676" s="1292"/>
      <c r="B676" s="1293" t="s">
        <v>1038</v>
      </c>
      <c r="C676" s="1293" t="s">
        <v>1039</v>
      </c>
      <c r="D676" s="1293" t="s">
        <v>2</v>
      </c>
      <c r="E676" s="1293" t="s">
        <v>1040</v>
      </c>
      <c r="F676" s="1293" t="s">
        <v>5</v>
      </c>
      <c r="G676" s="1293" t="s">
        <v>1260</v>
      </c>
    </row>
    <row r="677" spans="1:7" ht="13.8" x14ac:dyDescent="0.25">
      <c r="A677" s="1294"/>
      <c r="B677" s="1294"/>
      <c r="C677" s="1295"/>
      <c r="D677" s="1296"/>
      <c r="E677" s="1296"/>
      <c r="F677" s="1296"/>
      <c r="G677" s="1296"/>
    </row>
    <row r="678" spans="1:7" ht="13.8" x14ac:dyDescent="0.25">
      <c r="A678" s="1309"/>
      <c r="B678" s="1309" t="s">
        <v>1379</v>
      </c>
      <c r="C678" s="1343"/>
      <c r="D678" s="1310"/>
      <c r="E678" s="1310"/>
      <c r="F678" s="1310"/>
      <c r="G678" s="1310"/>
    </row>
    <row r="679" spans="1:7" ht="13.8" x14ac:dyDescent="0.25">
      <c r="A679" s="1309"/>
      <c r="B679" s="1309" t="s">
        <v>1380</v>
      </c>
      <c r="C679" s="1310" t="s">
        <v>0</v>
      </c>
      <c r="D679" s="1310">
        <v>430</v>
      </c>
      <c r="E679" s="1310">
        <f>[19]Material!E108</f>
        <v>38</v>
      </c>
      <c r="F679" s="1310">
        <f t="shared" ref="F679" si="78">D679*E679</f>
        <v>16340</v>
      </c>
      <c r="G679" s="1310"/>
    </row>
    <row r="680" spans="1:7" ht="13.8" x14ac:dyDescent="0.25">
      <c r="A680" s="1309"/>
      <c r="B680" s="1342" t="s">
        <v>1376</v>
      </c>
      <c r="C680" s="1343"/>
      <c r="D680" s="1310"/>
      <c r="E680" s="1310"/>
      <c r="F680" s="1310">
        <f>F679*5%</f>
        <v>817</v>
      </c>
      <c r="G680" s="1310"/>
    </row>
    <row r="681" spans="1:7" ht="13.8" x14ac:dyDescent="0.25">
      <c r="A681" s="1309"/>
      <c r="B681" s="1309" t="s">
        <v>1108</v>
      </c>
      <c r="C681" s="1310" t="s">
        <v>1324</v>
      </c>
      <c r="D681" s="1310">
        <v>2.2999999999999998</v>
      </c>
      <c r="E681" s="1310">
        <f>F197</f>
        <v>2235.625</v>
      </c>
      <c r="F681" s="1310">
        <f>D681*E681</f>
        <v>5141.9375</v>
      </c>
      <c r="G681" s="1310"/>
    </row>
    <row r="682" spans="1:7" ht="13.8" x14ac:dyDescent="0.25">
      <c r="A682" s="1309"/>
      <c r="B682" s="1309" t="s">
        <v>1159</v>
      </c>
      <c r="C682" s="1310" t="s">
        <v>1110</v>
      </c>
      <c r="D682" s="1310">
        <v>0.15</v>
      </c>
      <c r="E682" s="1310">
        <f>[19]Material!E13</f>
        <v>23500</v>
      </c>
      <c r="F682" s="1310">
        <f>D682*E682</f>
        <v>3525</v>
      </c>
      <c r="G682" s="1310"/>
    </row>
    <row r="683" spans="1:7" ht="13.8" x14ac:dyDescent="0.25">
      <c r="A683" s="1309"/>
      <c r="B683" s="1342"/>
      <c r="C683" s="1310"/>
      <c r="D683" s="1310"/>
      <c r="E683" s="1310"/>
      <c r="F683" s="1310"/>
      <c r="G683" s="1310"/>
    </row>
    <row r="684" spans="1:7" ht="13.8" x14ac:dyDescent="0.25">
      <c r="A684" s="1294"/>
      <c r="B684" s="1295"/>
      <c r="C684" s="1296"/>
      <c r="D684" s="1296"/>
      <c r="E684" s="1296"/>
      <c r="F684" s="1296">
        <f t="shared" ref="F684:F685" si="79">D684*E684</f>
        <v>0</v>
      </c>
      <c r="G684" s="1296"/>
    </row>
    <row r="685" spans="1:7" ht="13.8" x14ac:dyDescent="0.25">
      <c r="A685" s="1294"/>
      <c r="B685" s="1294"/>
      <c r="C685" s="1295"/>
      <c r="D685" s="1296"/>
      <c r="E685" s="1296"/>
      <c r="F685" s="1296">
        <f t="shared" si="79"/>
        <v>0</v>
      </c>
      <c r="G685" s="1296"/>
    </row>
    <row r="686" spans="1:7" ht="13.8" x14ac:dyDescent="0.25">
      <c r="A686" s="1298"/>
      <c r="B686" s="1476" t="s">
        <v>1277</v>
      </c>
      <c r="C686" s="1476"/>
      <c r="D686" s="1476"/>
      <c r="E686" s="1476"/>
      <c r="F686" s="1299"/>
      <c r="G686" s="1300">
        <f>SUM(F678:F686)</f>
        <v>25823.9375</v>
      </c>
    </row>
    <row r="687" spans="1:7" ht="13.8" x14ac:dyDescent="0.25">
      <c r="A687" s="1309"/>
      <c r="B687" s="1352" t="s">
        <v>1261</v>
      </c>
      <c r="C687" s="1343"/>
      <c r="D687" s="1310"/>
      <c r="E687" s="1310"/>
      <c r="F687" s="1310">
        <f t="shared" ref="F687:F688" si="80">D687*E687</f>
        <v>0</v>
      </c>
      <c r="G687" s="1310"/>
    </row>
    <row r="688" spans="1:7" ht="13.8" x14ac:dyDescent="0.25">
      <c r="A688" s="1309"/>
      <c r="B688" s="1309" t="s">
        <v>1271</v>
      </c>
      <c r="C688" s="1310" t="s">
        <v>1294</v>
      </c>
      <c r="D688" s="1310">
        <v>100</v>
      </c>
      <c r="E688" s="1310">
        <v>110</v>
      </c>
      <c r="F688" s="1310">
        <f t="shared" si="80"/>
        <v>11000</v>
      </c>
      <c r="G688" s="1310"/>
    </row>
    <row r="689" spans="1:7" ht="13.8" x14ac:dyDescent="0.25">
      <c r="A689" s="1309"/>
      <c r="B689" s="1309"/>
      <c r="C689" s="1310"/>
      <c r="D689" s="1310"/>
      <c r="E689" s="1310"/>
      <c r="F689" s="1310"/>
      <c r="G689" s="1310"/>
    </row>
    <row r="690" spans="1:7" ht="13.8" x14ac:dyDescent="0.25">
      <c r="A690" s="1294"/>
      <c r="B690" s="1294" t="s">
        <v>1377</v>
      </c>
      <c r="C690" s="1296"/>
      <c r="D690" s="1296"/>
      <c r="E690" s="1296"/>
      <c r="F690" s="1296">
        <f>F688*5%</f>
        <v>550</v>
      </c>
      <c r="G690" s="1296"/>
    </row>
    <row r="691" spans="1:7" ht="13.8" x14ac:dyDescent="0.25">
      <c r="A691" s="1294"/>
      <c r="B691" s="1294"/>
      <c r="C691" s="1295"/>
      <c r="D691" s="1296"/>
      <c r="E691" s="1296"/>
      <c r="F691" s="1296"/>
      <c r="G691" s="1296"/>
    </row>
    <row r="692" spans="1:7" ht="13.8" x14ac:dyDescent="0.25">
      <c r="A692" s="1298"/>
      <c r="B692" s="1476" t="s">
        <v>1264</v>
      </c>
      <c r="C692" s="1476"/>
      <c r="D692" s="1476"/>
      <c r="E692" s="1476"/>
      <c r="F692" s="1299">
        <f t="shared" ref="F692" si="81">D692*E692</f>
        <v>0</v>
      </c>
      <c r="G692" s="1300">
        <f>SUM(F688:F692)</f>
        <v>11550</v>
      </c>
    </row>
    <row r="693" spans="1:7" ht="13.8" x14ac:dyDescent="0.25">
      <c r="A693" s="1294"/>
      <c r="B693" s="1302"/>
      <c r="C693" s="1302"/>
      <c r="D693" s="1302"/>
      <c r="E693" s="1302"/>
      <c r="F693" s="1296"/>
      <c r="G693" s="1302"/>
    </row>
    <row r="694" spans="1:7" ht="13.8" x14ac:dyDescent="0.25">
      <c r="A694" s="1294"/>
      <c r="B694" s="1302"/>
      <c r="C694" s="1302"/>
      <c r="D694" s="1302"/>
      <c r="E694" s="1302"/>
      <c r="F694" s="1296"/>
      <c r="G694" s="1302"/>
    </row>
    <row r="695" spans="1:7" ht="13.8" x14ac:dyDescent="0.25">
      <c r="A695" s="1469" t="s">
        <v>1295</v>
      </c>
      <c r="B695" s="1469"/>
      <c r="C695" s="1469"/>
      <c r="D695" s="1469"/>
      <c r="E695" s="1469"/>
      <c r="F695" s="1469"/>
      <c r="G695" s="1303">
        <f>G686+G692</f>
        <v>37373.9375</v>
      </c>
    </row>
    <row r="696" spans="1:7" ht="13.8" x14ac:dyDescent="0.25">
      <c r="A696" s="1469" t="s">
        <v>1296</v>
      </c>
      <c r="B696" s="1469"/>
      <c r="C696" s="1469"/>
      <c r="D696" s="1469"/>
      <c r="E696" s="1469"/>
      <c r="F696" s="1469"/>
      <c r="G696" s="1303">
        <f>G695/9.29</f>
        <v>4023.0287944025836</v>
      </c>
    </row>
    <row r="697" spans="1:7" ht="13.8" x14ac:dyDescent="0.25">
      <c r="A697" s="1469" t="s">
        <v>1297</v>
      </c>
      <c r="B697" s="1469"/>
      <c r="C697" s="1469"/>
      <c r="D697" s="1469"/>
      <c r="E697" s="1469"/>
      <c r="F697" s="1469"/>
      <c r="G697" s="1353">
        <f>G696/10.76</f>
        <v>373.88743442403194</v>
      </c>
    </row>
    <row r="700" spans="1:7" ht="13.8" thickBot="1" x14ac:dyDescent="0.3"/>
    <row r="701" spans="1:7" ht="13.8" x14ac:dyDescent="0.25">
      <c r="A701" s="1470" t="s">
        <v>1381</v>
      </c>
      <c r="B701" s="1471"/>
      <c r="C701" s="1471"/>
      <c r="D701" s="1471"/>
      <c r="E701" s="1471"/>
      <c r="F701" s="1471"/>
      <c r="G701" s="1472"/>
    </row>
    <row r="702" spans="1:7" ht="14.4" thickBot="1" x14ac:dyDescent="0.3">
      <c r="A702" s="1473" t="s">
        <v>1259</v>
      </c>
      <c r="B702" s="1474"/>
      <c r="C702" s="1474"/>
      <c r="D702" s="1474"/>
      <c r="E702" s="1474"/>
      <c r="F702" s="1474"/>
      <c r="G702" s="1475"/>
    </row>
    <row r="703" spans="1:7" ht="14.4" thickBot="1" x14ac:dyDescent="0.3">
      <c r="A703" s="1292"/>
      <c r="B703" s="1293" t="s">
        <v>1038</v>
      </c>
      <c r="C703" s="1293" t="s">
        <v>1039</v>
      </c>
      <c r="D703" s="1293" t="s">
        <v>2</v>
      </c>
      <c r="E703" s="1293" t="s">
        <v>1040</v>
      </c>
      <c r="F703" s="1293" t="s">
        <v>5</v>
      </c>
      <c r="G703" s="1293" t="s">
        <v>1260</v>
      </c>
    </row>
    <row r="704" spans="1:7" ht="13.8" x14ac:dyDescent="0.25">
      <c r="A704" s="1294"/>
      <c r="B704" s="1294"/>
      <c r="C704" s="1295"/>
      <c r="D704" s="1296"/>
      <c r="E704" s="1296"/>
      <c r="F704" s="1296"/>
      <c r="G704" s="1296"/>
    </row>
    <row r="705" spans="1:7" ht="13.8" x14ac:dyDescent="0.25">
      <c r="A705" s="1309"/>
      <c r="B705" s="1309" t="s">
        <v>1375</v>
      </c>
      <c r="C705" s="1310" t="s">
        <v>0</v>
      </c>
      <c r="D705" s="1310">
        <v>650</v>
      </c>
      <c r="E705" s="1310">
        <f>[19]Material!E107</f>
        <v>18</v>
      </c>
      <c r="F705" s="1310">
        <f>D705*E705</f>
        <v>11700</v>
      </c>
      <c r="G705" s="1310"/>
    </row>
    <row r="706" spans="1:7" ht="13.8" x14ac:dyDescent="0.25">
      <c r="A706" s="1309"/>
      <c r="B706" s="1342" t="s">
        <v>1376</v>
      </c>
      <c r="C706" s="1343"/>
      <c r="D706" s="1310"/>
      <c r="E706" s="1310"/>
      <c r="F706" s="1310">
        <f>F705*5%</f>
        <v>585</v>
      </c>
      <c r="G706" s="1310"/>
    </row>
    <row r="707" spans="1:7" ht="13.8" x14ac:dyDescent="0.25">
      <c r="A707" s="1309"/>
      <c r="B707" s="1309" t="s">
        <v>1108</v>
      </c>
      <c r="C707" s="1310" t="s">
        <v>1324</v>
      </c>
      <c r="D707" s="1310">
        <v>1.53</v>
      </c>
      <c r="E707" s="1310">
        <f>F197</f>
        <v>2235.625</v>
      </c>
      <c r="F707" s="1310">
        <f>D707*E707</f>
        <v>3420.5062499999999</v>
      </c>
      <c r="G707" s="1310"/>
    </row>
    <row r="708" spans="1:7" ht="13.8" x14ac:dyDescent="0.25">
      <c r="A708" s="1309"/>
      <c r="B708" s="1309" t="s">
        <v>1159</v>
      </c>
      <c r="C708" s="1310" t="s">
        <v>1110</v>
      </c>
      <c r="D708" s="1310">
        <v>0.1</v>
      </c>
      <c r="E708" s="1310">
        <f>[19]Material!E13</f>
        <v>23500</v>
      </c>
      <c r="F708" s="1310">
        <f>D708*E708</f>
        <v>2350</v>
      </c>
      <c r="G708" s="1310"/>
    </row>
    <row r="709" spans="1:7" ht="13.8" x14ac:dyDescent="0.25">
      <c r="A709" s="1294"/>
      <c r="B709" s="1311"/>
      <c r="C709" s="1296"/>
      <c r="D709" s="1296"/>
      <c r="E709" s="1296"/>
      <c r="F709" s="1296"/>
      <c r="G709" s="1296"/>
    </row>
    <row r="710" spans="1:7" ht="13.8" x14ac:dyDescent="0.25">
      <c r="A710" s="1294"/>
      <c r="B710" s="1295"/>
      <c r="C710" s="1296"/>
      <c r="D710" s="1296"/>
      <c r="E710" s="1296"/>
      <c r="F710" s="1296">
        <f t="shared" ref="F710:F711" si="82">D710*E710</f>
        <v>0</v>
      </c>
      <c r="G710" s="1296"/>
    </row>
    <row r="711" spans="1:7" ht="13.8" x14ac:dyDescent="0.25">
      <c r="A711" s="1294"/>
      <c r="B711" s="1294"/>
      <c r="C711" s="1295"/>
      <c r="D711" s="1296"/>
      <c r="E711" s="1296"/>
      <c r="F711" s="1296">
        <f t="shared" si="82"/>
        <v>0</v>
      </c>
      <c r="G711" s="1296"/>
    </row>
    <row r="712" spans="1:7" ht="13.8" x14ac:dyDescent="0.25">
      <c r="A712" s="1298"/>
      <c r="B712" s="1476" t="s">
        <v>1277</v>
      </c>
      <c r="C712" s="1476"/>
      <c r="D712" s="1476"/>
      <c r="E712" s="1476"/>
      <c r="F712" s="1299"/>
      <c r="G712" s="1300">
        <f>SUM(F705:F712)</f>
        <v>18055.506249999999</v>
      </c>
    </row>
    <row r="713" spans="1:7" ht="13.8" x14ac:dyDescent="0.25">
      <c r="A713" s="1294"/>
      <c r="B713" s="1297" t="s">
        <v>1261</v>
      </c>
      <c r="C713" s="1295"/>
      <c r="D713" s="1296"/>
      <c r="E713" s="1296"/>
      <c r="F713" s="1296">
        <f t="shared" ref="F713:F714" si="83">D713*E713</f>
        <v>0</v>
      </c>
      <c r="G713" s="1296"/>
    </row>
    <row r="714" spans="1:7" ht="13.8" x14ac:dyDescent="0.25">
      <c r="A714" s="1309"/>
      <c r="B714" s="1309" t="s">
        <v>1271</v>
      </c>
      <c r="C714" s="1310" t="s">
        <v>1294</v>
      </c>
      <c r="D714" s="1310">
        <v>100</v>
      </c>
      <c r="E714" s="1310">
        <v>90</v>
      </c>
      <c r="F714" s="1310">
        <f t="shared" si="83"/>
        <v>9000</v>
      </c>
      <c r="G714" s="1310"/>
    </row>
    <row r="715" spans="1:7" ht="13.8" x14ac:dyDescent="0.25">
      <c r="A715" s="1309"/>
      <c r="B715" s="1309"/>
      <c r="C715" s="1310"/>
      <c r="D715" s="1310"/>
      <c r="E715" s="1310"/>
      <c r="F715" s="1310"/>
      <c r="G715" s="1310"/>
    </row>
    <row r="716" spans="1:7" ht="13.8" x14ac:dyDescent="0.25">
      <c r="A716" s="1294"/>
      <c r="B716" s="1294" t="s">
        <v>1377</v>
      </c>
      <c r="C716" s="1296"/>
      <c r="D716" s="1296"/>
      <c r="E716" s="1296"/>
      <c r="F716" s="1296">
        <f>F714*5%</f>
        <v>450</v>
      </c>
      <c r="G716" s="1296"/>
    </row>
    <row r="717" spans="1:7" ht="13.8" x14ac:dyDescent="0.25">
      <c r="A717" s="1294"/>
      <c r="B717" s="1294"/>
      <c r="C717" s="1295"/>
      <c r="D717" s="1296"/>
      <c r="E717" s="1296"/>
      <c r="F717" s="1296"/>
      <c r="G717" s="1296"/>
    </row>
    <row r="718" spans="1:7" ht="13.8" x14ac:dyDescent="0.25">
      <c r="A718" s="1298"/>
      <c r="B718" s="1476" t="s">
        <v>1264</v>
      </c>
      <c r="C718" s="1476"/>
      <c r="D718" s="1476"/>
      <c r="E718" s="1476"/>
      <c r="F718" s="1299">
        <f t="shared" ref="F718" si="84">D718*E718</f>
        <v>0</v>
      </c>
      <c r="G718" s="1300">
        <f>SUM(F714:F718)</f>
        <v>9450</v>
      </c>
    </row>
    <row r="719" spans="1:7" ht="13.8" x14ac:dyDescent="0.25">
      <c r="A719" s="1294"/>
      <c r="B719" s="1302"/>
      <c r="C719" s="1302"/>
      <c r="D719" s="1302"/>
      <c r="E719" s="1302"/>
      <c r="F719" s="1296"/>
      <c r="G719" s="1302"/>
    </row>
    <row r="720" spans="1:7" ht="13.8" x14ac:dyDescent="0.25">
      <c r="A720" s="1294"/>
      <c r="B720" s="1302"/>
      <c r="C720" s="1302"/>
      <c r="D720" s="1302"/>
      <c r="E720" s="1302"/>
      <c r="F720" s="1296"/>
      <c r="G720" s="1302"/>
    </row>
    <row r="721" spans="1:29" s="1332" customFormat="1" ht="13.8" x14ac:dyDescent="0.25">
      <c r="A721" s="1469" t="s">
        <v>1295</v>
      </c>
      <c r="B721" s="1469"/>
      <c r="C721" s="1469"/>
      <c r="D721" s="1469"/>
      <c r="E721" s="1469"/>
      <c r="F721" s="1469"/>
      <c r="G721" s="1303">
        <f>G712+G718</f>
        <v>27505.506249999999</v>
      </c>
      <c r="H721" s="1290"/>
      <c r="I721" s="1290"/>
      <c r="J721" s="1290"/>
      <c r="P721" s="1291"/>
      <c r="Q721" s="1291"/>
      <c r="R721" s="1291"/>
      <c r="S721" s="1291"/>
      <c r="T721" s="1291"/>
      <c r="U721" s="1291"/>
      <c r="V721" s="1291"/>
      <c r="W721" s="1291"/>
      <c r="X721" s="1291"/>
      <c r="Y721" s="1291"/>
      <c r="Z721" s="1291"/>
      <c r="AA721" s="1291"/>
      <c r="AB721" s="1291"/>
      <c r="AC721" s="1291"/>
    </row>
    <row r="722" spans="1:29" s="1332" customFormat="1" ht="13.8" x14ac:dyDescent="0.25">
      <c r="A722" s="1469" t="s">
        <v>1296</v>
      </c>
      <c r="B722" s="1469"/>
      <c r="C722" s="1469"/>
      <c r="D722" s="1469"/>
      <c r="E722" s="1469"/>
      <c r="F722" s="1469"/>
      <c r="G722" s="1303">
        <f>G721/9.29</f>
        <v>2960.7649354144241</v>
      </c>
      <c r="H722" s="1290"/>
      <c r="I722" s="1290"/>
      <c r="J722" s="1290"/>
      <c r="P722" s="1291"/>
      <c r="Q722" s="1291"/>
      <c r="R722" s="1291"/>
      <c r="S722" s="1291"/>
      <c r="T722" s="1291"/>
      <c r="U722" s="1291"/>
      <c r="V722" s="1291"/>
      <c r="W722" s="1291"/>
      <c r="X722" s="1291"/>
      <c r="Y722" s="1291"/>
      <c r="Z722" s="1291"/>
      <c r="AA722" s="1291"/>
      <c r="AB722" s="1291"/>
      <c r="AC722" s="1291"/>
    </row>
    <row r="723" spans="1:29" s="1332" customFormat="1" ht="13.8" x14ac:dyDescent="0.25">
      <c r="A723" s="1469" t="s">
        <v>1297</v>
      </c>
      <c r="B723" s="1469"/>
      <c r="C723" s="1469"/>
      <c r="D723" s="1469"/>
      <c r="E723" s="1469"/>
      <c r="F723" s="1469"/>
      <c r="G723" s="1354">
        <f>G722/10.76</f>
        <v>275.16402745487215</v>
      </c>
      <c r="H723" s="1290"/>
      <c r="I723" s="1290"/>
      <c r="J723" s="1290"/>
      <c r="P723" s="1291"/>
      <c r="Q723" s="1291"/>
      <c r="R723" s="1291"/>
      <c r="S723" s="1291"/>
      <c r="T723" s="1291"/>
      <c r="U723" s="1291"/>
      <c r="V723" s="1291"/>
      <c r="W723" s="1291"/>
      <c r="X723" s="1291"/>
      <c r="Y723" s="1291"/>
      <c r="Z723" s="1291"/>
      <c r="AA723" s="1291"/>
      <c r="AB723" s="1291"/>
      <c r="AC723" s="1291"/>
    </row>
    <row r="725" spans="1:29" s="1332" customFormat="1" x14ac:dyDescent="0.25">
      <c r="A725" s="1496" t="s">
        <v>1382</v>
      </c>
      <c r="B725" s="1496"/>
      <c r="C725" s="1496"/>
      <c r="D725" s="1496"/>
      <c r="E725" s="1496"/>
      <c r="F725" s="1496"/>
      <c r="G725" s="1496"/>
      <c r="H725" s="1290"/>
      <c r="I725" s="1290"/>
      <c r="J725" s="1290"/>
      <c r="P725" s="1291"/>
      <c r="Q725" s="1291"/>
      <c r="R725" s="1291"/>
      <c r="S725" s="1291"/>
      <c r="T725" s="1291"/>
      <c r="U725" s="1291"/>
      <c r="V725" s="1291"/>
      <c r="W725" s="1291"/>
      <c r="X725" s="1291"/>
      <c r="Y725" s="1291"/>
      <c r="Z725" s="1291"/>
      <c r="AA725" s="1291"/>
      <c r="AB725" s="1291"/>
      <c r="AC725" s="1291"/>
    </row>
    <row r="728" spans="1:29" s="1332" customFormat="1" x14ac:dyDescent="0.25">
      <c r="A728" s="1495" t="s">
        <v>1383</v>
      </c>
      <c r="B728" s="1495"/>
      <c r="C728" s="1291"/>
      <c r="D728" s="1291"/>
      <c r="E728" s="1291"/>
      <c r="F728" s="1291"/>
      <c r="G728" s="1291"/>
      <c r="H728" s="1290"/>
      <c r="I728" s="1290"/>
      <c r="J728" s="1290"/>
      <c r="P728" s="1291"/>
      <c r="Q728" s="1291"/>
      <c r="R728" s="1291"/>
      <c r="S728" s="1291"/>
      <c r="T728" s="1291"/>
      <c r="U728" s="1291"/>
      <c r="V728" s="1291"/>
      <c r="W728" s="1291"/>
      <c r="X728" s="1291"/>
      <c r="Y728" s="1291"/>
      <c r="Z728" s="1291"/>
      <c r="AA728" s="1291"/>
      <c r="AB728" s="1291"/>
      <c r="AC728" s="1291"/>
    </row>
    <row r="730" spans="1:29" s="1332" customFormat="1" ht="13.8" thickBot="1" x14ac:dyDescent="0.3">
      <c r="A730" s="1291"/>
      <c r="B730" s="1291"/>
      <c r="C730" s="1291"/>
      <c r="D730" s="1291"/>
      <c r="E730" s="1291"/>
      <c r="F730" s="1291"/>
      <c r="G730" s="1291"/>
      <c r="H730" s="1290"/>
      <c r="I730" s="1290"/>
      <c r="J730" s="1290"/>
      <c r="P730" s="1291"/>
      <c r="Q730" s="1291"/>
      <c r="R730" s="1291"/>
      <c r="S730" s="1291"/>
      <c r="T730" s="1291"/>
      <c r="U730" s="1291"/>
      <c r="V730" s="1291"/>
      <c r="W730" s="1291"/>
      <c r="X730" s="1291"/>
      <c r="Y730" s="1291"/>
      <c r="Z730" s="1291"/>
      <c r="AA730" s="1291"/>
      <c r="AB730" s="1291"/>
      <c r="AC730" s="1291"/>
    </row>
    <row r="731" spans="1:29" s="1332" customFormat="1" ht="13.8" x14ac:dyDescent="0.25">
      <c r="A731" s="1470" t="s">
        <v>1384</v>
      </c>
      <c r="B731" s="1471"/>
      <c r="C731" s="1471"/>
      <c r="D731" s="1471"/>
      <c r="E731" s="1471"/>
      <c r="F731" s="1471"/>
      <c r="G731" s="1472"/>
      <c r="H731" s="1290"/>
      <c r="I731" s="1290"/>
      <c r="J731" s="1290"/>
      <c r="P731" s="1291"/>
      <c r="Q731" s="1291"/>
      <c r="R731" s="1291"/>
      <c r="S731" s="1291"/>
      <c r="T731" s="1291"/>
      <c r="U731" s="1291"/>
      <c r="V731" s="1291"/>
      <c r="W731" s="1291"/>
      <c r="X731" s="1291"/>
      <c r="Y731" s="1291"/>
      <c r="Z731" s="1291"/>
      <c r="AA731" s="1291"/>
      <c r="AB731" s="1291"/>
      <c r="AC731" s="1291"/>
    </row>
    <row r="732" spans="1:29" s="1332" customFormat="1" ht="14.4" thickBot="1" x14ac:dyDescent="0.3">
      <c r="A732" s="1473" t="s">
        <v>1259</v>
      </c>
      <c r="B732" s="1474"/>
      <c r="C732" s="1474"/>
      <c r="D732" s="1474"/>
      <c r="E732" s="1474"/>
      <c r="F732" s="1474"/>
      <c r="G732" s="1475"/>
      <c r="H732" s="1290"/>
      <c r="I732" s="1290"/>
      <c r="J732" s="1290"/>
      <c r="P732" s="1291"/>
      <c r="Q732" s="1291"/>
      <c r="R732" s="1291"/>
      <c r="S732" s="1291"/>
      <c r="T732" s="1291"/>
      <c r="U732" s="1291"/>
      <c r="V732" s="1291"/>
      <c r="W732" s="1291"/>
      <c r="X732" s="1291"/>
      <c r="Y732" s="1291"/>
      <c r="Z732" s="1291"/>
      <c r="AA732" s="1291"/>
      <c r="AB732" s="1291"/>
      <c r="AC732" s="1291"/>
    </row>
    <row r="733" spans="1:29" s="1332" customFormat="1" ht="14.4" thickBot="1" x14ac:dyDescent="0.3">
      <c r="A733" s="1292"/>
      <c r="B733" s="1293" t="s">
        <v>1038</v>
      </c>
      <c r="C733" s="1293" t="s">
        <v>1039</v>
      </c>
      <c r="D733" s="1293" t="s">
        <v>2</v>
      </c>
      <c r="E733" s="1293" t="s">
        <v>1040</v>
      </c>
      <c r="F733" s="1293" t="s">
        <v>5</v>
      </c>
      <c r="G733" s="1293" t="s">
        <v>1260</v>
      </c>
      <c r="H733" s="1290">
        <f>0.1*1.3333</f>
        <v>0.13333</v>
      </c>
      <c r="I733" s="1290">
        <f>H733/6</f>
        <v>2.2221666666666667E-2</v>
      </c>
      <c r="J733" s="1290">
        <f>I733*1440</f>
        <v>31.999200000000002</v>
      </c>
      <c r="K733" s="1332">
        <f>32/50</f>
        <v>0.64</v>
      </c>
      <c r="L733" s="1332">
        <f>I733*5</f>
        <v>0.11110833333333334</v>
      </c>
      <c r="M733" s="1332">
        <f>L733/2.83</f>
        <v>3.9260895170789165E-2</v>
      </c>
      <c r="P733" s="1291"/>
      <c r="Q733" s="1291"/>
      <c r="R733" s="1291"/>
      <c r="S733" s="1291"/>
      <c r="T733" s="1291"/>
      <c r="U733" s="1291"/>
      <c r="V733" s="1291"/>
      <c r="W733" s="1291"/>
      <c r="X733" s="1291"/>
      <c r="Y733" s="1291"/>
      <c r="Z733" s="1291"/>
      <c r="AA733" s="1291"/>
      <c r="AB733" s="1291"/>
      <c r="AC733" s="1291"/>
    </row>
    <row r="734" spans="1:29" s="1332" customFormat="1" ht="13.8" x14ac:dyDescent="0.25">
      <c r="A734" s="1294"/>
      <c r="B734" s="1294"/>
      <c r="C734" s="1295"/>
      <c r="D734" s="1296"/>
      <c r="E734" s="1296"/>
      <c r="F734" s="1296"/>
      <c r="G734" s="1296"/>
      <c r="H734" s="1290"/>
      <c r="I734" s="1290">
        <f>0.405*0.205</f>
        <v>8.3025000000000002E-2</v>
      </c>
      <c r="J734" s="1290">
        <f>I734*112</f>
        <v>9.2988</v>
      </c>
      <c r="P734" s="1291"/>
      <c r="Q734" s="1291"/>
      <c r="R734" s="1291"/>
      <c r="S734" s="1291"/>
      <c r="T734" s="1291"/>
      <c r="U734" s="1291"/>
      <c r="V734" s="1291"/>
      <c r="W734" s="1291"/>
      <c r="X734" s="1291"/>
      <c r="Y734" s="1291"/>
      <c r="Z734" s="1291"/>
      <c r="AA734" s="1291"/>
      <c r="AB734" s="1291"/>
      <c r="AC734" s="1291"/>
    </row>
    <row r="735" spans="1:29" s="1332" customFormat="1" ht="13.8" x14ac:dyDescent="0.25">
      <c r="A735" s="1309"/>
      <c r="B735" s="1309" t="s">
        <v>1385</v>
      </c>
      <c r="C735" s="1310" t="s">
        <v>0</v>
      </c>
      <c r="D735" s="1310">
        <v>112</v>
      </c>
      <c r="E735" s="1310">
        <f>[19]Material!D111</f>
        <v>156</v>
      </c>
      <c r="F735" s="1310">
        <f>D735*E735</f>
        <v>17472</v>
      </c>
      <c r="G735" s="1310"/>
      <c r="H735" s="1290"/>
      <c r="I735" s="1290"/>
      <c r="J735" s="1290"/>
      <c r="L735" s="1332">
        <f>9.29*0.1</f>
        <v>0.92899999999999994</v>
      </c>
      <c r="P735" s="1291"/>
      <c r="Q735" s="1291"/>
      <c r="R735" s="1291"/>
      <c r="S735" s="1291"/>
      <c r="T735" s="1291"/>
      <c r="U735" s="1291"/>
      <c r="V735" s="1291"/>
      <c r="W735" s="1291"/>
      <c r="X735" s="1291"/>
      <c r="Y735" s="1291"/>
      <c r="Z735" s="1291"/>
      <c r="AA735" s="1291"/>
      <c r="AB735" s="1291"/>
      <c r="AC735" s="1291"/>
    </row>
    <row r="736" spans="1:29" s="1332" customFormat="1" ht="13.8" x14ac:dyDescent="0.25">
      <c r="A736" s="1309"/>
      <c r="B736" s="1342" t="s">
        <v>1376</v>
      </c>
      <c r="C736" s="1343"/>
      <c r="D736" s="1310"/>
      <c r="E736" s="1310"/>
      <c r="F736" s="1310">
        <f>F735*5%</f>
        <v>873.6</v>
      </c>
      <c r="G736" s="1310"/>
      <c r="H736" s="1290"/>
      <c r="I736" s="1290">
        <f>0.39*0.19*0.1</f>
        <v>7.4099999999999999E-3</v>
      </c>
      <c r="J736" s="1290"/>
      <c r="L736" s="1332">
        <f>L735-I737</f>
        <v>9.9079999999999946E-2</v>
      </c>
      <c r="P736" s="1291"/>
      <c r="Q736" s="1291"/>
      <c r="R736" s="1291"/>
      <c r="S736" s="1291"/>
      <c r="T736" s="1291"/>
      <c r="U736" s="1291"/>
      <c r="V736" s="1291"/>
      <c r="W736" s="1291"/>
      <c r="X736" s="1291"/>
      <c r="Y736" s="1291"/>
      <c r="Z736" s="1291"/>
      <c r="AA736" s="1291"/>
      <c r="AB736" s="1291"/>
      <c r="AC736" s="1291"/>
    </row>
    <row r="737" spans="1:29" s="1332" customFormat="1" ht="13.8" x14ac:dyDescent="0.25">
      <c r="A737" s="1309"/>
      <c r="B737" s="1309" t="s">
        <v>1108</v>
      </c>
      <c r="C737" s="1310" t="s">
        <v>1324</v>
      </c>
      <c r="D737" s="1310">
        <v>0.64</v>
      </c>
      <c r="E737" s="1310">
        <f>F197</f>
        <v>2235.625</v>
      </c>
      <c r="F737" s="1310">
        <f>D737*E737</f>
        <v>1430.8</v>
      </c>
      <c r="G737" s="1310"/>
      <c r="H737" s="1290"/>
      <c r="I737" s="1290">
        <f>I736*112</f>
        <v>0.82991999999999999</v>
      </c>
      <c r="J737" s="1290"/>
      <c r="P737" s="1291"/>
      <c r="Q737" s="1291"/>
      <c r="R737" s="1291"/>
      <c r="S737" s="1291"/>
      <c r="T737" s="1291"/>
      <c r="U737" s="1291"/>
      <c r="V737" s="1291"/>
      <c r="W737" s="1291"/>
      <c r="X737" s="1291"/>
      <c r="Y737" s="1291"/>
      <c r="Z737" s="1291"/>
      <c r="AA737" s="1291"/>
      <c r="AB737" s="1291"/>
      <c r="AC737" s="1291"/>
    </row>
    <row r="738" spans="1:29" s="1332" customFormat="1" ht="13.8" x14ac:dyDescent="0.25">
      <c r="A738" s="1309"/>
      <c r="B738" s="1309" t="s">
        <v>1159</v>
      </c>
      <c r="C738" s="1310" t="s">
        <v>1110</v>
      </c>
      <c r="D738" s="1310">
        <v>0.14000000000000001</v>
      </c>
      <c r="E738" s="1310">
        <f>[19]Material!E13</f>
        <v>23500</v>
      </c>
      <c r="F738" s="1310">
        <f>D738*E738</f>
        <v>3290.0000000000005</v>
      </c>
      <c r="G738" s="1310"/>
      <c r="H738" s="1290"/>
      <c r="I738" s="1290"/>
      <c r="J738" s="1290"/>
      <c r="L738" s="1332">
        <f>0.1</f>
        <v>0.1</v>
      </c>
      <c r="M738" s="1332">
        <f>L738*1.3333</f>
        <v>0.13333</v>
      </c>
      <c r="N738" s="1355">
        <f>M738/6</f>
        <v>2.2221666666666667E-2</v>
      </c>
      <c r="P738" s="1291"/>
      <c r="Q738" s="1291"/>
      <c r="R738" s="1291"/>
      <c r="S738" s="1291"/>
      <c r="T738" s="1291"/>
      <c r="U738" s="1291"/>
      <c r="V738" s="1291"/>
      <c r="W738" s="1291"/>
      <c r="X738" s="1291"/>
      <c r="Y738" s="1291"/>
      <c r="Z738" s="1291"/>
      <c r="AA738" s="1291"/>
      <c r="AB738" s="1291"/>
      <c r="AC738" s="1291"/>
    </row>
    <row r="739" spans="1:29" s="1332" customFormat="1" ht="13.8" x14ac:dyDescent="0.25">
      <c r="A739" s="1294"/>
      <c r="B739" s="1311"/>
      <c r="C739" s="1296"/>
      <c r="D739" s="1296"/>
      <c r="E739" s="1296"/>
      <c r="F739" s="1296"/>
      <c r="G739" s="1296"/>
      <c r="H739" s="1290"/>
      <c r="I739" s="1290"/>
      <c r="J739" s="1290"/>
      <c r="P739" s="1291"/>
      <c r="Q739" s="1291"/>
      <c r="R739" s="1291"/>
      <c r="S739" s="1291"/>
      <c r="T739" s="1291"/>
      <c r="U739" s="1291"/>
      <c r="V739" s="1291"/>
      <c r="W739" s="1291"/>
      <c r="X739" s="1291"/>
      <c r="Y739" s="1291"/>
      <c r="Z739" s="1291"/>
      <c r="AA739" s="1291"/>
      <c r="AB739" s="1291"/>
      <c r="AC739" s="1291"/>
    </row>
    <row r="740" spans="1:29" s="1332" customFormat="1" ht="13.8" x14ac:dyDescent="0.25">
      <c r="A740" s="1294"/>
      <c r="B740" s="1295"/>
      <c r="C740" s="1296"/>
      <c r="D740" s="1296"/>
      <c r="E740" s="1296"/>
      <c r="F740" s="1296">
        <f t="shared" ref="F740:F741" si="85">D740*E740</f>
        <v>0</v>
      </c>
      <c r="G740" s="1296"/>
      <c r="H740" s="1290"/>
      <c r="I740" s="1290"/>
      <c r="J740" s="1290"/>
      <c r="L740" s="1355">
        <v>0.02</v>
      </c>
      <c r="M740" s="1332">
        <v>1440</v>
      </c>
      <c r="N740" s="1356">
        <f>L740*M740</f>
        <v>28.8</v>
      </c>
      <c r="P740" s="1291"/>
      <c r="Q740" s="1291"/>
      <c r="R740" s="1291"/>
      <c r="S740" s="1291"/>
      <c r="T740" s="1291"/>
      <c r="U740" s="1291"/>
      <c r="V740" s="1291"/>
      <c r="W740" s="1291"/>
      <c r="X740" s="1291"/>
      <c r="Y740" s="1291"/>
      <c r="Z740" s="1291"/>
      <c r="AA740" s="1291"/>
      <c r="AB740" s="1291"/>
      <c r="AC740" s="1291"/>
    </row>
    <row r="741" spans="1:29" s="1332" customFormat="1" ht="13.8" x14ac:dyDescent="0.25">
      <c r="A741" s="1294"/>
      <c r="B741" s="1294"/>
      <c r="C741" s="1295"/>
      <c r="D741" s="1296"/>
      <c r="E741" s="1296"/>
      <c r="F741" s="1296">
        <f t="shared" si="85"/>
        <v>0</v>
      </c>
      <c r="G741" s="1296"/>
      <c r="H741" s="1290"/>
      <c r="I741" s="1290"/>
      <c r="J741" s="1290"/>
      <c r="P741" s="1291"/>
      <c r="Q741" s="1291"/>
      <c r="R741" s="1291"/>
      <c r="S741" s="1291"/>
      <c r="T741" s="1291"/>
      <c r="U741" s="1291"/>
      <c r="V741" s="1291"/>
      <c r="W741" s="1291"/>
      <c r="X741" s="1291"/>
      <c r="Y741" s="1291"/>
      <c r="Z741" s="1291"/>
      <c r="AA741" s="1291"/>
      <c r="AB741" s="1291"/>
      <c r="AC741" s="1291"/>
    </row>
    <row r="742" spans="1:29" s="1332" customFormat="1" ht="13.8" x14ac:dyDescent="0.25">
      <c r="A742" s="1298"/>
      <c r="B742" s="1476" t="s">
        <v>1277</v>
      </c>
      <c r="C742" s="1476"/>
      <c r="D742" s="1476"/>
      <c r="E742" s="1476"/>
      <c r="F742" s="1299"/>
      <c r="G742" s="1300">
        <f>SUM(F735:F742)</f>
        <v>23066.399999999998</v>
      </c>
      <c r="H742" s="1290"/>
      <c r="I742" s="1290"/>
      <c r="J742" s="1290"/>
      <c r="L742" s="1332">
        <f>0.02</f>
        <v>0.02</v>
      </c>
      <c r="M742" s="1332">
        <v>5</v>
      </c>
      <c r="N742" s="1332">
        <f>L742*M742</f>
        <v>0.1</v>
      </c>
      <c r="P742" s="1291"/>
      <c r="Q742" s="1291"/>
      <c r="R742" s="1291"/>
      <c r="S742" s="1291"/>
      <c r="T742" s="1291"/>
      <c r="U742" s="1291"/>
      <c r="V742" s="1291"/>
      <c r="W742" s="1291"/>
      <c r="X742" s="1291"/>
      <c r="Y742" s="1291"/>
      <c r="Z742" s="1291"/>
      <c r="AA742" s="1291"/>
      <c r="AB742" s="1291"/>
      <c r="AC742" s="1291"/>
    </row>
    <row r="743" spans="1:29" s="1332" customFormat="1" ht="13.8" x14ac:dyDescent="0.25">
      <c r="A743" s="1294"/>
      <c r="B743" s="1297" t="s">
        <v>1261</v>
      </c>
      <c r="C743" s="1295"/>
      <c r="D743" s="1296"/>
      <c r="E743" s="1296"/>
      <c r="F743" s="1296">
        <f t="shared" ref="F743:F744" si="86">D743*E743</f>
        <v>0</v>
      </c>
      <c r="G743" s="1296"/>
      <c r="H743" s="1290"/>
      <c r="I743" s="1290"/>
      <c r="J743" s="1290"/>
      <c r="P743" s="1291"/>
      <c r="Q743" s="1291"/>
      <c r="R743" s="1291"/>
      <c r="S743" s="1291"/>
      <c r="T743" s="1291"/>
      <c r="U743" s="1291"/>
      <c r="V743" s="1291"/>
      <c r="W743" s="1291"/>
      <c r="X743" s="1291"/>
      <c r="Y743" s="1291"/>
      <c r="Z743" s="1291"/>
      <c r="AA743" s="1291"/>
      <c r="AB743" s="1291"/>
      <c r="AC743" s="1291"/>
    </row>
    <row r="744" spans="1:29" s="1332" customFormat="1" ht="13.8" x14ac:dyDescent="0.25">
      <c r="A744" s="1309"/>
      <c r="B744" s="1309" t="s">
        <v>1271</v>
      </c>
      <c r="C744" s="1310" t="s">
        <v>1294</v>
      </c>
      <c r="D744" s="1310">
        <v>100</v>
      </c>
      <c r="E744" s="1310">
        <v>66</v>
      </c>
      <c r="F744" s="1310">
        <f t="shared" si="86"/>
        <v>6600</v>
      </c>
      <c r="G744" s="1310"/>
      <c r="H744" s="1290"/>
      <c r="I744" s="1290">
        <f>0.1*1.3333</f>
        <v>0.13333</v>
      </c>
      <c r="J744" s="1290"/>
      <c r="P744" s="1291"/>
      <c r="Q744" s="1291"/>
      <c r="R744" s="1291"/>
      <c r="S744" s="1291"/>
      <c r="T744" s="1291"/>
      <c r="U744" s="1291"/>
      <c r="V744" s="1291"/>
      <c r="W744" s="1291"/>
      <c r="X744" s="1291"/>
      <c r="Y744" s="1291"/>
      <c r="Z744" s="1291"/>
      <c r="AA744" s="1291"/>
      <c r="AB744" s="1291"/>
      <c r="AC744" s="1291"/>
    </row>
    <row r="745" spans="1:29" s="1332" customFormat="1" ht="13.8" x14ac:dyDescent="0.25">
      <c r="A745" s="1309"/>
      <c r="B745" s="1309"/>
      <c r="C745" s="1310"/>
      <c r="D745" s="1310"/>
      <c r="E745" s="1310"/>
      <c r="F745" s="1310"/>
      <c r="G745" s="1310"/>
      <c r="H745" s="1290"/>
      <c r="I745" s="1290">
        <f>I744/6</f>
        <v>2.2221666666666667E-2</v>
      </c>
      <c r="J745" s="1290"/>
      <c r="P745" s="1291"/>
      <c r="Q745" s="1291"/>
      <c r="R745" s="1291"/>
      <c r="S745" s="1291"/>
      <c r="T745" s="1291"/>
      <c r="U745" s="1291"/>
      <c r="V745" s="1291"/>
      <c r="W745" s="1291"/>
      <c r="X745" s="1291"/>
      <c r="Y745" s="1291"/>
      <c r="Z745" s="1291"/>
      <c r="AA745" s="1291"/>
      <c r="AB745" s="1291"/>
      <c r="AC745" s="1291"/>
    </row>
    <row r="746" spans="1:29" s="1332" customFormat="1" ht="13.8" x14ac:dyDescent="0.25">
      <c r="A746" s="1309"/>
      <c r="B746" s="1294" t="s">
        <v>1386</v>
      </c>
      <c r="C746" s="1310"/>
      <c r="D746" s="1310"/>
      <c r="E746" s="1310"/>
      <c r="F746" s="1310">
        <f>F744*3%</f>
        <v>198</v>
      </c>
      <c r="G746" s="1310"/>
      <c r="H746" s="1290"/>
      <c r="I746" s="1290"/>
      <c r="J746" s="1290"/>
      <c r="P746" s="1291"/>
      <c r="Q746" s="1291"/>
      <c r="R746" s="1291"/>
      <c r="S746" s="1291"/>
      <c r="T746" s="1291"/>
      <c r="U746" s="1291"/>
      <c r="V746" s="1291"/>
      <c r="W746" s="1291"/>
      <c r="X746" s="1291"/>
      <c r="Y746" s="1291"/>
      <c r="Z746" s="1291"/>
      <c r="AA746" s="1291"/>
      <c r="AB746" s="1291"/>
      <c r="AC746" s="1291"/>
    </row>
    <row r="747" spans="1:29" s="1332" customFormat="1" ht="13.8" x14ac:dyDescent="0.25">
      <c r="A747" s="1294"/>
      <c r="B747" s="1294" t="s">
        <v>1377</v>
      </c>
      <c r="C747" s="1296"/>
      <c r="D747" s="1296"/>
      <c r="E747" s="1296"/>
      <c r="F747" s="1296">
        <f>F744*5%</f>
        <v>330</v>
      </c>
      <c r="G747" s="1296"/>
      <c r="H747" s="1290"/>
      <c r="I747" s="1290"/>
      <c r="J747" s="1290"/>
      <c r="P747" s="1291"/>
      <c r="Q747" s="1291"/>
      <c r="R747" s="1291"/>
      <c r="S747" s="1291"/>
      <c r="T747" s="1291"/>
      <c r="U747" s="1291"/>
      <c r="V747" s="1291"/>
      <c r="W747" s="1291"/>
      <c r="X747" s="1291"/>
      <c r="Y747" s="1291"/>
      <c r="Z747" s="1291"/>
      <c r="AA747" s="1291"/>
      <c r="AB747" s="1291"/>
      <c r="AC747" s="1291"/>
    </row>
    <row r="748" spans="1:29" s="1332" customFormat="1" ht="13.8" x14ac:dyDescent="0.25">
      <c r="A748" s="1294"/>
      <c r="B748" s="1294"/>
      <c r="C748" s="1295"/>
      <c r="D748" s="1296"/>
      <c r="E748" s="1296"/>
      <c r="F748" s="1296"/>
      <c r="G748" s="1296"/>
      <c r="H748" s="1290"/>
      <c r="I748" s="1290"/>
      <c r="J748" s="1290"/>
      <c r="P748" s="1291"/>
      <c r="Q748" s="1291"/>
      <c r="R748" s="1291"/>
      <c r="S748" s="1291"/>
      <c r="T748" s="1291"/>
      <c r="U748" s="1291"/>
      <c r="V748" s="1291"/>
      <c r="W748" s="1291"/>
      <c r="X748" s="1291"/>
      <c r="Y748" s="1291"/>
      <c r="Z748" s="1291"/>
      <c r="AA748" s="1291"/>
      <c r="AB748" s="1291"/>
      <c r="AC748" s="1291"/>
    </row>
    <row r="749" spans="1:29" s="1332" customFormat="1" ht="13.8" x14ac:dyDescent="0.25">
      <c r="A749" s="1298"/>
      <c r="B749" s="1476" t="s">
        <v>1264</v>
      </c>
      <c r="C749" s="1476"/>
      <c r="D749" s="1476"/>
      <c r="E749" s="1476"/>
      <c r="F749" s="1299">
        <f t="shared" ref="F749" si="87">D749*E749</f>
        <v>0</v>
      </c>
      <c r="G749" s="1300">
        <f>SUM(F744:F749)</f>
        <v>7128</v>
      </c>
      <c r="H749" s="1290"/>
      <c r="I749" s="1290"/>
      <c r="J749" s="1290"/>
      <c r="P749" s="1291"/>
      <c r="Q749" s="1291"/>
      <c r="R749" s="1291"/>
      <c r="S749" s="1291"/>
      <c r="T749" s="1291"/>
      <c r="U749" s="1291"/>
      <c r="V749" s="1291"/>
      <c r="W749" s="1291"/>
      <c r="X749" s="1291"/>
      <c r="Y749" s="1291"/>
      <c r="Z749" s="1291"/>
      <c r="AA749" s="1291"/>
      <c r="AB749" s="1291"/>
      <c r="AC749" s="1291"/>
    </row>
    <row r="750" spans="1:29" s="1332" customFormat="1" ht="13.8" x14ac:dyDescent="0.25">
      <c r="A750" s="1294"/>
      <c r="B750" s="1302"/>
      <c r="C750" s="1302"/>
      <c r="D750" s="1302"/>
      <c r="E750" s="1302"/>
      <c r="F750" s="1296"/>
      <c r="G750" s="1302"/>
      <c r="H750" s="1290"/>
      <c r="I750" s="1290"/>
      <c r="J750" s="1290"/>
      <c r="P750" s="1291"/>
      <c r="Q750" s="1291"/>
      <c r="R750" s="1291"/>
      <c r="S750" s="1291"/>
      <c r="T750" s="1291"/>
      <c r="U750" s="1291"/>
      <c r="V750" s="1291"/>
      <c r="W750" s="1291"/>
      <c r="X750" s="1291"/>
      <c r="Y750" s="1291"/>
      <c r="Z750" s="1291"/>
      <c r="AA750" s="1291"/>
      <c r="AB750" s="1291"/>
      <c r="AC750" s="1291"/>
    </row>
    <row r="751" spans="1:29" s="1332" customFormat="1" ht="13.8" x14ac:dyDescent="0.25">
      <c r="A751" s="1294"/>
      <c r="B751" s="1302"/>
      <c r="C751" s="1302"/>
      <c r="D751" s="1302"/>
      <c r="E751" s="1302"/>
      <c r="F751" s="1296"/>
      <c r="G751" s="1302"/>
      <c r="H751" s="1290"/>
      <c r="I751" s="1290"/>
      <c r="J751" s="1290"/>
      <c r="P751" s="1291"/>
      <c r="Q751" s="1291"/>
      <c r="R751" s="1291"/>
      <c r="S751" s="1291"/>
      <c r="T751" s="1291"/>
      <c r="U751" s="1291"/>
      <c r="V751" s="1291"/>
      <c r="W751" s="1291"/>
      <c r="X751" s="1291"/>
      <c r="Y751" s="1291"/>
      <c r="Z751" s="1291"/>
      <c r="AA751" s="1291"/>
      <c r="AB751" s="1291"/>
      <c r="AC751" s="1291"/>
    </row>
    <row r="752" spans="1:29" s="1332" customFormat="1" ht="13.8" x14ac:dyDescent="0.25">
      <c r="A752" s="1469" t="s">
        <v>1295</v>
      </c>
      <c r="B752" s="1469"/>
      <c r="C752" s="1469"/>
      <c r="D752" s="1469"/>
      <c r="E752" s="1469"/>
      <c r="F752" s="1469"/>
      <c r="G752" s="1303">
        <f>G742+G749</f>
        <v>30194.399999999998</v>
      </c>
      <c r="H752" s="1290"/>
      <c r="I752" s="1290"/>
      <c r="J752" s="1290"/>
      <c r="P752" s="1291"/>
      <c r="Q752" s="1291"/>
      <c r="R752" s="1291"/>
      <c r="S752" s="1291"/>
      <c r="T752" s="1291"/>
      <c r="U752" s="1291"/>
      <c r="V752" s="1291"/>
      <c r="W752" s="1291"/>
      <c r="X752" s="1291"/>
      <c r="Y752" s="1291"/>
      <c r="Z752" s="1291"/>
      <c r="AA752" s="1291"/>
      <c r="AB752" s="1291"/>
      <c r="AC752" s="1291"/>
    </row>
    <row r="753" spans="1:29" s="1332" customFormat="1" ht="13.8" x14ac:dyDescent="0.25">
      <c r="A753" s="1469" t="s">
        <v>1296</v>
      </c>
      <c r="B753" s="1469"/>
      <c r="C753" s="1469"/>
      <c r="D753" s="1469"/>
      <c r="E753" s="1469"/>
      <c r="F753" s="1469"/>
      <c r="G753" s="1303">
        <f>G752/9.29</f>
        <v>3250.2045209903122</v>
      </c>
      <c r="H753" s="1290"/>
      <c r="I753" s="1290">
        <v>3213.82</v>
      </c>
      <c r="J753" s="1290">
        <v>3302</v>
      </c>
      <c r="P753" s="1291"/>
      <c r="Q753" s="1291"/>
      <c r="R753" s="1291"/>
      <c r="S753" s="1291"/>
      <c r="T753" s="1291"/>
      <c r="U753" s="1291"/>
      <c r="V753" s="1291"/>
      <c r="W753" s="1291"/>
      <c r="X753" s="1291"/>
      <c r="Y753" s="1291"/>
      <c r="Z753" s="1291"/>
      <c r="AA753" s="1291"/>
      <c r="AB753" s="1291"/>
      <c r="AC753" s="1291"/>
    </row>
    <row r="754" spans="1:29" s="1332" customFormat="1" ht="13.8" x14ac:dyDescent="0.25">
      <c r="A754" s="1469" t="s">
        <v>1297</v>
      </c>
      <c r="B754" s="1469"/>
      <c r="C754" s="1469"/>
      <c r="D754" s="1469"/>
      <c r="E754" s="1469"/>
      <c r="F754" s="1469"/>
      <c r="G754" s="1357">
        <f>G753/10.76</f>
        <v>302.06361719240817</v>
      </c>
      <c r="H754" s="1290"/>
      <c r="I754" s="1290">
        <f>I753*1.05</f>
        <v>3374.5110000000004</v>
      </c>
      <c r="J754" s="1290"/>
      <c r="P754" s="1291"/>
      <c r="Q754" s="1291"/>
      <c r="R754" s="1291"/>
      <c r="S754" s="1291"/>
      <c r="T754" s="1291"/>
      <c r="U754" s="1291"/>
      <c r="V754" s="1291"/>
      <c r="W754" s="1291"/>
      <c r="X754" s="1291"/>
      <c r="Y754" s="1291"/>
      <c r="Z754" s="1291"/>
      <c r="AA754" s="1291"/>
      <c r="AB754" s="1291"/>
      <c r="AC754" s="1291"/>
    </row>
    <row r="758" spans="1:29" s="1332" customFormat="1" x14ac:dyDescent="0.25">
      <c r="A758" s="1495" t="s">
        <v>1387</v>
      </c>
      <c r="B758" s="1495"/>
      <c r="C758" s="1291"/>
      <c r="D758" s="1291"/>
      <c r="E758" s="1291"/>
      <c r="F758" s="1291"/>
      <c r="G758" s="1291"/>
      <c r="H758" s="1290"/>
      <c r="I758" s="1290"/>
      <c r="J758" s="1290"/>
      <c r="P758" s="1291"/>
      <c r="Q758" s="1291"/>
      <c r="R758" s="1291"/>
      <c r="S758" s="1291"/>
      <c r="T758" s="1291"/>
      <c r="U758" s="1291"/>
      <c r="V758" s="1291"/>
      <c r="W758" s="1291"/>
      <c r="X758" s="1291"/>
      <c r="Y758" s="1291"/>
      <c r="Z758" s="1291"/>
      <c r="AA758" s="1291"/>
      <c r="AB758" s="1291"/>
      <c r="AC758" s="1291"/>
    </row>
    <row r="760" spans="1:29" s="1332" customFormat="1" ht="13.8" thickBot="1" x14ac:dyDescent="0.3">
      <c r="A760" s="1291"/>
      <c r="B760" s="1291"/>
      <c r="C760" s="1291"/>
      <c r="D760" s="1291"/>
      <c r="E760" s="1291"/>
      <c r="F760" s="1291"/>
      <c r="G760" s="1291"/>
      <c r="H760" s="1290"/>
      <c r="I760" s="1290"/>
      <c r="J760" s="1290"/>
      <c r="P760" s="1291"/>
      <c r="Q760" s="1291"/>
      <c r="R760" s="1291"/>
      <c r="S760" s="1291"/>
      <c r="T760" s="1291"/>
      <c r="U760" s="1291"/>
      <c r="V760" s="1291"/>
      <c r="W760" s="1291"/>
      <c r="X760" s="1291"/>
      <c r="Y760" s="1291"/>
      <c r="Z760" s="1291"/>
      <c r="AA760" s="1291"/>
      <c r="AB760" s="1291"/>
      <c r="AC760" s="1291"/>
    </row>
    <row r="761" spans="1:29" s="1332" customFormat="1" ht="13.8" x14ac:dyDescent="0.25">
      <c r="A761" s="1470" t="s">
        <v>1388</v>
      </c>
      <c r="B761" s="1471"/>
      <c r="C761" s="1471"/>
      <c r="D761" s="1471"/>
      <c r="E761" s="1471"/>
      <c r="F761" s="1471"/>
      <c r="G761" s="1472"/>
      <c r="H761" s="1290"/>
      <c r="I761" s="1290"/>
      <c r="J761" s="1290"/>
      <c r="P761" s="1291"/>
      <c r="Q761" s="1291"/>
      <c r="R761" s="1291"/>
      <c r="S761" s="1291"/>
      <c r="T761" s="1291"/>
      <c r="U761" s="1291"/>
      <c r="V761" s="1291"/>
      <c r="W761" s="1291"/>
      <c r="X761" s="1291"/>
      <c r="Y761" s="1291"/>
      <c r="Z761" s="1291"/>
      <c r="AA761" s="1291"/>
      <c r="AB761" s="1291"/>
      <c r="AC761" s="1291"/>
    </row>
    <row r="762" spans="1:29" s="1332" customFormat="1" ht="14.4" thickBot="1" x14ac:dyDescent="0.3">
      <c r="A762" s="1473" t="s">
        <v>1259</v>
      </c>
      <c r="B762" s="1474"/>
      <c r="C762" s="1474"/>
      <c r="D762" s="1474"/>
      <c r="E762" s="1474"/>
      <c r="F762" s="1474"/>
      <c r="G762" s="1475"/>
      <c r="H762" s="1290"/>
      <c r="I762" s="1290"/>
      <c r="J762" s="1290"/>
      <c r="P762" s="1291"/>
      <c r="Q762" s="1291"/>
      <c r="R762" s="1291"/>
      <c r="S762" s="1291"/>
      <c r="T762" s="1291"/>
      <c r="U762" s="1291"/>
      <c r="V762" s="1291"/>
      <c r="W762" s="1291"/>
      <c r="X762" s="1291"/>
      <c r="Y762" s="1291"/>
      <c r="Z762" s="1291"/>
      <c r="AA762" s="1291"/>
      <c r="AB762" s="1291"/>
      <c r="AC762" s="1291"/>
    </row>
    <row r="763" spans="1:29" s="1332" customFormat="1" ht="14.4" thickBot="1" x14ac:dyDescent="0.3">
      <c r="A763" s="1292"/>
      <c r="B763" s="1293" t="s">
        <v>1038</v>
      </c>
      <c r="C763" s="1293" t="s">
        <v>1039</v>
      </c>
      <c r="D763" s="1293" t="s">
        <v>2</v>
      </c>
      <c r="E763" s="1293" t="s">
        <v>1040</v>
      </c>
      <c r="F763" s="1293" t="s">
        <v>5</v>
      </c>
      <c r="G763" s="1293" t="s">
        <v>1260</v>
      </c>
      <c r="H763" s="1290"/>
      <c r="I763" s="1290"/>
      <c r="J763" s="1290"/>
      <c r="P763" s="1291"/>
      <c r="Q763" s="1291"/>
      <c r="R763" s="1291"/>
      <c r="S763" s="1291"/>
      <c r="T763" s="1291"/>
      <c r="U763" s="1291"/>
      <c r="V763" s="1291"/>
      <c r="W763" s="1291"/>
      <c r="X763" s="1291"/>
      <c r="Y763" s="1291"/>
      <c r="Z763" s="1291"/>
      <c r="AA763" s="1291"/>
      <c r="AB763" s="1291"/>
      <c r="AC763" s="1291"/>
    </row>
    <row r="764" spans="1:29" s="1332" customFormat="1" ht="13.8" x14ac:dyDescent="0.25">
      <c r="A764" s="1294"/>
      <c r="B764" s="1294"/>
      <c r="C764" s="1295"/>
      <c r="D764" s="1296"/>
      <c r="E764" s="1296"/>
      <c r="F764" s="1296"/>
      <c r="G764" s="1296"/>
      <c r="H764" s="1290"/>
      <c r="I764" s="1290">
        <v>9.2899999999999991</v>
      </c>
      <c r="J764" s="1290">
        <v>0.15</v>
      </c>
      <c r="K764" s="1332">
        <f>I764*J764</f>
        <v>1.3934999999999997</v>
      </c>
      <c r="P764" s="1291"/>
      <c r="Q764" s="1291"/>
      <c r="R764" s="1291"/>
      <c r="S764" s="1291"/>
      <c r="T764" s="1291"/>
      <c r="U764" s="1291"/>
      <c r="V764" s="1291"/>
      <c r="W764" s="1291"/>
      <c r="X764" s="1291"/>
      <c r="Y764" s="1291"/>
      <c r="Z764" s="1291"/>
      <c r="AA764" s="1291"/>
      <c r="AB764" s="1291"/>
      <c r="AC764" s="1291"/>
    </row>
    <row r="765" spans="1:29" s="1332" customFormat="1" ht="13.8" x14ac:dyDescent="0.25">
      <c r="A765" s="1309"/>
      <c r="B765" s="1309" t="s">
        <v>1385</v>
      </c>
      <c r="C765" s="1310" t="s">
        <v>0</v>
      </c>
      <c r="D765" s="1310">
        <v>112</v>
      </c>
      <c r="E765" s="1310">
        <f>[19]Material!D112</f>
        <v>231</v>
      </c>
      <c r="F765" s="1310">
        <f>D765*E765</f>
        <v>25872</v>
      </c>
      <c r="G765" s="1310"/>
      <c r="H765" s="1290"/>
      <c r="I765" s="1290">
        <f>0.39*0.19*0.15</f>
        <v>1.1115E-2</v>
      </c>
      <c r="J765" s="1290">
        <v>112</v>
      </c>
      <c r="K765" s="1332">
        <f>I765*J765</f>
        <v>1.24488</v>
      </c>
      <c r="P765" s="1291"/>
      <c r="Q765" s="1291"/>
      <c r="R765" s="1291"/>
      <c r="S765" s="1291"/>
      <c r="T765" s="1291"/>
      <c r="U765" s="1291"/>
      <c r="V765" s="1291"/>
      <c r="W765" s="1291"/>
      <c r="X765" s="1291"/>
      <c r="Y765" s="1291"/>
      <c r="Z765" s="1291"/>
      <c r="AA765" s="1291"/>
      <c r="AB765" s="1291"/>
      <c r="AC765" s="1291"/>
    </row>
    <row r="766" spans="1:29" s="1332" customFormat="1" ht="13.8" x14ac:dyDescent="0.25">
      <c r="A766" s="1309"/>
      <c r="B766" s="1342" t="s">
        <v>1376</v>
      </c>
      <c r="C766" s="1343"/>
      <c r="D766" s="1310"/>
      <c r="E766" s="1310"/>
      <c r="F766" s="1310">
        <f>F765*5%</f>
        <v>1293.6000000000001</v>
      </c>
      <c r="G766" s="1310"/>
      <c r="H766" s="1290"/>
      <c r="I766" s="1290"/>
      <c r="J766" s="1290"/>
      <c r="P766" s="1291"/>
      <c r="Q766" s="1291"/>
      <c r="R766" s="1291"/>
      <c r="S766" s="1291"/>
      <c r="T766" s="1291"/>
      <c r="U766" s="1291"/>
      <c r="V766" s="1291"/>
      <c r="W766" s="1291"/>
      <c r="X766" s="1291"/>
      <c r="Y766" s="1291"/>
      <c r="Z766" s="1291"/>
      <c r="AA766" s="1291"/>
      <c r="AB766" s="1291"/>
      <c r="AC766" s="1291"/>
    </row>
    <row r="767" spans="1:29" s="1332" customFormat="1" ht="13.8" x14ac:dyDescent="0.25">
      <c r="A767" s="1309"/>
      <c r="B767" s="1309" t="s">
        <v>1108</v>
      </c>
      <c r="C767" s="1310" t="s">
        <v>1324</v>
      </c>
      <c r="D767" s="1310">
        <v>0.95</v>
      </c>
      <c r="E767" s="1310">
        <f>F197</f>
        <v>2235.625</v>
      </c>
      <c r="F767" s="1310">
        <f t="shared" ref="F767:F768" si="88">D767*E767</f>
        <v>2123.84375</v>
      </c>
      <c r="G767" s="1310"/>
      <c r="H767" s="1290"/>
      <c r="I767" s="1290">
        <f>K764-K765</f>
        <v>0.14861999999999975</v>
      </c>
      <c r="J767" s="1290"/>
      <c r="P767" s="1291"/>
      <c r="Q767" s="1291"/>
      <c r="R767" s="1291"/>
      <c r="S767" s="1291"/>
      <c r="T767" s="1291"/>
      <c r="U767" s="1291"/>
      <c r="V767" s="1291"/>
      <c r="W767" s="1291"/>
      <c r="X767" s="1291"/>
      <c r="Y767" s="1291"/>
      <c r="Z767" s="1291"/>
      <c r="AA767" s="1291"/>
      <c r="AB767" s="1291"/>
      <c r="AC767" s="1291"/>
    </row>
    <row r="768" spans="1:29" s="1332" customFormat="1" ht="13.8" x14ac:dyDescent="0.25">
      <c r="A768" s="1309"/>
      <c r="B768" s="1309" t="s">
        <v>1159</v>
      </c>
      <c r="C768" s="1310" t="s">
        <v>1110</v>
      </c>
      <c r="D768" s="1310">
        <v>0.06</v>
      </c>
      <c r="E768" s="1310">
        <f>[19]Material!E13</f>
        <v>23500</v>
      </c>
      <c r="F768" s="1310">
        <f t="shared" si="88"/>
        <v>1410</v>
      </c>
      <c r="G768" s="1310"/>
      <c r="H768" s="1290"/>
      <c r="I768" s="1290">
        <f>I767*1.3333</f>
        <v>0.19815504599999967</v>
      </c>
      <c r="J768" s="1290">
        <f>I768/6</f>
        <v>3.3025840999999945E-2</v>
      </c>
      <c r="N768" s="1355"/>
      <c r="P768" s="1291"/>
      <c r="Q768" s="1291"/>
      <c r="R768" s="1291"/>
      <c r="S768" s="1291"/>
      <c r="T768" s="1291"/>
      <c r="U768" s="1291"/>
      <c r="V768" s="1291"/>
      <c r="W768" s="1291"/>
      <c r="X768" s="1291"/>
      <c r="Y768" s="1291"/>
      <c r="Z768" s="1291"/>
      <c r="AA768" s="1291"/>
      <c r="AB768" s="1291"/>
      <c r="AC768" s="1291"/>
    </row>
    <row r="769" spans="1:29" s="1332" customFormat="1" ht="13.8" x14ac:dyDescent="0.25">
      <c r="A769" s="1294"/>
      <c r="B769" s="1311"/>
      <c r="C769" s="1296"/>
      <c r="D769" s="1296"/>
      <c r="E769" s="1296"/>
      <c r="F769" s="1296"/>
      <c r="G769" s="1296"/>
      <c r="H769" s="1290"/>
      <c r="I769" s="1290"/>
      <c r="J769" s="1290"/>
      <c r="P769" s="1291"/>
      <c r="Q769" s="1291"/>
      <c r="R769" s="1291"/>
      <c r="S769" s="1291"/>
      <c r="T769" s="1291"/>
      <c r="U769" s="1291"/>
      <c r="V769" s="1291"/>
      <c r="W769" s="1291"/>
      <c r="X769" s="1291"/>
      <c r="Y769" s="1291"/>
      <c r="Z769" s="1291"/>
      <c r="AA769" s="1291"/>
      <c r="AB769" s="1291"/>
      <c r="AC769" s="1291"/>
    </row>
    <row r="770" spans="1:29" s="1332" customFormat="1" ht="13.8" x14ac:dyDescent="0.25">
      <c r="A770" s="1294"/>
      <c r="B770" s="1295"/>
      <c r="C770" s="1296"/>
      <c r="D770" s="1296"/>
      <c r="E770" s="1296"/>
      <c r="F770" s="1296">
        <f t="shared" ref="F770:F771" si="89">D770*E770</f>
        <v>0</v>
      </c>
      <c r="G770" s="1296"/>
      <c r="H770" s="1290"/>
      <c r="I770" s="1290">
        <f>J768*1440</f>
        <v>47.55721103999992</v>
      </c>
      <c r="J770" s="1290"/>
      <c r="K770" s="1332">
        <f>I770/50</f>
        <v>0.95114422079999839</v>
      </c>
      <c r="L770" s="1355"/>
      <c r="N770" s="1356"/>
      <c r="P770" s="1291"/>
      <c r="Q770" s="1291"/>
      <c r="R770" s="1291"/>
      <c r="S770" s="1291"/>
      <c r="T770" s="1291"/>
      <c r="U770" s="1291"/>
      <c r="V770" s="1291"/>
      <c r="W770" s="1291"/>
      <c r="X770" s="1291"/>
      <c r="Y770" s="1291"/>
      <c r="Z770" s="1291"/>
      <c r="AA770" s="1291"/>
      <c r="AB770" s="1291"/>
      <c r="AC770" s="1291"/>
    </row>
    <row r="771" spans="1:29" s="1332" customFormat="1" ht="13.8" x14ac:dyDescent="0.25">
      <c r="A771" s="1294"/>
      <c r="B771" s="1294"/>
      <c r="C771" s="1295"/>
      <c r="D771" s="1296"/>
      <c r="E771" s="1296"/>
      <c r="F771" s="1296">
        <f t="shared" si="89"/>
        <v>0</v>
      </c>
      <c r="G771" s="1296"/>
      <c r="H771" s="1290"/>
      <c r="I771" s="1290">
        <f>J768*5</f>
        <v>0.16512920499999972</v>
      </c>
      <c r="J771" s="1290"/>
      <c r="K771" s="1332">
        <f>I771/2.83</f>
        <v>5.8349542402826755E-2</v>
      </c>
      <c r="P771" s="1291"/>
      <c r="Q771" s="1291"/>
      <c r="R771" s="1291"/>
      <c r="S771" s="1291"/>
      <c r="T771" s="1291"/>
      <c r="U771" s="1291"/>
      <c r="V771" s="1291"/>
      <c r="W771" s="1291"/>
      <c r="X771" s="1291"/>
      <c r="Y771" s="1291"/>
      <c r="Z771" s="1291"/>
      <c r="AA771" s="1291"/>
      <c r="AB771" s="1291"/>
      <c r="AC771" s="1291"/>
    </row>
    <row r="772" spans="1:29" s="1332" customFormat="1" ht="13.8" x14ac:dyDescent="0.25">
      <c r="A772" s="1298"/>
      <c r="B772" s="1476" t="s">
        <v>1277</v>
      </c>
      <c r="C772" s="1476"/>
      <c r="D772" s="1476"/>
      <c r="E772" s="1476"/>
      <c r="F772" s="1299"/>
      <c r="G772" s="1300">
        <f>SUM(F765:F772)</f>
        <v>30699.443749999999</v>
      </c>
      <c r="H772" s="1290"/>
      <c r="I772" s="1290"/>
      <c r="J772" s="1290"/>
      <c r="P772" s="1291"/>
      <c r="Q772" s="1291"/>
      <c r="R772" s="1291"/>
      <c r="S772" s="1291"/>
      <c r="T772" s="1291"/>
      <c r="U772" s="1291"/>
      <c r="V772" s="1291"/>
      <c r="W772" s="1291"/>
      <c r="X772" s="1291"/>
      <c r="Y772" s="1291"/>
      <c r="Z772" s="1291"/>
      <c r="AA772" s="1291"/>
      <c r="AB772" s="1291"/>
      <c r="AC772" s="1291"/>
    </row>
    <row r="773" spans="1:29" s="1332" customFormat="1" ht="13.8" x14ac:dyDescent="0.25">
      <c r="A773" s="1294"/>
      <c r="B773" s="1297" t="s">
        <v>1261</v>
      </c>
      <c r="C773" s="1295"/>
      <c r="D773" s="1296"/>
      <c r="E773" s="1296"/>
      <c r="F773" s="1296">
        <f t="shared" ref="F773:F774" si="90">D773*E773</f>
        <v>0</v>
      </c>
      <c r="G773" s="1296"/>
      <c r="H773" s="1290"/>
      <c r="I773" s="1290"/>
      <c r="J773" s="1290"/>
      <c r="P773" s="1291"/>
      <c r="Q773" s="1291"/>
      <c r="R773" s="1291"/>
      <c r="S773" s="1291"/>
      <c r="T773" s="1291"/>
      <c r="U773" s="1291"/>
      <c r="V773" s="1291"/>
      <c r="W773" s="1291"/>
      <c r="X773" s="1291"/>
      <c r="Y773" s="1291"/>
      <c r="Z773" s="1291"/>
      <c r="AA773" s="1291"/>
      <c r="AB773" s="1291"/>
      <c r="AC773" s="1291"/>
    </row>
    <row r="774" spans="1:29" s="1332" customFormat="1" ht="13.8" x14ac:dyDescent="0.25">
      <c r="A774" s="1309"/>
      <c r="B774" s="1309" t="s">
        <v>1271</v>
      </c>
      <c r="C774" s="1310" t="s">
        <v>1294</v>
      </c>
      <c r="D774" s="1310">
        <v>100</v>
      </c>
      <c r="E774" s="1310">
        <v>85</v>
      </c>
      <c r="F774" s="1310">
        <f t="shared" si="90"/>
        <v>8500</v>
      </c>
      <c r="G774" s="1310"/>
      <c r="H774" s="1290"/>
      <c r="I774" s="1290"/>
      <c r="J774" s="1290"/>
      <c r="P774" s="1291"/>
      <c r="Q774" s="1291"/>
      <c r="R774" s="1291"/>
      <c r="S774" s="1291"/>
      <c r="T774" s="1291"/>
      <c r="U774" s="1291"/>
      <c r="V774" s="1291"/>
      <c r="W774" s="1291"/>
      <c r="X774" s="1291"/>
      <c r="Y774" s="1291"/>
      <c r="Z774" s="1291"/>
      <c r="AA774" s="1291"/>
      <c r="AB774" s="1291"/>
      <c r="AC774" s="1291"/>
    </row>
    <row r="775" spans="1:29" s="1332" customFormat="1" ht="13.8" x14ac:dyDescent="0.25">
      <c r="A775" s="1309"/>
      <c r="B775" s="1309"/>
      <c r="C775" s="1310"/>
      <c r="D775" s="1310"/>
      <c r="E775" s="1310"/>
      <c r="F775" s="1310"/>
      <c r="G775" s="1310"/>
      <c r="H775" s="1290"/>
      <c r="I775" s="1290"/>
      <c r="J775" s="1290"/>
      <c r="P775" s="1291"/>
      <c r="Q775" s="1291"/>
      <c r="R775" s="1291"/>
      <c r="S775" s="1291"/>
      <c r="T775" s="1291"/>
      <c r="U775" s="1291"/>
      <c r="V775" s="1291"/>
      <c r="W775" s="1291"/>
      <c r="X775" s="1291"/>
      <c r="Y775" s="1291"/>
      <c r="Z775" s="1291"/>
      <c r="AA775" s="1291"/>
      <c r="AB775" s="1291"/>
      <c r="AC775" s="1291"/>
    </row>
    <row r="776" spans="1:29" s="1332" customFormat="1" ht="13.8" x14ac:dyDescent="0.25">
      <c r="A776" s="1309"/>
      <c r="B776" s="1294" t="s">
        <v>1389</v>
      </c>
      <c r="C776" s="1310"/>
      <c r="D776" s="1310"/>
      <c r="E776" s="1310"/>
      <c r="F776" s="1310">
        <f>F774*3%</f>
        <v>255</v>
      </c>
      <c r="G776" s="1310"/>
      <c r="H776" s="1290"/>
      <c r="I776" s="1290"/>
      <c r="J776" s="1290"/>
      <c r="P776" s="1291"/>
      <c r="Q776" s="1291"/>
      <c r="R776" s="1291"/>
      <c r="S776" s="1291"/>
      <c r="T776" s="1291"/>
      <c r="U776" s="1291"/>
      <c r="V776" s="1291"/>
      <c r="W776" s="1291"/>
      <c r="X776" s="1291"/>
      <c r="Y776" s="1291"/>
      <c r="Z776" s="1291"/>
      <c r="AA776" s="1291"/>
      <c r="AB776" s="1291"/>
      <c r="AC776" s="1291"/>
    </row>
    <row r="777" spans="1:29" s="1332" customFormat="1" ht="13.8" x14ac:dyDescent="0.25">
      <c r="A777" s="1294"/>
      <c r="B777" s="1294" t="s">
        <v>1377</v>
      </c>
      <c r="C777" s="1296"/>
      <c r="D777" s="1296"/>
      <c r="E777" s="1296"/>
      <c r="F777" s="1296">
        <f>F774*5%</f>
        <v>425</v>
      </c>
      <c r="G777" s="1296"/>
      <c r="H777" s="1290"/>
      <c r="I777" s="1290"/>
      <c r="J777" s="1290"/>
      <c r="P777" s="1291"/>
      <c r="Q777" s="1291"/>
      <c r="R777" s="1291"/>
      <c r="S777" s="1291"/>
      <c r="T777" s="1291"/>
      <c r="U777" s="1291"/>
      <c r="V777" s="1291"/>
      <c r="W777" s="1291"/>
      <c r="X777" s="1291"/>
      <c r="Y777" s="1291"/>
      <c r="Z777" s="1291"/>
      <c r="AA777" s="1291"/>
      <c r="AB777" s="1291"/>
      <c r="AC777" s="1291"/>
    </row>
    <row r="778" spans="1:29" s="1332" customFormat="1" ht="13.8" x14ac:dyDescent="0.25">
      <c r="A778" s="1294"/>
      <c r="B778" s="1294"/>
      <c r="C778" s="1295"/>
      <c r="D778" s="1296"/>
      <c r="E778" s="1296"/>
      <c r="F778" s="1296"/>
      <c r="G778" s="1296"/>
      <c r="H778" s="1290"/>
      <c r="I778" s="1290"/>
      <c r="J778" s="1290"/>
      <c r="P778" s="1291"/>
      <c r="Q778" s="1291"/>
      <c r="R778" s="1291"/>
      <c r="S778" s="1291"/>
      <c r="T778" s="1291"/>
      <c r="U778" s="1291"/>
      <c r="V778" s="1291"/>
      <c r="W778" s="1291"/>
      <c r="X778" s="1291"/>
      <c r="Y778" s="1291"/>
      <c r="Z778" s="1291"/>
      <c r="AA778" s="1291"/>
      <c r="AB778" s="1291"/>
      <c r="AC778" s="1291"/>
    </row>
    <row r="779" spans="1:29" s="1332" customFormat="1" ht="13.8" x14ac:dyDescent="0.25">
      <c r="A779" s="1298"/>
      <c r="B779" s="1476" t="s">
        <v>1264</v>
      </c>
      <c r="C779" s="1476"/>
      <c r="D779" s="1476"/>
      <c r="E779" s="1476"/>
      <c r="F779" s="1299">
        <f t="shared" ref="F779" si="91">D779*E779</f>
        <v>0</v>
      </c>
      <c r="G779" s="1300">
        <f>SUM(F774:F779)</f>
        <v>9180</v>
      </c>
      <c r="H779" s="1290"/>
      <c r="I779" s="1290"/>
      <c r="J779" s="1290"/>
      <c r="P779" s="1291"/>
      <c r="Q779" s="1291"/>
      <c r="R779" s="1291"/>
      <c r="S779" s="1291"/>
      <c r="T779" s="1291"/>
      <c r="U779" s="1291"/>
      <c r="V779" s="1291"/>
      <c r="W779" s="1291"/>
      <c r="X779" s="1291"/>
      <c r="Y779" s="1291"/>
      <c r="Z779" s="1291"/>
      <c r="AA779" s="1291"/>
      <c r="AB779" s="1291"/>
      <c r="AC779" s="1291"/>
    </row>
    <row r="780" spans="1:29" s="1332" customFormat="1" ht="13.8" x14ac:dyDescent="0.25">
      <c r="A780" s="1294"/>
      <c r="B780" s="1302"/>
      <c r="C780" s="1302"/>
      <c r="D780" s="1302"/>
      <c r="E780" s="1302"/>
      <c r="F780" s="1296"/>
      <c r="G780" s="1302"/>
      <c r="H780" s="1290"/>
      <c r="I780" s="1290"/>
      <c r="J780" s="1290"/>
      <c r="P780" s="1291"/>
      <c r="Q780" s="1291"/>
      <c r="R780" s="1291"/>
      <c r="S780" s="1291"/>
      <c r="T780" s="1291"/>
      <c r="U780" s="1291"/>
      <c r="V780" s="1291"/>
      <c r="W780" s="1291"/>
      <c r="X780" s="1291"/>
      <c r="Y780" s="1291"/>
      <c r="Z780" s="1291"/>
      <c r="AA780" s="1291"/>
      <c r="AB780" s="1291"/>
      <c r="AC780" s="1291"/>
    </row>
    <row r="781" spans="1:29" s="1332" customFormat="1" ht="13.8" x14ac:dyDescent="0.25">
      <c r="A781" s="1294"/>
      <c r="B781" s="1302"/>
      <c r="C781" s="1302"/>
      <c r="D781" s="1302"/>
      <c r="E781" s="1302"/>
      <c r="F781" s="1296"/>
      <c r="G781" s="1302"/>
      <c r="H781" s="1290"/>
      <c r="I781" s="1290"/>
      <c r="J781" s="1290"/>
      <c r="P781" s="1291"/>
      <c r="Q781" s="1291"/>
      <c r="R781" s="1291"/>
      <c r="S781" s="1291"/>
      <c r="T781" s="1291"/>
      <c r="U781" s="1291"/>
      <c r="V781" s="1291"/>
      <c r="W781" s="1291"/>
      <c r="X781" s="1291"/>
      <c r="Y781" s="1291"/>
      <c r="Z781" s="1291"/>
      <c r="AA781" s="1291"/>
      <c r="AB781" s="1291"/>
      <c r="AC781" s="1291"/>
    </row>
    <row r="782" spans="1:29" s="1332" customFormat="1" ht="13.8" x14ac:dyDescent="0.25">
      <c r="A782" s="1469" t="s">
        <v>1295</v>
      </c>
      <c r="B782" s="1469"/>
      <c r="C782" s="1469"/>
      <c r="D782" s="1469"/>
      <c r="E782" s="1469"/>
      <c r="F782" s="1469"/>
      <c r="G782" s="1303">
        <f>G772+G779</f>
        <v>39879.443749999999</v>
      </c>
      <c r="H782" s="1290"/>
      <c r="I782" s="1290"/>
      <c r="J782" s="1290"/>
      <c r="P782" s="1291"/>
      <c r="Q782" s="1291"/>
      <c r="R782" s="1291"/>
      <c r="S782" s="1291"/>
      <c r="T782" s="1291"/>
      <c r="U782" s="1291"/>
      <c r="V782" s="1291"/>
      <c r="W782" s="1291"/>
      <c r="X782" s="1291"/>
      <c r="Y782" s="1291"/>
      <c r="Z782" s="1291"/>
      <c r="AA782" s="1291"/>
      <c r="AB782" s="1291"/>
      <c r="AC782" s="1291"/>
    </row>
    <row r="783" spans="1:29" s="1332" customFormat="1" ht="13.8" x14ac:dyDescent="0.25">
      <c r="A783" s="1469" t="s">
        <v>1296</v>
      </c>
      <c r="B783" s="1469"/>
      <c r="C783" s="1469"/>
      <c r="D783" s="1469"/>
      <c r="E783" s="1469"/>
      <c r="F783" s="1469"/>
      <c r="G783" s="1303">
        <f>G782/9.29</f>
        <v>4292.7280678148545</v>
      </c>
      <c r="H783" s="1290"/>
      <c r="I783" s="1290"/>
      <c r="J783" s="1290"/>
      <c r="P783" s="1291"/>
      <c r="Q783" s="1291"/>
      <c r="R783" s="1291"/>
      <c r="S783" s="1291"/>
      <c r="T783" s="1291"/>
      <c r="U783" s="1291"/>
      <c r="V783" s="1291"/>
      <c r="W783" s="1291"/>
      <c r="X783" s="1291"/>
      <c r="Y783" s="1291"/>
      <c r="Z783" s="1291"/>
      <c r="AA783" s="1291"/>
      <c r="AB783" s="1291"/>
      <c r="AC783" s="1291"/>
    </row>
    <row r="784" spans="1:29" s="1332" customFormat="1" ht="13.8" x14ac:dyDescent="0.25">
      <c r="A784" s="1469" t="s">
        <v>1297</v>
      </c>
      <c r="B784" s="1469"/>
      <c r="C784" s="1469"/>
      <c r="D784" s="1469"/>
      <c r="E784" s="1469"/>
      <c r="F784" s="1469"/>
      <c r="G784" s="1357">
        <f>G783/10.76</f>
        <v>398.9524226593731</v>
      </c>
      <c r="H784" s="1290"/>
      <c r="I784" s="1290"/>
      <c r="J784" s="1290"/>
      <c r="P784" s="1291"/>
      <c r="Q784" s="1291"/>
      <c r="R784" s="1291"/>
      <c r="S784" s="1291"/>
      <c r="T784" s="1291"/>
      <c r="U784" s="1291"/>
      <c r="V784" s="1291"/>
      <c r="W784" s="1291"/>
      <c r="X784" s="1291"/>
      <c r="Y784" s="1291"/>
      <c r="Z784" s="1291"/>
      <c r="AA784" s="1291"/>
      <c r="AB784" s="1291"/>
      <c r="AC784" s="1291"/>
    </row>
    <row r="800" spans="1:2" x14ac:dyDescent="0.25">
      <c r="A800" s="1495" t="s">
        <v>1390</v>
      </c>
      <c r="B800" s="1495"/>
    </row>
    <row r="803" spans="1:29" s="1332" customFormat="1" ht="13.8" thickBot="1" x14ac:dyDescent="0.3">
      <c r="A803" s="1291"/>
      <c r="B803" s="1291"/>
      <c r="C803" s="1291"/>
      <c r="D803" s="1291"/>
      <c r="E803" s="1291"/>
      <c r="F803" s="1291"/>
      <c r="G803" s="1291"/>
      <c r="H803" s="1290"/>
      <c r="I803" s="1290"/>
      <c r="J803" s="1290"/>
      <c r="P803" s="1291"/>
      <c r="Q803" s="1291"/>
      <c r="R803" s="1291"/>
      <c r="S803" s="1291"/>
      <c r="T803" s="1291"/>
      <c r="U803" s="1291"/>
      <c r="V803" s="1291"/>
      <c r="W803" s="1291"/>
      <c r="X803" s="1291"/>
      <c r="Y803" s="1291"/>
      <c r="Z803" s="1291"/>
      <c r="AA803" s="1291"/>
      <c r="AB803" s="1291"/>
      <c r="AC803" s="1291"/>
    </row>
    <row r="804" spans="1:29" s="1332" customFormat="1" ht="13.8" x14ac:dyDescent="0.25">
      <c r="A804" s="1470" t="s">
        <v>1391</v>
      </c>
      <c r="B804" s="1471"/>
      <c r="C804" s="1471"/>
      <c r="D804" s="1471"/>
      <c r="E804" s="1471"/>
      <c r="F804" s="1471"/>
      <c r="G804" s="1472"/>
      <c r="H804" s="1290"/>
      <c r="I804" s="1290"/>
      <c r="J804" s="1290"/>
      <c r="P804" s="1291"/>
      <c r="Q804" s="1291"/>
      <c r="R804" s="1291"/>
      <c r="S804" s="1291"/>
      <c r="T804" s="1291"/>
      <c r="U804" s="1291"/>
      <c r="V804" s="1291"/>
      <c r="W804" s="1291"/>
      <c r="X804" s="1291"/>
      <c r="Y804" s="1291"/>
      <c r="Z804" s="1291"/>
      <c r="AA804" s="1291"/>
      <c r="AB804" s="1291"/>
      <c r="AC804" s="1291"/>
    </row>
    <row r="805" spans="1:29" s="1332" customFormat="1" ht="14.4" thickBot="1" x14ac:dyDescent="0.3">
      <c r="A805" s="1473" t="s">
        <v>1259</v>
      </c>
      <c r="B805" s="1474"/>
      <c r="C805" s="1474"/>
      <c r="D805" s="1474"/>
      <c r="E805" s="1474"/>
      <c r="F805" s="1474"/>
      <c r="G805" s="1475"/>
      <c r="H805" s="1290"/>
      <c r="I805" s="1290"/>
      <c r="J805" s="1290"/>
      <c r="P805" s="1291"/>
      <c r="Q805" s="1291"/>
      <c r="R805" s="1291"/>
      <c r="S805" s="1291"/>
      <c r="T805" s="1291"/>
      <c r="U805" s="1291"/>
      <c r="V805" s="1291"/>
      <c r="W805" s="1291"/>
      <c r="X805" s="1291"/>
      <c r="Y805" s="1291"/>
      <c r="Z805" s="1291"/>
      <c r="AA805" s="1291"/>
      <c r="AB805" s="1291"/>
      <c r="AC805" s="1291"/>
    </row>
    <row r="806" spans="1:29" s="1332" customFormat="1" ht="14.4" thickBot="1" x14ac:dyDescent="0.3">
      <c r="A806" s="1292"/>
      <c r="B806" s="1293" t="s">
        <v>1038</v>
      </c>
      <c r="C806" s="1293" t="s">
        <v>1039</v>
      </c>
      <c r="D806" s="1293" t="s">
        <v>2</v>
      </c>
      <c r="E806" s="1293" t="s">
        <v>1040</v>
      </c>
      <c r="F806" s="1293" t="s">
        <v>5</v>
      </c>
      <c r="G806" s="1293" t="s">
        <v>1260</v>
      </c>
      <c r="H806" s="1290">
        <f>0.1*1.3333</f>
        <v>0.13333</v>
      </c>
      <c r="I806" s="1290">
        <f>H806/6</f>
        <v>2.2221666666666667E-2</v>
      </c>
      <c r="J806" s="1290">
        <f>I806*1440</f>
        <v>31.999200000000002</v>
      </c>
      <c r="K806" s="1332">
        <f>32/50</f>
        <v>0.64</v>
      </c>
      <c r="L806" s="1332">
        <f>I806*5</f>
        <v>0.11110833333333334</v>
      </c>
      <c r="M806" s="1332">
        <f>L806/2.83</f>
        <v>3.9260895170789165E-2</v>
      </c>
      <c r="P806" s="1291"/>
      <c r="Q806" s="1291"/>
      <c r="R806" s="1291"/>
      <c r="S806" s="1291"/>
      <c r="T806" s="1291"/>
      <c r="U806" s="1291"/>
      <c r="V806" s="1291"/>
      <c r="W806" s="1291"/>
      <c r="X806" s="1291"/>
      <c r="Y806" s="1291"/>
      <c r="Z806" s="1291"/>
      <c r="AA806" s="1291"/>
      <c r="AB806" s="1291"/>
      <c r="AC806" s="1291"/>
    </row>
    <row r="807" spans="1:29" s="1332" customFormat="1" ht="13.8" x14ac:dyDescent="0.25">
      <c r="A807" s="1294"/>
      <c r="B807" s="1294"/>
      <c r="C807" s="1295"/>
      <c r="D807" s="1296"/>
      <c r="E807" s="1296"/>
      <c r="F807" s="1296"/>
      <c r="G807" s="1296"/>
      <c r="H807" s="1290"/>
      <c r="I807" s="1290">
        <f>0.405*0.205</f>
        <v>8.3025000000000002E-2</v>
      </c>
      <c r="J807" s="1290">
        <f>I807*112</f>
        <v>9.2988</v>
      </c>
      <c r="P807" s="1291"/>
      <c r="Q807" s="1291"/>
      <c r="R807" s="1291"/>
      <c r="S807" s="1291"/>
      <c r="T807" s="1291"/>
      <c r="U807" s="1291"/>
      <c r="V807" s="1291"/>
      <c r="W807" s="1291"/>
      <c r="X807" s="1291"/>
      <c r="Y807" s="1291"/>
      <c r="Z807" s="1291"/>
      <c r="AA807" s="1291"/>
      <c r="AB807" s="1291"/>
      <c r="AC807" s="1291"/>
    </row>
    <row r="808" spans="1:29" s="1332" customFormat="1" ht="13.8" x14ac:dyDescent="0.25">
      <c r="A808" s="1309"/>
      <c r="B808" s="1309" t="s">
        <v>1385</v>
      </c>
      <c r="C808" s="1310" t="s">
        <v>0</v>
      </c>
      <c r="D808" s="1310">
        <v>112</v>
      </c>
      <c r="E808" s="1310">
        <f>[19]Material!D115</f>
        <v>109</v>
      </c>
      <c r="F808" s="1310">
        <f>D808*E808</f>
        <v>12208</v>
      </c>
      <c r="G808" s="1310"/>
      <c r="H808" s="1290"/>
      <c r="I808" s="1290"/>
      <c r="J808" s="1290"/>
      <c r="L808" s="1332">
        <f>9.29*0.1</f>
        <v>0.92899999999999994</v>
      </c>
      <c r="P808" s="1291"/>
      <c r="Q808" s="1291"/>
      <c r="R808" s="1291"/>
      <c r="S808" s="1291"/>
      <c r="T808" s="1291"/>
      <c r="U808" s="1291"/>
      <c r="V808" s="1291"/>
      <c r="W808" s="1291"/>
      <c r="X808" s="1291"/>
      <c r="Y808" s="1291"/>
      <c r="Z808" s="1291"/>
      <c r="AA808" s="1291"/>
      <c r="AB808" s="1291"/>
      <c r="AC808" s="1291"/>
    </row>
    <row r="809" spans="1:29" s="1332" customFormat="1" ht="13.8" x14ac:dyDescent="0.25">
      <c r="A809" s="1309"/>
      <c r="B809" s="1342" t="s">
        <v>1376</v>
      </c>
      <c r="C809" s="1343"/>
      <c r="D809" s="1310"/>
      <c r="E809" s="1310"/>
      <c r="F809" s="1310">
        <f>F808*5%</f>
        <v>610.4</v>
      </c>
      <c r="G809" s="1310"/>
      <c r="H809" s="1290"/>
      <c r="I809" s="1290">
        <f>0.39*0.19*0.1</f>
        <v>7.4099999999999999E-3</v>
      </c>
      <c r="J809" s="1290"/>
      <c r="L809" s="1332">
        <f>L808-I810</f>
        <v>9.9079999999999946E-2</v>
      </c>
      <c r="P809" s="1291"/>
      <c r="Q809" s="1291"/>
      <c r="R809" s="1291"/>
      <c r="S809" s="1291"/>
      <c r="T809" s="1291"/>
      <c r="U809" s="1291"/>
      <c r="V809" s="1291"/>
      <c r="W809" s="1291"/>
      <c r="X809" s="1291"/>
      <c r="Y809" s="1291"/>
      <c r="Z809" s="1291"/>
      <c r="AA809" s="1291"/>
      <c r="AB809" s="1291"/>
      <c r="AC809" s="1291"/>
    </row>
    <row r="810" spans="1:29" s="1332" customFormat="1" ht="13.8" x14ac:dyDescent="0.25">
      <c r="A810" s="1309"/>
      <c r="B810" s="1309" t="s">
        <v>1108</v>
      </c>
      <c r="C810" s="1310" t="s">
        <v>1324</v>
      </c>
      <c r="D810" s="1310">
        <v>0.64</v>
      </c>
      <c r="E810" s="1310">
        <f>F197</f>
        <v>2235.625</v>
      </c>
      <c r="F810" s="1310">
        <f>D810*E810</f>
        <v>1430.8</v>
      </c>
      <c r="G810" s="1310"/>
      <c r="H810" s="1290"/>
      <c r="I810" s="1290">
        <f>I809*112</f>
        <v>0.82991999999999999</v>
      </c>
      <c r="J810" s="1290"/>
      <c r="P810" s="1291"/>
      <c r="Q810" s="1291"/>
      <c r="R810" s="1291"/>
      <c r="S810" s="1291"/>
      <c r="T810" s="1291"/>
      <c r="U810" s="1291"/>
      <c r="V810" s="1291"/>
      <c r="W810" s="1291"/>
      <c r="X810" s="1291"/>
      <c r="Y810" s="1291"/>
      <c r="Z810" s="1291"/>
      <c r="AA810" s="1291"/>
      <c r="AB810" s="1291"/>
      <c r="AC810" s="1291"/>
    </row>
    <row r="811" spans="1:29" s="1332" customFormat="1" ht="13.8" x14ac:dyDescent="0.25">
      <c r="A811" s="1309"/>
      <c r="B811" s="1309" t="s">
        <v>1159</v>
      </c>
      <c r="C811" s="1310" t="s">
        <v>1110</v>
      </c>
      <c r="D811" s="1310">
        <v>0.14000000000000001</v>
      </c>
      <c r="E811" s="1310">
        <f>[19]Material!E13</f>
        <v>23500</v>
      </c>
      <c r="F811" s="1310">
        <f>D811*E811</f>
        <v>3290.0000000000005</v>
      </c>
      <c r="G811" s="1310"/>
      <c r="H811" s="1290"/>
      <c r="I811" s="1290"/>
      <c r="J811" s="1290"/>
      <c r="L811" s="1332">
        <f>0.1</f>
        <v>0.1</v>
      </c>
      <c r="M811" s="1332">
        <f>L811*1.3333</f>
        <v>0.13333</v>
      </c>
      <c r="N811" s="1355">
        <f>M811/6</f>
        <v>2.2221666666666667E-2</v>
      </c>
      <c r="P811" s="1291"/>
      <c r="Q811" s="1291"/>
      <c r="R811" s="1291"/>
      <c r="S811" s="1291"/>
      <c r="T811" s="1291"/>
      <c r="U811" s="1291"/>
      <c r="V811" s="1291"/>
      <c r="W811" s="1291"/>
      <c r="X811" s="1291"/>
      <c r="Y811" s="1291"/>
      <c r="Z811" s="1291"/>
      <c r="AA811" s="1291"/>
      <c r="AB811" s="1291"/>
      <c r="AC811" s="1291"/>
    </row>
    <row r="812" spans="1:29" s="1332" customFormat="1" ht="13.8" x14ac:dyDescent="0.25">
      <c r="A812" s="1294"/>
      <c r="B812" s="1311"/>
      <c r="C812" s="1296"/>
      <c r="D812" s="1296"/>
      <c r="E812" s="1296"/>
      <c r="F812" s="1296"/>
      <c r="G812" s="1296"/>
      <c r="H812" s="1290"/>
      <c r="I812" s="1290"/>
      <c r="J812" s="1290"/>
      <c r="P812" s="1291"/>
      <c r="Q812" s="1291"/>
      <c r="R812" s="1291"/>
      <c r="S812" s="1291"/>
      <c r="T812" s="1291"/>
      <c r="U812" s="1291"/>
      <c r="V812" s="1291"/>
      <c r="W812" s="1291"/>
      <c r="X812" s="1291"/>
      <c r="Y812" s="1291"/>
      <c r="Z812" s="1291"/>
      <c r="AA812" s="1291"/>
      <c r="AB812" s="1291"/>
      <c r="AC812" s="1291"/>
    </row>
    <row r="813" spans="1:29" s="1332" customFormat="1" ht="13.8" x14ac:dyDescent="0.25">
      <c r="A813" s="1294"/>
      <c r="B813" s="1295"/>
      <c r="C813" s="1296"/>
      <c r="D813" s="1296"/>
      <c r="E813" s="1296"/>
      <c r="F813" s="1296">
        <f t="shared" ref="F813:F814" si="92">D813*E813</f>
        <v>0</v>
      </c>
      <c r="G813" s="1296"/>
      <c r="H813" s="1290"/>
      <c r="I813" s="1290"/>
      <c r="J813" s="1290"/>
      <c r="L813" s="1355">
        <v>0.02</v>
      </c>
      <c r="M813" s="1332">
        <v>1440</v>
      </c>
      <c r="N813" s="1356">
        <f>L813*M813</f>
        <v>28.8</v>
      </c>
      <c r="P813" s="1291"/>
      <c r="Q813" s="1291"/>
      <c r="R813" s="1291"/>
      <c r="S813" s="1291"/>
      <c r="T813" s="1291"/>
      <c r="U813" s="1291"/>
      <c r="V813" s="1291"/>
      <c r="W813" s="1291"/>
      <c r="X813" s="1291"/>
      <c r="Y813" s="1291"/>
      <c r="Z813" s="1291"/>
      <c r="AA813" s="1291"/>
      <c r="AB813" s="1291"/>
      <c r="AC813" s="1291"/>
    </row>
    <row r="814" spans="1:29" s="1332" customFormat="1" ht="13.8" x14ac:dyDescent="0.25">
      <c r="A814" s="1294"/>
      <c r="B814" s="1294"/>
      <c r="C814" s="1295"/>
      <c r="D814" s="1296"/>
      <c r="E814" s="1296"/>
      <c r="F814" s="1296">
        <f t="shared" si="92"/>
        <v>0</v>
      </c>
      <c r="G814" s="1296"/>
      <c r="H814" s="1290"/>
      <c r="I814" s="1290"/>
      <c r="J814" s="1290"/>
      <c r="P814" s="1291"/>
      <c r="Q814" s="1291"/>
      <c r="R814" s="1291"/>
      <c r="S814" s="1291"/>
      <c r="T814" s="1291"/>
      <c r="U814" s="1291"/>
      <c r="V814" s="1291"/>
      <c r="W814" s="1291"/>
      <c r="X814" s="1291"/>
      <c r="Y814" s="1291"/>
      <c r="Z814" s="1291"/>
      <c r="AA814" s="1291"/>
      <c r="AB814" s="1291"/>
      <c r="AC814" s="1291"/>
    </row>
    <row r="815" spans="1:29" s="1332" customFormat="1" ht="13.8" x14ac:dyDescent="0.25">
      <c r="A815" s="1298"/>
      <c r="B815" s="1476" t="s">
        <v>1277</v>
      </c>
      <c r="C815" s="1476"/>
      <c r="D815" s="1476"/>
      <c r="E815" s="1476"/>
      <c r="F815" s="1299"/>
      <c r="G815" s="1300">
        <f>SUM(F808:F815)</f>
        <v>17539.2</v>
      </c>
      <c r="H815" s="1290"/>
      <c r="I815" s="1290"/>
      <c r="J815" s="1290"/>
      <c r="L815" s="1332">
        <f>0.02</f>
        <v>0.02</v>
      </c>
      <c r="M815" s="1332">
        <v>5</v>
      </c>
      <c r="N815" s="1332">
        <f>L815*M815</f>
        <v>0.1</v>
      </c>
      <c r="P815" s="1291"/>
      <c r="Q815" s="1291"/>
      <c r="R815" s="1291"/>
      <c r="S815" s="1291"/>
      <c r="T815" s="1291"/>
      <c r="U815" s="1291"/>
      <c r="V815" s="1291"/>
      <c r="W815" s="1291"/>
      <c r="X815" s="1291"/>
      <c r="Y815" s="1291"/>
      <c r="Z815" s="1291"/>
      <c r="AA815" s="1291"/>
      <c r="AB815" s="1291"/>
      <c r="AC815" s="1291"/>
    </row>
    <row r="816" spans="1:29" s="1332" customFormat="1" ht="13.8" x14ac:dyDescent="0.25">
      <c r="A816" s="1294"/>
      <c r="B816" s="1297" t="s">
        <v>1261</v>
      </c>
      <c r="C816" s="1295"/>
      <c r="D816" s="1296"/>
      <c r="E816" s="1296"/>
      <c r="F816" s="1296">
        <f t="shared" ref="F816:F817" si="93">D816*E816</f>
        <v>0</v>
      </c>
      <c r="G816" s="1296"/>
      <c r="H816" s="1290"/>
      <c r="I816" s="1290"/>
      <c r="J816" s="1290"/>
      <c r="P816" s="1291"/>
      <c r="Q816" s="1291"/>
      <c r="R816" s="1291"/>
      <c r="S816" s="1291"/>
      <c r="T816" s="1291"/>
      <c r="U816" s="1291"/>
      <c r="V816" s="1291"/>
      <c r="W816" s="1291"/>
      <c r="X816" s="1291"/>
      <c r="Y816" s="1291"/>
      <c r="Z816" s="1291"/>
      <c r="AA816" s="1291"/>
      <c r="AB816" s="1291"/>
      <c r="AC816" s="1291"/>
    </row>
    <row r="817" spans="1:9" ht="13.8" x14ac:dyDescent="0.25">
      <c r="A817" s="1309"/>
      <c r="B817" s="1309" t="s">
        <v>1271</v>
      </c>
      <c r="C817" s="1310" t="s">
        <v>1294</v>
      </c>
      <c r="D817" s="1310">
        <v>100</v>
      </c>
      <c r="E817" s="1310">
        <v>60</v>
      </c>
      <c r="F817" s="1310">
        <f t="shared" si="93"/>
        <v>6000</v>
      </c>
      <c r="G817" s="1310"/>
      <c r="I817" s="1290">
        <f>0.1*1.3333</f>
        <v>0.13333</v>
      </c>
    </row>
    <row r="818" spans="1:9" ht="13.8" x14ac:dyDescent="0.25">
      <c r="A818" s="1309"/>
      <c r="B818" s="1309"/>
      <c r="C818" s="1310"/>
      <c r="D818" s="1310"/>
      <c r="E818" s="1310"/>
      <c r="F818" s="1310"/>
      <c r="G818" s="1310"/>
    </row>
    <row r="819" spans="1:9" ht="13.8" x14ac:dyDescent="0.25">
      <c r="A819" s="1309"/>
      <c r="B819" s="1294" t="s">
        <v>1389</v>
      </c>
      <c r="C819" s="1310"/>
      <c r="D819" s="1310"/>
      <c r="E819" s="1310"/>
      <c r="F819" s="1310">
        <f>F817*3%</f>
        <v>180</v>
      </c>
      <c r="G819" s="1310"/>
      <c r="I819" s="1290">
        <f>I817/6</f>
        <v>2.2221666666666667E-2</v>
      </c>
    </row>
    <row r="820" spans="1:9" ht="13.8" x14ac:dyDescent="0.25">
      <c r="A820" s="1294"/>
      <c r="B820" s="1294" t="s">
        <v>1377</v>
      </c>
      <c r="C820" s="1296"/>
      <c r="D820" s="1296"/>
      <c r="E820" s="1296"/>
      <c r="F820" s="1296">
        <f>F817*5%</f>
        <v>300</v>
      </c>
      <c r="G820" s="1296"/>
    </row>
    <row r="821" spans="1:9" ht="13.8" x14ac:dyDescent="0.25">
      <c r="A821" s="1294"/>
      <c r="B821" s="1294"/>
      <c r="C821" s="1295"/>
      <c r="D821" s="1296"/>
      <c r="E821" s="1296"/>
      <c r="F821" s="1296"/>
      <c r="G821" s="1296"/>
    </row>
    <row r="822" spans="1:9" ht="13.8" x14ac:dyDescent="0.25">
      <c r="A822" s="1298"/>
      <c r="B822" s="1476" t="s">
        <v>1264</v>
      </c>
      <c r="C822" s="1476"/>
      <c r="D822" s="1476"/>
      <c r="E822" s="1476"/>
      <c r="F822" s="1299">
        <f t="shared" ref="F822" si="94">D822*E822</f>
        <v>0</v>
      </c>
      <c r="G822" s="1300">
        <f>SUM(F817:F822)</f>
        <v>6480</v>
      </c>
    </row>
    <row r="823" spans="1:9" ht="13.8" x14ac:dyDescent="0.25">
      <c r="A823" s="1294"/>
      <c r="B823" s="1302"/>
      <c r="C823" s="1302"/>
      <c r="D823" s="1302"/>
      <c r="E823" s="1302"/>
      <c r="F823" s="1296"/>
      <c r="G823" s="1302"/>
    </row>
    <row r="824" spans="1:9" ht="13.8" x14ac:dyDescent="0.25">
      <c r="A824" s="1294"/>
      <c r="B824" s="1302"/>
      <c r="C824" s="1302"/>
      <c r="D824" s="1302"/>
      <c r="E824" s="1302"/>
      <c r="F824" s="1296"/>
      <c r="G824" s="1302"/>
    </row>
    <row r="825" spans="1:9" ht="13.8" x14ac:dyDescent="0.25">
      <c r="A825" s="1469" t="s">
        <v>1295</v>
      </c>
      <c r="B825" s="1469"/>
      <c r="C825" s="1469"/>
      <c r="D825" s="1469"/>
      <c r="E825" s="1469"/>
      <c r="F825" s="1469"/>
      <c r="G825" s="1303">
        <f>G815+G822</f>
        <v>24019.200000000001</v>
      </c>
    </row>
    <row r="826" spans="1:9" ht="13.8" x14ac:dyDescent="0.25">
      <c r="A826" s="1469" t="s">
        <v>1296</v>
      </c>
      <c r="B826" s="1469"/>
      <c r="C826" s="1469"/>
      <c r="D826" s="1469"/>
      <c r="E826" s="1469"/>
      <c r="F826" s="1469"/>
      <c r="G826" s="1303">
        <f>G825/9.29</f>
        <v>2585.4897739504845</v>
      </c>
    </row>
    <row r="827" spans="1:9" ht="13.8" x14ac:dyDescent="0.25">
      <c r="A827" s="1469" t="s">
        <v>1297</v>
      </c>
      <c r="B827" s="1469"/>
      <c r="C827" s="1469"/>
      <c r="D827" s="1469"/>
      <c r="E827" s="1469"/>
      <c r="F827" s="1469"/>
      <c r="G827" s="1354">
        <f>G826/10.76</f>
        <v>240.28715371287032</v>
      </c>
    </row>
    <row r="832" spans="1:9" x14ac:dyDescent="0.25">
      <c r="A832" s="1495" t="s">
        <v>1390</v>
      </c>
      <c r="B832" s="1495"/>
    </row>
    <row r="835" spans="1:29" s="1332" customFormat="1" ht="13.8" thickBot="1" x14ac:dyDescent="0.3">
      <c r="A835" s="1291"/>
      <c r="B835" s="1291"/>
      <c r="C835" s="1291"/>
      <c r="D835" s="1291"/>
      <c r="E835" s="1291"/>
      <c r="F835" s="1291"/>
      <c r="G835" s="1291"/>
      <c r="H835" s="1290"/>
      <c r="I835" s="1290"/>
      <c r="J835" s="1290"/>
      <c r="P835" s="1291"/>
      <c r="Q835" s="1291"/>
      <c r="R835" s="1291"/>
      <c r="S835" s="1291"/>
      <c r="T835" s="1291"/>
      <c r="U835" s="1291"/>
      <c r="V835" s="1291"/>
      <c r="W835" s="1291"/>
      <c r="X835" s="1291"/>
      <c r="Y835" s="1291"/>
      <c r="Z835" s="1291"/>
      <c r="AA835" s="1291"/>
      <c r="AB835" s="1291"/>
      <c r="AC835" s="1291"/>
    </row>
    <row r="836" spans="1:29" s="1332" customFormat="1" ht="13.8" x14ac:dyDescent="0.25">
      <c r="A836" s="1470" t="s">
        <v>1391</v>
      </c>
      <c r="B836" s="1471"/>
      <c r="C836" s="1471"/>
      <c r="D836" s="1471"/>
      <c r="E836" s="1471"/>
      <c r="F836" s="1471"/>
      <c r="G836" s="1472"/>
      <c r="H836" s="1290"/>
      <c r="I836" s="1290"/>
      <c r="J836" s="1290"/>
      <c r="P836" s="1291"/>
      <c r="Q836" s="1291"/>
      <c r="R836" s="1291"/>
      <c r="S836" s="1291"/>
      <c r="T836" s="1291"/>
      <c r="U836" s="1291"/>
      <c r="V836" s="1291"/>
      <c r="W836" s="1291"/>
      <c r="X836" s="1291"/>
      <c r="Y836" s="1291"/>
      <c r="Z836" s="1291"/>
      <c r="AA836" s="1291"/>
      <c r="AB836" s="1291"/>
      <c r="AC836" s="1291"/>
    </row>
    <row r="837" spans="1:29" s="1332" customFormat="1" ht="14.4" thickBot="1" x14ac:dyDescent="0.3">
      <c r="A837" s="1473" t="s">
        <v>1259</v>
      </c>
      <c r="B837" s="1474"/>
      <c r="C837" s="1474"/>
      <c r="D837" s="1474"/>
      <c r="E837" s="1474"/>
      <c r="F837" s="1474"/>
      <c r="G837" s="1475"/>
      <c r="H837" s="1290"/>
      <c r="I837" s="1290"/>
      <c r="J837" s="1290"/>
      <c r="P837" s="1291"/>
      <c r="Q837" s="1291"/>
      <c r="R837" s="1291"/>
      <c r="S837" s="1291"/>
      <c r="T837" s="1291"/>
      <c r="U837" s="1291"/>
      <c r="V837" s="1291"/>
      <c r="W837" s="1291"/>
      <c r="X837" s="1291"/>
      <c r="Y837" s="1291"/>
      <c r="Z837" s="1291"/>
      <c r="AA837" s="1291"/>
      <c r="AB837" s="1291"/>
      <c r="AC837" s="1291"/>
    </row>
    <row r="838" spans="1:29" s="1332" customFormat="1" ht="14.4" thickBot="1" x14ac:dyDescent="0.3">
      <c r="A838" s="1292"/>
      <c r="B838" s="1293" t="s">
        <v>1038</v>
      </c>
      <c r="C838" s="1293" t="s">
        <v>1039</v>
      </c>
      <c r="D838" s="1293" t="s">
        <v>2</v>
      </c>
      <c r="E838" s="1293" t="s">
        <v>1040</v>
      </c>
      <c r="F838" s="1293" t="s">
        <v>5</v>
      </c>
      <c r="G838" s="1293" t="s">
        <v>1260</v>
      </c>
      <c r="H838" s="1290">
        <f>0.1*1.3333</f>
        <v>0.13333</v>
      </c>
      <c r="I838" s="1290">
        <f>H838/6</f>
        <v>2.2221666666666667E-2</v>
      </c>
      <c r="J838" s="1290">
        <f>I838*1440</f>
        <v>31.999200000000002</v>
      </c>
      <c r="K838" s="1332">
        <f>32/50</f>
        <v>0.64</v>
      </c>
      <c r="L838" s="1332">
        <f>I838*5</f>
        <v>0.11110833333333334</v>
      </c>
      <c r="M838" s="1332">
        <f>L838/2.83</f>
        <v>3.9260895170789165E-2</v>
      </c>
      <c r="P838" s="1291"/>
      <c r="Q838" s="1291"/>
      <c r="R838" s="1291"/>
      <c r="S838" s="1291"/>
      <c r="T838" s="1291"/>
      <c r="U838" s="1291"/>
      <c r="V838" s="1291"/>
      <c r="W838" s="1291"/>
      <c r="X838" s="1291"/>
      <c r="Y838" s="1291"/>
      <c r="Z838" s="1291"/>
      <c r="AA838" s="1291"/>
      <c r="AB838" s="1291"/>
      <c r="AC838" s="1291"/>
    </row>
    <row r="839" spans="1:29" s="1332" customFormat="1" ht="13.8" x14ac:dyDescent="0.25">
      <c r="A839" s="1294"/>
      <c r="B839" s="1294"/>
      <c r="C839" s="1295"/>
      <c r="D839" s="1296"/>
      <c r="E839" s="1296"/>
      <c r="F839" s="1296"/>
      <c r="G839" s="1296"/>
      <c r="H839" s="1290"/>
      <c r="I839" s="1290">
        <f>0.405*0.205</f>
        <v>8.3025000000000002E-2</v>
      </c>
      <c r="J839" s="1290">
        <f>I839*112</f>
        <v>9.2988</v>
      </c>
      <c r="P839" s="1291"/>
      <c r="Q839" s="1291"/>
      <c r="R839" s="1291"/>
      <c r="S839" s="1291"/>
      <c r="T839" s="1291"/>
      <c r="U839" s="1291"/>
      <c r="V839" s="1291"/>
      <c r="W839" s="1291"/>
      <c r="X839" s="1291"/>
      <c r="Y839" s="1291"/>
      <c r="Z839" s="1291"/>
      <c r="AA839" s="1291"/>
      <c r="AB839" s="1291"/>
      <c r="AC839" s="1291"/>
    </row>
    <row r="840" spans="1:29" s="1332" customFormat="1" ht="13.8" x14ac:dyDescent="0.25">
      <c r="A840" s="1309"/>
      <c r="B840" s="1309" t="s">
        <v>1385</v>
      </c>
      <c r="C840" s="1310" t="s">
        <v>0</v>
      </c>
      <c r="D840" s="1310">
        <v>112</v>
      </c>
      <c r="E840" s="1310">
        <f>[19]Material!D116</f>
        <v>168</v>
      </c>
      <c r="F840" s="1310">
        <f>D840*E840</f>
        <v>18816</v>
      </c>
      <c r="G840" s="1310"/>
      <c r="H840" s="1290"/>
      <c r="I840" s="1290"/>
      <c r="J840" s="1290"/>
      <c r="L840" s="1332">
        <f>9.29*0.1</f>
        <v>0.92899999999999994</v>
      </c>
      <c r="P840" s="1291"/>
      <c r="Q840" s="1291"/>
      <c r="R840" s="1291"/>
      <c r="S840" s="1291"/>
      <c r="T840" s="1291"/>
      <c r="U840" s="1291"/>
      <c r="V840" s="1291"/>
      <c r="W840" s="1291"/>
      <c r="X840" s="1291"/>
      <c r="Y840" s="1291"/>
      <c r="Z840" s="1291"/>
      <c r="AA840" s="1291"/>
      <c r="AB840" s="1291"/>
      <c r="AC840" s="1291"/>
    </row>
    <row r="841" spans="1:29" s="1332" customFormat="1" ht="13.8" x14ac:dyDescent="0.25">
      <c r="A841" s="1309"/>
      <c r="B841" s="1342" t="s">
        <v>1376</v>
      </c>
      <c r="C841" s="1343"/>
      <c r="D841" s="1310"/>
      <c r="E841" s="1310"/>
      <c r="F841" s="1310">
        <f>F840*5%</f>
        <v>940.80000000000007</v>
      </c>
      <c r="G841" s="1310"/>
      <c r="H841" s="1290"/>
      <c r="I841" s="1290">
        <f>0.39*0.19*0.1</f>
        <v>7.4099999999999999E-3</v>
      </c>
      <c r="J841" s="1290"/>
      <c r="L841" s="1332">
        <f>L840-I842</f>
        <v>9.9079999999999946E-2</v>
      </c>
      <c r="P841" s="1291"/>
      <c r="Q841" s="1291"/>
      <c r="R841" s="1291"/>
      <c r="S841" s="1291"/>
      <c r="T841" s="1291"/>
      <c r="U841" s="1291"/>
      <c r="V841" s="1291"/>
      <c r="W841" s="1291"/>
      <c r="X841" s="1291"/>
      <c r="Y841" s="1291"/>
      <c r="Z841" s="1291"/>
      <c r="AA841" s="1291"/>
      <c r="AB841" s="1291"/>
      <c r="AC841" s="1291"/>
    </row>
    <row r="842" spans="1:29" s="1332" customFormat="1" ht="13.8" x14ac:dyDescent="0.25">
      <c r="A842" s="1309"/>
      <c r="B842" s="1309" t="s">
        <v>1108</v>
      </c>
      <c r="C842" s="1310" t="s">
        <v>1324</v>
      </c>
      <c r="D842" s="1310">
        <v>0.64</v>
      </c>
      <c r="E842" s="1310">
        <f>F228</f>
        <v>0</v>
      </c>
      <c r="F842" s="1310">
        <f>D842*E842</f>
        <v>0</v>
      </c>
      <c r="G842" s="1310"/>
      <c r="H842" s="1290"/>
      <c r="I842" s="1290">
        <f>I841*112</f>
        <v>0.82991999999999999</v>
      </c>
      <c r="J842" s="1290"/>
      <c r="P842" s="1291"/>
      <c r="Q842" s="1291"/>
      <c r="R842" s="1291"/>
      <c r="S842" s="1291"/>
      <c r="T842" s="1291"/>
      <c r="U842" s="1291"/>
      <c r="V842" s="1291"/>
      <c r="W842" s="1291"/>
      <c r="X842" s="1291"/>
      <c r="Y842" s="1291"/>
      <c r="Z842" s="1291"/>
      <c r="AA842" s="1291"/>
      <c r="AB842" s="1291"/>
      <c r="AC842" s="1291"/>
    </row>
    <row r="843" spans="1:29" s="1332" customFormat="1" ht="13.8" x14ac:dyDescent="0.25">
      <c r="A843" s="1309"/>
      <c r="B843" s="1309" t="s">
        <v>1159</v>
      </c>
      <c r="C843" s="1310" t="s">
        <v>1110</v>
      </c>
      <c r="D843" s="1310">
        <v>0.14000000000000001</v>
      </c>
      <c r="E843" s="1310">
        <f>[19]Material!E44</f>
        <v>0</v>
      </c>
      <c r="F843" s="1310">
        <f>D843*E843</f>
        <v>0</v>
      </c>
      <c r="G843" s="1310"/>
      <c r="H843" s="1290"/>
      <c r="I843" s="1290"/>
      <c r="J843" s="1290"/>
      <c r="L843" s="1332">
        <f>0.1</f>
        <v>0.1</v>
      </c>
      <c r="M843" s="1332">
        <f>L843*1.3333</f>
        <v>0.13333</v>
      </c>
      <c r="N843" s="1355">
        <f>M843/6</f>
        <v>2.2221666666666667E-2</v>
      </c>
      <c r="P843" s="1291"/>
      <c r="Q843" s="1291"/>
      <c r="R843" s="1291"/>
      <c r="S843" s="1291"/>
      <c r="T843" s="1291"/>
      <c r="U843" s="1291"/>
      <c r="V843" s="1291"/>
      <c r="W843" s="1291"/>
      <c r="X843" s="1291"/>
      <c r="Y843" s="1291"/>
      <c r="Z843" s="1291"/>
      <c r="AA843" s="1291"/>
      <c r="AB843" s="1291"/>
      <c r="AC843" s="1291"/>
    </row>
    <row r="844" spans="1:29" s="1332" customFormat="1" ht="13.8" x14ac:dyDescent="0.25">
      <c r="A844" s="1294"/>
      <c r="B844" s="1311"/>
      <c r="C844" s="1296"/>
      <c r="D844" s="1296"/>
      <c r="E844" s="1296"/>
      <c r="F844" s="1296"/>
      <c r="G844" s="1296"/>
      <c r="H844" s="1290"/>
      <c r="I844" s="1290"/>
      <c r="J844" s="1290"/>
      <c r="P844" s="1291"/>
      <c r="Q844" s="1291"/>
      <c r="R844" s="1291"/>
      <c r="S844" s="1291"/>
      <c r="T844" s="1291"/>
      <c r="U844" s="1291"/>
      <c r="V844" s="1291"/>
      <c r="W844" s="1291"/>
      <c r="X844" s="1291"/>
      <c r="Y844" s="1291"/>
      <c r="Z844" s="1291"/>
      <c r="AA844" s="1291"/>
      <c r="AB844" s="1291"/>
      <c r="AC844" s="1291"/>
    </row>
    <row r="845" spans="1:29" s="1332" customFormat="1" ht="13.8" x14ac:dyDescent="0.25">
      <c r="A845" s="1294"/>
      <c r="B845" s="1295"/>
      <c r="C845" s="1296"/>
      <c r="D845" s="1296"/>
      <c r="E845" s="1296"/>
      <c r="F845" s="1296">
        <f t="shared" ref="F845:F846" si="95">D845*E845</f>
        <v>0</v>
      </c>
      <c r="G845" s="1296"/>
      <c r="H845" s="1290"/>
      <c r="I845" s="1290"/>
      <c r="J845" s="1290"/>
      <c r="L845" s="1355">
        <v>0.02</v>
      </c>
      <c r="M845" s="1332">
        <v>1440</v>
      </c>
      <c r="N845" s="1356">
        <f>L845*M845</f>
        <v>28.8</v>
      </c>
      <c r="P845" s="1291"/>
      <c r="Q845" s="1291"/>
      <c r="R845" s="1291"/>
      <c r="S845" s="1291"/>
      <c r="T845" s="1291"/>
      <c r="U845" s="1291"/>
      <c r="V845" s="1291"/>
      <c r="W845" s="1291"/>
      <c r="X845" s="1291"/>
      <c r="Y845" s="1291"/>
      <c r="Z845" s="1291"/>
      <c r="AA845" s="1291"/>
      <c r="AB845" s="1291"/>
      <c r="AC845" s="1291"/>
    </row>
    <row r="846" spans="1:29" s="1332" customFormat="1" ht="13.8" x14ac:dyDescent="0.25">
      <c r="A846" s="1294"/>
      <c r="B846" s="1294"/>
      <c r="C846" s="1295"/>
      <c r="D846" s="1296"/>
      <c r="E846" s="1296"/>
      <c r="F846" s="1296">
        <f t="shared" si="95"/>
        <v>0</v>
      </c>
      <c r="G846" s="1296"/>
      <c r="H846" s="1290"/>
      <c r="I846" s="1290"/>
      <c r="J846" s="1290"/>
      <c r="P846" s="1291"/>
      <c r="Q846" s="1291"/>
      <c r="R846" s="1291"/>
      <c r="S846" s="1291"/>
      <c r="T846" s="1291"/>
      <c r="U846" s="1291"/>
      <c r="V846" s="1291"/>
      <c r="W846" s="1291"/>
      <c r="X846" s="1291"/>
      <c r="Y846" s="1291"/>
      <c r="Z846" s="1291"/>
      <c r="AA846" s="1291"/>
      <c r="AB846" s="1291"/>
      <c r="AC846" s="1291"/>
    </row>
    <row r="847" spans="1:29" s="1332" customFormat="1" ht="13.8" x14ac:dyDescent="0.25">
      <c r="A847" s="1298"/>
      <c r="B847" s="1476" t="s">
        <v>1277</v>
      </c>
      <c r="C847" s="1476"/>
      <c r="D847" s="1476"/>
      <c r="E847" s="1476"/>
      <c r="F847" s="1299"/>
      <c r="G847" s="1300">
        <f>SUM(F840:F847)</f>
        <v>19756.8</v>
      </c>
      <c r="H847" s="1290"/>
      <c r="I847" s="1290"/>
      <c r="J847" s="1290"/>
      <c r="L847" s="1332">
        <f>0.02</f>
        <v>0.02</v>
      </c>
      <c r="M847" s="1332">
        <v>5</v>
      </c>
      <c r="N847" s="1332">
        <f>L847*M847</f>
        <v>0.1</v>
      </c>
      <c r="P847" s="1291"/>
      <c r="Q847" s="1291"/>
      <c r="R847" s="1291"/>
      <c r="S847" s="1291"/>
      <c r="T847" s="1291"/>
      <c r="U847" s="1291"/>
      <c r="V847" s="1291"/>
      <c r="W847" s="1291"/>
      <c r="X847" s="1291"/>
      <c r="Y847" s="1291"/>
      <c r="Z847" s="1291"/>
      <c r="AA847" s="1291"/>
      <c r="AB847" s="1291"/>
      <c r="AC847" s="1291"/>
    </row>
    <row r="848" spans="1:29" s="1332" customFormat="1" ht="13.8" x14ac:dyDescent="0.25">
      <c r="A848" s="1294"/>
      <c r="B848" s="1297" t="s">
        <v>1261</v>
      </c>
      <c r="C848" s="1295"/>
      <c r="D848" s="1296"/>
      <c r="E848" s="1296"/>
      <c r="F848" s="1296">
        <f t="shared" ref="F848:F849" si="96">D848*E848</f>
        <v>0</v>
      </c>
      <c r="G848" s="1296"/>
      <c r="H848" s="1290"/>
      <c r="I848" s="1290"/>
      <c r="J848" s="1290"/>
      <c r="P848" s="1291"/>
      <c r="Q848" s="1291"/>
      <c r="R848" s="1291"/>
      <c r="S848" s="1291"/>
      <c r="T848" s="1291"/>
      <c r="U848" s="1291"/>
      <c r="V848" s="1291"/>
      <c r="W848" s="1291"/>
      <c r="X848" s="1291"/>
      <c r="Y848" s="1291"/>
      <c r="Z848" s="1291"/>
      <c r="AA848" s="1291"/>
      <c r="AB848" s="1291"/>
      <c r="AC848" s="1291"/>
    </row>
    <row r="849" spans="1:9" ht="13.8" x14ac:dyDescent="0.25">
      <c r="A849" s="1309"/>
      <c r="B849" s="1309" t="s">
        <v>1271</v>
      </c>
      <c r="C849" s="1310" t="s">
        <v>1294</v>
      </c>
      <c r="D849" s="1310">
        <v>100</v>
      </c>
      <c r="E849" s="1310">
        <v>60</v>
      </c>
      <c r="F849" s="1310">
        <f t="shared" si="96"/>
        <v>6000</v>
      </c>
      <c r="G849" s="1310"/>
      <c r="I849" s="1290">
        <f>0.1*1.3333</f>
        <v>0.13333</v>
      </c>
    </row>
    <row r="850" spans="1:9" ht="13.8" x14ac:dyDescent="0.25">
      <c r="A850" s="1309"/>
      <c r="B850" s="1309"/>
      <c r="C850" s="1310"/>
      <c r="D850" s="1310"/>
      <c r="E850" s="1310"/>
      <c r="F850" s="1310"/>
      <c r="G850" s="1310"/>
      <c r="I850" s="1290">
        <f>I849/6</f>
        <v>2.2221666666666667E-2</v>
      </c>
    </row>
    <row r="851" spans="1:9" ht="13.8" x14ac:dyDescent="0.25">
      <c r="A851" s="1294"/>
      <c r="B851" s="1294" t="s">
        <v>1377</v>
      </c>
      <c r="C851" s="1296"/>
      <c r="D851" s="1296"/>
      <c r="E851" s="1296"/>
      <c r="F851" s="1296">
        <f>F849*5%</f>
        <v>300</v>
      </c>
      <c r="G851" s="1296"/>
    </row>
    <row r="852" spans="1:9" ht="13.8" x14ac:dyDescent="0.25">
      <c r="A852" s="1294"/>
      <c r="B852" s="1294"/>
      <c r="C852" s="1295"/>
      <c r="D852" s="1296"/>
      <c r="E852" s="1296"/>
      <c r="F852" s="1296"/>
      <c r="G852" s="1296"/>
    </row>
    <row r="853" spans="1:9" ht="13.8" x14ac:dyDescent="0.25">
      <c r="A853" s="1298"/>
      <c r="B853" s="1476" t="s">
        <v>1264</v>
      </c>
      <c r="C853" s="1476"/>
      <c r="D853" s="1476"/>
      <c r="E853" s="1476"/>
      <c r="F853" s="1299">
        <f t="shared" ref="F853" si="97">D853*E853</f>
        <v>0</v>
      </c>
      <c r="G853" s="1300">
        <f>SUM(F849:F853)</f>
        <v>6300</v>
      </c>
    </row>
    <row r="854" spans="1:9" ht="13.8" x14ac:dyDescent="0.25">
      <c r="A854" s="1294"/>
      <c r="B854" s="1302"/>
      <c r="C854" s="1302"/>
      <c r="D854" s="1302"/>
      <c r="E854" s="1302"/>
      <c r="F854" s="1296"/>
      <c r="G854" s="1302"/>
    </row>
    <row r="855" spans="1:9" ht="13.8" x14ac:dyDescent="0.25">
      <c r="A855" s="1294"/>
      <c r="B855" s="1302"/>
      <c r="C855" s="1302"/>
      <c r="D855" s="1302"/>
      <c r="E855" s="1302"/>
      <c r="F855" s="1296"/>
      <c r="G855" s="1302"/>
    </row>
    <row r="856" spans="1:9" ht="13.8" x14ac:dyDescent="0.25">
      <c r="A856" s="1469" t="s">
        <v>1295</v>
      </c>
      <c r="B856" s="1469"/>
      <c r="C856" s="1469"/>
      <c r="D856" s="1469"/>
      <c r="E856" s="1469"/>
      <c r="F856" s="1469"/>
      <c r="G856" s="1303">
        <f>G847+G853</f>
        <v>26056.799999999999</v>
      </c>
    </row>
    <row r="857" spans="1:9" ht="13.8" x14ac:dyDescent="0.25">
      <c r="A857" s="1469" t="s">
        <v>1296</v>
      </c>
      <c r="B857" s="1469"/>
      <c r="C857" s="1469"/>
      <c r="D857" s="1469"/>
      <c r="E857" s="1469"/>
      <c r="F857" s="1469"/>
      <c r="G857" s="1303">
        <f>G856/9.29</f>
        <v>2804.822389666308</v>
      </c>
    </row>
    <row r="858" spans="1:9" ht="13.8" x14ac:dyDescent="0.25">
      <c r="A858" s="1469" t="s">
        <v>1297</v>
      </c>
      <c r="B858" s="1469"/>
      <c r="C858" s="1469"/>
      <c r="D858" s="1469"/>
      <c r="E858" s="1469"/>
      <c r="F858" s="1469"/>
      <c r="G858" s="1354">
        <f>G857/10.76</f>
        <v>260.67122580541894</v>
      </c>
    </row>
    <row r="884" spans="1:7" x14ac:dyDescent="0.25">
      <c r="A884" s="1477" t="s">
        <v>1392</v>
      </c>
      <c r="B884" s="1477"/>
      <c r="C884" s="1477"/>
      <c r="D884" s="1477"/>
      <c r="E884" s="1477"/>
      <c r="F884" s="1477"/>
      <c r="G884" s="1477"/>
    </row>
    <row r="885" spans="1:7" ht="13.8" thickBot="1" x14ac:dyDescent="0.3"/>
    <row r="886" spans="1:7" ht="13.8" x14ac:dyDescent="0.25">
      <c r="A886" s="1470" t="s">
        <v>1393</v>
      </c>
      <c r="B886" s="1471"/>
      <c r="C886" s="1471"/>
      <c r="D886" s="1471"/>
      <c r="E886" s="1471"/>
      <c r="F886" s="1471"/>
      <c r="G886" s="1472"/>
    </row>
    <row r="887" spans="1:7" ht="14.4" thickBot="1" x14ac:dyDescent="0.3">
      <c r="A887" s="1473" t="s">
        <v>1259</v>
      </c>
      <c r="B887" s="1474"/>
      <c r="C887" s="1474"/>
      <c r="D887" s="1474"/>
      <c r="E887" s="1474"/>
      <c r="F887" s="1474"/>
      <c r="G887" s="1475"/>
    </row>
    <row r="888" spans="1:7" ht="14.4" thickBot="1" x14ac:dyDescent="0.3">
      <c r="A888" s="1292"/>
      <c r="B888" s="1293" t="s">
        <v>1038</v>
      </c>
      <c r="C888" s="1293" t="s">
        <v>1039</v>
      </c>
      <c r="D888" s="1293" t="s">
        <v>2</v>
      </c>
      <c r="E888" s="1293" t="s">
        <v>1040</v>
      </c>
      <c r="F888" s="1293" t="s">
        <v>5</v>
      </c>
      <c r="G888" s="1293" t="s">
        <v>1260</v>
      </c>
    </row>
    <row r="889" spans="1:7" ht="13.8" x14ac:dyDescent="0.25">
      <c r="A889" s="1294"/>
      <c r="B889" s="1294"/>
      <c r="C889" s="1295"/>
      <c r="D889" s="1296"/>
      <c r="E889" s="1296"/>
      <c r="F889" s="1296"/>
      <c r="G889" s="1296"/>
    </row>
    <row r="890" spans="1:7" ht="13.8" x14ac:dyDescent="0.25">
      <c r="A890" s="1294"/>
      <c r="B890" s="1297" t="s">
        <v>1276</v>
      </c>
      <c r="C890" s="1295"/>
      <c r="D890" s="1296"/>
      <c r="E890" s="1296"/>
      <c r="F890" s="1296"/>
      <c r="G890" s="1296"/>
    </row>
    <row r="891" spans="1:7" ht="13.8" x14ac:dyDescent="0.25">
      <c r="A891" s="1294"/>
      <c r="B891" s="1294"/>
      <c r="C891" s="1295"/>
      <c r="D891" s="1296"/>
      <c r="E891" s="1296"/>
      <c r="F891" s="1296"/>
      <c r="G891" s="1296"/>
    </row>
    <row r="892" spans="1:7" ht="13.8" x14ac:dyDescent="0.25">
      <c r="A892" s="1306"/>
      <c r="B892" s="1306" t="s">
        <v>1108</v>
      </c>
      <c r="C892" s="1307" t="s">
        <v>1324</v>
      </c>
      <c r="D892" s="1307">
        <v>2.2999999999999998</v>
      </c>
      <c r="E892" s="1307">
        <f>F197</f>
        <v>2235.625</v>
      </c>
      <c r="F892" s="1307">
        <f>D892*E892</f>
        <v>5141.9375</v>
      </c>
      <c r="G892" s="1307"/>
    </row>
    <row r="893" spans="1:7" ht="13.8" x14ac:dyDescent="0.25">
      <c r="A893" s="1306"/>
      <c r="B893" s="1306" t="s">
        <v>1159</v>
      </c>
      <c r="C893" s="1307" t="s">
        <v>1110</v>
      </c>
      <c r="D893" s="1307">
        <v>0.08</v>
      </c>
      <c r="E893" s="1307">
        <f>[19]Material!E13</f>
        <v>23500</v>
      </c>
      <c r="F893" s="1307">
        <f>D893*E893</f>
        <v>1880</v>
      </c>
      <c r="G893" s="1307"/>
    </row>
    <row r="894" spans="1:7" ht="13.8" x14ac:dyDescent="0.25">
      <c r="A894" s="1306"/>
      <c r="B894" s="1306" t="s">
        <v>1136</v>
      </c>
      <c r="C894" s="1307" t="s">
        <v>37</v>
      </c>
      <c r="D894" s="1307">
        <v>27</v>
      </c>
      <c r="E894" s="1307">
        <v>69</v>
      </c>
      <c r="F894" s="1307">
        <f>D894*E894</f>
        <v>1863</v>
      </c>
      <c r="G894" s="1307"/>
    </row>
    <row r="895" spans="1:7" ht="13.8" x14ac:dyDescent="0.25">
      <c r="A895" s="1306"/>
      <c r="B895" s="1306" t="s">
        <v>1394</v>
      </c>
      <c r="C895" s="1307" t="s">
        <v>449</v>
      </c>
      <c r="D895" s="1307">
        <v>1</v>
      </c>
      <c r="E895" s="1307">
        <v>260</v>
      </c>
      <c r="F895" s="1307">
        <f t="shared" ref="F895" si="98">D895*E895</f>
        <v>260</v>
      </c>
      <c r="G895" s="1307"/>
    </row>
    <row r="896" spans="1:7" ht="13.8" x14ac:dyDescent="0.25">
      <c r="A896" s="1309"/>
      <c r="B896" s="1309"/>
      <c r="C896" s="1310"/>
      <c r="D896" s="1310"/>
      <c r="E896" s="1310"/>
      <c r="F896" s="1310"/>
      <c r="G896" s="1310"/>
    </row>
    <row r="897" spans="1:7" ht="13.8" x14ac:dyDescent="0.25">
      <c r="A897" s="1309"/>
      <c r="B897" s="1309"/>
      <c r="C897" s="1310"/>
      <c r="D897" s="1310"/>
      <c r="E897" s="1310"/>
      <c r="F897" s="1310"/>
      <c r="G897" s="1310"/>
    </row>
    <row r="898" spans="1:7" ht="13.8" x14ac:dyDescent="0.25">
      <c r="A898" s="1298"/>
      <c r="B898" s="1476" t="s">
        <v>1277</v>
      </c>
      <c r="C898" s="1476"/>
      <c r="D898" s="1476"/>
      <c r="E898" s="1476"/>
      <c r="F898" s="1299"/>
      <c r="G898" s="1300">
        <f>SUM(F891:F897)</f>
        <v>9144.9375</v>
      </c>
    </row>
    <row r="899" spans="1:7" ht="13.8" x14ac:dyDescent="0.25">
      <c r="A899" s="1294"/>
      <c r="B899" s="1297" t="s">
        <v>1261</v>
      </c>
      <c r="C899" s="1295"/>
      <c r="D899" s="1296"/>
      <c r="E899" s="1296"/>
      <c r="F899" s="1296">
        <f>D899*E899</f>
        <v>0</v>
      </c>
      <c r="G899" s="1296"/>
    </row>
    <row r="900" spans="1:7" ht="13.8" x14ac:dyDescent="0.25">
      <c r="A900" s="1294"/>
      <c r="B900" s="1297"/>
      <c r="C900" s="1295"/>
      <c r="D900" s="1296"/>
      <c r="E900" s="1296"/>
      <c r="F900" s="1296"/>
      <c r="G900" s="1296"/>
    </row>
    <row r="901" spans="1:7" ht="13.8" x14ac:dyDescent="0.25">
      <c r="A901" s="1306"/>
      <c r="B901" s="1306" t="s">
        <v>1271</v>
      </c>
      <c r="C901" s="1307" t="s">
        <v>1294</v>
      </c>
      <c r="D901" s="1307">
        <v>100</v>
      </c>
      <c r="E901" s="1307">
        <f>75+22</f>
        <v>97</v>
      </c>
      <c r="F901" s="1307">
        <f>D901*E901</f>
        <v>9700</v>
      </c>
      <c r="G901" s="1307"/>
    </row>
    <row r="902" spans="1:7" ht="13.8" x14ac:dyDescent="0.25">
      <c r="A902" s="1294"/>
      <c r="B902" s="1294"/>
      <c r="C902" s="1296"/>
      <c r="D902" s="1296"/>
      <c r="E902" s="1296"/>
      <c r="F902" s="1296"/>
      <c r="G902" s="1296"/>
    </row>
    <row r="903" spans="1:7" ht="13.8" x14ac:dyDescent="0.25">
      <c r="A903" s="1294"/>
      <c r="B903" s="1294" t="s">
        <v>1389</v>
      </c>
      <c r="C903" s="1296"/>
      <c r="D903" s="1296"/>
      <c r="E903" s="1296"/>
      <c r="F903" s="1296">
        <f>F901*3%</f>
        <v>291</v>
      </c>
      <c r="G903" s="1296"/>
    </row>
    <row r="904" spans="1:7" ht="13.8" x14ac:dyDescent="0.25">
      <c r="A904" s="1294"/>
      <c r="B904" s="1294" t="s">
        <v>1395</v>
      </c>
      <c r="C904" s="1296"/>
      <c r="D904" s="1296"/>
      <c r="E904" s="1296"/>
      <c r="F904" s="1296">
        <f>F901*5%</f>
        <v>485</v>
      </c>
      <c r="G904" s="1296"/>
    </row>
    <row r="905" spans="1:7" ht="13.8" x14ac:dyDescent="0.25">
      <c r="A905" s="1294"/>
      <c r="B905" s="1294"/>
      <c r="C905" s="1295"/>
      <c r="D905" s="1296"/>
      <c r="E905" s="1296"/>
      <c r="F905" s="1296"/>
      <c r="G905" s="1296"/>
    </row>
    <row r="906" spans="1:7" ht="13.8" x14ac:dyDescent="0.25">
      <c r="A906" s="1298"/>
      <c r="B906" s="1476" t="s">
        <v>1264</v>
      </c>
      <c r="C906" s="1476"/>
      <c r="D906" s="1476"/>
      <c r="E906" s="1476"/>
      <c r="F906" s="1299">
        <f>D906*E906</f>
        <v>0</v>
      </c>
      <c r="G906" s="1300">
        <f>SUM(F901:F906)</f>
        <v>10476</v>
      </c>
    </row>
    <row r="907" spans="1:7" ht="13.8" x14ac:dyDescent="0.25">
      <c r="A907" s="1294"/>
      <c r="B907" s="1302"/>
      <c r="C907" s="1302"/>
      <c r="D907" s="1302"/>
      <c r="E907" s="1302"/>
      <c r="F907" s="1296"/>
      <c r="G907" s="1302"/>
    </row>
    <row r="908" spans="1:7" ht="13.8" x14ac:dyDescent="0.25">
      <c r="A908" s="1294"/>
      <c r="B908" s="1302"/>
      <c r="C908" s="1302"/>
      <c r="D908" s="1302"/>
      <c r="E908" s="1302"/>
      <c r="F908" s="1296"/>
      <c r="G908" s="1302"/>
    </row>
    <row r="909" spans="1:7" ht="13.8" x14ac:dyDescent="0.25">
      <c r="A909" s="1469" t="s">
        <v>1295</v>
      </c>
      <c r="B909" s="1469"/>
      <c r="C909" s="1469"/>
      <c r="D909" s="1469"/>
      <c r="E909" s="1469"/>
      <c r="F909" s="1469"/>
      <c r="G909" s="1303">
        <f>G898+G906</f>
        <v>19620.9375</v>
      </c>
    </row>
    <row r="910" spans="1:7" ht="13.8" x14ac:dyDescent="0.25">
      <c r="A910" s="1469" t="s">
        <v>1296</v>
      </c>
      <c r="B910" s="1469"/>
      <c r="C910" s="1469"/>
      <c r="D910" s="1469"/>
      <c r="E910" s="1469"/>
      <c r="F910" s="1469"/>
      <c r="G910" s="1303">
        <f>G909/9.29</f>
        <v>2112.049246501615</v>
      </c>
    </row>
    <row r="911" spans="1:7" ht="13.8" x14ac:dyDescent="0.25">
      <c r="A911" s="1469" t="s">
        <v>1297</v>
      </c>
      <c r="B911" s="1469"/>
      <c r="C911" s="1469"/>
      <c r="D911" s="1469"/>
      <c r="E911" s="1469"/>
      <c r="F911" s="1469"/>
      <c r="G911" s="1303">
        <f>G910/10.76</f>
        <v>196.28710469345864</v>
      </c>
    </row>
    <row r="920" spans="1:7" ht="13.8" thickBot="1" x14ac:dyDescent="0.3"/>
    <row r="921" spans="1:7" ht="13.8" x14ac:dyDescent="0.25">
      <c r="A921" s="1470" t="s">
        <v>1393</v>
      </c>
      <c r="B921" s="1471"/>
      <c r="C921" s="1471"/>
      <c r="D921" s="1471"/>
      <c r="E921" s="1471"/>
      <c r="F921" s="1471"/>
      <c r="G921" s="1472"/>
    </row>
    <row r="922" spans="1:7" ht="14.4" thickBot="1" x14ac:dyDescent="0.3">
      <c r="A922" s="1473" t="s">
        <v>1259</v>
      </c>
      <c r="B922" s="1474"/>
      <c r="C922" s="1474"/>
      <c r="D922" s="1474"/>
      <c r="E922" s="1474"/>
      <c r="F922" s="1474"/>
      <c r="G922" s="1475"/>
    </row>
    <row r="923" spans="1:7" ht="14.4" thickBot="1" x14ac:dyDescent="0.3">
      <c r="A923" s="1292"/>
      <c r="B923" s="1293" t="s">
        <v>1038</v>
      </c>
      <c r="C923" s="1293" t="s">
        <v>1039</v>
      </c>
      <c r="D923" s="1293" t="s">
        <v>2</v>
      </c>
      <c r="E923" s="1293" t="s">
        <v>1040</v>
      </c>
      <c r="F923" s="1293" t="s">
        <v>5</v>
      </c>
      <c r="G923" s="1293" t="s">
        <v>1260</v>
      </c>
    </row>
    <row r="924" spans="1:7" ht="13.8" x14ac:dyDescent="0.25">
      <c r="A924" s="1294"/>
      <c r="B924" s="1294"/>
      <c r="C924" s="1295"/>
      <c r="D924" s="1296"/>
      <c r="E924" s="1296"/>
      <c r="F924" s="1296"/>
      <c r="G924" s="1296"/>
    </row>
    <row r="925" spans="1:7" ht="13.8" x14ac:dyDescent="0.25">
      <c r="A925" s="1294"/>
      <c r="B925" s="1297" t="s">
        <v>1276</v>
      </c>
      <c r="C925" s="1295"/>
      <c r="D925" s="1296"/>
      <c r="E925" s="1296"/>
      <c r="F925" s="1296"/>
      <c r="G925" s="1296"/>
    </row>
    <row r="926" spans="1:7" ht="13.8" x14ac:dyDescent="0.25">
      <c r="A926" s="1294"/>
      <c r="B926" s="1294"/>
      <c r="C926" s="1295"/>
      <c r="D926" s="1296"/>
      <c r="E926" s="1296"/>
      <c r="F926" s="1296"/>
      <c r="G926" s="1296"/>
    </row>
    <row r="927" spans="1:7" ht="13.8" x14ac:dyDescent="0.25">
      <c r="A927" s="1309"/>
      <c r="B927" s="1309" t="s">
        <v>1108</v>
      </c>
      <c r="C927" s="1310" t="s">
        <v>1324</v>
      </c>
      <c r="D927" s="1310">
        <v>0.95</v>
      </c>
      <c r="E927" s="1310">
        <f>F197</f>
        <v>2235.625</v>
      </c>
      <c r="F927" s="1310">
        <f t="shared" ref="F927:F932" si="99">D927*E927</f>
        <v>2123.84375</v>
      </c>
      <c r="G927" s="1310"/>
    </row>
    <row r="928" spans="1:7" ht="13.8" x14ac:dyDescent="0.25">
      <c r="A928" s="1309"/>
      <c r="B928" s="1309" t="s">
        <v>1159</v>
      </c>
      <c r="C928" s="1310" t="s">
        <v>1110</v>
      </c>
      <c r="D928" s="1310">
        <v>7.0000000000000007E-2</v>
      </c>
      <c r="E928" s="1310">
        <f>[19]Material!E13</f>
        <v>23500</v>
      </c>
      <c r="F928" s="1310">
        <f t="shared" si="99"/>
        <v>1645.0000000000002</v>
      </c>
      <c r="G928" s="1310"/>
    </row>
    <row r="929" spans="1:8" ht="13.8" x14ac:dyDescent="0.25">
      <c r="A929" s="1309"/>
      <c r="B929" s="1343" t="s">
        <v>1396</v>
      </c>
      <c r="C929" s="1310" t="s">
        <v>1397</v>
      </c>
      <c r="D929" s="1310">
        <v>0.2</v>
      </c>
      <c r="E929" s="1310">
        <f>[19]Material!E41</f>
        <v>345</v>
      </c>
      <c r="F929" s="1310">
        <f t="shared" si="99"/>
        <v>69</v>
      </c>
      <c r="G929" s="1310"/>
    </row>
    <row r="930" spans="1:8" ht="13.8" x14ac:dyDescent="0.25">
      <c r="A930" s="1309"/>
      <c r="B930" s="1309" t="s">
        <v>1398</v>
      </c>
      <c r="C930" s="1310" t="s">
        <v>183</v>
      </c>
      <c r="D930" s="1310">
        <v>1.5</v>
      </c>
      <c r="E930" s="1310">
        <v>440</v>
      </c>
      <c r="F930" s="1310">
        <f t="shared" si="99"/>
        <v>660</v>
      </c>
      <c r="G930" s="1310"/>
    </row>
    <row r="931" spans="1:8" ht="13.8" x14ac:dyDescent="0.25">
      <c r="A931" s="1309"/>
      <c r="B931" s="1309" t="s">
        <v>1136</v>
      </c>
      <c r="C931" s="1310" t="s">
        <v>37</v>
      </c>
      <c r="D931" s="1310">
        <v>27</v>
      </c>
      <c r="E931" s="1310">
        <f>[19]Material!E147</f>
        <v>69</v>
      </c>
      <c r="F931" s="1310">
        <f t="shared" si="99"/>
        <v>1863</v>
      </c>
      <c r="G931" s="1310"/>
    </row>
    <row r="932" spans="1:8" ht="13.8" x14ac:dyDescent="0.25">
      <c r="A932" s="1309"/>
      <c r="B932" s="1309" t="s">
        <v>1137</v>
      </c>
      <c r="C932" s="1310" t="s">
        <v>449</v>
      </c>
      <c r="D932" s="1310">
        <v>1</v>
      </c>
      <c r="E932" s="1310">
        <f>[19]Material!E162</f>
        <v>260</v>
      </c>
      <c r="F932" s="1310">
        <f t="shared" si="99"/>
        <v>260</v>
      </c>
      <c r="G932" s="1310"/>
    </row>
    <row r="933" spans="1:8" ht="13.8" x14ac:dyDescent="0.25">
      <c r="A933" s="1309"/>
      <c r="B933" s="1309"/>
      <c r="C933" s="1310"/>
      <c r="D933" s="1310"/>
      <c r="E933" s="1310"/>
      <c r="F933" s="1310"/>
      <c r="G933" s="1310"/>
    </row>
    <row r="934" spans="1:8" ht="13.8" x14ac:dyDescent="0.25">
      <c r="A934" s="1298"/>
      <c r="B934" s="1476" t="s">
        <v>1277</v>
      </c>
      <c r="C934" s="1476"/>
      <c r="D934" s="1476"/>
      <c r="E934" s="1476"/>
      <c r="F934" s="1299"/>
      <c r="G934" s="1300">
        <f>SUM(F926:F933)</f>
        <v>6620.84375</v>
      </c>
      <c r="H934" s="1336">
        <f>+F927+F928+F929</f>
        <v>3837.84375</v>
      </c>
    </row>
    <row r="935" spans="1:8" ht="13.8" x14ac:dyDescent="0.25">
      <c r="A935" s="1294"/>
      <c r="B935" s="1297" t="s">
        <v>1261</v>
      </c>
      <c r="C935" s="1295"/>
      <c r="D935" s="1296"/>
      <c r="E935" s="1296"/>
      <c r="F935" s="1296">
        <f>D935*E935</f>
        <v>0</v>
      </c>
      <c r="G935" s="1296"/>
    </row>
    <row r="936" spans="1:8" ht="13.8" x14ac:dyDescent="0.25">
      <c r="A936" s="1294"/>
      <c r="B936" s="1297"/>
      <c r="C936" s="1295"/>
      <c r="D936" s="1296"/>
      <c r="E936" s="1296"/>
      <c r="F936" s="1296"/>
      <c r="G936" s="1296"/>
    </row>
    <row r="937" spans="1:8" ht="13.8" x14ac:dyDescent="0.25">
      <c r="A937" s="1309"/>
      <c r="B937" s="1309" t="s">
        <v>1271</v>
      </c>
      <c r="C937" s="1310" t="s">
        <v>1294</v>
      </c>
      <c r="D937" s="1310">
        <v>100</v>
      </c>
      <c r="E937" s="1310">
        <v>80</v>
      </c>
      <c r="F937" s="1310">
        <f>D937*E937</f>
        <v>8000</v>
      </c>
      <c r="G937" s="1310"/>
    </row>
    <row r="938" spans="1:8" ht="13.8" x14ac:dyDescent="0.25">
      <c r="A938" s="1294"/>
      <c r="B938" s="1294"/>
      <c r="C938" s="1296"/>
      <c r="D938" s="1296"/>
      <c r="E938" s="1296"/>
      <c r="F938" s="1296"/>
      <c r="G938" s="1296"/>
    </row>
    <row r="939" spans="1:8" ht="13.8" x14ac:dyDescent="0.25">
      <c r="A939" s="1294"/>
      <c r="B939" s="1294" t="s">
        <v>1389</v>
      </c>
      <c r="C939" s="1296"/>
      <c r="D939" s="1296"/>
      <c r="E939" s="1296"/>
      <c r="F939" s="1296">
        <f>F937*3%</f>
        <v>240</v>
      </c>
      <c r="G939" s="1296"/>
    </row>
    <row r="940" spans="1:8" ht="13.8" x14ac:dyDescent="0.25">
      <c r="A940" s="1294"/>
      <c r="B940" s="1294" t="s">
        <v>1395</v>
      </c>
      <c r="C940" s="1296"/>
      <c r="D940" s="1296"/>
      <c r="E940" s="1296"/>
      <c r="F940" s="1296">
        <f>F937*5%</f>
        <v>400</v>
      </c>
      <c r="G940" s="1296"/>
    </row>
    <row r="941" spans="1:8" ht="13.8" x14ac:dyDescent="0.25">
      <c r="A941" s="1294"/>
      <c r="B941" s="1294"/>
      <c r="C941" s="1295"/>
      <c r="D941" s="1296"/>
      <c r="E941" s="1296"/>
      <c r="F941" s="1296"/>
      <c r="G941" s="1296"/>
    </row>
    <row r="942" spans="1:8" ht="13.8" x14ac:dyDescent="0.25">
      <c r="A942" s="1298"/>
      <c r="B942" s="1476" t="s">
        <v>1264</v>
      </c>
      <c r="C942" s="1476"/>
      <c r="D942" s="1476"/>
      <c r="E942" s="1476"/>
      <c r="F942" s="1299">
        <f>D942*E942</f>
        <v>0</v>
      </c>
      <c r="G942" s="1300">
        <f>SUM(F937:F942)</f>
        <v>8640</v>
      </c>
      <c r="H942" s="1336">
        <f>+F937+F939+F940</f>
        <v>8640</v>
      </c>
    </row>
    <row r="943" spans="1:8" ht="13.8" x14ac:dyDescent="0.25">
      <c r="A943" s="1294"/>
      <c r="B943" s="1302"/>
      <c r="C943" s="1302"/>
      <c r="D943" s="1302"/>
      <c r="E943" s="1302"/>
      <c r="F943" s="1296"/>
      <c r="G943" s="1302"/>
    </row>
    <row r="944" spans="1:8" ht="13.8" x14ac:dyDescent="0.25">
      <c r="A944" s="1294"/>
      <c r="B944" s="1302"/>
      <c r="C944" s="1302"/>
      <c r="D944" s="1302"/>
      <c r="E944" s="1302"/>
      <c r="F944" s="1296"/>
      <c r="G944" s="1302"/>
    </row>
    <row r="945" spans="1:8" ht="13.8" x14ac:dyDescent="0.25">
      <c r="A945" s="1469" t="s">
        <v>1295</v>
      </c>
      <c r="B945" s="1469"/>
      <c r="C945" s="1469"/>
      <c r="D945" s="1469"/>
      <c r="E945" s="1469"/>
      <c r="F945" s="1469"/>
      <c r="G945" s="1303">
        <f>G934+G942</f>
        <v>15260.84375</v>
      </c>
      <c r="H945" s="1303">
        <f>H934+H942</f>
        <v>12477.84375</v>
      </c>
    </row>
    <row r="946" spans="1:8" ht="13.8" x14ac:dyDescent="0.25">
      <c r="A946" s="1469" t="s">
        <v>1296</v>
      </c>
      <c r="B946" s="1469"/>
      <c r="C946" s="1469"/>
      <c r="D946" s="1469"/>
      <c r="E946" s="1469"/>
      <c r="F946" s="1469"/>
      <c r="G946" s="1303">
        <f>G945/9.29</f>
        <v>1642.7173035522069</v>
      </c>
      <c r="H946" s="1303">
        <f>H945/9.29</f>
        <v>1343.1478740581272</v>
      </c>
    </row>
    <row r="947" spans="1:8" ht="13.8" x14ac:dyDescent="0.25">
      <c r="A947" s="1469" t="s">
        <v>1297</v>
      </c>
      <c r="B947" s="1469"/>
      <c r="C947" s="1469"/>
      <c r="D947" s="1469"/>
      <c r="E947" s="1469"/>
      <c r="F947" s="1469"/>
      <c r="G947" s="1303">
        <f>G946/10.76</f>
        <v>152.66889438217535</v>
      </c>
      <c r="H947" s="1303">
        <f>H946/10.76</f>
        <v>124.82786933625718</v>
      </c>
    </row>
    <row r="950" spans="1:8" ht="13.8" thickBot="1" x14ac:dyDescent="0.3"/>
    <row r="951" spans="1:8" ht="13.8" x14ac:dyDescent="0.25">
      <c r="A951" s="1470" t="s">
        <v>1399</v>
      </c>
      <c r="B951" s="1471"/>
      <c r="C951" s="1471"/>
      <c r="D951" s="1471"/>
      <c r="E951" s="1471"/>
      <c r="F951" s="1471"/>
      <c r="G951" s="1472"/>
    </row>
    <row r="952" spans="1:8" ht="14.4" thickBot="1" x14ac:dyDescent="0.3">
      <c r="A952" s="1473" t="s">
        <v>1259</v>
      </c>
      <c r="B952" s="1474"/>
      <c r="C952" s="1474"/>
      <c r="D952" s="1474"/>
      <c r="E952" s="1474"/>
      <c r="F952" s="1474"/>
      <c r="G952" s="1475"/>
    </row>
    <row r="953" spans="1:8" ht="14.4" thickBot="1" x14ac:dyDescent="0.3">
      <c r="A953" s="1292"/>
      <c r="B953" s="1293" t="s">
        <v>1038</v>
      </c>
      <c r="C953" s="1293" t="s">
        <v>1039</v>
      </c>
      <c r="D953" s="1293" t="s">
        <v>2</v>
      </c>
      <c r="E953" s="1293" t="s">
        <v>1040</v>
      </c>
      <c r="F953" s="1293" t="s">
        <v>5</v>
      </c>
      <c r="G953" s="1293" t="s">
        <v>1260</v>
      </c>
    </row>
    <row r="954" spans="1:8" ht="13.8" x14ac:dyDescent="0.25">
      <c r="A954" s="1294"/>
      <c r="B954" s="1294"/>
      <c r="C954" s="1295"/>
      <c r="D954" s="1296"/>
      <c r="E954" s="1296"/>
      <c r="F954" s="1296"/>
      <c r="G954" s="1296"/>
    </row>
    <row r="955" spans="1:8" ht="13.8" x14ac:dyDescent="0.25">
      <c r="A955" s="1294"/>
      <c r="B955" s="1297" t="s">
        <v>1276</v>
      </c>
      <c r="C955" s="1295"/>
      <c r="D955" s="1296"/>
      <c r="E955" s="1296"/>
      <c r="F955" s="1296"/>
      <c r="G955" s="1296"/>
    </row>
    <row r="956" spans="1:8" ht="13.8" x14ac:dyDescent="0.25">
      <c r="A956" s="1294"/>
      <c r="B956" s="1294"/>
      <c r="C956" s="1295"/>
      <c r="D956" s="1296"/>
      <c r="E956" s="1296"/>
      <c r="F956" s="1296"/>
      <c r="G956" s="1296"/>
    </row>
    <row r="957" spans="1:8" ht="13.8" x14ac:dyDescent="0.25">
      <c r="A957" s="1309"/>
      <c r="B957" s="1309" t="s">
        <v>1108</v>
      </c>
      <c r="C957" s="1310" t="s">
        <v>1324</v>
      </c>
      <c r="D957" s="1310">
        <v>1.21</v>
      </c>
      <c r="E957" s="1310">
        <f>F197</f>
        <v>2235.625</v>
      </c>
      <c r="F957" s="1310">
        <f>D957*E957</f>
        <v>2705.1062499999998</v>
      </c>
      <c r="G957" s="1310"/>
    </row>
    <row r="958" spans="1:8" ht="13.8" x14ac:dyDescent="0.25">
      <c r="A958" s="1309"/>
      <c r="B958" s="1309" t="s">
        <v>1159</v>
      </c>
      <c r="C958" s="1310" t="s">
        <v>1110</v>
      </c>
      <c r="D958" s="1310">
        <v>0.08</v>
      </c>
      <c r="E958" s="1310">
        <f>[19]Material!E13</f>
        <v>23500</v>
      </c>
      <c r="F958" s="1310">
        <f>D958*E958</f>
        <v>1880</v>
      </c>
      <c r="G958" s="1310"/>
    </row>
    <row r="959" spans="1:8" ht="13.8" x14ac:dyDescent="0.25">
      <c r="A959" s="1309"/>
      <c r="B959" s="1309" t="s">
        <v>1398</v>
      </c>
      <c r="C959" s="1310" t="s">
        <v>183</v>
      </c>
      <c r="D959" s="1310">
        <v>1.5</v>
      </c>
      <c r="E959" s="1310">
        <v>440</v>
      </c>
      <c r="F959" s="1310">
        <f>D959*E959</f>
        <v>660</v>
      </c>
      <c r="G959" s="1310"/>
    </row>
    <row r="960" spans="1:8" ht="13.8" x14ac:dyDescent="0.25">
      <c r="A960" s="1309"/>
      <c r="B960" s="1343" t="s">
        <v>1396</v>
      </c>
      <c r="C960" s="1310" t="s">
        <v>1397</v>
      </c>
      <c r="D960" s="1310">
        <v>0.2</v>
      </c>
      <c r="E960" s="1310">
        <f>[19]Material!E158</f>
        <v>345</v>
      </c>
      <c r="F960" s="1310">
        <f>D960*E960</f>
        <v>69</v>
      </c>
      <c r="G960" s="1310"/>
    </row>
    <row r="961" spans="1:7" ht="13.8" x14ac:dyDescent="0.25">
      <c r="A961" s="1294"/>
      <c r="B961" s="1294"/>
      <c r="C961" s="1295"/>
      <c r="D961" s="1296"/>
      <c r="E961" s="1296"/>
      <c r="F961" s="1296"/>
      <c r="G961" s="1296"/>
    </row>
    <row r="962" spans="1:7" ht="13.8" x14ac:dyDescent="0.25">
      <c r="A962" s="1298"/>
      <c r="B962" s="1476" t="s">
        <v>1277</v>
      </c>
      <c r="C962" s="1476"/>
      <c r="D962" s="1476"/>
      <c r="E962" s="1476"/>
      <c r="F962" s="1299"/>
      <c r="G962" s="1300">
        <f>SUM(F955:F962)</f>
        <v>5314.1062499999998</v>
      </c>
    </row>
    <row r="963" spans="1:7" ht="13.8" x14ac:dyDescent="0.25">
      <c r="A963" s="1294"/>
      <c r="B963" s="1297" t="s">
        <v>1261</v>
      </c>
      <c r="C963" s="1295"/>
      <c r="D963" s="1296"/>
      <c r="E963" s="1296"/>
      <c r="F963" s="1296"/>
      <c r="G963" s="1296"/>
    </row>
    <row r="964" spans="1:7" ht="13.8" x14ac:dyDescent="0.25">
      <c r="A964" s="1309"/>
      <c r="B964" s="1309" t="s">
        <v>1271</v>
      </c>
      <c r="C964" s="1310" t="s">
        <v>1294</v>
      </c>
      <c r="D964" s="1310">
        <v>100</v>
      </c>
      <c r="E964" s="1310">
        <v>85</v>
      </c>
      <c r="F964" s="1310">
        <f>D964*E964</f>
        <v>8500</v>
      </c>
      <c r="G964" s="1310"/>
    </row>
    <row r="965" spans="1:7" ht="13.8" x14ac:dyDescent="0.25">
      <c r="A965" s="1309"/>
      <c r="B965" s="1309"/>
      <c r="C965" s="1310"/>
      <c r="D965" s="1310"/>
      <c r="E965" s="1310"/>
      <c r="F965" s="1310"/>
      <c r="G965" s="1310"/>
    </row>
    <row r="966" spans="1:7" ht="13.8" x14ac:dyDescent="0.25">
      <c r="A966" s="1309"/>
      <c r="B966" s="1309" t="s">
        <v>1395</v>
      </c>
      <c r="C966" s="1310"/>
      <c r="D966" s="1310"/>
      <c r="E966" s="1310"/>
      <c r="F966" s="1310">
        <f>F964*5%</f>
        <v>425</v>
      </c>
      <c r="G966" s="1310"/>
    </row>
    <row r="967" spans="1:7" ht="13.8" x14ac:dyDescent="0.25">
      <c r="A967" s="1294"/>
      <c r="B967" s="1294"/>
      <c r="C967" s="1295"/>
      <c r="D967" s="1296"/>
      <c r="E967" s="1296"/>
      <c r="F967" s="1296"/>
      <c r="G967" s="1296"/>
    </row>
    <row r="968" spans="1:7" ht="13.8" x14ac:dyDescent="0.25">
      <c r="A968" s="1298"/>
      <c r="B968" s="1476" t="s">
        <v>1264</v>
      </c>
      <c r="C968" s="1476"/>
      <c r="D968" s="1476"/>
      <c r="E968" s="1476"/>
      <c r="F968" s="1299"/>
      <c r="G968" s="1300">
        <f>SUM(F964:F968)</f>
        <v>8925</v>
      </c>
    </row>
    <row r="969" spans="1:7" ht="13.8" x14ac:dyDescent="0.25">
      <c r="A969" s="1294"/>
      <c r="B969" s="1302"/>
      <c r="C969" s="1302"/>
      <c r="D969" s="1302"/>
      <c r="E969" s="1302"/>
      <c r="F969" s="1296"/>
      <c r="G969" s="1302"/>
    </row>
    <row r="970" spans="1:7" ht="13.8" x14ac:dyDescent="0.25">
      <c r="A970" s="1294"/>
      <c r="B970" s="1302"/>
      <c r="C970" s="1302"/>
      <c r="D970" s="1302"/>
      <c r="E970" s="1302"/>
      <c r="F970" s="1296"/>
      <c r="G970" s="1302"/>
    </row>
    <row r="971" spans="1:7" ht="13.8" x14ac:dyDescent="0.25">
      <c r="A971" s="1469" t="s">
        <v>1295</v>
      </c>
      <c r="B971" s="1469"/>
      <c r="C971" s="1469"/>
      <c r="D971" s="1469"/>
      <c r="E971" s="1469"/>
      <c r="F971" s="1469"/>
      <c r="G971" s="1303">
        <f>G962+G968</f>
        <v>14239.106250000001</v>
      </c>
    </row>
    <row r="972" spans="1:7" ht="13.8" x14ac:dyDescent="0.25">
      <c r="A972" s="1469" t="s">
        <v>1296</v>
      </c>
      <c r="B972" s="1469"/>
      <c r="C972" s="1469"/>
      <c r="D972" s="1469"/>
      <c r="E972" s="1469"/>
      <c r="F972" s="1469"/>
      <c r="G972" s="1303">
        <f>G971/9.29</f>
        <v>1532.73479547901</v>
      </c>
    </row>
    <row r="973" spans="1:7" ht="13.8" x14ac:dyDescent="0.25">
      <c r="A973" s="1469" t="s">
        <v>1297</v>
      </c>
      <c r="B973" s="1469"/>
      <c r="C973" s="1469"/>
      <c r="D973" s="1469"/>
      <c r="E973" s="1469"/>
      <c r="F973" s="1469"/>
      <c r="G973" s="1354">
        <f>G972/10.76</f>
        <v>142.44747169879275</v>
      </c>
    </row>
    <row r="975" spans="1:7" ht="13.8" thickBot="1" x14ac:dyDescent="0.3"/>
    <row r="976" spans="1:7" ht="13.8" x14ac:dyDescent="0.25">
      <c r="A976" s="1470" t="s">
        <v>1400</v>
      </c>
      <c r="B976" s="1471"/>
      <c r="C976" s="1471"/>
      <c r="D976" s="1471"/>
      <c r="E976" s="1471"/>
      <c r="F976" s="1471"/>
      <c r="G976" s="1472"/>
    </row>
    <row r="977" spans="1:7" ht="14.4" thickBot="1" x14ac:dyDescent="0.3">
      <c r="A977" s="1473" t="s">
        <v>1259</v>
      </c>
      <c r="B977" s="1474"/>
      <c r="C977" s="1474"/>
      <c r="D977" s="1474"/>
      <c r="E977" s="1474"/>
      <c r="F977" s="1474"/>
      <c r="G977" s="1475"/>
    </row>
    <row r="978" spans="1:7" ht="14.4" thickBot="1" x14ac:dyDescent="0.3">
      <c r="A978" s="1292"/>
      <c r="B978" s="1293" t="s">
        <v>1038</v>
      </c>
      <c r="C978" s="1293" t="s">
        <v>1039</v>
      </c>
      <c r="D978" s="1293" t="s">
        <v>2</v>
      </c>
      <c r="E978" s="1293" t="s">
        <v>1040</v>
      </c>
      <c r="F978" s="1293" t="s">
        <v>5</v>
      </c>
      <c r="G978" s="1293" t="s">
        <v>1260</v>
      </c>
    </row>
    <row r="979" spans="1:7" ht="13.8" x14ac:dyDescent="0.25">
      <c r="A979" s="1294"/>
      <c r="B979" s="1294"/>
      <c r="C979" s="1295"/>
      <c r="D979" s="1296"/>
      <c r="E979" s="1296"/>
      <c r="F979" s="1296"/>
      <c r="G979" s="1296"/>
    </row>
    <row r="980" spans="1:7" ht="13.8" x14ac:dyDescent="0.25">
      <c r="A980" s="1294"/>
      <c r="B980" s="1297" t="s">
        <v>1276</v>
      </c>
      <c r="C980" s="1295"/>
      <c r="D980" s="1296"/>
      <c r="E980" s="1296"/>
      <c r="F980" s="1296"/>
      <c r="G980" s="1296"/>
    </row>
    <row r="981" spans="1:7" ht="13.8" x14ac:dyDescent="0.25">
      <c r="A981" s="1294"/>
      <c r="B981" s="1294"/>
      <c r="C981" s="1295"/>
      <c r="D981" s="1296"/>
      <c r="E981" s="1296"/>
      <c r="F981" s="1296"/>
      <c r="G981" s="1296"/>
    </row>
    <row r="982" spans="1:7" ht="13.8" x14ac:dyDescent="0.25">
      <c r="A982" s="1306"/>
      <c r="B982" s="1306" t="s">
        <v>1108</v>
      </c>
      <c r="C982" s="1307" t="s">
        <v>1324</v>
      </c>
      <c r="D982" s="1307">
        <v>2.5</v>
      </c>
      <c r="E982" s="1307">
        <f>F197</f>
        <v>2235.625</v>
      </c>
      <c r="F982" s="1307">
        <f>D982*E982</f>
        <v>5589.0625</v>
      </c>
      <c r="G982" s="1307"/>
    </row>
    <row r="983" spans="1:7" ht="13.8" x14ac:dyDescent="0.25">
      <c r="A983" s="1306"/>
      <c r="B983" s="1306" t="s">
        <v>1159</v>
      </c>
      <c r="C983" s="1307" t="s">
        <v>1110</v>
      </c>
      <c r="D983" s="1307">
        <v>0.16</v>
      </c>
      <c r="E983" s="1307">
        <f>[19]Material!E13</f>
        <v>23500</v>
      </c>
      <c r="F983" s="1307">
        <f>D983*E983</f>
        <v>3760</v>
      </c>
      <c r="G983" s="1307"/>
    </row>
    <row r="984" spans="1:7" ht="13.8" x14ac:dyDescent="0.25">
      <c r="A984" s="1309"/>
      <c r="B984" s="1309"/>
      <c r="C984" s="1310"/>
      <c r="D984" s="1310"/>
      <c r="E984" s="1310"/>
      <c r="F984" s="1310"/>
      <c r="G984" s="1310"/>
    </row>
    <row r="985" spans="1:7" ht="13.8" x14ac:dyDescent="0.25">
      <c r="A985" s="1294"/>
      <c r="B985" s="1295"/>
      <c r="C985" s="1296"/>
      <c r="D985" s="1296"/>
      <c r="E985" s="1296"/>
      <c r="F985" s="1296"/>
      <c r="G985" s="1296"/>
    </row>
    <row r="986" spans="1:7" ht="13.8" x14ac:dyDescent="0.25">
      <c r="A986" s="1294"/>
      <c r="B986" s="1294"/>
      <c r="C986" s="1295"/>
      <c r="D986" s="1296"/>
      <c r="E986" s="1296"/>
      <c r="F986" s="1296"/>
      <c r="G986" s="1296"/>
    </row>
    <row r="987" spans="1:7" ht="13.8" x14ac:dyDescent="0.25">
      <c r="A987" s="1298"/>
      <c r="B987" s="1476" t="s">
        <v>1277</v>
      </c>
      <c r="C987" s="1476"/>
      <c r="D987" s="1476"/>
      <c r="E987" s="1476"/>
      <c r="F987" s="1299"/>
      <c r="G987" s="1300">
        <f>SUM(F980:F987)</f>
        <v>9349.0625</v>
      </c>
    </row>
    <row r="988" spans="1:7" ht="13.8" x14ac:dyDescent="0.25">
      <c r="A988" s="1294"/>
      <c r="B988" s="1297" t="s">
        <v>1261</v>
      </c>
      <c r="C988" s="1295"/>
      <c r="D988" s="1296"/>
      <c r="E988" s="1296"/>
      <c r="F988" s="1296">
        <f>D988*E988</f>
        <v>0</v>
      </c>
      <c r="G988" s="1296"/>
    </row>
    <row r="989" spans="1:7" ht="13.8" x14ac:dyDescent="0.25">
      <c r="A989" s="1306"/>
      <c r="B989" s="1306" t="s">
        <v>1271</v>
      </c>
      <c r="C989" s="1307" t="s">
        <v>1294</v>
      </c>
      <c r="D989" s="1307">
        <v>100</v>
      </c>
      <c r="E989" s="1307">
        <v>350</v>
      </c>
      <c r="F989" s="1307">
        <f>D989*E989</f>
        <v>35000</v>
      </c>
      <c r="G989" s="1307"/>
    </row>
    <row r="990" spans="1:7" ht="13.8" x14ac:dyDescent="0.25">
      <c r="A990" s="1294"/>
      <c r="B990" s="1294"/>
      <c r="C990" s="1296"/>
      <c r="D990" s="1296"/>
      <c r="E990" s="1296"/>
      <c r="F990" s="1296"/>
      <c r="G990" s="1296"/>
    </row>
    <row r="991" spans="1:7" ht="13.8" x14ac:dyDescent="0.25">
      <c r="A991" s="1294"/>
      <c r="B991" s="1294" t="s">
        <v>1395</v>
      </c>
      <c r="C991" s="1296"/>
      <c r="D991" s="1296"/>
      <c r="E991" s="1296"/>
      <c r="F991" s="1296">
        <f>F989*5%</f>
        <v>1750</v>
      </c>
      <c r="G991" s="1296"/>
    </row>
    <row r="992" spans="1:7" ht="13.8" x14ac:dyDescent="0.25">
      <c r="A992" s="1294"/>
      <c r="B992" s="1294"/>
      <c r="C992" s="1295"/>
      <c r="D992" s="1296"/>
      <c r="E992" s="1296"/>
      <c r="F992" s="1296"/>
      <c r="G992" s="1296"/>
    </row>
    <row r="993" spans="1:7" ht="13.8" x14ac:dyDescent="0.25">
      <c r="A993" s="1298"/>
      <c r="B993" s="1476" t="s">
        <v>1264</v>
      </c>
      <c r="C993" s="1476"/>
      <c r="D993" s="1476"/>
      <c r="E993" s="1476"/>
      <c r="F993" s="1299">
        <f>D993*E993</f>
        <v>0</v>
      </c>
      <c r="G993" s="1300">
        <f>SUM(F989:F993)</f>
        <v>36750</v>
      </c>
    </row>
    <row r="994" spans="1:7" ht="13.8" x14ac:dyDescent="0.25">
      <c r="A994" s="1294"/>
      <c r="B994" s="1302"/>
      <c r="C994" s="1302"/>
      <c r="D994" s="1302"/>
      <c r="E994" s="1302"/>
      <c r="F994" s="1296"/>
      <c r="G994" s="1302"/>
    </row>
    <row r="995" spans="1:7" ht="13.8" x14ac:dyDescent="0.25">
      <c r="A995" s="1294"/>
      <c r="B995" s="1302"/>
      <c r="C995" s="1302"/>
      <c r="D995" s="1302"/>
      <c r="E995" s="1302"/>
      <c r="F995" s="1296"/>
      <c r="G995" s="1302"/>
    </row>
    <row r="996" spans="1:7" ht="13.8" x14ac:dyDescent="0.25">
      <c r="A996" s="1469" t="s">
        <v>1295</v>
      </c>
      <c r="B996" s="1469"/>
      <c r="C996" s="1469"/>
      <c r="D996" s="1469"/>
      <c r="E996" s="1469"/>
      <c r="F996" s="1469"/>
      <c r="G996" s="1303">
        <f>G987+G993</f>
        <v>46099.0625</v>
      </c>
    </row>
    <row r="997" spans="1:7" ht="13.8" x14ac:dyDescent="0.25">
      <c r="A997" s="1469" t="s">
        <v>1296</v>
      </c>
      <c r="B997" s="1469"/>
      <c r="C997" s="1469"/>
      <c r="D997" s="1469"/>
      <c r="E997" s="1469"/>
      <c r="F997" s="1469"/>
      <c r="G997" s="1303">
        <f>G996/9.29</f>
        <v>4962.224165769645</v>
      </c>
    </row>
    <row r="998" spans="1:7" ht="13.8" x14ac:dyDescent="0.25">
      <c r="A998" s="1469" t="s">
        <v>1297</v>
      </c>
      <c r="B998" s="1469"/>
      <c r="C998" s="1469"/>
      <c r="D998" s="1469"/>
      <c r="E998" s="1469"/>
      <c r="F998" s="1469"/>
      <c r="G998" s="1354">
        <f>G997/10.76</f>
        <v>461.17324960684437</v>
      </c>
    </row>
    <row r="1000" spans="1:7" ht="13.8" thickBot="1" x14ac:dyDescent="0.3"/>
    <row r="1001" spans="1:7" ht="13.8" x14ac:dyDescent="0.25">
      <c r="A1001" s="1470" t="s">
        <v>1401</v>
      </c>
      <c r="B1001" s="1471"/>
      <c r="C1001" s="1471"/>
      <c r="D1001" s="1471"/>
      <c r="E1001" s="1471"/>
      <c r="F1001" s="1471"/>
      <c r="G1001" s="1472"/>
    </row>
    <row r="1002" spans="1:7" ht="14.4" thickBot="1" x14ac:dyDescent="0.3">
      <c r="A1002" s="1473" t="s">
        <v>1259</v>
      </c>
      <c r="B1002" s="1474"/>
      <c r="C1002" s="1474"/>
      <c r="D1002" s="1474"/>
      <c r="E1002" s="1474"/>
      <c r="F1002" s="1474"/>
      <c r="G1002" s="1475"/>
    </row>
    <row r="1003" spans="1:7" ht="14.4" thickBot="1" x14ac:dyDescent="0.3">
      <c r="A1003" s="1292"/>
      <c r="B1003" s="1293" t="s">
        <v>1038</v>
      </c>
      <c r="C1003" s="1293" t="s">
        <v>1039</v>
      </c>
      <c r="D1003" s="1293" t="s">
        <v>2</v>
      </c>
      <c r="E1003" s="1293" t="s">
        <v>1040</v>
      </c>
      <c r="F1003" s="1293" t="s">
        <v>5</v>
      </c>
      <c r="G1003" s="1293" t="s">
        <v>1260</v>
      </c>
    </row>
    <row r="1004" spans="1:7" ht="13.8" x14ac:dyDescent="0.25">
      <c r="A1004" s="1294"/>
      <c r="B1004" s="1294"/>
      <c r="C1004" s="1295"/>
      <c r="D1004" s="1296"/>
      <c r="E1004" s="1296"/>
      <c r="F1004" s="1296"/>
      <c r="G1004" s="1296"/>
    </row>
    <row r="1005" spans="1:7" ht="13.8" x14ac:dyDescent="0.25">
      <c r="A1005" s="1294"/>
      <c r="B1005" s="1297" t="s">
        <v>1276</v>
      </c>
      <c r="C1005" s="1295"/>
      <c r="D1005" s="1296"/>
      <c r="E1005" s="1296"/>
      <c r="F1005" s="1296"/>
      <c r="G1005" s="1296"/>
    </row>
    <row r="1006" spans="1:7" ht="13.8" x14ac:dyDescent="0.25">
      <c r="A1006" s="1294"/>
      <c r="B1006" s="1294"/>
      <c r="C1006" s="1295"/>
      <c r="D1006" s="1296"/>
      <c r="E1006" s="1296"/>
      <c r="F1006" s="1296"/>
      <c r="G1006" s="1296"/>
    </row>
    <row r="1007" spans="1:7" ht="13.8" x14ac:dyDescent="0.25">
      <c r="A1007" s="1306"/>
      <c r="B1007" s="1306" t="s">
        <v>1108</v>
      </c>
      <c r="C1007" s="1307" t="s">
        <v>1324</v>
      </c>
      <c r="D1007" s="1307">
        <v>0.95</v>
      </c>
      <c r="E1007" s="1307">
        <f>F197</f>
        <v>2235.625</v>
      </c>
      <c r="F1007" s="1307">
        <f>D1007*E1007</f>
        <v>2123.84375</v>
      </c>
      <c r="G1007" s="1307"/>
    </row>
    <row r="1008" spans="1:7" ht="13.8" x14ac:dyDescent="0.25">
      <c r="A1008" s="1306"/>
      <c r="B1008" s="1306" t="s">
        <v>1159</v>
      </c>
      <c r="C1008" s="1307" t="s">
        <v>1110</v>
      </c>
      <c r="D1008" s="1307">
        <v>7.0000000000000007E-2</v>
      </c>
      <c r="E1008" s="1307">
        <f>[19]Material!E13</f>
        <v>23500</v>
      </c>
      <c r="F1008" s="1307">
        <f>D1008*E1008</f>
        <v>1645.0000000000002</v>
      </c>
      <c r="G1008" s="1307"/>
    </row>
    <row r="1009" spans="1:7" ht="13.8" x14ac:dyDescent="0.25">
      <c r="A1009" s="1306"/>
      <c r="B1009" s="1325" t="s">
        <v>1396</v>
      </c>
      <c r="C1009" s="1307" t="s">
        <v>1397</v>
      </c>
      <c r="D1009" s="1307">
        <v>0.2</v>
      </c>
      <c r="E1009" s="1307">
        <f>[19]Material!E158</f>
        <v>345</v>
      </c>
      <c r="F1009" s="1307">
        <f>D1009*E1009</f>
        <v>69</v>
      </c>
      <c r="G1009" s="1307"/>
    </row>
    <row r="1010" spans="1:7" ht="13.8" x14ac:dyDescent="0.25">
      <c r="A1010" s="1309"/>
      <c r="B1010" s="1309"/>
      <c r="C1010" s="1310"/>
      <c r="D1010" s="1310"/>
      <c r="E1010" s="1310"/>
      <c r="F1010" s="1310"/>
      <c r="G1010" s="1310"/>
    </row>
    <row r="1011" spans="1:7" ht="13.8" x14ac:dyDescent="0.25">
      <c r="A1011" s="1309"/>
      <c r="B1011" s="1309"/>
      <c r="C1011" s="1310"/>
      <c r="D1011" s="1310"/>
      <c r="E1011" s="1310"/>
      <c r="F1011" s="1310"/>
      <c r="G1011" s="1310"/>
    </row>
    <row r="1012" spans="1:7" ht="13.8" x14ac:dyDescent="0.25">
      <c r="A1012" s="1298"/>
      <c r="B1012" s="1476" t="s">
        <v>1277</v>
      </c>
      <c r="C1012" s="1476"/>
      <c r="D1012" s="1476"/>
      <c r="E1012" s="1476"/>
      <c r="F1012" s="1299"/>
      <c r="G1012" s="1300">
        <f>SUM(F1006:F1011)</f>
        <v>3837.84375</v>
      </c>
    </row>
    <row r="1013" spans="1:7" ht="13.8" x14ac:dyDescent="0.25">
      <c r="A1013" s="1294"/>
      <c r="B1013" s="1297" t="s">
        <v>1261</v>
      </c>
      <c r="C1013" s="1295"/>
      <c r="D1013" s="1296"/>
      <c r="E1013" s="1296"/>
      <c r="F1013" s="1296">
        <f>D1013*E1013</f>
        <v>0</v>
      </c>
      <c r="G1013" s="1296"/>
    </row>
    <row r="1014" spans="1:7" ht="13.8" x14ac:dyDescent="0.25">
      <c r="A1014" s="1294"/>
      <c r="B1014" s="1297"/>
      <c r="C1014" s="1295"/>
      <c r="D1014" s="1296"/>
      <c r="E1014" s="1296"/>
      <c r="F1014" s="1296"/>
      <c r="G1014" s="1296"/>
    </row>
    <row r="1015" spans="1:7" ht="13.8" x14ac:dyDescent="0.25">
      <c r="A1015" s="1306"/>
      <c r="B1015" s="1306" t="s">
        <v>1271</v>
      </c>
      <c r="C1015" s="1307" t="s">
        <v>1294</v>
      </c>
      <c r="D1015" s="1307">
        <v>100</v>
      </c>
      <c r="E1015" s="1307">
        <v>200</v>
      </c>
      <c r="F1015" s="1307">
        <f>D1015*E1015</f>
        <v>20000</v>
      </c>
      <c r="G1015" s="1307"/>
    </row>
    <row r="1016" spans="1:7" ht="13.8" x14ac:dyDescent="0.25">
      <c r="A1016" s="1294"/>
      <c r="B1016" s="1294"/>
      <c r="C1016" s="1296"/>
      <c r="D1016" s="1296"/>
      <c r="E1016" s="1296"/>
      <c r="F1016" s="1296"/>
      <c r="G1016" s="1296"/>
    </row>
    <row r="1017" spans="1:7" ht="13.8" x14ac:dyDescent="0.25">
      <c r="A1017" s="1294"/>
      <c r="B1017" s="1294" t="s">
        <v>1389</v>
      </c>
      <c r="C1017" s="1296"/>
      <c r="D1017" s="1296"/>
      <c r="E1017" s="1296"/>
      <c r="F1017" s="1296">
        <f>F1015*3%</f>
        <v>600</v>
      </c>
      <c r="G1017" s="1296"/>
    </row>
    <row r="1018" spans="1:7" ht="13.8" x14ac:dyDescent="0.25">
      <c r="A1018" s="1294"/>
      <c r="B1018" s="1294" t="s">
        <v>1395</v>
      </c>
      <c r="C1018" s="1296"/>
      <c r="D1018" s="1296"/>
      <c r="E1018" s="1296"/>
      <c r="F1018" s="1296">
        <f>F1015*5%</f>
        <v>1000</v>
      </c>
      <c r="G1018" s="1296"/>
    </row>
    <row r="1019" spans="1:7" ht="13.8" x14ac:dyDescent="0.25">
      <c r="A1019" s="1294"/>
      <c r="B1019" s="1294"/>
      <c r="C1019" s="1295"/>
      <c r="D1019" s="1296"/>
      <c r="E1019" s="1296"/>
      <c r="F1019" s="1296"/>
      <c r="G1019" s="1296"/>
    </row>
    <row r="1020" spans="1:7" ht="13.8" x14ac:dyDescent="0.25">
      <c r="A1020" s="1298"/>
      <c r="B1020" s="1476" t="s">
        <v>1264</v>
      </c>
      <c r="C1020" s="1476"/>
      <c r="D1020" s="1476"/>
      <c r="E1020" s="1476"/>
      <c r="F1020" s="1299">
        <f>D1020*E1020</f>
        <v>0</v>
      </c>
      <c r="G1020" s="1300">
        <f>SUM(F1015:F1020)</f>
        <v>21600</v>
      </c>
    </row>
    <row r="1021" spans="1:7" ht="13.8" x14ac:dyDescent="0.25">
      <c r="A1021" s="1294"/>
      <c r="B1021" s="1302"/>
      <c r="C1021" s="1302"/>
      <c r="D1021" s="1302"/>
      <c r="E1021" s="1302"/>
      <c r="F1021" s="1296"/>
      <c r="G1021" s="1302"/>
    </row>
    <row r="1022" spans="1:7" ht="13.8" x14ac:dyDescent="0.25">
      <c r="A1022" s="1294"/>
      <c r="B1022" s="1302"/>
      <c r="C1022" s="1302"/>
      <c r="D1022" s="1302"/>
      <c r="E1022" s="1302"/>
      <c r="F1022" s="1296"/>
      <c r="G1022" s="1302"/>
    </row>
    <row r="1023" spans="1:7" ht="13.8" x14ac:dyDescent="0.25">
      <c r="A1023" s="1469" t="s">
        <v>1295</v>
      </c>
      <c r="B1023" s="1469"/>
      <c r="C1023" s="1469"/>
      <c r="D1023" s="1469"/>
      <c r="E1023" s="1469"/>
      <c r="F1023" s="1469"/>
      <c r="G1023" s="1303">
        <f>G1012+G1020</f>
        <v>25437.84375</v>
      </c>
    </row>
    <row r="1024" spans="1:7" ht="13.8" x14ac:dyDescent="0.25">
      <c r="A1024" s="1469" t="s">
        <v>1296</v>
      </c>
      <c r="B1024" s="1469"/>
      <c r="C1024" s="1469"/>
      <c r="D1024" s="1469"/>
      <c r="E1024" s="1469"/>
      <c r="F1024" s="1469"/>
      <c r="G1024" s="1303">
        <f>G1023/9.29</f>
        <v>2738.1963132400433</v>
      </c>
    </row>
    <row r="1025" spans="1:7" ht="13.8" x14ac:dyDescent="0.25">
      <c r="A1025" s="1469" t="s">
        <v>1297</v>
      </c>
      <c r="B1025" s="1469"/>
      <c r="C1025" s="1469"/>
      <c r="D1025" s="1469"/>
      <c r="E1025" s="1469"/>
      <c r="F1025" s="1469"/>
      <c r="G1025" s="1303">
        <f>G1024/10.76</f>
        <v>254.47921126766201</v>
      </c>
    </row>
    <row r="1035" spans="1:7" x14ac:dyDescent="0.25">
      <c r="A1035" s="1477" t="s">
        <v>1402</v>
      </c>
      <c r="B1035" s="1477"/>
      <c r="C1035" s="1477"/>
      <c r="D1035" s="1477"/>
      <c r="E1035" s="1477"/>
      <c r="F1035" s="1477"/>
      <c r="G1035" s="1477"/>
    </row>
    <row r="1037" spans="1:7" ht="13.8" thickBot="1" x14ac:dyDescent="0.3"/>
    <row r="1038" spans="1:7" ht="13.8" x14ac:dyDescent="0.25">
      <c r="A1038" s="1470" t="s">
        <v>1403</v>
      </c>
      <c r="B1038" s="1471"/>
      <c r="C1038" s="1471"/>
      <c r="D1038" s="1471"/>
      <c r="E1038" s="1471"/>
      <c r="F1038" s="1471"/>
      <c r="G1038" s="1472"/>
    </row>
    <row r="1039" spans="1:7" ht="14.4" thickBot="1" x14ac:dyDescent="0.3">
      <c r="A1039" s="1473" t="s">
        <v>1259</v>
      </c>
      <c r="B1039" s="1474"/>
      <c r="C1039" s="1474"/>
      <c r="D1039" s="1474"/>
      <c r="E1039" s="1474"/>
      <c r="F1039" s="1474"/>
      <c r="G1039" s="1475"/>
    </row>
    <row r="1040" spans="1:7" ht="14.4" thickBot="1" x14ac:dyDescent="0.3">
      <c r="A1040" s="1292"/>
      <c r="B1040" s="1293" t="s">
        <v>1038</v>
      </c>
      <c r="C1040" s="1293" t="s">
        <v>1039</v>
      </c>
      <c r="D1040" s="1293" t="s">
        <v>2</v>
      </c>
      <c r="E1040" s="1293" t="s">
        <v>1040</v>
      </c>
      <c r="F1040" s="1293" t="s">
        <v>5</v>
      </c>
      <c r="G1040" s="1293" t="s">
        <v>1260</v>
      </c>
    </row>
    <row r="1041" spans="1:29" ht="13.8" x14ac:dyDescent="0.25">
      <c r="A1041" s="1294"/>
      <c r="B1041" s="1294"/>
      <c r="C1041" s="1295"/>
      <c r="D1041" s="1296"/>
      <c r="E1041" s="1296"/>
      <c r="F1041" s="1296"/>
      <c r="G1041" s="1296"/>
    </row>
    <row r="1042" spans="1:29" s="1332" customFormat="1" ht="13.8" x14ac:dyDescent="0.25">
      <c r="A1042" s="1294"/>
      <c r="B1042" s="1297" t="s">
        <v>1276</v>
      </c>
      <c r="C1042" s="1295"/>
      <c r="D1042" s="1296"/>
      <c r="E1042" s="1296"/>
      <c r="F1042" s="1296"/>
      <c r="G1042" s="1296"/>
      <c r="H1042" s="1290"/>
      <c r="I1042" s="1290"/>
      <c r="J1042" s="1290"/>
      <c r="P1042" s="1291"/>
      <c r="Q1042" s="1291"/>
      <c r="R1042" s="1291"/>
      <c r="S1042" s="1291"/>
      <c r="T1042" s="1291"/>
      <c r="U1042" s="1291"/>
      <c r="V1042" s="1291"/>
      <c r="W1042" s="1291"/>
      <c r="X1042" s="1291"/>
      <c r="Y1042" s="1291"/>
      <c r="Z1042" s="1291"/>
      <c r="AA1042" s="1291"/>
      <c r="AB1042" s="1291"/>
      <c r="AC1042" s="1291"/>
    </row>
    <row r="1043" spans="1:29" s="1332" customFormat="1" ht="13.8" x14ac:dyDescent="0.25">
      <c r="A1043" s="1294"/>
      <c r="B1043" s="1294"/>
      <c r="C1043" s="1295"/>
      <c r="D1043" s="1296"/>
      <c r="E1043" s="1296"/>
      <c r="F1043" s="1296"/>
      <c r="G1043" s="1296"/>
      <c r="H1043" s="1290"/>
      <c r="I1043" s="1290">
        <f>9.29*0.012</f>
        <v>0.11148</v>
      </c>
      <c r="J1043" s="1290">
        <f>I1043*1.3333</f>
        <v>0.14863628399999998</v>
      </c>
      <c r="P1043" s="1291"/>
      <c r="Q1043" s="1291"/>
      <c r="R1043" s="1291"/>
      <c r="S1043" s="1291"/>
      <c r="T1043" s="1291"/>
      <c r="U1043" s="1291"/>
      <c r="V1043" s="1291"/>
      <c r="W1043" s="1291"/>
      <c r="X1043" s="1291"/>
      <c r="Y1043" s="1291"/>
      <c r="Z1043" s="1291"/>
      <c r="AA1043" s="1291"/>
      <c r="AB1043" s="1291"/>
      <c r="AC1043" s="1291"/>
    </row>
    <row r="1044" spans="1:29" s="1332" customFormat="1" ht="13.8" x14ac:dyDescent="0.25">
      <c r="A1044" s="1309"/>
      <c r="B1044" s="1309" t="s">
        <v>1108</v>
      </c>
      <c r="C1044" s="1310" t="s">
        <v>1324</v>
      </c>
      <c r="D1044" s="1310">
        <v>1.07</v>
      </c>
      <c r="E1044" s="1310">
        <f>F197</f>
        <v>2235.625</v>
      </c>
      <c r="F1044" s="1310">
        <f>D1044*E1044</f>
        <v>2392.1187500000001</v>
      </c>
      <c r="G1044" s="1310"/>
      <c r="H1044" s="1290"/>
      <c r="I1044" s="1290"/>
      <c r="J1044" s="1290"/>
      <c r="P1044" s="1291"/>
      <c r="Q1044" s="1291"/>
      <c r="R1044" s="1291"/>
      <c r="S1044" s="1291"/>
      <c r="T1044" s="1291"/>
      <c r="U1044" s="1291"/>
      <c r="V1044" s="1291"/>
      <c r="W1044" s="1291"/>
      <c r="X1044" s="1291"/>
      <c r="Y1044" s="1291"/>
      <c r="Z1044" s="1291"/>
      <c r="AA1044" s="1291"/>
      <c r="AB1044" s="1291"/>
      <c r="AC1044" s="1291"/>
    </row>
    <row r="1045" spans="1:29" s="1332" customFormat="1" ht="13.8" x14ac:dyDescent="0.25">
      <c r="A1045" s="1309"/>
      <c r="B1045" s="1309" t="s">
        <v>1159</v>
      </c>
      <c r="C1045" s="1310" t="s">
        <v>1110</v>
      </c>
      <c r="D1045" s="1310">
        <v>0.04</v>
      </c>
      <c r="E1045" s="1310">
        <f>[19]Material!E13</f>
        <v>23500</v>
      </c>
      <c r="F1045" s="1310">
        <f t="shared" ref="F1045:F1047" si="100">D1045*E1045</f>
        <v>940</v>
      </c>
      <c r="G1045" s="1310"/>
      <c r="H1045" s="1290"/>
      <c r="I1045" s="1290">
        <f>J1043/4</f>
        <v>3.7159070999999995E-2</v>
      </c>
      <c r="J1045" s="1290"/>
      <c r="P1045" s="1291"/>
      <c r="Q1045" s="1291"/>
      <c r="R1045" s="1291"/>
      <c r="S1045" s="1291"/>
      <c r="T1045" s="1291"/>
      <c r="U1045" s="1291"/>
      <c r="V1045" s="1291"/>
      <c r="W1045" s="1291"/>
      <c r="X1045" s="1291"/>
      <c r="Y1045" s="1291"/>
      <c r="Z1045" s="1291"/>
      <c r="AA1045" s="1291"/>
      <c r="AB1045" s="1291"/>
      <c r="AC1045" s="1291"/>
    </row>
    <row r="1046" spans="1:29" s="1332" customFormat="1" ht="13.8" x14ac:dyDescent="0.25">
      <c r="A1046" s="1309"/>
      <c r="B1046" s="1342"/>
      <c r="C1046" s="1310"/>
      <c r="D1046" s="1310"/>
      <c r="E1046" s="1310"/>
      <c r="F1046" s="1310">
        <f t="shared" si="100"/>
        <v>0</v>
      </c>
      <c r="G1046" s="1310"/>
      <c r="H1046" s="1290"/>
      <c r="I1046" s="1290"/>
      <c r="J1046" s="1290"/>
      <c r="P1046" s="1291"/>
      <c r="Q1046" s="1291"/>
      <c r="R1046" s="1291"/>
      <c r="S1046" s="1291"/>
      <c r="T1046" s="1291"/>
      <c r="U1046" s="1291"/>
      <c r="V1046" s="1291"/>
      <c r="W1046" s="1291"/>
      <c r="X1046" s="1291"/>
      <c r="Y1046" s="1291"/>
      <c r="Z1046" s="1291"/>
      <c r="AA1046" s="1291"/>
      <c r="AB1046" s="1291"/>
      <c r="AC1046" s="1291"/>
    </row>
    <row r="1047" spans="1:29" s="1332" customFormat="1" ht="13.8" x14ac:dyDescent="0.25">
      <c r="A1047" s="1294"/>
      <c r="B1047" s="1295" t="s">
        <v>1404</v>
      </c>
      <c r="C1047" s="1296" t="s">
        <v>1190</v>
      </c>
      <c r="D1047" s="1296">
        <v>20</v>
      </c>
      <c r="E1047" s="1296">
        <v>200</v>
      </c>
      <c r="F1047" s="1310">
        <f t="shared" si="100"/>
        <v>4000</v>
      </c>
      <c r="G1047" s="1296"/>
      <c r="H1047" s="1290"/>
      <c r="I1047" s="1290">
        <f>I1045*1440</f>
        <v>53.509062239999992</v>
      </c>
      <c r="J1047" s="1290">
        <f>I1047/50</f>
        <v>1.0701812447999999</v>
      </c>
      <c r="P1047" s="1291"/>
      <c r="Q1047" s="1291"/>
      <c r="R1047" s="1291"/>
      <c r="S1047" s="1291"/>
      <c r="T1047" s="1291"/>
      <c r="U1047" s="1291"/>
      <c r="V1047" s="1291"/>
      <c r="W1047" s="1291"/>
      <c r="X1047" s="1291"/>
      <c r="Y1047" s="1291"/>
      <c r="Z1047" s="1291"/>
      <c r="AA1047" s="1291"/>
      <c r="AB1047" s="1291"/>
      <c r="AC1047" s="1291"/>
    </row>
    <row r="1048" spans="1:29" s="1332" customFormat="1" ht="13.8" x14ac:dyDescent="0.25">
      <c r="A1048" s="1294"/>
      <c r="B1048" s="1294"/>
      <c r="C1048" s="1295"/>
      <c r="D1048" s="1296"/>
      <c r="E1048" s="1296"/>
      <c r="F1048" s="1296"/>
      <c r="G1048" s="1296"/>
      <c r="H1048" s="1290"/>
      <c r="I1048" s="1290">
        <f>I1045*3</f>
        <v>0.11147721299999999</v>
      </c>
      <c r="J1048" s="1290">
        <f>I1048/2.83</f>
        <v>3.9391241342756178E-2</v>
      </c>
      <c r="P1048" s="1291"/>
      <c r="Q1048" s="1291"/>
      <c r="R1048" s="1291"/>
      <c r="S1048" s="1291"/>
      <c r="T1048" s="1291"/>
      <c r="U1048" s="1291"/>
      <c r="V1048" s="1291"/>
      <c r="W1048" s="1291"/>
      <c r="X1048" s="1291"/>
      <c r="Y1048" s="1291"/>
      <c r="Z1048" s="1291"/>
      <c r="AA1048" s="1291"/>
      <c r="AB1048" s="1291"/>
      <c r="AC1048" s="1291"/>
    </row>
    <row r="1049" spans="1:29" s="1332" customFormat="1" ht="13.8" x14ac:dyDescent="0.25">
      <c r="A1049" s="1298"/>
      <c r="B1049" s="1476" t="s">
        <v>1277</v>
      </c>
      <c r="C1049" s="1476"/>
      <c r="D1049" s="1476"/>
      <c r="E1049" s="1476"/>
      <c r="F1049" s="1299"/>
      <c r="G1049" s="1300">
        <f>SUM(F1041:F1049)</f>
        <v>7332.1187499999996</v>
      </c>
      <c r="H1049" s="1290"/>
      <c r="I1049" s="1290"/>
      <c r="J1049" s="1290"/>
      <c r="P1049" s="1291"/>
      <c r="Q1049" s="1291"/>
      <c r="R1049" s="1291"/>
      <c r="S1049" s="1291"/>
      <c r="T1049" s="1291"/>
      <c r="U1049" s="1291"/>
      <c r="V1049" s="1291"/>
      <c r="W1049" s="1291"/>
      <c r="X1049" s="1291"/>
      <c r="Y1049" s="1291"/>
      <c r="Z1049" s="1291"/>
      <c r="AA1049" s="1291"/>
      <c r="AB1049" s="1291"/>
      <c r="AC1049" s="1291"/>
    </row>
    <row r="1050" spans="1:29" s="1332" customFormat="1" ht="13.8" x14ac:dyDescent="0.25">
      <c r="A1050" s="1294"/>
      <c r="B1050" s="1297" t="s">
        <v>1261</v>
      </c>
      <c r="C1050" s="1295"/>
      <c r="D1050" s="1296"/>
      <c r="E1050" s="1296"/>
      <c r="F1050" s="1296"/>
      <c r="G1050" s="1296"/>
      <c r="H1050" s="1290"/>
      <c r="I1050" s="1290"/>
      <c r="J1050" s="1290">
        <f>10850*1.15</f>
        <v>12477.499999999998</v>
      </c>
      <c r="K1050" s="1332">
        <f>J1050/20</f>
        <v>623.87499999999989</v>
      </c>
      <c r="P1050" s="1291"/>
      <c r="Q1050" s="1291"/>
      <c r="R1050" s="1291"/>
      <c r="S1050" s="1291"/>
      <c r="T1050" s="1291"/>
      <c r="U1050" s="1291"/>
      <c r="V1050" s="1291"/>
      <c r="W1050" s="1291"/>
      <c r="X1050" s="1291"/>
      <c r="Y1050" s="1291"/>
      <c r="Z1050" s="1291"/>
      <c r="AA1050" s="1291"/>
      <c r="AB1050" s="1291"/>
      <c r="AC1050" s="1291"/>
    </row>
    <row r="1051" spans="1:29" s="1332" customFormat="1" ht="13.8" x14ac:dyDescent="0.25">
      <c r="A1051" s="1309"/>
      <c r="B1051" s="1309" t="s">
        <v>1271</v>
      </c>
      <c r="C1051" s="1310" t="s">
        <v>1294</v>
      </c>
      <c r="D1051" s="1310">
        <v>100</v>
      </c>
      <c r="E1051" s="1310">
        <v>40</v>
      </c>
      <c r="F1051" s="1310">
        <f>D1051*E1051</f>
        <v>4000</v>
      </c>
      <c r="G1051" s="1310"/>
      <c r="H1051" s="1290"/>
      <c r="I1051" s="1290"/>
      <c r="J1051" s="1290"/>
      <c r="P1051" s="1291"/>
      <c r="Q1051" s="1291"/>
      <c r="R1051" s="1291"/>
      <c r="S1051" s="1291"/>
      <c r="T1051" s="1291"/>
      <c r="U1051" s="1291"/>
      <c r="V1051" s="1291"/>
      <c r="W1051" s="1291"/>
      <c r="X1051" s="1291"/>
      <c r="Y1051" s="1291"/>
      <c r="Z1051" s="1291"/>
      <c r="AA1051" s="1291"/>
      <c r="AB1051" s="1291"/>
      <c r="AC1051" s="1291"/>
    </row>
    <row r="1052" spans="1:29" s="1332" customFormat="1" ht="13.8" x14ac:dyDescent="0.25">
      <c r="A1052" s="1294"/>
      <c r="B1052" s="1294"/>
      <c r="C1052" s="1296"/>
      <c r="D1052" s="1296"/>
      <c r="E1052" s="1296"/>
      <c r="F1052" s="1296"/>
      <c r="G1052" s="1296"/>
      <c r="H1052" s="1290"/>
      <c r="I1052" s="1290"/>
      <c r="J1052" s="1290"/>
      <c r="P1052" s="1291"/>
      <c r="Q1052" s="1291"/>
      <c r="R1052" s="1291"/>
      <c r="S1052" s="1291"/>
      <c r="T1052" s="1291"/>
      <c r="U1052" s="1291"/>
      <c r="V1052" s="1291"/>
      <c r="W1052" s="1291"/>
      <c r="X1052" s="1291"/>
      <c r="Y1052" s="1291"/>
      <c r="Z1052" s="1291"/>
      <c r="AA1052" s="1291"/>
      <c r="AB1052" s="1291"/>
      <c r="AC1052" s="1291"/>
    </row>
    <row r="1053" spans="1:29" s="1332" customFormat="1" ht="13.8" x14ac:dyDescent="0.25">
      <c r="A1053" s="1294"/>
      <c r="B1053" s="1294"/>
      <c r="C1053" s="1296"/>
      <c r="D1053" s="1296"/>
      <c r="E1053" s="1296"/>
      <c r="F1053" s="1296"/>
      <c r="G1053" s="1296"/>
      <c r="H1053" s="1290"/>
      <c r="I1053" s="1290"/>
      <c r="J1053" s="1290"/>
      <c r="P1053" s="1291"/>
      <c r="Q1053" s="1291"/>
      <c r="R1053" s="1291"/>
      <c r="S1053" s="1291"/>
      <c r="T1053" s="1291"/>
      <c r="U1053" s="1291"/>
      <c r="V1053" s="1291"/>
      <c r="W1053" s="1291"/>
      <c r="X1053" s="1291"/>
      <c r="Y1053" s="1291"/>
      <c r="Z1053" s="1291"/>
      <c r="AA1053" s="1291"/>
      <c r="AB1053" s="1291"/>
      <c r="AC1053" s="1291"/>
    </row>
    <row r="1054" spans="1:29" s="1332" customFormat="1" ht="13.8" x14ac:dyDescent="0.25">
      <c r="A1054" s="1294"/>
      <c r="B1054" s="1294"/>
      <c r="C1054" s="1295"/>
      <c r="D1054" s="1296"/>
      <c r="E1054" s="1296"/>
      <c r="F1054" s="1296"/>
      <c r="G1054" s="1296"/>
      <c r="H1054" s="1290"/>
      <c r="I1054" s="1290"/>
      <c r="J1054" s="1290"/>
      <c r="P1054" s="1291"/>
      <c r="Q1054" s="1291"/>
      <c r="R1054" s="1291"/>
      <c r="S1054" s="1291"/>
      <c r="T1054" s="1291"/>
      <c r="U1054" s="1291"/>
      <c r="V1054" s="1291"/>
      <c r="W1054" s="1291"/>
      <c r="X1054" s="1291"/>
      <c r="Y1054" s="1291"/>
      <c r="Z1054" s="1291"/>
      <c r="AA1054" s="1291"/>
      <c r="AB1054" s="1291"/>
      <c r="AC1054" s="1291"/>
    </row>
    <row r="1055" spans="1:29" s="1332" customFormat="1" ht="13.8" x14ac:dyDescent="0.25">
      <c r="A1055" s="1298"/>
      <c r="B1055" s="1476" t="s">
        <v>1264</v>
      </c>
      <c r="C1055" s="1476"/>
      <c r="D1055" s="1476"/>
      <c r="E1055" s="1476"/>
      <c r="F1055" s="1299">
        <f>D1055*E1055</f>
        <v>0</v>
      </c>
      <c r="G1055" s="1300">
        <f>SUM(F1051:F1055)</f>
        <v>4000</v>
      </c>
      <c r="H1055" s="1290"/>
      <c r="I1055" s="1290"/>
      <c r="J1055" s="1290"/>
      <c r="P1055" s="1291"/>
      <c r="Q1055" s="1291"/>
      <c r="R1055" s="1291"/>
      <c r="S1055" s="1291"/>
      <c r="T1055" s="1291"/>
      <c r="U1055" s="1291"/>
      <c r="V1055" s="1291"/>
      <c r="W1055" s="1291"/>
      <c r="X1055" s="1291"/>
      <c r="Y1055" s="1291"/>
      <c r="Z1055" s="1291"/>
      <c r="AA1055" s="1291"/>
      <c r="AB1055" s="1291"/>
      <c r="AC1055" s="1291"/>
    </row>
    <row r="1056" spans="1:29" s="1332" customFormat="1" ht="13.8" x14ac:dyDescent="0.25">
      <c r="A1056" s="1294"/>
      <c r="B1056" s="1302"/>
      <c r="C1056" s="1302"/>
      <c r="D1056" s="1302"/>
      <c r="E1056" s="1302"/>
      <c r="F1056" s="1296"/>
      <c r="G1056" s="1302"/>
      <c r="H1056" s="1290"/>
      <c r="I1056" s="1290"/>
      <c r="J1056" s="1290"/>
      <c r="P1056" s="1291"/>
      <c r="Q1056" s="1291"/>
      <c r="R1056" s="1291"/>
      <c r="S1056" s="1291"/>
      <c r="T1056" s="1291"/>
      <c r="U1056" s="1291"/>
      <c r="V1056" s="1291"/>
      <c r="W1056" s="1291"/>
      <c r="X1056" s="1291"/>
      <c r="Y1056" s="1291"/>
      <c r="Z1056" s="1291"/>
      <c r="AA1056" s="1291"/>
      <c r="AB1056" s="1291"/>
      <c r="AC1056" s="1291"/>
    </row>
    <row r="1057" spans="1:29" s="1332" customFormat="1" ht="13.8" x14ac:dyDescent="0.25">
      <c r="A1057" s="1294"/>
      <c r="B1057" s="1302"/>
      <c r="C1057" s="1302"/>
      <c r="D1057" s="1302"/>
      <c r="E1057" s="1302"/>
      <c r="F1057" s="1296"/>
      <c r="G1057" s="1302"/>
      <c r="H1057" s="1290"/>
      <c r="I1057" s="1290"/>
      <c r="J1057" s="1290"/>
      <c r="P1057" s="1291"/>
      <c r="Q1057" s="1291"/>
      <c r="R1057" s="1291"/>
      <c r="S1057" s="1291"/>
      <c r="T1057" s="1291"/>
      <c r="U1057" s="1291"/>
      <c r="V1057" s="1291"/>
      <c r="W1057" s="1291"/>
      <c r="X1057" s="1291"/>
      <c r="Y1057" s="1291"/>
      <c r="Z1057" s="1291"/>
      <c r="AA1057" s="1291"/>
      <c r="AB1057" s="1291"/>
      <c r="AC1057" s="1291"/>
    </row>
    <row r="1058" spans="1:29" ht="13.8" x14ac:dyDescent="0.25">
      <c r="A1058" s="1469" t="s">
        <v>1295</v>
      </c>
      <c r="B1058" s="1469"/>
      <c r="C1058" s="1469"/>
      <c r="D1058" s="1469"/>
      <c r="E1058" s="1469"/>
      <c r="F1058" s="1469"/>
      <c r="G1058" s="1303">
        <f>G1049+G1055</f>
        <v>11332.11875</v>
      </c>
    </row>
    <row r="1059" spans="1:29" ht="13.8" x14ac:dyDescent="0.25">
      <c r="A1059" s="1469" t="s">
        <v>1296</v>
      </c>
      <c r="B1059" s="1469"/>
      <c r="C1059" s="1469"/>
      <c r="D1059" s="1469"/>
      <c r="E1059" s="1469"/>
      <c r="F1059" s="1469"/>
      <c r="G1059" s="1303">
        <f>G1058/9.29</f>
        <v>1219.8190258342304</v>
      </c>
    </row>
    <row r="1060" spans="1:29" ht="13.8" x14ac:dyDescent="0.25">
      <c r="A1060" s="1469" t="s">
        <v>1297</v>
      </c>
      <c r="B1060" s="1469"/>
      <c r="C1060" s="1469"/>
      <c r="D1060" s="1469"/>
      <c r="E1060" s="1469"/>
      <c r="F1060" s="1469"/>
      <c r="G1060" s="1303">
        <f>G1059/10.76</f>
        <v>113.36608046786527</v>
      </c>
    </row>
    <row r="1070" spans="1:29" ht="13.8" thickBot="1" x14ac:dyDescent="0.3"/>
    <row r="1071" spans="1:29" ht="13.8" x14ac:dyDescent="0.25">
      <c r="A1071" s="1470" t="s">
        <v>1405</v>
      </c>
      <c r="B1071" s="1471"/>
      <c r="C1071" s="1471"/>
      <c r="D1071" s="1471"/>
      <c r="E1071" s="1471"/>
      <c r="F1071" s="1471"/>
      <c r="G1071" s="1472"/>
    </row>
    <row r="1072" spans="1:29" ht="14.4" thickBot="1" x14ac:dyDescent="0.3">
      <c r="A1072" s="1473" t="s">
        <v>1259</v>
      </c>
      <c r="B1072" s="1474"/>
      <c r="C1072" s="1474"/>
      <c r="D1072" s="1474"/>
      <c r="E1072" s="1474"/>
      <c r="F1072" s="1474"/>
      <c r="G1072" s="1475"/>
    </row>
    <row r="1073" spans="1:29" ht="14.4" thickBot="1" x14ac:dyDescent="0.3">
      <c r="A1073" s="1292"/>
      <c r="B1073" s="1293" t="s">
        <v>1038</v>
      </c>
      <c r="C1073" s="1293" t="s">
        <v>1039</v>
      </c>
      <c r="D1073" s="1293" t="s">
        <v>2</v>
      </c>
      <c r="E1073" s="1293" t="s">
        <v>1040</v>
      </c>
      <c r="F1073" s="1293" t="s">
        <v>5</v>
      </c>
      <c r="G1073" s="1293" t="s">
        <v>1260</v>
      </c>
    </row>
    <row r="1074" spans="1:29" s="1332" customFormat="1" ht="13.8" x14ac:dyDescent="0.25">
      <c r="A1074" s="1294"/>
      <c r="B1074" s="1294"/>
      <c r="C1074" s="1295"/>
      <c r="D1074" s="1296"/>
      <c r="E1074" s="1296"/>
      <c r="F1074" s="1296"/>
      <c r="G1074" s="1296"/>
      <c r="H1074" s="1290"/>
      <c r="I1074" s="1290"/>
      <c r="J1074" s="1290"/>
      <c r="P1074" s="1291"/>
      <c r="Q1074" s="1291"/>
      <c r="R1074" s="1291"/>
      <c r="S1074" s="1291"/>
      <c r="T1074" s="1291"/>
      <c r="U1074" s="1291"/>
      <c r="V1074" s="1291"/>
      <c r="W1074" s="1291"/>
      <c r="X1074" s="1291"/>
      <c r="Y1074" s="1291"/>
      <c r="Z1074" s="1291"/>
      <c r="AA1074" s="1291"/>
      <c r="AB1074" s="1291"/>
      <c r="AC1074" s="1291"/>
    </row>
    <row r="1075" spans="1:29" s="1332" customFormat="1" ht="13.8" x14ac:dyDescent="0.25">
      <c r="A1075" s="1294"/>
      <c r="B1075" s="1297" t="s">
        <v>1276</v>
      </c>
      <c r="C1075" s="1295"/>
      <c r="D1075" s="1296"/>
      <c r="E1075" s="1296"/>
      <c r="F1075" s="1296"/>
      <c r="G1075" s="1296"/>
      <c r="H1075" s="1290"/>
      <c r="I1075" s="1290"/>
      <c r="J1075" s="1290"/>
      <c r="P1075" s="1291"/>
      <c r="Q1075" s="1291"/>
      <c r="R1075" s="1291"/>
      <c r="S1075" s="1291"/>
      <c r="T1075" s="1291"/>
      <c r="U1075" s="1291"/>
      <c r="V1075" s="1291"/>
      <c r="W1075" s="1291"/>
      <c r="X1075" s="1291"/>
      <c r="Y1075" s="1291"/>
      <c r="Z1075" s="1291"/>
      <c r="AA1075" s="1291"/>
      <c r="AB1075" s="1291"/>
      <c r="AC1075" s="1291"/>
    </row>
    <row r="1076" spans="1:29" s="1332" customFormat="1" ht="13.8" x14ac:dyDescent="0.25">
      <c r="A1076" s="1294"/>
      <c r="B1076" s="1294"/>
      <c r="C1076" s="1295"/>
      <c r="D1076" s="1296"/>
      <c r="E1076" s="1296"/>
      <c r="F1076" s="1296"/>
      <c r="G1076" s="1296"/>
      <c r="H1076" s="1290"/>
      <c r="I1076" s="1290">
        <f>9.29*0.02</f>
        <v>0.18579999999999999</v>
      </c>
      <c r="J1076" s="1290">
        <f>I1076*1.3333</f>
        <v>0.24772713999999998</v>
      </c>
      <c r="P1076" s="1291"/>
      <c r="Q1076" s="1291"/>
      <c r="R1076" s="1291"/>
      <c r="S1076" s="1291"/>
      <c r="T1076" s="1291"/>
      <c r="U1076" s="1291"/>
      <c r="V1076" s="1291"/>
      <c r="W1076" s="1291"/>
      <c r="X1076" s="1291"/>
      <c r="Y1076" s="1291"/>
      <c r="Z1076" s="1291"/>
      <c r="AA1076" s="1291"/>
      <c r="AB1076" s="1291"/>
      <c r="AC1076" s="1291"/>
    </row>
    <row r="1077" spans="1:29" s="1332" customFormat="1" ht="13.8" x14ac:dyDescent="0.25">
      <c r="A1077" s="1309"/>
      <c r="B1077" s="1309" t="s">
        <v>1108</v>
      </c>
      <c r="C1077" s="1310" t="s">
        <v>1324</v>
      </c>
      <c r="D1077" s="1310">
        <v>1.78</v>
      </c>
      <c r="E1077" s="1310">
        <f>F197</f>
        <v>2235.625</v>
      </c>
      <c r="F1077" s="1310">
        <f>D1077*E1077</f>
        <v>3979.4124999999999</v>
      </c>
      <c r="G1077" s="1310"/>
      <c r="H1077" s="1290"/>
      <c r="I1077" s="1290"/>
      <c r="J1077" s="1290"/>
      <c r="P1077" s="1291"/>
      <c r="Q1077" s="1291"/>
      <c r="R1077" s="1291"/>
      <c r="S1077" s="1291"/>
      <c r="T1077" s="1291"/>
      <c r="U1077" s="1291"/>
      <c r="V1077" s="1291"/>
      <c r="W1077" s="1291"/>
      <c r="X1077" s="1291"/>
      <c r="Y1077" s="1291"/>
      <c r="Z1077" s="1291"/>
      <c r="AA1077" s="1291"/>
      <c r="AB1077" s="1291"/>
      <c r="AC1077" s="1291"/>
    </row>
    <row r="1078" spans="1:29" s="1332" customFormat="1" ht="13.8" x14ac:dyDescent="0.25">
      <c r="A1078" s="1309"/>
      <c r="B1078" s="1309" t="s">
        <v>1159</v>
      </c>
      <c r="C1078" s="1310" t="s">
        <v>1110</v>
      </c>
      <c r="D1078" s="1310">
        <v>7.0000000000000007E-2</v>
      </c>
      <c r="E1078" s="1310">
        <f>[19]Material!E13</f>
        <v>23500</v>
      </c>
      <c r="F1078" s="1310">
        <f>D1078*E1078</f>
        <v>1645.0000000000002</v>
      </c>
      <c r="G1078" s="1310"/>
      <c r="H1078" s="1290"/>
      <c r="I1078" s="1290">
        <f>J1076/4</f>
        <v>6.1931784999999996E-2</v>
      </c>
      <c r="J1078" s="1290"/>
      <c r="P1078" s="1291"/>
      <c r="Q1078" s="1291"/>
      <c r="R1078" s="1291"/>
      <c r="S1078" s="1291"/>
      <c r="T1078" s="1291"/>
      <c r="U1078" s="1291"/>
      <c r="V1078" s="1291"/>
      <c r="W1078" s="1291"/>
      <c r="X1078" s="1291"/>
      <c r="Y1078" s="1291"/>
      <c r="Z1078" s="1291"/>
      <c r="AA1078" s="1291"/>
      <c r="AB1078" s="1291"/>
      <c r="AC1078" s="1291"/>
    </row>
    <row r="1079" spans="1:29" s="1332" customFormat="1" ht="13.8" x14ac:dyDescent="0.25">
      <c r="A1079" s="1309"/>
      <c r="B1079" s="1342"/>
      <c r="C1079" s="1310"/>
      <c r="D1079" s="1310"/>
      <c r="E1079" s="1310"/>
      <c r="F1079" s="1310"/>
      <c r="G1079" s="1310"/>
      <c r="H1079" s="1290"/>
      <c r="I1079" s="1290"/>
      <c r="J1079" s="1290"/>
      <c r="P1079" s="1291"/>
      <c r="Q1079" s="1291"/>
      <c r="R1079" s="1291"/>
      <c r="S1079" s="1291"/>
      <c r="T1079" s="1291"/>
      <c r="U1079" s="1291"/>
      <c r="V1079" s="1291"/>
      <c r="W1079" s="1291"/>
      <c r="X1079" s="1291"/>
      <c r="Y1079" s="1291"/>
      <c r="Z1079" s="1291"/>
      <c r="AA1079" s="1291"/>
      <c r="AB1079" s="1291"/>
      <c r="AC1079" s="1291"/>
    </row>
    <row r="1080" spans="1:29" s="1332" customFormat="1" ht="13.8" x14ac:dyDescent="0.25">
      <c r="A1080" s="1294"/>
      <c r="B1080" s="1295"/>
      <c r="C1080" s="1296"/>
      <c r="D1080" s="1296"/>
      <c r="E1080" s="1296"/>
      <c r="F1080" s="1310"/>
      <c r="G1080" s="1296"/>
      <c r="H1080" s="1290"/>
      <c r="I1080" s="1290">
        <f>I1078*1440</f>
        <v>89.181770399999991</v>
      </c>
      <c r="J1080" s="1290">
        <f>I1080/50</f>
        <v>1.7836354079999999</v>
      </c>
      <c r="P1080" s="1291"/>
      <c r="Q1080" s="1291"/>
      <c r="R1080" s="1291"/>
      <c r="S1080" s="1291"/>
      <c r="T1080" s="1291"/>
      <c r="U1080" s="1291"/>
      <c r="V1080" s="1291"/>
      <c r="W1080" s="1291"/>
      <c r="X1080" s="1291"/>
      <c r="Y1080" s="1291"/>
      <c r="Z1080" s="1291"/>
      <c r="AA1080" s="1291"/>
      <c r="AB1080" s="1291"/>
      <c r="AC1080" s="1291"/>
    </row>
    <row r="1081" spans="1:29" s="1332" customFormat="1" ht="13.8" x14ac:dyDescent="0.25">
      <c r="A1081" s="1294"/>
      <c r="B1081" s="1294"/>
      <c r="C1081" s="1295"/>
      <c r="D1081" s="1296"/>
      <c r="E1081" s="1296"/>
      <c r="F1081" s="1296"/>
      <c r="G1081" s="1296"/>
      <c r="H1081" s="1290"/>
      <c r="I1081" s="1290">
        <f>I1078*3</f>
        <v>0.185795355</v>
      </c>
      <c r="J1081" s="1290">
        <f>I1081/2.83</f>
        <v>6.565206890459363E-2</v>
      </c>
      <c r="P1081" s="1291"/>
      <c r="Q1081" s="1291"/>
      <c r="R1081" s="1291"/>
      <c r="S1081" s="1291"/>
      <c r="T1081" s="1291"/>
      <c r="U1081" s="1291"/>
      <c r="V1081" s="1291"/>
      <c r="W1081" s="1291"/>
      <c r="X1081" s="1291"/>
      <c r="Y1081" s="1291"/>
      <c r="Z1081" s="1291"/>
      <c r="AA1081" s="1291"/>
      <c r="AB1081" s="1291"/>
      <c r="AC1081" s="1291"/>
    </row>
    <row r="1082" spans="1:29" s="1332" customFormat="1" ht="13.8" x14ac:dyDescent="0.25">
      <c r="A1082" s="1298"/>
      <c r="B1082" s="1476" t="s">
        <v>1277</v>
      </c>
      <c r="C1082" s="1476"/>
      <c r="D1082" s="1476"/>
      <c r="E1082" s="1476"/>
      <c r="F1082" s="1299"/>
      <c r="G1082" s="1300">
        <f>SUM(F1074:F1082)</f>
        <v>5624.4125000000004</v>
      </c>
      <c r="H1082" s="1290"/>
      <c r="I1082" s="1290"/>
      <c r="J1082" s="1290"/>
      <c r="P1082" s="1291"/>
      <c r="Q1082" s="1291"/>
      <c r="R1082" s="1291"/>
      <c r="S1082" s="1291"/>
      <c r="T1082" s="1291"/>
      <c r="U1082" s="1291"/>
      <c r="V1082" s="1291"/>
      <c r="W1082" s="1291"/>
      <c r="X1082" s="1291"/>
      <c r="Y1082" s="1291"/>
      <c r="Z1082" s="1291"/>
      <c r="AA1082" s="1291"/>
      <c r="AB1082" s="1291"/>
      <c r="AC1082" s="1291"/>
    </row>
    <row r="1083" spans="1:29" s="1332" customFormat="1" ht="13.8" x14ac:dyDescent="0.25">
      <c r="A1083" s="1294"/>
      <c r="B1083" s="1297" t="s">
        <v>1261</v>
      </c>
      <c r="C1083" s="1295"/>
      <c r="D1083" s="1296"/>
      <c r="E1083" s="1296"/>
      <c r="F1083" s="1296"/>
      <c r="G1083" s="1296"/>
      <c r="H1083" s="1290"/>
      <c r="I1083" s="1290"/>
      <c r="J1083" s="1290">
        <f>10850*1.15</f>
        <v>12477.499999999998</v>
      </c>
      <c r="K1083" s="1332">
        <f>J1083/20</f>
        <v>623.87499999999989</v>
      </c>
      <c r="P1083" s="1291"/>
      <c r="Q1083" s="1291"/>
      <c r="R1083" s="1291"/>
      <c r="S1083" s="1291"/>
      <c r="T1083" s="1291"/>
      <c r="U1083" s="1291"/>
      <c r="V1083" s="1291"/>
      <c r="W1083" s="1291"/>
      <c r="X1083" s="1291"/>
      <c r="Y1083" s="1291"/>
      <c r="Z1083" s="1291"/>
      <c r="AA1083" s="1291"/>
      <c r="AB1083" s="1291"/>
      <c r="AC1083" s="1291"/>
    </row>
    <row r="1084" spans="1:29" s="1332" customFormat="1" ht="13.8" x14ac:dyDescent="0.25">
      <c r="A1084" s="1309"/>
      <c r="B1084" s="1309" t="s">
        <v>1406</v>
      </c>
      <c r="C1084" s="1310" t="s">
        <v>1294</v>
      </c>
      <c r="D1084" s="1310">
        <v>100</v>
      </c>
      <c r="E1084" s="1310">
        <v>100</v>
      </c>
      <c r="F1084" s="1310">
        <f>D1084*E1084</f>
        <v>10000</v>
      </c>
      <c r="G1084" s="1310"/>
      <c r="H1084" s="1290"/>
      <c r="I1084" s="1290"/>
      <c r="J1084" s="1290"/>
      <c r="P1084" s="1291"/>
      <c r="Q1084" s="1291"/>
      <c r="R1084" s="1291"/>
      <c r="S1084" s="1291"/>
      <c r="T1084" s="1291"/>
      <c r="U1084" s="1291"/>
      <c r="V1084" s="1291"/>
      <c r="W1084" s="1291"/>
      <c r="X1084" s="1291"/>
      <c r="Y1084" s="1291"/>
      <c r="Z1084" s="1291"/>
      <c r="AA1084" s="1291"/>
      <c r="AB1084" s="1291"/>
      <c r="AC1084" s="1291"/>
    </row>
    <row r="1085" spans="1:29" s="1332" customFormat="1" ht="13.8" x14ac:dyDescent="0.25">
      <c r="A1085" s="1294"/>
      <c r="B1085" s="1294"/>
      <c r="C1085" s="1296"/>
      <c r="D1085" s="1296"/>
      <c r="E1085" s="1296"/>
      <c r="F1085" s="1296"/>
      <c r="G1085" s="1296"/>
      <c r="H1085" s="1290"/>
      <c r="I1085" s="1290"/>
      <c r="J1085" s="1290"/>
      <c r="P1085" s="1291"/>
      <c r="Q1085" s="1291"/>
      <c r="R1085" s="1291"/>
      <c r="S1085" s="1291"/>
      <c r="T1085" s="1291"/>
      <c r="U1085" s="1291"/>
      <c r="V1085" s="1291"/>
      <c r="W1085" s="1291"/>
      <c r="X1085" s="1291"/>
      <c r="Y1085" s="1291"/>
      <c r="Z1085" s="1291"/>
      <c r="AA1085" s="1291"/>
      <c r="AB1085" s="1291"/>
      <c r="AC1085" s="1291"/>
    </row>
    <row r="1086" spans="1:29" s="1332" customFormat="1" ht="13.8" x14ac:dyDescent="0.25">
      <c r="A1086" s="1294"/>
      <c r="B1086" s="1294"/>
      <c r="C1086" s="1296"/>
      <c r="D1086" s="1296"/>
      <c r="E1086" s="1296"/>
      <c r="F1086" s="1296"/>
      <c r="G1086" s="1296"/>
      <c r="H1086" s="1290"/>
      <c r="I1086" s="1290"/>
      <c r="J1086" s="1290"/>
      <c r="P1086" s="1291"/>
      <c r="Q1086" s="1291"/>
      <c r="R1086" s="1291"/>
      <c r="S1086" s="1291"/>
      <c r="T1086" s="1291"/>
      <c r="U1086" s="1291"/>
      <c r="V1086" s="1291"/>
      <c r="W1086" s="1291"/>
      <c r="X1086" s="1291"/>
      <c r="Y1086" s="1291"/>
      <c r="Z1086" s="1291"/>
      <c r="AA1086" s="1291"/>
      <c r="AB1086" s="1291"/>
      <c r="AC1086" s="1291"/>
    </row>
    <row r="1087" spans="1:29" s="1332" customFormat="1" ht="13.8" x14ac:dyDescent="0.25">
      <c r="A1087" s="1294"/>
      <c r="B1087" s="1294"/>
      <c r="C1087" s="1295"/>
      <c r="D1087" s="1296"/>
      <c r="E1087" s="1296"/>
      <c r="F1087" s="1296"/>
      <c r="G1087" s="1296"/>
      <c r="H1087" s="1290"/>
      <c r="I1087" s="1290"/>
      <c r="J1087" s="1290"/>
      <c r="P1087" s="1291"/>
      <c r="Q1087" s="1291"/>
      <c r="R1087" s="1291"/>
      <c r="S1087" s="1291"/>
      <c r="T1087" s="1291"/>
      <c r="U1087" s="1291"/>
      <c r="V1087" s="1291"/>
      <c r="W1087" s="1291"/>
      <c r="X1087" s="1291"/>
      <c r="Y1087" s="1291"/>
      <c r="Z1087" s="1291"/>
      <c r="AA1087" s="1291"/>
      <c r="AB1087" s="1291"/>
      <c r="AC1087" s="1291"/>
    </row>
    <row r="1088" spans="1:29" s="1332" customFormat="1" ht="13.8" x14ac:dyDescent="0.25">
      <c r="A1088" s="1298"/>
      <c r="B1088" s="1476" t="s">
        <v>1264</v>
      </c>
      <c r="C1088" s="1476"/>
      <c r="D1088" s="1476"/>
      <c r="E1088" s="1476"/>
      <c r="F1088" s="1299">
        <f>D1088*E1088</f>
        <v>0</v>
      </c>
      <c r="G1088" s="1300">
        <f>SUM(F1084:F1088)</f>
        <v>10000</v>
      </c>
      <c r="H1088" s="1290"/>
      <c r="I1088" s="1290"/>
      <c r="J1088" s="1290"/>
      <c r="P1088" s="1291"/>
      <c r="Q1088" s="1291"/>
      <c r="R1088" s="1291"/>
      <c r="S1088" s="1291"/>
      <c r="T1088" s="1291"/>
      <c r="U1088" s="1291"/>
      <c r="V1088" s="1291"/>
      <c r="W1088" s="1291"/>
      <c r="X1088" s="1291"/>
      <c r="Y1088" s="1291"/>
      <c r="Z1088" s="1291"/>
      <c r="AA1088" s="1291"/>
      <c r="AB1088" s="1291"/>
      <c r="AC1088" s="1291"/>
    </row>
    <row r="1089" spans="1:29" s="1332" customFormat="1" ht="13.8" x14ac:dyDescent="0.25">
      <c r="A1089" s="1294"/>
      <c r="B1089" s="1302"/>
      <c r="C1089" s="1302"/>
      <c r="D1089" s="1302"/>
      <c r="E1089" s="1302"/>
      <c r="F1089" s="1296"/>
      <c r="G1089" s="1302"/>
      <c r="H1089" s="1290"/>
      <c r="I1089" s="1290"/>
      <c r="J1089" s="1290"/>
      <c r="P1089" s="1291"/>
      <c r="Q1089" s="1291"/>
      <c r="R1089" s="1291"/>
      <c r="S1089" s="1291"/>
      <c r="T1089" s="1291"/>
      <c r="U1089" s="1291"/>
      <c r="V1089" s="1291"/>
      <c r="W1089" s="1291"/>
      <c r="X1089" s="1291"/>
      <c r="Y1089" s="1291"/>
      <c r="Z1089" s="1291"/>
      <c r="AA1089" s="1291"/>
      <c r="AB1089" s="1291"/>
      <c r="AC1089" s="1291"/>
    </row>
    <row r="1090" spans="1:29" s="1332" customFormat="1" ht="13.8" x14ac:dyDescent="0.25">
      <c r="A1090" s="1294"/>
      <c r="B1090" s="1302"/>
      <c r="C1090" s="1302"/>
      <c r="D1090" s="1302"/>
      <c r="E1090" s="1302"/>
      <c r="F1090" s="1296"/>
      <c r="G1090" s="1302"/>
      <c r="H1090" s="1290"/>
      <c r="I1090" s="1290"/>
      <c r="J1090" s="1290"/>
      <c r="P1090" s="1291"/>
      <c r="Q1090" s="1291"/>
      <c r="R1090" s="1291"/>
      <c r="S1090" s="1291"/>
      <c r="T1090" s="1291"/>
      <c r="U1090" s="1291"/>
      <c r="V1090" s="1291"/>
      <c r="W1090" s="1291"/>
      <c r="X1090" s="1291"/>
      <c r="Y1090" s="1291"/>
      <c r="Z1090" s="1291"/>
      <c r="AA1090" s="1291"/>
      <c r="AB1090" s="1291"/>
      <c r="AC1090" s="1291"/>
    </row>
    <row r="1091" spans="1:29" s="1332" customFormat="1" ht="13.8" x14ac:dyDescent="0.25">
      <c r="A1091" s="1469" t="s">
        <v>1295</v>
      </c>
      <c r="B1091" s="1469"/>
      <c r="C1091" s="1469"/>
      <c r="D1091" s="1469"/>
      <c r="E1091" s="1469"/>
      <c r="F1091" s="1469"/>
      <c r="G1091" s="1303">
        <f>G1082+G1088</f>
        <v>15624.4125</v>
      </c>
      <c r="H1091" s="1290"/>
      <c r="I1091" s="1290"/>
      <c r="J1091" s="1290"/>
      <c r="P1091" s="1291"/>
      <c r="Q1091" s="1291"/>
      <c r="R1091" s="1291"/>
      <c r="S1091" s="1291"/>
      <c r="T1091" s="1291"/>
      <c r="U1091" s="1291"/>
      <c r="V1091" s="1291"/>
      <c r="W1091" s="1291"/>
      <c r="X1091" s="1291"/>
      <c r="Y1091" s="1291"/>
      <c r="Z1091" s="1291"/>
      <c r="AA1091" s="1291"/>
      <c r="AB1091" s="1291"/>
      <c r="AC1091" s="1291"/>
    </row>
    <row r="1092" spans="1:29" s="1332" customFormat="1" ht="13.8" x14ac:dyDescent="0.25">
      <c r="A1092" s="1469" t="s">
        <v>1296</v>
      </c>
      <c r="B1092" s="1469"/>
      <c r="C1092" s="1469"/>
      <c r="D1092" s="1469"/>
      <c r="E1092" s="1469"/>
      <c r="F1092" s="1469"/>
      <c r="G1092" s="1303">
        <f>G1091/9.29</f>
        <v>1681.8527987082887</v>
      </c>
      <c r="H1092" s="1290"/>
      <c r="I1092" s="1290"/>
      <c r="J1092" s="1290"/>
      <c r="P1092" s="1291"/>
      <c r="Q1092" s="1291"/>
      <c r="R1092" s="1291"/>
      <c r="S1092" s="1291"/>
      <c r="T1092" s="1291"/>
      <c r="U1092" s="1291"/>
      <c r="V1092" s="1291"/>
      <c r="W1092" s="1291"/>
      <c r="X1092" s="1291"/>
      <c r="Y1092" s="1291"/>
      <c r="Z1092" s="1291"/>
      <c r="AA1092" s="1291"/>
      <c r="AB1092" s="1291"/>
      <c r="AC1092" s="1291"/>
    </row>
    <row r="1093" spans="1:29" s="1332" customFormat="1" ht="13.8" x14ac:dyDescent="0.25">
      <c r="A1093" s="1469" t="s">
        <v>1297</v>
      </c>
      <c r="B1093" s="1469"/>
      <c r="C1093" s="1469"/>
      <c r="D1093" s="1469"/>
      <c r="E1093" s="1469"/>
      <c r="F1093" s="1469"/>
      <c r="G1093" s="1358">
        <f>G1092/10.76</f>
        <v>156.30602218478521</v>
      </c>
      <c r="H1093" s="1290"/>
      <c r="I1093" s="1290"/>
      <c r="J1093" s="1290"/>
      <c r="P1093" s="1291"/>
      <c r="Q1093" s="1291"/>
      <c r="R1093" s="1291"/>
      <c r="S1093" s="1291"/>
      <c r="T1093" s="1291"/>
      <c r="U1093" s="1291"/>
      <c r="V1093" s="1291"/>
      <c r="W1093" s="1291"/>
      <c r="X1093" s="1291"/>
      <c r="Y1093" s="1291"/>
      <c r="Z1093" s="1291"/>
      <c r="AA1093" s="1291"/>
      <c r="AB1093" s="1291"/>
      <c r="AC1093" s="1291"/>
    </row>
    <row r="1099" spans="1:29" s="1332" customFormat="1" ht="13.8" thickBot="1" x14ac:dyDescent="0.3">
      <c r="A1099" s="1291"/>
      <c r="B1099" s="1291"/>
      <c r="C1099" s="1291"/>
      <c r="D1099" s="1291"/>
      <c r="E1099" s="1291"/>
      <c r="F1099" s="1291"/>
      <c r="G1099" s="1291"/>
      <c r="H1099" s="1290"/>
      <c r="I1099" s="1290"/>
      <c r="J1099" s="1290"/>
      <c r="P1099" s="1291"/>
      <c r="Q1099" s="1291"/>
      <c r="R1099" s="1291"/>
      <c r="S1099" s="1291"/>
      <c r="T1099" s="1291"/>
      <c r="U1099" s="1291"/>
      <c r="V1099" s="1291"/>
      <c r="W1099" s="1291"/>
      <c r="X1099" s="1291"/>
      <c r="Y1099" s="1291"/>
      <c r="Z1099" s="1291"/>
      <c r="AA1099" s="1291"/>
      <c r="AB1099" s="1291"/>
      <c r="AC1099" s="1291"/>
    </row>
    <row r="1100" spans="1:29" s="1332" customFormat="1" ht="13.8" x14ac:dyDescent="0.25">
      <c r="A1100" s="1470" t="s">
        <v>1407</v>
      </c>
      <c r="B1100" s="1471"/>
      <c r="C1100" s="1471"/>
      <c r="D1100" s="1471"/>
      <c r="E1100" s="1471"/>
      <c r="F1100" s="1471"/>
      <c r="G1100" s="1472"/>
      <c r="H1100" s="1290"/>
      <c r="I1100" s="1290"/>
      <c r="J1100" s="1290"/>
      <c r="P1100" s="1291"/>
      <c r="Q1100" s="1291"/>
      <c r="R1100" s="1291"/>
      <c r="S1100" s="1291"/>
      <c r="T1100" s="1291"/>
      <c r="U1100" s="1291"/>
      <c r="V1100" s="1291"/>
      <c r="W1100" s="1291"/>
      <c r="X1100" s="1291"/>
      <c r="Y1100" s="1291"/>
      <c r="Z1100" s="1291"/>
      <c r="AA1100" s="1291"/>
      <c r="AB1100" s="1291"/>
      <c r="AC1100" s="1291"/>
    </row>
    <row r="1101" spans="1:29" s="1332" customFormat="1" ht="14.4" thickBot="1" x14ac:dyDescent="0.3">
      <c r="A1101" s="1473" t="s">
        <v>1259</v>
      </c>
      <c r="B1101" s="1474"/>
      <c r="C1101" s="1474"/>
      <c r="D1101" s="1474"/>
      <c r="E1101" s="1474"/>
      <c r="F1101" s="1474"/>
      <c r="G1101" s="1475"/>
      <c r="H1101" s="1290"/>
      <c r="I1101" s="1290"/>
      <c r="J1101" s="1290"/>
      <c r="P1101" s="1291"/>
      <c r="Q1101" s="1291"/>
      <c r="R1101" s="1291"/>
      <c r="S1101" s="1291"/>
      <c r="T1101" s="1291"/>
      <c r="U1101" s="1291"/>
      <c r="V1101" s="1291"/>
      <c r="W1101" s="1291"/>
      <c r="X1101" s="1291"/>
      <c r="Y1101" s="1291"/>
      <c r="Z1101" s="1291"/>
      <c r="AA1101" s="1291"/>
      <c r="AB1101" s="1291"/>
      <c r="AC1101" s="1291"/>
    </row>
    <row r="1102" spans="1:29" s="1332" customFormat="1" ht="14.4" thickBot="1" x14ac:dyDescent="0.3">
      <c r="A1102" s="1292"/>
      <c r="B1102" s="1293" t="s">
        <v>1038</v>
      </c>
      <c r="C1102" s="1293" t="s">
        <v>1039</v>
      </c>
      <c r="D1102" s="1293" t="s">
        <v>2</v>
      </c>
      <c r="E1102" s="1293" t="s">
        <v>1040</v>
      </c>
      <c r="F1102" s="1293" t="s">
        <v>5</v>
      </c>
      <c r="G1102" s="1293" t="s">
        <v>1260</v>
      </c>
      <c r="H1102" s="1290"/>
      <c r="I1102" s="1290"/>
      <c r="J1102" s="1290"/>
      <c r="P1102" s="1291"/>
      <c r="Q1102" s="1291"/>
      <c r="R1102" s="1291"/>
      <c r="S1102" s="1291"/>
      <c r="T1102" s="1291"/>
      <c r="U1102" s="1291"/>
      <c r="V1102" s="1291"/>
      <c r="W1102" s="1291"/>
      <c r="X1102" s="1291"/>
      <c r="Y1102" s="1291"/>
      <c r="Z1102" s="1291"/>
      <c r="AA1102" s="1291"/>
      <c r="AB1102" s="1291"/>
      <c r="AC1102" s="1291"/>
    </row>
    <row r="1103" spans="1:29" s="1332" customFormat="1" ht="13.8" x14ac:dyDescent="0.25">
      <c r="A1103" s="1294"/>
      <c r="B1103" s="1294"/>
      <c r="C1103" s="1295"/>
      <c r="D1103" s="1296"/>
      <c r="E1103" s="1296"/>
      <c r="F1103" s="1296"/>
      <c r="G1103" s="1296"/>
      <c r="H1103" s="1290"/>
      <c r="I1103" s="1290"/>
      <c r="J1103" s="1290"/>
      <c r="P1103" s="1291"/>
      <c r="Q1103" s="1291"/>
      <c r="R1103" s="1291"/>
      <c r="S1103" s="1291"/>
      <c r="T1103" s="1291"/>
      <c r="U1103" s="1291"/>
      <c r="V1103" s="1291"/>
      <c r="W1103" s="1291"/>
      <c r="X1103" s="1291"/>
      <c r="Y1103" s="1291"/>
      <c r="Z1103" s="1291"/>
      <c r="AA1103" s="1291"/>
      <c r="AB1103" s="1291"/>
      <c r="AC1103" s="1291"/>
    </row>
    <row r="1104" spans="1:29" s="1332" customFormat="1" ht="13.8" x14ac:dyDescent="0.25">
      <c r="A1104" s="1294"/>
      <c r="B1104" s="1297" t="s">
        <v>1276</v>
      </c>
      <c r="C1104" s="1295"/>
      <c r="D1104" s="1296"/>
      <c r="E1104" s="1296"/>
      <c r="F1104" s="1296"/>
      <c r="G1104" s="1296"/>
      <c r="H1104" s="1290"/>
      <c r="I1104" s="1290"/>
      <c r="J1104" s="1290"/>
      <c r="P1104" s="1291"/>
      <c r="Q1104" s="1291"/>
      <c r="R1104" s="1291"/>
      <c r="S1104" s="1291"/>
      <c r="T1104" s="1291"/>
      <c r="U1104" s="1291"/>
      <c r="V1104" s="1291"/>
      <c r="W1104" s="1291"/>
      <c r="X1104" s="1291"/>
      <c r="Y1104" s="1291"/>
      <c r="Z1104" s="1291"/>
      <c r="AA1104" s="1291"/>
      <c r="AB1104" s="1291"/>
      <c r="AC1104" s="1291"/>
    </row>
    <row r="1105" spans="1:29" s="1332" customFormat="1" ht="13.8" x14ac:dyDescent="0.25">
      <c r="A1105" s="1294"/>
      <c r="B1105" s="1294"/>
      <c r="C1105" s="1295"/>
      <c r="D1105" s="1296"/>
      <c r="E1105" s="1296"/>
      <c r="F1105" s="1296"/>
      <c r="G1105" s="1296"/>
      <c r="H1105" s="1290"/>
      <c r="I1105" s="1290">
        <f>9.29*0.018</f>
        <v>0.16721999999999998</v>
      </c>
      <c r="J1105" s="1290">
        <f>I1105*1.3333</f>
        <v>0.22295442599999996</v>
      </c>
      <c r="P1105" s="1291"/>
      <c r="Q1105" s="1291"/>
      <c r="R1105" s="1291"/>
      <c r="S1105" s="1291"/>
      <c r="T1105" s="1291"/>
      <c r="U1105" s="1291"/>
      <c r="V1105" s="1291"/>
      <c r="W1105" s="1291"/>
      <c r="X1105" s="1291"/>
      <c r="Y1105" s="1291"/>
      <c r="Z1105" s="1291"/>
      <c r="AA1105" s="1291"/>
      <c r="AB1105" s="1291"/>
      <c r="AC1105" s="1291"/>
    </row>
    <row r="1106" spans="1:29" s="1332" customFormat="1" ht="13.8" x14ac:dyDescent="0.25">
      <c r="A1106" s="1309"/>
      <c r="B1106" s="1309" t="s">
        <v>1108</v>
      </c>
      <c r="C1106" s="1310" t="s">
        <v>1324</v>
      </c>
      <c r="D1106" s="1310">
        <v>1.61</v>
      </c>
      <c r="E1106" s="1310">
        <f>F197</f>
        <v>2235.625</v>
      </c>
      <c r="F1106" s="1310">
        <f>D1106*E1106</f>
        <v>3599.3562500000003</v>
      </c>
      <c r="G1106" s="1310"/>
      <c r="H1106" s="1290"/>
      <c r="I1106" s="1290"/>
      <c r="J1106" s="1290"/>
      <c r="P1106" s="1291"/>
      <c r="Q1106" s="1291"/>
      <c r="R1106" s="1291"/>
      <c r="S1106" s="1291"/>
      <c r="T1106" s="1291"/>
      <c r="U1106" s="1291"/>
      <c r="V1106" s="1291"/>
      <c r="W1106" s="1291"/>
      <c r="X1106" s="1291"/>
      <c r="Y1106" s="1291"/>
      <c r="Z1106" s="1291"/>
      <c r="AA1106" s="1291"/>
      <c r="AB1106" s="1291"/>
      <c r="AC1106" s="1291"/>
    </row>
    <row r="1107" spans="1:29" s="1332" customFormat="1" ht="13.8" x14ac:dyDescent="0.25">
      <c r="A1107" s="1309"/>
      <c r="B1107" s="1309" t="s">
        <v>1159</v>
      </c>
      <c r="C1107" s="1310" t="s">
        <v>1110</v>
      </c>
      <c r="D1107" s="1310">
        <v>0.06</v>
      </c>
      <c r="E1107" s="1310">
        <f>[19]Material!E13</f>
        <v>23500</v>
      </c>
      <c r="F1107" s="1310">
        <f>D1107*E1107</f>
        <v>1410</v>
      </c>
      <c r="G1107" s="1310"/>
      <c r="H1107" s="1290"/>
      <c r="I1107" s="1290">
        <f>J1105/4</f>
        <v>5.5738606499999989E-2</v>
      </c>
      <c r="J1107" s="1290"/>
      <c r="P1107" s="1291"/>
      <c r="Q1107" s="1291"/>
      <c r="R1107" s="1291"/>
      <c r="S1107" s="1291"/>
      <c r="T1107" s="1291"/>
      <c r="U1107" s="1291"/>
      <c r="V1107" s="1291"/>
      <c r="W1107" s="1291"/>
      <c r="X1107" s="1291"/>
      <c r="Y1107" s="1291"/>
      <c r="Z1107" s="1291"/>
      <c r="AA1107" s="1291"/>
      <c r="AB1107" s="1291"/>
      <c r="AC1107" s="1291"/>
    </row>
    <row r="1108" spans="1:29" s="1332" customFormat="1" ht="13.8" x14ac:dyDescent="0.25">
      <c r="A1108" s="1309"/>
      <c r="B1108" s="1342" t="s">
        <v>1408</v>
      </c>
      <c r="C1108" s="1310" t="s">
        <v>1397</v>
      </c>
      <c r="D1108" s="1310">
        <v>3.75</v>
      </c>
      <c r="E1108" s="1310">
        <v>650</v>
      </c>
      <c r="F1108" s="1310">
        <f>D1108*E1108</f>
        <v>2437.5</v>
      </c>
      <c r="G1108" s="1310"/>
      <c r="H1108" s="1290"/>
      <c r="I1108" s="1290"/>
      <c r="J1108" s="1290"/>
      <c r="P1108" s="1291"/>
      <c r="Q1108" s="1291"/>
      <c r="R1108" s="1291"/>
      <c r="S1108" s="1291"/>
      <c r="T1108" s="1291"/>
      <c r="U1108" s="1291"/>
      <c r="V1108" s="1291"/>
      <c r="W1108" s="1291"/>
      <c r="X1108" s="1291"/>
      <c r="Y1108" s="1291"/>
      <c r="Z1108" s="1291"/>
      <c r="AA1108" s="1291"/>
      <c r="AB1108" s="1291"/>
      <c r="AC1108" s="1291"/>
    </row>
    <row r="1109" spans="1:29" s="1332" customFormat="1" ht="13.8" x14ac:dyDescent="0.25">
      <c r="A1109" s="1294"/>
      <c r="B1109" s="1295"/>
      <c r="C1109" s="1296"/>
      <c r="D1109" s="1296"/>
      <c r="E1109" s="1296"/>
      <c r="F1109" s="1310"/>
      <c r="G1109" s="1296"/>
      <c r="H1109" s="1290"/>
      <c r="I1109" s="1290">
        <f>I1107*1440</f>
        <v>80.263593359999987</v>
      </c>
      <c r="J1109" s="1290">
        <f>I1109/50</f>
        <v>1.6052718671999997</v>
      </c>
      <c r="P1109" s="1291"/>
      <c r="Q1109" s="1291"/>
      <c r="R1109" s="1291"/>
      <c r="S1109" s="1291"/>
      <c r="T1109" s="1291"/>
      <c r="U1109" s="1291"/>
      <c r="V1109" s="1291"/>
      <c r="W1109" s="1291"/>
      <c r="X1109" s="1291"/>
      <c r="Y1109" s="1291"/>
      <c r="Z1109" s="1291"/>
      <c r="AA1109" s="1291"/>
      <c r="AB1109" s="1291"/>
      <c r="AC1109" s="1291"/>
    </row>
    <row r="1110" spans="1:29" s="1332" customFormat="1" ht="13.8" x14ac:dyDescent="0.25">
      <c r="A1110" s="1294"/>
      <c r="B1110" s="1294"/>
      <c r="C1110" s="1295"/>
      <c r="D1110" s="1296"/>
      <c r="E1110" s="1296"/>
      <c r="F1110" s="1296"/>
      <c r="G1110" s="1296"/>
      <c r="H1110" s="1290"/>
      <c r="I1110" s="1290">
        <f>I1107*3</f>
        <v>0.16721581949999997</v>
      </c>
      <c r="J1110" s="1290">
        <f>I1110/2.83</f>
        <v>5.9086862014134267E-2</v>
      </c>
      <c r="P1110" s="1291"/>
      <c r="Q1110" s="1291"/>
      <c r="R1110" s="1291"/>
      <c r="S1110" s="1291"/>
      <c r="T1110" s="1291"/>
      <c r="U1110" s="1291"/>
      <c r="V1110" s="1291"/>
      <c r="W1110" s="1291"/>
      <c r="X1110" s="1291"/>
      <c r="Y1110" s="1291"/>
      <c r="Z1110" s="1291"/>
      <c r="AA1110" s="1291"/>
      <c r="AB1110" s="1291"/>
      <c r="AC1110" s="1291"/>
    </row>
    <row r="1111" spans="1:29" s="1332" customFormat="1" ht="13.8" x14ac:dyDescent="0.25">
      <c r="A1111" s="1298"/>
      <c r="B1111" s="1476" t="s">
        <v>1277</v>
      </c>
      <c r="C1111" s="1476"/>
      <c r="D1111" s="1476"/>
      <c r="E1111" s="1476"/>
      <c r="F1111" s="1299"/>
      <c r="G1111" s="1300">
        <f>SUM(F1103:F1111)</f>
        <v>7446.8562500000007</v>
      </c>
      <c r="H1111" s="1290"/>
      <c r="I1111" s="1290"/>
      <c r="J1111" s="1290"/>
      <c r="P1111" s="1291"/>
      <c r="Q1111" s="1291"/>
      <c r="R1111" s="1291"/>
      <c r="S1111" s="1291"/>
      <c r="T1111" s="1291"/>
      <c r="U1111" s="1291"/>
      <c r="V1111" s="1291"/>
      <c r="W1111" s="1291"/>
      <c r="X1111" s="1291"/>
      <c r="Y1111" s="1291"/>
      <c r="Z1111" s="1291"/>
      <c r="AA1111" s="1291"/>
      <c r="AB1111" s="1291"/>
      <c r="AC1111" s="1291"/>
    </row>
    <row r="1112" spans="1:29" s="1332" customFormat="1" ht="13.8" x14ac:dyDescent="0.25">
      <c r="A1112" s="1294"/>
      <c r="B1112" s="1297" t="s">
        <v>1261</v>
      </c>
      <c r="C1112" s="1295"/>
      <c r="D1112" s="1296"/>
      <c r="E1112" s="1296"/>
      <c r="F1112" s="1296"/>
      <c r="G1112" s="1296"/>
      <c r="H1112" s="1290"/>
      <c r="I1112" s="1290"/>
      <c r="J1112" s="1290">
        <f>10850*1.15</f>
        <v>12477.499999999998</v>
      </c>
      <c r="K1112" s="1332">
        <f>J1112/20</f>
        <v>623.87499999999989</v>
      </c>
      <c r="P1112" s="1291"/>
      <c r="Q1112" s="1291"/>
      <c r="R1112" s="1291"/>
      <c r="S1112" s="1291"/>
      <c r="T1112" s="1291"/>
      <c r="U1112" s="1291"/>
      <c r="V1112" s="1291"/>
      <c r="W1112" s="1291"/>
      <c r="X1112" s="1291"/>
      <c r="Y1112" s="1291"/>
      <c r="Z1112" s="1291"/>
      <c r="AA1112" s="1291"/>
      <c r="AB1112" s="1291"/>
      <c r="AC1112" s="1291"/>
    </row>
    <row r="1113" spans="1:29" s="1332" customFormat="1" ht="13.8" x14ac:dyDescent="0.25">
      <c r="A1113" s="1309"/>
      <c r="B1113" s="1309" t="s">
        <v>1406</v>
      </c>
      <c r="C1113" s="1310" t="s">
        <v>1294</v>
      </c>
      <c r="D1113" s="1310">
        <v>100</v>
      </c>
      <c r="E1113" s="1310">
        <v>65</v>
      </c>
      <c r="F1113" s="1310">
        <f>D1113*E1113</f>
        <v>6500</v>
      </c>
      <c r="G1113" s="1310"/>
      <c r="H1113" s="1290"/>
      <c r="I1113" s="1290"/>
      <c r="J1113" s="1290"/>
      <c r="P1113" s="1291"/>
      <c r="Q1113" s="1291"/>
      <c r="R1113" s="1291"/>
      <c r="S1113" s="1291"/>
      <c r="T1113" s="1291"/>
      <c r="U1113" s="1291"/>
      <c r="V1113" s="1291"/>
      <c r="W1113" s="1291"/>
      <c r="X1113" s="1291"/>
      <c r="Y1113" s="1291"/>
      <c r="Z1113" s="1291"/>
      <c r="AA1113" s="1291"/>
      <c r="AB1113" s="1291"/>
      <c r="AC1113" s="1291"/>
    </row>
    <row r="1114" spans="1:29" s="1332" customFormat="1" ht="13.8" x14ac:dyDescent="0.25">
      <c r="A1114" s="1294"/>
      <c r="B1114" s="1294"/>
      <c r="C1114" s="1296"/>
      <c r="D1114" s="1296"/>
      <c r="E1114" s="1296"/>
      <c r="F1114" s="1296"/>
      <c r="G1114" s="1296"/>
      <c r="H1114" s="1290"/>
      <c r="I1114" s="1290"/>
      <c r="J1114" s="1290"/>
      <c r="P1114" s="1291"/>
      <c r="Q1114" s="1291"/>
      <c r="R1114" s="1291"/>
      <c r="S1114" s="1291"/>
      <c r="T1114" s="1291"/>
      <c r="U1114" s="1291"/>
      <c r="V1114" s="1291"/>
      <c r="W1114" s="1291"/>
      <c r="X1114" s="1291"/>
      <c r="Y1114" s="1291"/>
      <c r="Z1114" s="1291"/>
      <c r="AA1114" s="1291"/>
      <c r="AB1114" s="1291"/>
      <c r="AC1114" s="1291"/>
    </row>
    <row r="1115" spans="1:29" s="1332" customFormat="1" ht="13.8" x14ac:dyDescent="0.25">
      <c r="A1115" s="1294"/>
      <c r="B1115" s="1294"/>
      <c r="C1115" s="1296"/>
      <c r="D1115" s="1296"/>
      <c r="E1115" s="1296"/>
      <c r="F1115" s="1296"/>
      <c r="G1115" s="1296"/>
      <c r="H1115" s="1290"/>
      <c r="I1115" s="1290"/>
      <c r="J1115" s="1290"/>
      <c r="P1115" s="1291"/>
      <c r="Q1115" s="1291"/>
      <c r="R1115" s="1291"/>
      <c r="S1115" s="1291"/>
      <c r="T1115" s="1291"/>
      <c r="U1115" s="1291"/>
      <c r="V1115" s="1291"/>
      <c r="W1115" s="1291"/>
      <c r="X1115" s="1291"/>
      <c r="Y1115" s="1291"/>
      <c r="Z1115" s="1291"/>
      <c r="AA1115" s="1291"/>
      <c r="AB1115" s="1291"/>
      <c r="AC1115" s="1291"/>
    </row>
    <row r="1116" spans="1:29" s="1332" customFormat="1" ht="13.8" x14ac:dyDescent="0.25">
      <c r="A1116" s="1294"/>
      <c r="B1116" s="1294"/>
      <c r="C1116" s="1295"/>
      <c r="D1116" s="1296"/>
      <c r="E1116" s="1296"/>
      <c r="F1116" s="1296"/>
      <c r="G1116" s="1296"/>
      <c r="H1116" s="1290"/>
      <c r="I1116" s="1290"/>
      <c r="J1116" s="1290"/>
      <c r="P1116" s="1291"/>
      <c r="Q1116" s="1291"/>
      <c r="R1116" s="1291"/>
      <c r="S1116" s="1291"/>
      <c r="T1116" s="1291"/>
      <c r="U1116" s="1291"/>
      <c r="V1116" s="1291"/>
      <c r="W1116" s="1291"/>
      <c r="X1116" s="1291"/>
      <c r="Y1116" s="1291"/>
      <c r="Z1116" s="1291"/>
      <c r="AA1116" s="1291"/>
      <c r="AB1116" s="1291"/>
      <c r="AC1116" s="1291"/>
    </row>
    <row r="1117" spans="1:29" s="1332" customFormat="1" ht="13.8" x14ac:dyDescent="0.25">
      <c r="A1117" s="1298"/>
      <c r="B1117" s="1476" t="s">
        <v>1264</v>
      </c>
      <c r="C1117" s="1476"/>
      <c r="D1117" s="1476"/>
      <c r="E1117" s="1476"/>
      <c r="F1117" s="1299">
        <f>D1117*E1117</f>
        <v>0</v>
      </c>
      <c r="G1117" s="1300">
        <f>SUM(F1113:F1117)</f>
        <v>6500</v>
      </c>
      <c r="H1117" s="1290"/>
      <c r="I1117" s="1290"/>
      <c r="J1117" s="1290"/>
      <c r="P1117" s="1291"/>
      <c r="Q1117" s="1291"/>
      <c r="R1117" s="1291"/>
      <c r="S1117" s="1291"/>
      <c r="T1117" s="1291"/>
      <c r="U1117" s="1291"/>
      <c r="V1117" s="1291"/>
      <c r="W1117" s="1291"/>
      <c r="X1117" s="1291"/>
      <c r="Y1117" s="1291"/>
      <c r="Z1117" s="1291"/>
      <c r="AA1117" s="1291"/>
      <c r="AB1117" s="1291"/>
      <c r="AC1117" s="1291"/>
    </row>
    <row r="1118" spans="1:29" s="1332" customFormat="1" ht="13.8" x14ac:dyDescent="0.25">
      <c r="A1118" s="1294"/>
      <c r="B1118" s="1302"/>
      <c r="C1118" s="1302"/>
      <c r="D1118" s="1302"/>
      <c r="E1118" s="1302"/>
      <c r="F1118" s="1296"/>
      <c r="G1118" s="1302"/>
      <c r="H1118" s="1290"/>
      <c r="I1118" s="1290"/>
      <c r="J1118" s="1290"/>
      <c r="P1118" s="1291"/>
      <c r="Q1118" s="1291"/>
      <c r="R1118" s="1291"/>
      <c r="S1118" s="1291"/>
      <c r="T1118" s="1291"/>
      <c r="U1118" s="1291"/>
      <c r="V1118" s="1291"/>
      <c r="W1118" s="1291"/>
      <c r="X1118" s="1291"/>
      <c r="Y1118" s="1291"/>
      <c r="Z1118" s="1291"/>
      <c r="AA1118" s="1291"/>
      <c r="AB1118" s="1291"/>
      <c r="AC1118" s="1291"/>
    </row>
    <row r="1119" spans="1:29" s="1332" customFormat="1" ht="13.8" x14ac:dyDescent="0.25">
      <c r="A1119" s="1294"/>
      <c r="B1119" s="1302"/>
      <c r="C1119" s="1302"/>
      <c r="D1119" s="1302"/>
      <c r="E1119" s="1302"/>
      <c r="F1119" s="1296"/>
      <c r="G1119" s="1302"/>
      <c r="H1119" s="1290"/>
      <c r="I1119" s="1290"/>
      <c r="J1119" s="1290"/>
      <c r="P1119" s="1291"/>
      <c r="Q1119" s="1291"/>
      <c r="R1119" s="1291"/>
      <c r="S1119" s="1291"/>
      <c r="T1119" s="1291"/>
      <c r="U1119" s="1291"/>
      <c r="V1119" s="1291"/>
      <c r="W1119" s="1291"/>
      <c r="X1119" s="1291"/>
      <c r="Y1119" s="1291"/>
      <c r="Z1119" s="1291"/>
      <c r="AA1119" s="1291"/>
      <c r="AB1119" s="1291"/>
      <c r="AC1119" s="1291"/>
    </row>
    <row r="1120" spans="1:29" s="1332" customFormat="1" ht="13.8" x14ac:dyDescent="0.25">
      <c r="A1120" s="1469" t="s">
        <v>1295</v>
      </c>
      <c r="B1120" s="1469"/>
      <c r="C1120" s="1469"/>
      <c r="D1120" s="1469"/>
      <c r="E1120" s="1469"/>
      <c r="F1120" s="1469"/>
      <c r="G1120" s="1303">
        <f>G1111+G1117</f>
        <v>13946.856250000001</v>
      </c>
      <c r="H1120" s="1290"/>
      <c r="I1120" s="1290"/>
      <c r="J1120" s="1290"/>
      <c r="P1120" s="1291"/>
      <c r="Q1120" s="1291"/>
      <c r="R1120" s="1291"/>
      <c r="S1120" s="1291"/>
      <c r="T1120" s="1291"/>
      <c r="U1120" s="1291"/>
      <c r="V1120" s="1291"/>
      <c r="W1120" s="1291"/>
      <c r="X1120" s="1291"/>
      <c r="Y1120" s="1291"/>
      <c r="Z1120" s="1291"/>
      <c r="AA1120" s="1291"/>
      <c r="AB1120" s="1291"/>
      <c r="AC1120" s="1291"/>
    </row>
    <row r="1121" spans="1:29" s="1332" customFormat="1" ht="13.8" x14ac:dyDescent="0.25">
      <c r="A1121" s="1469" t="s">
        <v>1296</v>
      </c>
      <c r="B1121" s="1469"/>
      <c r="C1121" s="1469"/>
      <c r="D1121" s="1469"/>
      <c r="E1121" s="1469"/>
      <c r="F1121" s="1469"/>
      <c r="G1121" s="1303">
        <f>G1120/9.29</f>
        <v>1501.2762378902048</v>
      </c>
      <c r="H1121" s="1290"/>
      <c r="I1121" s="1290"/>
      <c r="J1121" s="1290"/>
      <c r="P1121" s="1291"/>
      <c r="Q1121" s="1291"/>
      <c r="R1121" s="1291"/>
      <c r="S1121" s="1291"/>
      <c r="T1121" s="1291"/>
      <c r="U1121" s="1291"/>
      <c r="V1121" s="1291"/>
      <c r="W1121" s="1291"/>
      <c r="X1121" s="1291"/>
      <c r="Y1121" s="1291"/>
      <c r="Z1121" s="1291"/>
      <c r="AA1121" s="1291"/>
      <c r="AB1121" s="1291"/>
      <c r="AC1121" s="1291"/>
    </row>
    <row r="1122" spans="1:29" ht="13.8" x14ac:dyDescent="0.25">
      <c r="A1122" s="1469" t="s">
        <v>1297</v>
      </c>
      <c r="B1122" s="1469"/>
      <c r="C1122" s="1469"/>
      <c r="D1122" s="1469"/>
      <c r="E1122" s="1469"/>
      <c r="F1122" s="1469"/>
      <c r="G1122" s="1358">
        <f>G1121/10.76</f>
        <v>139.52381393031644</v>
      </c>
    </row>
    <row r="1127" spans="1:29" ht="13.8" thickBot="1" x14ac:dyDescent="0.3"/>
    <row r="1128" spans="1:29" ht="13.8" x14ac:dyDescent="0.25">
      <c r="A1128" s="1470" t="s">
        <v>1409</v>
      </c>
      <c r="B1128" s="1471"/>
      <c r="C1128" s="1471"/>
      <c r="D1128" s="1471"/>
      <c r="E1128" s="1471"/>
      <c r="F1128" s="1471"/>
      <c r="G1128" s="1472"/>
    </row>
    <row r="1129" spans="1:29" ht="14.4" thickBot="1" x14ac:dyDescent="0.3">
      <c r="A1129" s="1473" t="s">
        <v>1259</v>
      </c>
      <c r="B1129" s="1474"/>
      <c r="C1129" s="1474"/>
      <c r="D1129" s="1474"/>
      <c r="E1129" s="1474"/>
      <c r="F1129" s="1474"/>
      <c r="G1129" s="1475"/>
    </row>
    <row r="1130" spans="1:29" ht="14.4" thickBot="1" x14ac:dyDescent="0.3">
      <c r="A1130" s="1292"/>
      <c r="B1130" s="1293" t="s">
        <v>1038</v>
      </c>
      <c r="C1130" s="1293" t="s">
        <v>1039</v>
      </c>
      <c r="D1130" s="1293" t="s">
        <v>2</v>
      </c>
      <c r="E1130" s="1293" t="s">
        <v>1040</v>
      </c>
      <c r="F1130" s="1293" t="s">
        <v>5</v>
      </c>
      <c r="G1130" s="1293" t="s">
        <v>1260</v>
      </c>
    </row>
    <row r="1131" spans="1:29" ht="13.8" x14ac:dyDescent="0.25">
      <c r="A1131" s="1294"/>
      <c r="B1131" s="1294"/>
      <c r="C1131" s="1295"/>
      <c r="D1131" s="1296"/>
      <c r="E1131" s="1296"/>
      <c r="F1131" s="1296"/>
      <c r="G1131" s="1296"/>
    </row>
    <row r="1132" spans="1:29" ht="13.8" x14ac:dyDescent="0.25">
      <c r="A1132" s="1294"/>
      <c r="B1132" s="1297" t="s">
        <v>1276</v>
      </c>
      <c r="C1132" s="1295"/>
      <c r="D1132" s="1296"/>
      <c r="E1132" s="1296"/>
      <c r="F1132" s="1296"/>
      <c r="G1132" s="1296"/>
    </row>
    <row r="1133" spans="1:29" ht="13.8" x14ac:dyDescent="0.25">
      <c r="A1133" s="1294"/>
      <c r="B1133" s="1294"/>
      <c r="C1133" s="1295"/>
      <c r="D1133" s="1296"/>
      <c r="E1133" s="1296"/>
      <c r="F1133" s="1296"/>
      <c r="G1133" s="1296"/>
    </row>
    <row r="1134" spans="1:29" ht="13.8" x14ac:dyDescent="0.25">
      <c r="A1134" s="1306"/>
      <c r="B1134" s="1306" t="s">
        <v>1108</v>
      </c>
      <c r="C1134" s="1307" t="s">
        <v>1324</v>
      </c>
      <c r="D1134" s="1307">
        <v>1.61</v>
      </c>
      <c r="E1134" s="1307">
        <f>F197</f>
        <v>2235.625</v>
      </c>
      <c r="F1134" s="1307">
        <f>D1134*E1134</f>
        <v>3599.3562500000003</v>
      </c>
      <c r="G1134" s="1307"/>
    </row>
    <row r="1135" spans="1:29" ht="13.8" x14ac:dyDescent="0.25">
      <c r="A1135" s="1306"/>
      <c r="B1135" s="1306" t="s">
        <v>1159</v>
      </c>
      <c r="C1135" s="1307" t="s">
        <v>1110</v>
      </c>
      <c r="D1135" s="1307">
        <v>0.06</v>
      </c>
      <c r="E1135" s="1307">
        <f>[19]Material!E13</f>
        <v>23500</v>
      </c>
      <c r="F1135" s="1307">
        <f>D1135*E1135</f>
        <v>1410</v>
      </c>
      <c r="G1135" s="1307"/>
    </row>
    <row r="1136" spans="1:29" ht="13.8" x14ac:dyDescent="0.25">
      <c r="A1136" s="1309"/>
      <c r="B1136" s="1342"/>
      <c r="C1136" s="1310"/>
      <c r="D1136" s="1310"/>
      <c r="E1136" s="1310"/>
      <c r="F1136" s="1310">
        <f>D1136*E1136</f>
        <v>0</v>
      </c>
      <c r="G1136" s="1310"/>
    </row>
    <row r="1137" spans="1:7" ht="13.8" x14ac:dyDescent="0.25">
      <c r="A1137" s="1294"/>
      <c r="B1137" s="1295"/>
      <c r="C1137" s="1296"/>
      <c r="D1137" s="1296"/>
      <c r="E1137" s="1296"/>
      <c r="F1137" s="1310"/>
      <c r="G1137" s="1296"/>
    </row>
    <row r="1138" spans="1:7" ht="13.8" x14ac:dyDescent="0.25">
      <c r="A1138" s="1294"/>
      <c r="B1138" s="1294"/>
      <c r="C1138" s="1295"/>
      <c r="D1138" s="1296"/>
      <c r="E1138" s="1296"/>
      <c r="F1138" s="1296"/>
      <c r="G1138" s="1296"/>
    </row>
    <row r="1139" spans="1:7" ht="13.8" x14ac:dyDescent="0.25">
      <c r="A1139" s="1298"/>
      <c r="B1139" s="1476" t="s">
        <v>1277</v>
      </c>
      <c r="C1139" s="1476"/>
      <c r="D1139" s="1476"/>
      <c r="E1139" s="1476"/>
      <c r="F1139" s="1299"/>
      <c r="G1139" s="1300">
        <f>SUM(F1131:F1139)</f>
        <v>5009.3562500000007</v>
      </c>
    </row>
    <row r="1140" spans="1:7" ht="13.8" x14ac:dyDescent="0.25">
      <c r="A1140" s="1294"/>
      <c r="B1140" s="1297" t="s">
        <v>1261</v>
      </c>
      <c r="C1140" s="1295"/>
      <c r="D1140" s="1296"/>
      <c r="E1140" s="1296"/>
      <c r="F1140" s="1296"/>
      <c r="G1140" s="1296"/>
    </row>
    <row r="1141" spans="1:7" ht="13.8" x14ac:dyDescent="0.25">
      <c r="A1141" s="1309"/>
      <c r="B1141" s="1309" t="s">
        <v>1406</v>
      </c>
      <c r="C1141" s="1310" t="s">
        <v>1294</v>
      </c>
      <c r="D1141" s="1310">
        <v>100</v>
      </c>
      <c r="E1141" s="1310">
        <v>60</v>
      </c>
      <c r="F1141" s="1310">
        <f>D1141*E1141</f>
        <v>6000</v>
      </c>
      <c r="G1141" s="1310"/>
    </row>
    <row r="1142" spans="1:7" ht="13.8" x14ac:dyDescent="0.25">
      <c r="A1142" s="1294"/>
      <c r="B1142" s="1294"/>
      <c r="C1142" s="1296"/>
      <c r="D1142" s="1296"/>
      <c r="E1142" s="1296"/>
      <c r="F1142" s="1296"/>
      <c r="G1142" s="1296"/>
    </row>
    <row r="1143" spans="1:7" ht="13.8" x14ac:dyDescent="0.25">
      <c r="A1143" s="1294"/>
      <c r="B1143" s="1294"/>
      <c r="C1143" s="1296"/>
      <c r="D1143" s="1296"/>
      <c r="E1143" s="1296"/>
      <c r="F1143" s="1296"/>
      <c r="G1143" s="1296"/>
    </row>
    <row r="1144" spans="1:7" ht="13.8" x14ac:dyDescent="0.25">
      <c r="A1144" s="1294"/>
      <c r="B1144" s="1294"/>
      <c r="C1144" s="1295"/>
      <c r="D1144" s="1296"/>
      <c r="E1144" s="1296"/>
      <c r="F1144" s="1296"/>
      <c r="G1144" s="1296"/>
    </row>
    <row r="1145" spans="1:7" ht="13.8" x14ac:dyDescent="0.25">
      <c r="A1145" s="1298"/>
      <c r="B1145" s="1476" t="s">
        <v>1264</v>
      </c>
      <c r="C1145" s="1476"/>
      <c r="D1145" s="1476"/>
      <c r="E1145" s="1476"/>
      <c r="F1145" s="1299">
        <f>D1145*E1145</f>
        <v>0</v>
      </c>
      <c r="G1145" s="1300">
        <f>SUM(F1141:F1145)</f>
        <v>6000</v>
      </c>
    </row>
    <row r="1146" spans="1:7" ht="13.8" x14ac:dyDescent="0.25">
      <c r="A1146" s="1294"/>
      <c r="B1146" s="1302"/>
      <c r="C1146" s="1302"/>
      <c r="D1146" s="1302"/>
      <c r="E1146" s="1302"/>
      <c r="F1146" s="1296"/>
      <c r="G1146" s="1302"/>
    </row>
    <row r="1147" spans="1:7" ht="13.8" x14ac:dyDescent="0.25">
      <c r="A1147" s="1294"/>
      <c r="B1147" s="1302"/>
      <c r="C1147" s="1302"/>
      <c r="D1147" s="1302"/>
      <c r="E1147" s="1302"/>
      <c r="F1147" s="1296"/>
      <c r="G1147" s="1302"/>
    </row>
    <row r="1148" spans="1:7" ht="13.8" x14ac:dyDescent="0.25">
      <c r="A1148" s="1469" t="s">
        <v>1295</v>
      </c>
      <c r="B1148" s="1469"/>
      <c r="C1148" s="1469"/>
      <c r="D1148" s="1469"/>
      <c r="E1148" s="1469"/>
      <c r="F1148" s="1469"/>
      <c r="G1148" s="1303">
        <f>G1139+G1145</f>
        <v>11009.356250000001</v>
      </c>
    </row>
    <row r="1149" spans="1:7" ht="13.8" x14ac:dyDescent="0.25">
      <c r="A1149" s="1469" t="s">
        <v>1296</v>
      </c>
      <c r="B1149" s="1469"/>
      <c r="C1149" s="1469"/>
      <c r="D1149" s="1469"/>
      <c r="E1149" s="1469"/>
      <c r="F1149" s="1469"/>
      <c r="G1149" s="1303">
        <f>G1148/9.29</f>
        <v>1185.0760226049517</v>
      </c>
    </row>
    <row r="1150" spans="1:7" ht="13.8" x14ac:dyDescent="0.25">
      <c r="A1150" s="1469" t="s">
        <v>1297</v>
      </c>
      <c r="B1150" s="1469"/>
      <c r="C1150" s="1469"/>
      <c r="D1150" s="1469"/>
      <c r="E1150" s="1469"/>
      <c r="F1150" s="1469"/>
      <c r="G1150" s="1358">
        <f>G1149/10.76</f>
        <v>110.13717682202154</v>
      </c>
    </row>
    <row r="1152" spans="1:7" ht="13.8" thickBot="1" x14ac:dyDescent="0.3"/>
    <row r="1153" spans="1:7" ht="13.8" x14ac:dyDescent="0.25">
      <c r="A1153" s="1470" t="s">
        <v>1410</v>
      </c>
      <c r="B1153" s="1471"/>
      <c r="C1153" s="1471"/>
      <c r="D1153" s="1471"/>
      <c r="E1153" s="1471"/>
      <c r="F1153" s="1471"/>
      <c r="G1153" s="1472"/>
    </row>
    <row r="1154" spans="1:7" ht="14.4" thickBot="1" x14ac:dyDescent="0.3">
      <c r="A1154" s="1473" t="s">
        <v>1259</v>
      </c>
      <c r="B1154" s="1474"/>
      <c r="C1154" s="1474"/>
      <c r="D1154" s="1474"/>
      <c r="E1154" s="1474"/>
      <c r="F1154" s="1474"/>
      <c r="G1154" s="1475"/>
    </row>
    <row r="1155" spans="1:7" ht="14.4" thickBot="1" x14ac:dyDescent="0.3">
      <c r="A1155" s="1292"/>
      <c r="B1155" s="1293" t="s">
        <v>1038</v>
      </c>
      <c r="C1155" s="1293" t="s">
        <v>1039</v>
      </c>
      <c r="D1155" s="1293" t="s">
        <v>2</v>
      </c>
      <c r="E1155" s="1293" t="s">
        <v>1040</v>
      </c>
      <c r="F1155" s="1293" t="s">
        <v>5</v>
      </c>
      <c r="G1155" s="1293" t="s">
        <v>1260</v>
      </c>
    </row>
    <row r="1156" spans="1:7" ht="13.8" x14ac:dyDescent="0.25">
      <c r="A1156" s="1294"/>
      <c r="B1156" s="1294"/>
      <c r="C1156" s="1295"/>
      <c r="D1156" s="1296"/>
      <c r="E1156" s="1296"/>
      <c r="F1156" s="1296"/>
      <c r="G1156" s="1296"/>
    </row>
    <row r="1157" spans="1:7" ht="13.8" x14ac:dyDescent="0.25">
      <c r="A1157" s="1294"/>
      <c r="B1157" s="1297" t="s">
        <v>1276</v>
      </c>
      <c r="C1157" s="1295"/>
      <c r="D1157" s="1296"/>
      <c r="E1157" s="1296"/>
      <c r="F1157" s="1296"/>
      <c r="G1157" s="1296"/>
    </row>
    <row r="1158" spans="1:7" ht="13.8" x14ac:dyDescent="0.25">
      <c r="A1158" s="1294"/>
      <c r="B1158" s="1294"/>
      <c r="C1158" s="1295"/>
      <c r="D1158" s="1296"/>
      <c r="E1158" s="1296"/>
      <c r="F1158" s="1296"/>
      <c r="G1158" s="1296"/>
    </row>
    <row r="1159" spans="1:7" ht="13.8" x14ac:dyDescent="0.25">
      <c r="A1159" s="1306"/>
      <c r="B1159" s="1306" t="s">
        <v>1108</v>
      </c>
      <c r="C1159" s="1307" t="s">
        <v>1324</v>
      </c>
      <c r="D1159" s="1307">
        <v>2.2999999999999998</v>
      </c>
      <c r="E1159" s="1307">
        <f>F197</f>
        <v>2235.625</v>
      </c>
      <c r="F1159" s="1307">
        <f>D1159*E1159</f>
        <v>5141.9375</v>
      </c>
      <c r="G1159" s="1307"/>
    </row>
    <row r="1160" spans="1:7" ht="13.8" x14ac:dyDescent="0.25">
      <c r="A1160" s="1306"/>
      <c r="B1160" s="1306" t="s">
        <v>1159</v>
      </c>
      <c r="C1160" s="1307" t="s">
        <v>1110</v>
      </c>
      <c r="D1160" s="1307">
        <v>0.08</v>
      </c>
      <c r="E1160" s="1307">
        <f>[19]Material!E13</f>
        <v>23500</v>
      </c>
      <c r="F1160" s="1307">
        <f>D1160*E1160</f>
        <v>1880</v>
      </c>
      <c r="G1160" s="1307"/>
    </row>
    <row r="1161" spans="1:7" ht="13.8" x14ac:dyDescent="0.25">
      <c r="A1161" s="1309"/>
      <c r="B1161" s="1342"/>
      <c r="C1161" s="1310"/>
      <c r="D1161" s="1310"/>
      <c r="E1161" s="1310"/>
      <c r="F1161" s="1310">
        <f>D1161*E1161</f>
        <v>0</v>
      </c>
      <c r="G1161" s="1310"/>
    </row>
    <row r="1162" spans="1:7" ht="13.8" x14ac:dyDescent="0.25">
      <c r="A1162" s="1294"/>
      <c r="B1162" s="1295"/>
      <c r="C1162" s="1296"/>
      <c r="D1162" s="1296"/>
      <c r="E1162" s="1296"/>
      <c r="F1162" s="1310"/>
      <c r="G1162" s="1296"/>
    </row>
    <row r="1163" spans="1:7" ht="13.8" x14ac:dyDescent="0.25">
      <c r="A1163" s="1294"/>
      <c r="B1163" s="1294"/>
      <c r="C1163" s="1295"/>
      <c r="D1163" s="1296"/>
      <c r="E1163" s="1296"/>
      <c r="F1163" s="1296"/>
      <c r="G1163" s="1296"/>
    </row>
    <row r="1164" spans="1:7" ht="13.8" x14ac:dyDescent="0.25">
      <c r="A1164" s="1298"/>
      <c r="B1164" s="1476" t="s">
        <v>1277</v>
      </c>
      <c r="C1164" s="1476"/>
      <c r="D1164" s="1476"/>
      <c r="E1164" s="1476"/>
      <c r="F1164" s="1299"/>
      <c r="G1164" s="1300">
        <f>SUM(F1156:F1164)</f>
        <v>7021.9375</v>
      </c>
    </row>
    <row r="1165" spans="1:7" ht="13.8" x14ac:dyDescent="0.25">
      <c r="A1165" s="1294"/>
      <c r="B1165" s="1297" t="s">
        <v>1261</v>
      </c>
      <c r="C1165" s="1295"/>
      <c r="D1165" s="1296"/>
      <c r="E1165" s="1296"/>
      <c r="F1165" s="1296"/>
      <c r="G1165" s="1296"/>
    </row>
    <row r="1166" spans="1:7" ht="13.8" x14ac:dyDescent="0.25">
      <c r="A1166" s="1309"/>
      <c r="B1166" s="1309" t="s">
        <v>1406</v>
      </c>
      <c r="C1166" s="1310" t="s">
        <v>1294</v>
      </c>
      <c r="D1166" s="1310">
        <v>100</v>
      </c>
      <c r="E1166" s="1310">
        <v>65</v>
      </c>
      <c r="F1166" s="1310">
        <f>D1166*E1166</f>
        <v>6500</v>
      </c>
      <c r="G1166" s="1310"/>
    </row>
    <row r="1167" spans="1:7" ht="13.8" x14ac:dyDescent="0.25">
      <c r="A1167" s="1294"/>
      <c r="B1167" s="1294"/>
      <c r="C1167" s="1296"/>
      <c r="D1167" s="1296"/>
      <c r="E1167" s="1296"/>
      <c r="F1167" s="1296"/>
      <c r="G1167" s="1296"/>
    </row>
    <row r="1168" spans="1:7" ht="13.8" x14ac:dyDescent="0.25">
      <c r="A1168" s="1294"/>
      <c r="B1168" s="1294"/>
      <c r="C1168" s="1296"/>
      <c r="D1168" s="1296"/>
      <c r="E1168" s="1296"/>
      <c r="F1168" s="1296"/>
      <c r="G1168" s="1296"/>
    </row>
    <row r="1169" spans="1:7" ht="13.8" x14ac:dyDescent="0.25">
      <c r="A1169" s="1294"/>
      <c r="B1169" s="1294"/>
      <c r="C1169" s="1295"/>
      <c r="D1169" s="1296"/>
      <c r="E1169" s="1296"/>
      <c r="F1169" s="1296"/>
      <c r="G1169" s="1296"/>
    </row>
    <row r="1170" spans="1:7" ht="13.8" x14ac:dyDescent="0.25">
      <c r="A1170" s="1298"/>
      <c r="B1170" s="1476" t="s">
        <v>1264</v>
      </c>
      <c r="C1170" s="1476"/>
      <c r="D1170" s="1476"/>
      <c r="E1170" s="1476"/>
      <c r="F1170" s="1299">
        <f>D1170*E1170</f>
        <v>0</v>
      </c>
      <c r="G1170" s="1300">
        <f>SUM(F1166:F1170)</f>
        <v>6500</v>
      </c>
    </row>
    <row r="1171" spans="1:7" ht="13.8" x14ac:dyDescent="0.25">
      <c r="A1171" s="1294"/>
      <c r="B1171" s="1302"/>
      <c r="C1171" s="1302"/>
      <c r="D1171" s="1302"/>
      <c r="E1171" s="1302"/>
      <c r="F1171" s="1296"/>
      <c r="G1171" s="1302"/>
    </row>
    <row r="1172" spans="1:7" ht="13.8" x14ac:dyDescent="0.25">
      <c r="A1172" s="1294"/>
      <c r="B1172" s="1302"/>
      <c r="C1172" s="1302"/>
      <c r="D1172" s="1302"/>
      <c r="E1172" s="1302"/>
      <c r="F1172" s="1296"/>
      <c r="G1172" s="1302"/>
    </row>
    <row r="1173" spans="1:7" ht="13.8" x14ac:dyDescent="0.25">
      <c r="A1173" s="1469" t="s">
        <v>1295</v>
      </c>
      <c r="B1173" s="1469"/>
      <c r="C1173" s="1469"/>
      <c r="D1173" s="1469"/>
      <c r="E1173" s="1469"/>
      <c r="F1173" s="1469"/>
      <c r="G1173" s="1303">
        <f>G1164+G1170</f>
        <v>13521.9375</v>
      </c>
    </row>
    <row r="1174" spans="1:7" ht="13.8" x14ac:dyDescent="0.25">
      <c r="A1174" s="1469" t="s">
        <v>1296</v>
      </c>
      <c r="B1174" s="1469"/>
      <c r="C1174" s="1469"/>
      <c r="D1174" s="1469"/>
      <c r="E1174" s="1469"/>
      <c r="F1174" s="1469"/>
      <c r="G1174" s="1303">
        <f>G1173/9.29</f>
        <v>1455.5368675995696</v>
      </c>
    </row>
    <row r="1175" spans="1:7" ht="13.8" x14ac:dyDescent="0.25">
      <c r="A1175" s="1469" t="s">
        <v>1297</v>
      </c>
      <c r="B1175" s="1469"/>
      <c r="C1175" s="1469"/>
      <c r="D1175" s="1469"/>
      <c r="E1175" s="1469"/>
      <c r="F1175" s="1469"/>
      <c r="G1175" s="1358">
        <f>G1174/10.76</f>
        <v>135.27294308546186</v>
      </c>
    </row>
    <row r="1238" spans="1:9" x14ac:dyDescent="0.25">
      <c r="A1238" s="1477" t="s">
        <v>1411</v>
      </c>
      <c r="B1238" s="1477"/>
      <c r="C1238" s="1477"/>
      <c r="D1238" s="1477"/>
      <c r="E1238" s="1477"/>
      <c r="F1238" s="1477"/>
      <c r="G1238" s="1477"/>
    </row>
    <row r="1240" spans="1:9" ht="13.8" thickBot="1" x14ac:dyDescent="0.3"/>
    <row r="1241" spans="1:9" ht="13.8" x14ac:dyDescent="0.25">
      <c r="A1241" s="1470" t="s">
        <v>1151</v>
      </c>
      <c r="B1241" s="1471"/>
      <c r="C1241" s="1471"/>
      <c r="D1241" s="1471"/>
      <c r="E1241" s="1471"/>
      <c r="F1241" s="1471"/>
      <c r="G1241" s="1472"/>
    </row>
    <row r="1242" spans="1:9" ht="14.4" thickBot="1" x14ac:dyDescent="0.3">
      <c r="A1242" s="1473" t="s">
        <v>1259</v>
      </c>
      <c r="B1242" s="1474"/>
      <c r="C1242" s="1474"/>
      <c r="D1242" s="1474"/>
      <c r="E1242" s="1474"/>
      <c r="F1242" s="1474"/>
      <c r="G1242" s="1475"/>
    </row>
    <row r="1243" spans="1:9" ht="14.4" thickBot="1" x14ac:dyDescent="0.3">
      <c r="A1243" s="1292"/>
      <c r="B1243" s="1293" t="s">
        <v>1038</v>
      </c>
      <c r="C1243" s="1293" t="s">
        <v>1039</v>
      </c>
      <c r="D1243" s="1293" t="s">
        <v>2</v>
      </c>
      <c r="E1243" s="1293" t="s">
        <v>1040</v>
      </c>
      <c r="F1243" s="1293" t="s">
        <v>5</v>
      </c>
      <c r="G1243" s="1293" t="s">
        <v>1260</v>
      </c>
    </row>
    <row r="1244" spans="1:9" ht="13.8" x14ac:dyDescent="0.25">
      <c r="A1244" s="1294"/>
      <c r="B1244" s="1294"/>
      <c r="C1244" s="1295"/>
      <c r="D1244" s="1296"/>
      <c r="E1244" s="1296"/>
      <c r="F1244" s="1296"/>
      <c r="G1244" s="1296"/>
      <c r="I1244" s="1290">
        <f>5000/10.76</f>
        <v>464.68401486988847</v>
      </c>
    </row>
    <row r="1245" spans="1:9" ht="13.8" x14ac:dyDescent="0.25">
      <c r="A1245" s="1294"/>
      <c r="B1245" s="1297" t="s">
        <v>1276</v>
      </c>
      <c r="C1245" s="1295"/>
      <c r="D1245" s="1296"/>
      <c r="E1245" s="1296"/>
      <c r="F1245" s="1296"/>
      <c r="G1245" s="1296"/>
    </row>
    <row r="1246" spans="1:9" ht="13.8" x14ac:dyDescent="0.25">
      <c r="A1246" s="1359"/>
      <c r="B1246" s="1359" t="s">
        <v>1412</v>
      </c>
      <c r="C1246" s="1360" t="s">
        <v>1294</v>
      </c>
      <c r="D1246" s="1360">
        <v>100</v>
      </c>
      <c r="E1246" s="1360">
        <v>500</v>
      </c>
      <c r="F1246" s="1360">
        <f t="shared" ref="F1246" si="101">D1246*E1246</f>
        <v>50000</v>
      </c>
      <c r="G1246" s="1360"/>
    </row>
    <row r="1247" spans="1:9" ht="13.8" x14ac:dyDescent="0.25">
      <c r="A1247" s="1294"/>
      <c r="B1247" s="1311" t="s">
        <v>1376</v>
      </c>
      <c r="C1247" s="1295"/>
      <c r="D1247" s="1296"/>
      <c r="E1247" s="1296"/>
      <c r="F1247" s="1296">
        <f>F1246*5%</f>
        <v>2500</v>
      </c>
      <c r="G1247" s="1296"/>
    </row>
    <row r="1248" spans="1:9" ht="13.8" x14ac:dyDescent="0.25">
      <c r="A1248" s="1359"/>
      <c r="B1248" s="1359" t="s">
        <v>1108</v>
      </c>
      <c r="C1248" s="1360" t="s">
        <v>1324</v>
      </c>
      <c r="D1248" s="1360">
        <v>1.75</v>
      </c>
      <c r="E1248" s="1360">
        <f>F197</f>
        <v>2235.625</v>
      </c>
      <c r="F1248" s="1360">
        <f>D1248*E1248</f>
        <v>3912.34375</v>
      </c>
      <c r="G1248" s="1360"/>
    </row>
    <row r="1249" spans="1:7" ht="13.8" x14ac:dyDescent="0.25">
      <c r="A1249" s="1359"/>
      <c r="B1249" s="1359" t="s">
        <v>1159</v>
      </c>
      <c r="C1249" s="1360" t="s">
        <v>1110</v>
      </c>
      <c r="D1249" s="1360">
        <v>0.08</v>
      </c>
      <c r="E1249" s="1360">
        <f>[19]Material!E13</f>
        <v>23500</v>
      </c>
      <c r="F1249" s="1360">
        <f>D1249*E1249</f>
        <v>1880</v>
      </c>
      <c r="G1249" s="1360"/>
    </row>
    <row r="1250" spans="1:7" ht="13.8" x14ac:dyDescent="0.25">
      <c r="A1250" s="1359"/>
      <c r="B1250" s="1359" t="s">
        <v>1160</v>
      </c>
      <c r="C1250" s="1360" t="s">
        <v>1324</v>
      </c>
      <c r="D1250" s="1360">
        <v>2.5</v>
      </c>
      <c r="E1250" s="1360">
        <f>[19]Material!E137</f>
        <v>1800</v>
      </c>
      <c r="F1250" s="1360">
        <f t="shared" ref="F1250:F1251" si="102">D1250*E1250</f>
        <v>4500</v>
      </c>
      <c r="G1250" s="1360"/>
    </row>
    <row r="1251" spans="1:7" ht="13.8" x14ac:dyDescent="0.25">
      <c r="A1251" s="1359"/>
      <c r="B1251" s="1359" t="s">
        <v>1162</v>
      </c>
      <c r="C1251" s="1360" t="s">
        <v>1324</v>
      </c>
      <c r="D1251" s="1360">
        <v>1</v>
      </c>
      <c r="E1251" s="1360">
        <f>[19]Material!E138</f>
        <v>280</v>
      </c>
      <c r="F1251" s="1360">
        <f t="shared" si="102"/>
        <v>280</v>
      </c>
      <c r="G1251" s="1360"/>
    </row>
    <row r="1252" spans="1:7" ht="13.8" x14ac:dyDescent="0.25">
      <c r="A1252" s="1359"/>
      <c r="B1252" s="1361" t="s">
        <v>1164</v>
      </c>
      <c r="C1252" s="1360" t="s">
        <v>1413</v>
      </c>
      <c r="D1252" s="1360"/>
      <c r="E1252" s="1360"/>
      <c r="F1252" s="1360">
        <v>500</v>
      </c>
      <c r="G1252" s="1360"/>
    </row>
    <row r="1253" spans="1:7" ht="13.8" x14ac:dyDescent="0.25">
      <c r="A1253" s="1294"/>
      <c r="B1253" s="1295"/>
      <c r="C1253" s="1296"/>
      <c r="D1253" s="1296"/>
      <c r="E1253" s="1296"/>
      <c r="F1253" s="1296"/>
      <c r="G1253" s="1296"/>
    </row>
    <row r="1254" spans="1:7" ht="13.8" x14ac:dyDescent="0.25">
      <c r="A1254" s="1294"/>
      <c r="B1254" s="1295" t="s">
        <v>1414</v>
      </c>
      <c r="C1254" s="1296"/>
      <c r="D1254" s="1296"/>
      <c r="E1254" s="1296"/>
      <c r="F1254" s="1296">
        <v>1000</v>
      </c>
      <c r="G1254" s="1296"/>
    </row>
    <row r="1255" spans="1:7" ht="13.8" x14ac:dyDescent="0.25">
      <c r="A1255" s="1294"/>
      <c r="B1255" s="1295"/>
      <c r="C1255" s="1296"/>
      <c r="D1255" s="1296"/>
      <c r="E1255" s="1296"/>
      <c r="F1255" s="1296"/>
      <c r="G1255" s="1296"/>
    </row>
    <row r="1256" spans="1:7" ht="13.8" x14ac:dyDescent="0.25">
      <c r="A1256" s="1294"/>
      <c r="B1256" s="1294"/>
      <c r="C1256" s="1295"/>
      <c r="D1256" s="1296"/>
      <c r="E1256" s="1296"/>
      <c r="F1256" s="1296">
        <f t="shared" ref="F1256" si="103">D1256*E1256</f>
        <v>0</v>
      </c>
      <c r="G1256" s="1296"/>
    </row>
    <row r="1257" spans="1:7" ht="13.8" x14ac:dyDescent="0.25">
      <c r="A1257" s="1298"/>
      <c r="B1257" s="1476" t="s">
        <v>1277</v>
      </c>
      <c r="C1257" s="1476"/>
      <c r="D1257" s="1476"/>
      <c r="E1257" s="1476"/>
      <c r="F1257" s="1299"/>
      <c r="G1257" s="1300">
        <f>SUM(F1246:F1257)</f>
        <v>64572.34375</v>
      </c>
    </row>
    <row r="1258" spans="1:7" ht="13.8" x14ac:dyDescent="0.25">
      <c r="A1258" s="1294"/>
      <c r="B1258" s="1297" t="s">
        <v>1261</v>
      </c>
      <c r="C1258" s="1295"/>
      <c r="D1258" s="1296"/>
      <c r="E1258" s="1296"/>
      <c r="F1258" s="1296">
        <f t="shared" ref="F1258:F1259" si="104">D1258*E1258</f>
        <v>0</v>
      </c>
      <c r="G1258" s="1296"/>
    </row>
    <row r="1259" spans="1:7" ht="13.8" x14ac:dyDescent="0.25">
      <c r="A1259" s="1359"/>
      <c r="B1259" s="1359" t="s">
        <v>1271</v>
      </c>
      <c r="C1259" s="1360" t="s">
        <v>1294</v>
      </c>
      <c r="D1259" s="1360">
        <v>100</v>
      </c>
      <c r="E1259" s="1360">
        <v>95</v>
      </c>
      <c r="F1259" s="1360">
        <f t="shared" si="104"/>
        <v>9500</v>
      </c>
      <c r="G1259" s="1360"/>
    </row>
    <row r="1260" spans="1:7" ht="13.8" x14ac:dyDescent="0.25">
      <c r="A1260" s="1294"/>
      <c r="B1260" s="1294"/>
      <c r="C1260" s="1296"/>
      <c r="D1260" s="1296"/>
      <c r="E1260" s="1296"/>
      <c r="F1260" s="1296"/>
      <c r="G1260" s="1296"/>
    </row>
    <row r="1261" spans="1:7" ht="13.8" x14ac:dyDescent="0.25">
      <c r="A1261" s="1294"/>
      <c r="B1261" s="1294"/>
      <c r="C1261" s="1296"/>
      <c r="D1261" s="1296"/>
      <c r="E1261" s="1296"/>
      <c r="F1261" s="1296"/>
      <c r="G1261" s="1296"/>
    </row>
    <row r="1262" spans="1:7" ht="13.8" x14ac:dyDescent="0.25">
      <c r="A1262" s="1294"/>
      <c r="B1262" s="1294"/>
      <c r="C1262" s="1295"/>
      <c r="D1262" s="1296"/>
      <c r="E1262" s="1296"/>
      <c r="F1262" s="1296"/>
      <c r="G1262" s="1296"/>
    </row>
    <row r="1263" spans="1:7" ht="13.8" x14ac:dyDescent="0.25">
      <c r="A1263" s="1298"/>
      <c r="B1263" s="1476" t="s">
        <v>1264</v>
      </c>
      <c r="C1263" s="1476"/>
      <c r="D1263" s="1476"/>
      <c r="E1263" s="1476"/>
      <c r="F1263" s="1299">
        <f t="shared" ref="F1263" si="105">D1263*E1263</f>
        <v>0</v>
      </c>
      <c r="G1263" s="1300">
        <f>SUM(F1259:F1263)</f>
        <v>9500</v>
      </c>
    </row>
    <row r="1264" spans="1:7" ht="13.8" x14ac:dyDescent="0.25">
      <c r="A1264" s="1294"/>
      <c r="B1264" s="1302"/>
      <c r="C1264" s="1302"/>
      <c r="D1264" s="1302"/>
      <c r="E1264" s="1302"/>
      <c r="F1264" s="1296"/>
      <c r="G1264" s="1302"/>
    </row>
    <row r="1265" spans="1:7" ht="13.8" x14ac:dyDescent="0.25">
      <c r="A1265" s="1294"/>
      <c r="B1265" s="1302"/>
      <c r="C1265" s="1302"/>
      <c r="D1265" s="1302"/>
      <c r="E1265" s="1302"/>
      <c r="F1265" s="1296"/>
      <c r="G1265" s="1302"/>
    </row>
    <row r="1266" spans="1:7" ht="13.8" x14ac:dyDescent="0.25">
      <c r="A1266" s="1469" t="s">
        <v>1295</v>
      </c>
      <c r="B1266" s="1469"/>
      <c r="C1266" s="1469"/>
      <c r="D1266" s="1469"/>
      <c r="E1266" s="1469"/>
      <c r="F1266" s="1469"/>
      <c r="G1266" s="1303">
        <f>G1257+G1263</f>
        <v>74072.34375</v>
      </c>
    </row>
    <row r="1267" spans="1:7" ht="13.8" x14ac:dyDescent="0.25">
      <c r="A1267" s="1469" t="s">
        <v>1296</v>
      </c>
      <c r="B1267" s="1469"/>
      <c r="C1267" s="1469"/>
      <c r="D1267" s="1469"/>
      <c r="E1267" s="1469"/>
      <c r="F1267" s="1469"/>
      <c r="G1267" s="1303">
        <f>G1266/9.29</f>
        <v>7973.3416307857915</v>
      </c>
    </row>
    <row r="1268" spans="1:7" ht="13.8" x14ac:dyDescent="0.25">
      <c r="A1268" s="1469" t="s">
        <v>1297</v>
      </c>
      <c r="B1268" s="1469"/>
      <c r="C1268" s="1469"/>
      <c r="D1268" s="1469"/>
      <c r="E1268" s="1469"/>
      <c r="F1268" s="1469"/>
      <c r="G1268" s="1351">
        <f>G1267/10.76</f>
        <v>741.01688018455309</v>
      </c>
    </row>
    <row r="1270" spans="1:7" ht="13.8" thickBot="1" x14ac:dyDescent="0.3"/>
    <row r="1271" spans="1:7" ht="13.8" x14ac:dyDescent="0.25">
      <c r="A1271" s="1470" t="s">
        <v>1415</v>
      </c>
      <c r="B1271" s="1471"/>
      <c r="C1271" s="1471"/>
      <c r="D1271" s="1471"/>
      <c r="E1271" s="1471"/>
      <c r="F1271" s="1471"/>
      <c r="G1271" s="1472"/>
    </row>
    <row r="1272" spans="1:7" ht="14.4" thickBot="1" x14ac:dyDescent="0.3">
      <c r="A1272" s="1473" t="s">
        <v>1259</v>
      </c>
      <c r="B1272" s="1474"/>
      <c r="C1272" s="1474"/>
      <c r="D1272" s="1474"/>
      <c r="E1272" s="1474"/>
      <c r="F1272" s="1474"/>
      <c r="G1272" s="1475"/>
    </row>
    <row r="1273" spans="1:7" ht="14.4" thickBot="1" x14ac:dyDescent="0.3">
      <c r="A1273" s="1292"/>
      <c r="B1273" s="1293" t="s">
        <v>1038</v>
      </c>
      <c r="C1273" s="1293" t="s">
        <v>1039</v>
      </c>
      <c r="D1273" s="1293" t="s">
        <v>2</v>
      </c>
      <c r="E1273" s="1293" t="s">
        <v>1040</v>
      </c>
      <c r="F1273" s="1293" t="s">
        <v>5</v>
      </c>
      <c r="G1273" s="1293" t="s">
        <v>1260</v>
      </c>
    </row>
    <row r="1274" spans="1:7" ht="13.8" x14ac:dyDescent="0.25">
      <c r="A1274" s="1294"/>
      <c r="B1274" s="1294"/>
      <c r="C1274" s="1295"/>
      <c r="D1274" s="1296"/>
      <c r="E1274" s="1296"/>
      <c r="F1274" s="1296"/>
      <c r="G1274" s="1296"/>
    </row>
    <row r="1275" spans="1:7" ht="13.8" x14ac:dyDescent="0.25">
      <c r="A1275" s="1294"/>
      <c r="B1275" s="1297" t="s">
        <v>1276</v>
      </c>
      <c r="C1275" s="1295"/>
      <c r="D1275" s="1296"/>
      <c r="E1275" s="1296"/>
      <c r="F1275" s="1296"/>
      <c r="G1275" s="1296"/>
    </row>
    <row r="1276" spans="1:7" ht="13.8" x14ac:dyDescent="0.25">
      <c r="A1276" s="1359"/>
      <c r="B1276" s="1359" t="s">
        <v>1416</v>
      </c>
      <c r="C1276" s="1360" t="s">
        <v>1294</v>
      </c>
      <c r="D1276" s="1360">
        <v>100</v>
      </c>
      <c r="E1276" s="1360">
        <v>550</v>
      </c>
      <c r="F1276" s="1360">
        <f t="shared" ref="F1276" si="106">D1276*E1276</f>
        <v>55000</v>
      </c>
      <c r="G1276" s="1360"/>
    </row>
    <row r="1277" spans="1:7" ht="13.8" x14ac:dyDescent="0.25">
      <c r="A1277" s="1294"/>
      <c r="B1277" s="1311" t="s">
        <v>1376</v>
      </c>
      <c r="C1277" s="1295"/>
      <c r="D1277" s="1296"/>
      <c r="E1277" s="1296"/>
      <c r="F1277" s="1296">
        <f>F1276*5%</f>
        <v>2750</v>
      </c>
      <c r="G1277" s="1296"/>
    </row>
    <row r="1278" spans="1:7" ht="13.8" x14ac:dyDescent="0.25">
      <c r="A1278" s="1359"/>
      <c r="B1278" s="1359" t="s">
        <v>1108</v>
      </c>
      <c r="C1278" s="1360" t="s">
        <v>1324</v>
      </c>
      <c r="D1278" s="1360">
        <v>1.75</v>
      </c>
      <c r="E1278" s="1360">
        <f>F197</f>
        <v>2235.625</v>
      </c>
      <c r="F1278" s="1360">
        <f>D1278*E1278</f>
        <v>3912.34375</v>
      </c>
      <c r="G1278" s="1360"/>
    </row>
    <row r="1279" spans="1:7" ht="13.8" x14ac:dyDescent="0.25">
      <c r="A1279" s="1359"/>
      <c r="B1279" s="1359" t="s">
        <v>1159</v>
      </c>
      <c r="C1279" s="1360" t="s">
        <v>1110</v>
      </c>
      <c r="D1279" s="1360">
        <v>0.08</v>
      </c>
      <c r="E1279" s="1360">
        <f>[19]Material!E13</f>
        <v>23500</v>
      </c>
      <c r="F1279" s="1360">
        <f>D1279*E1279</f>
        <v>1880</v>
      </c>
      <c r="G1279" s="1360"/>
    </row>
    <row r="1280" spans="1:7" ht="13.8" x14ac:dyDescent="0.25">
      <c r="A1280" s="1359"/>
      <c r="B1280" s="1359" t="s">
        <v>1417</v>
      </c>
      <c r="C1280" s="1360" t="s">
        <v>1324</v>
      </c>
      <c r="D1280" s="1360">
        <v>2.86</v>
      </c>
      <c r="E1280" s="1360">
        <f>[19]Material!E137</f>
        <v>1800</v>
      </c>
      <c r="F1280" s="1360">
        <f t="shared" ref="F1280:F1281" si="107">D1280*E1280</f>
        <v>5148</v>
      </c>
      <c r="G1280" s="1360"/>
    </row>
    <row r="1281" spans="1:7" ht="13.8" x14ac:dyDescent="0.25">
      <c r="A1281" s="1359"/>
      <c r="B1281" s="1359" t="s">
        <v>1162</v>
      </c>
      <c r="C1281" s="1360" t="s">
        <v>1324</v>
      </c>
      <c r="D1281" s="1360">
        <v>1</v>
      </c>
      <c r="E1281" s="1360">
        <f>[19]Material!E138</f>
        <v>280</v>
      </c>
      <c r="F1281" s="1360">
        <f t="shared" si="107"/>
        <v>280</v>
      </c>
      <c r="G1281" s="1360"/>
    </row>
    <row r="1282" spans="1:7" ht="13.8" x14ac:dyDescent="0.25">
      <c r="A1282" s="1359"/>
      <c r="B1282" s="1361" t="s">
        <v>1164</v>
      </c>
      <c r="C1282" s="1360" t="s">
        <v>1413</v>
      </c>
      <c r="D1282" s="1360"/>
      <c r="E1282" s="1360"/>
      <c r="F1282" s="1360">
        <v>500</v>
      </c>
      <c r="G1282" s="1360"/>
    </row>
    <row r="1283" spans="1:7" ht="13.8" x14ac:dyDescent="0.25">
      <c r="A1283" s="1294"/>
      <c r="B1283" s="1295"/>
      <c r="C1283" s="1296"/>
      <c r="D1283" s="1296"/>
      <c r="E1283" s="1296"/>
      <c r="F1283" s="1296"/>
      <c r="G1283" s="1296"/>
    </row>
    <row r="1284" spans="1:7" ht="13.8" x14ac:dyDescent="0.25">
      <c r="A1284" s="1294"/>
      <c r="B1284" s="1295" t="s">
        <v>1414</v>
      </c>
      <c r="C1284" s="1296"/>
      <c r="D1284" s="1296"/>
      <c r="E1284" s="1296"/>
      <c r="F1284" s="1296">
        <v>1000</v>
      </c>
      <c r="G1284" s="1296"/>
    </row>
    <row r="1285" spans="1:7" ht="13.8" x14ac:dyDescent="0.25">
      <c r="A1285" s="1294"/>
      <c r="B1285" s="1295"/>
      <c r="C1285" s="1296"/>
      <c r="D1285" s="1296"/>
      <c r="E1285" s="1296"/>
      <c r="F1285" s="1296"/>
      <c r="G1285" s="1296"/>
    </row>
    <row r="1286" spans="1:7" ht="13.8" x14ac:dyDescent="0.25">
      <c r="A1286" s="1294"/>
      <c r="B1286" s="1294"/>
      <c r="C1286" s="1295"/>
      <c r="D1286" s="1296"/>
      <c r="E1286" s="1296"/>
      <c r="F1286" s="1296">
        <f t="shared" ref="F1286" si="108">D1286*E1286</f>
        <v>0</v>
      </c>
      <c r="G1286" s="1296"/>
    </row>
    <row r="1287" spans="1:7" ht="13.8" x14ac:dyDescent="0.25">
      <c r="A1287" s="1298"/>
      <c r="B1287" s="1476" t="s">
        <v>1277</v>
      </c>
      <c r="C1287" s="1476"/>
      <c r="D1287" s="1476"/>
      <c r="E1287" s="1476"/>
      <c r="F1287" s="1299"/>
      <c r="G1287" s="1300">
        <f>SUM(F1276:F1287)</f>
        <v>70470.34375</v>
      </c>
    </row>
    <row r="1288" spans="1:7" ht="13.8" x14ac:dyDescent="0.25">
      <c r="A1288" s="1294"/>
      <c r="B1288" s="1297" t="s">
        <v>1261</v>
      </c>
      <c r="C1288" s="1295"/>
      <c r="D1288" s="1296"/>
      <c r="E1288" s="1296"/>
      <c r="F1288" s="1296">
        <f t="shared" ref="F1288:F1289" si="109">D1288*E1288</f>
        <v>0</v>
      </c>
      <c r="G1288" s="1296"/>
    </row>
    <row r="1289" spans="1:7" ht="13.8" x14ac:dyDescent="0.25">
      <c r="A1289" s="1359"/>
      <c r="B1289" s="1359" t="s">
        <v>1271</v>
      </c>
      <c r="C1289" s="1360" t="s">
        <v>1294</v>
      </c>
      <c r="D1289" s="1360">
        <v>100</v>
      </c>
      <c r="E1289" s="1360">
        <v>160</v>
      </c>
      <c r="F1289" s="1360">
        <f t="shared" si="109"/>
        <v>16000</v>
      </c>
      <c r="G1289" s="1360"/>
    </row>
    <row r="1290" spans="1:7" ht="13.8" x14ac:dyDescent="0.25">
      <c r="A1290" s="1294"/>
      <c r="B1290" s="1294"/>
      <c r="C1290" s="1296"/>
      <c r="D1290" s="1296"/>
      <c r="E1290" s="1296"/>
      <c r="F1290" s="1296"/>
      <c r="G1290" s="1296"/>
    </row>
    <row r="1291" spans="1:7" ht="13.8" x14ac:dyDescent="0.25">
      <c r="A1291" s="1294"/>
      <c r="B1291" s="1294"/>
      <c r="C1291" s="1296"/>
      <c r="D1291" s="1296"/>
      <c r="E1291" s="1296"/>
      <c r="F1291" s="1296"/>
      <c r="G1291" s="1296"/>
    </row>
    <row r="1292" spans="1:7" ht="13.8" x14ac:dyDescent="0.25">
      <c r="A1292" s="1294"/>
      <c r="B1292" s="1294"/>
      <c r="C1292" s="1295"/>
      <c r="D1292" s="1296"/>
      <c r="E1292" s="1296"/>
      <c r="F1292" s="1296"/>
      <c r="G1292" s="1296"/>
    </row>
    <row r="1293" spans="1:7" ht="13.8" x14ac:dyDescent="0.25">
      <c r="A1293" s="1298"/>
      <c r="B1293" s="1476" t="s">
        <v>1264</v>
      </c>
      <c r="C1293" s="1476"/>
      <c r="D1293" s="1476"/>
      <c r="E1293" s="1476"/>
      <c r="F1293" s="1299">
        <f t="shared" ref="F1293" si="110">D1293*E1293</f>
        <v>0</v>
      </c>
      <c r="G1293" s="1300">
        <f>SUM(F1289:F1293)</f>
        <v>16000</v>
      </c>
    </row>
    <row r="1294" spans="1:7" ht="13.8" x14ac:dyDescent="0.25">
      <c r="A1294" s="1294"/>
      <c r="B1294" s="1302"/>
      <c r="C1294" s="1302"/>
      <c r="D1294" s="1302"/>
      <c r="E1294" s="1302"/>
      <c r="F1294" s="1296"/>
      <c r="G1294" s="1302"/>
    </row>
    <row r="1295" spans="1:7" ht="13.8" x14ac:dyDescent="0.25">
      <c r="A1295" s="1294"/>
      <c r="B1295" s="1302"/>
      <c r="C1295" s="1302"/>
      <c r="D1295" s="1302"/>
      <c r="E1295" s="1302"/>
      <c r="F1295" s="1296"/>
      <c r="G1295" s="1302"/>
    </row>
    <row r="1296" spans="1:7" ht="13.8" x14ac:dyDescent="0.25">
      <c r="A1296" s="1469" t="s">
        <v>1295</v>
      </c>
      <c r="B1296" s="1469"/>
      <c r="C1296" s="1469"/>
      <c r="D1296" s="1469"/>
      <c r="E1296" s="1469"/>
      <c r="F1296" s="1469"/>
      <c r="G1296" s="1303">
        <f>G1287+G1293</f>
        <v>86470.34375</v>
      </c>
    </row>
    <row r="1297" spans="1:29" ht="13.8" x14ac:dyDescent="0.25">
      <c r="A1297" s="1469" t="s">
        <v>1296</v>
      </c>
      <c r="B1297" s="1469"/>
      <c r="C1297" s="1469"/>
      <c r="D1297" s="1469"/>
      <c r="E1297" s="1469"/>
      <c r="F1297" s="1469"/>
      <c r="G1297" s="1303">
        <f>G1296/9.29</f>
        <v>9307.8949138858989</v>
      </c>
    </row>
    <row r="1298" spans="1:29" ht="13.8" x14ac:dyDescent="0.25">
      <c r="A1298" s="1469" t="s">
        <v>1297</v>
      </c>
      <c r="B1298" s="1469"/>
      <c r="C1298" s="1469"/>
      <c r="D1298" s="1469"/>
      <c r="E1298" s="1469"/>
      <c r="F1298" s="1469"/>
      <c r="G1298" s="1351">
        <f>G1297/10.76</f>
        <v>865.04599571430288</v>
      </c>
    </row>
    <row r="1299" spans="1:29" ht="13.8" thickBot="1" x14ac:dyDescent="0.3"/>
    <row r="1300" spans="1:29" ht="13.8" x14ac:dyDescent="0.25">
      <c r="A1300" s="1470" t="s">
        <v>1418</v>
      </c>
      <c r="B1300" s="1471"/>
      <c r="C1300" s="1471"/>
      <c r="D1300" s="1471"/>
      <c r="E1300" s="1471"/>
      <c r="F1300" s="1471"/>
      <c r="G1300" s="1472"/>
    </row>
    <row r="1301" spans="1:29" ht="14.4" thickBot="1" x14ac:dyDescent="0.3">
      <c r="A1301" s="1473" t="s">
        <v>1259</v>
      </c>
      <c r="B1301" s="1474"/>
      <c r="C1301" s="1474"/>
      <c r="D1301" s="1474"/>
      <c r="E1301" s="1474"/>
      <c r="F1301" s="1474"/>
      <c r="G1301" s="1475"/>
    </row>
    <row r="1302" spans="1:29" ht="14.4" thickBot="1" x14ac:dyDescent="0.3">
      <c r="A1302" s="1292"/>
      <c r="B1302" s="1293" t="s">
        <v>1038</v>
      </c>
      <c r="C1302" s="1293" t="s">
        <v>1039</v>
      </c>
      <c r="D1302" s="1293" t="s">
        <v>2</v>
      </c>
      <c r="E1302" s="1293" t="s">
        <v>1040</v>
      </c>
      <c r="F1302" s="1293" t="s">
        <v>5</v>
      </c>
      <c r="G1302" s="1293" t="s">
        <v>1260</v>
      </c>
    </row>
    <row r="1303" spans="1:29" ht="14.4" thickBot="1" x14ac:dyDescent="0.3">
      <c r="A1303" s="1294"/>
      <c r="B1303" s="1294"/>
      <c r="C1303" s="1295"/>
      <c r="D1303" s="1296"/>
      <c r="E1303" s="1296"/>
      <c r="F1303" s="1296"/>
      <c r="G1303" s="1296"/>
    </row>
    <row r="1304" spans="1:29" ht="13.8" x14ac:dyDescent="0.25">
      <c r="A1304" s="1294"/>
      <c r="B1304" s="1297" t="s">
        <v>1276</v>
      </c>
      <c r="C1304" s="1295"/>
      <c r="D1304" s="1296"/>
      <c r="E1304" s="1296"/>
      <c r="F1304" s="1296"/>
      <c r="G1304" s="1296"/>
      <c r="K1304" s="1291"/>
      <c r="L1304" s="1291"/>
      <c r="M1304" s="1291"/>
      <c r="N1304" s="1291"/>
      <c r="O1304" s="1470" t="s">
        <v>1151</v>
      </c>
      <c r="P1304" s="1471"/>
      <c r="Q1304" s="1471"/>
      <c r="R1304" s="1471"/>
      <c r="S1304" s="1471"/>
      <c r="T1304" s="1471"/>
      <c r="U1304" s="1472"/>
      <c r="Y1304" s="1332"/>
      <c r="Z1304" s="1332"/>
      <c r="AA1304" s="1332"/>
      <c r="AB1304" s="1332"/>
      <c r="AC1304" s="1332"/>
    </row>
    <row r="1305" spans="1:29" ht="14.4" thickBot="1" x14ac:dyDescent="0.3">
      <c r="A1305" s="1359"/>
      <c r="B1305" s="1359" t="s">
        <v>1419</v>
      </c>
      <c r="C1305" s="1360" t="s">
        <v>1294</v>
      </c>
      <c r="D1305" s="1360">
        <v>100</v>
      </c>
      <c r="E1305" s="1360">
        <v>900</v>
      </c>
      <c r="F1305" s="1360">
        <f t="shared" ref="F1305" si="111">D1305*E1305</f>
        <v>90000</v>
      </c>
      <c r="G1305" s="1360"/>
      <c r="K1305" s="1291"/>
      <c r="L1305" s="1291"/>
      <c r="M1305" s="1291"/>
      <c r="N1305" s="1291"/>
      <c r="O1305" s="1473" t="s">
        <v>1259</v>
      </c>
      <c r="P1305" s="1474"/>
      <c r="Q1305" s="1474"/>
      <c r="R1305" s="1474"/>
      <c r="S1305" s="1474"/>
      <c r="T1305" s="1474"/>
      <c r="U1305" s="1475"/>
      <c r="Y1305" s="1332"/>
      <c r="Z1305" s="1332"/>
      <c r="AA1305" s="1332"/>
      <c r="AB1305" s="1332"/>
      <c r="AC1305" s="1332"/>
    </row>
    <row r="1306" spans="1:29" ht="14.4" thickBot="1" x14ac:dyDescent="0.3">
      <c r="A1306" s="1294"/>
      <c r="B1306" s="1311" t="s">
        <v>1376</v>
      </c>
      <c r="C1306" s="1295"/>
      <c r="D1306" s="1296"/>
      <c r="E1306" s="1296"/>
      <c r="F1306" s="1296">
        <f>F1305*5%</f>
        <v>4500</v>
      </c>
      <c r="G1306" s="1296"/>
      <c r="K1306" s="1291"/>
      <c r="L1306" s="1291"/>
      <c r="M1306" s="1291"/>
      <c r="N1306" s="1291"/>
      <c r="O1306" s="1292"/>
      <c r="P1306" s="1293" t="s">
        <v>1038</v>
      </c>
      <c r="Q1306" s="1293" t="s">
        <v>1039</v>
      </c>
      <c r="R1306" s="1293" t="s">
        <v>2</v>
      </c>
      <c r="S1306" s="1293" t="s">
        <v>1040</v>
      </c>
      <c r="T1306" s="1293" t="s">
        <v>5</v>
      </c>
      <c r="U1306" s="1293" t="s">
        <v>1260</v>
      </c>
      <c r="Y1306" s="1332"/>
      <c r="Z1306" s="1332"/>
      <c r="AA1306" s="1332"/>
      <c r="AB1306" s="1332"/>
      <c r="AC1306" s="1332"/>
    </row>
    <row r="1307" spans="1:29" ht="13.8" x14ac:dyDescent="0.25">
      <c r="A1307" s="1359"/>
      <c r="B1307" s="1359" t="s">
        <v>1108</v>
      </c>
      <c r="C1307" s="1360" t="s">
        <v>1324</v>
      </c>
      <c r="D1307" s="1360">
        <v>1.75</v>
      </c>
      <c r="E1307" s="1360">
        <f>F197</f>
        <v>2235.625</v>
      </c>
      <c r="F1307" s="1360">
        <f>D1307*E1307</f>
        <v>3912.34375</v>
      </c>
      <c r="G1307" s="1360"/>
      <c r="K1307" s="1291"/>
      <c r="L1307" s="1291"/>
      <c r="M1307" s="1291"/>
      <c r="N1307" s="1291"/>
      <c r="O1307" s="1294"/>
      <c r="P1307" s="1294"/>
      <c r="Q1307" s="1295"/>
      <c r="R1307" s="1296"/>
      <c r="S1307" s="1296"/>
      <c r="T1307" s="1296"/>
      <c r="U1307" s="1296"/>
      <c r="Y1307" s="1332"/>
      <c r="Z1307" s="1332"/>
      <c r="AA1307" s="1332"/>
      <c r="AB1307" s="1332"/>
      <c r="AC1307" s="1332"/>
    </row>
    <row r="1308" spans="1:29" ht="13.8" x14ac:dyDescent="0.25">
      <c r="A1308" s="1359"/>
      <c r="B1308" s="1359" t="s">
        <v>1159</v>
      </c>
      <c r="C1308" s="1360" t="s">
        <v>1110</v>
      </c>
      <c r="D1308" s="1360">
        <v>0.08</v>
      </c>
      <c r="E1308" s="1360">
        <f>[19]Material!E13</f>
        <v>23500</v>
      </c>
      <c r="F1308" s="1360">
        <f>D1308*E1308</f>
        <v>1880</v>
      </c>
      <c r="G1308" s="1360"/>
      <c r="K1308" s="1291"/>
      <c r="L1308" s="1291"/>
      <c r="M1308" s="1291"/>
      <c r="N1308" s="1291"/>
      <c r="O1308" s="1294"/>
      <c r="P1308" s="1297" t="s">
        <v>1276</v>
      </c>
      <c r="Q1308" s="1295"/>
      <c r="R1308" s="1296"/>
      <c r="S1308" s="1296"/>
      <c r="T1308" s="1296"/>
      <c r="U1308" s="1296"/>
      <c r="Y1308" s="1332"/>
      <c r="Z1308" s="1332"/>
      <c r="AA1308" s="1332"/>
      <c r="AB1308" s="1332"/>
      <c r="AC1308" s="1332"/>
    </row>
    <row r="1309" spans="1:29" ht="13.8" x14ac:dyDescent="0.25">
      <c r="A1309" s="1359"/>
      <c r="B1309" s="1359" t="s">
        <v>1417</v>
      </c>
      <c r="C1309" s="1360" t="s">
        <v>1324</v>
      </c>
      <c r="D1309" s="1360">
        <v>2.86</v>
      </c>
      <c r="E1309" s="1360">
        <f>[19]Material!E137</f>
        <v>1800</v>
      </c>
      <c r="F1309" s="1360">
        <f t="shared" ref="F1309:F1310" si="112">D1309*E1309</f>
        <v>5148</v>
      </c>
      <c r="G1309" s="1360"/>
      <c r="K1309" s="1291"/>
      <c r="L1309" s="1291"/>
      <c r="M1309" s="1291"/>
      <c r="N1309" s="1291"/>
      <c r="O1309" s="1359"/>
      <c r="P1309" s="1359" t="s">
        <v>1412</v>
      </c>
      <c r="Q1309" s="1360" t="s">
        <v>1294</v>
      </c>
      <c r="R1309" s="1360">
        <v>100</v>
      </c>
      <c r="S1309" s="1360">
        <v>500</v>
      </c>
      <c r="T1309" s="1360">
        <f t="shared" ref="T1309" si="113">R1309*S1309</f>
        <v>50000</v>
      </c>
      <c r="U1309" s="1360"/>
      <c r="Y1309" s="1332"/>
      <c r="Z1309" s="1332"/>
      <c r="AA1309" s="1332"/>
      <c r="AB1309" s="1332"/>
      <c r="AC1309" s="1332"/>
    </row>
    <row r="1310" spans="1:29" ht="17.399999999999999" customHeight="1" x14ac:dyDescent="0.25">
      <c r="A1310" s="1359"/>
      <c r="B1310" s="1359" t="s">
        <v>1162</v>
      </c>
      <c r="C1310" s="1360" t="s">
        <v>1324</v>
      </c>
      <c r="D1310" s="1360">
        <v>1</v>
      </c>
      <c r="E1310" s="1360">
        <f>[19]Material!E138</f>
        <v>280</v>
      </c>
      <c r="F1310" s="1360">
        <f t="shared" si="112"/>
        <v>280</v>
      </c>
      <c r="G1310" s="1360"/>
      <c r="K1310" s="1291"/>
      <c r="L1310" s="1291"/>
      <c r="M1310" s="1291"/>
      <c r="N1310" s="1291"/>
      <c r="O1310" s="1294"/>
      <c r="P1310" s="1311" t="s">
        <v>1376</v>
      </c>
      <c r="Q1310" s="1295"/>
      <c r="R1310" s="1296"/>
      <c r="S1310" s="1296"/>
      <c r="T1310" s="1296">
        <f>T1309*5%</f>
        <v>2500</v>
      </c>
      <c r="U1310" s="1296"/>
      <c r="Y1310" s="1332"/>
      <c r="Z1310" s="1332"/>
      <c r="AA1310" s="1332"/>
      <c r="AB1310" s="1332"/>
      <c r="AC1310" s="1332"/>
    </row>
    <row r="1311" spans="1:29" ht="13.8" x14ac:dyDescent="0.25">
      <c r="A1311" s="1359"/>
      <c r="B1311" s="1361" t="s">
        <v>1164</v>
      </c>
      <c r="C1311" s="1360" t="s">
        <v>1413</v>
      </c>
      <c r="D1311" s="1360"/>
      <c r="E1311" s="1360"/>
      <c r="F1311" s="1360">
        <v>500</v>
      </c>
      <c r="G1311" s="1360"/>
      <c r="K1311" s="1291"/>
      <c r="L1311" s="1291"/>
      <c r="M1311" s="1291"/>
      <c r="N1311" s="1291"/>
      <c r="O1311" s="1359"/>
      <c r="P1311" s="1359" t="s">
        <v>1108</v>
      </c>
      <c r="Q1311" s="1360" t="s">
        <v>1324</v>
      </c>
      <c r="R1311" s="1360">
        <v>1.75</v>
      </c>
      <c r="S1311" s="1360">
        <f>F260</f>
        <v>0</v>
      </c>
      <c r="T1311" s="1360">
        <f>R1311*S1311</f>
        <v>0</v>
      </c>
      <c r="U1311" s="1360"/>
      <c r="Y1311" s="1332"/>
      <c r="Z1311" s="1332"/>
      <c r="AA1311" s="1332"/>
      <c r="AB1311" s="1332"/>
      <c r="AC1311" s="1332"/>
    </row>
    <row r="1312" spans="1:29" ht="13.8" x14ac:dyDescent="0.25">
      <c r="A1312" s="1294"/>
      <c r="B1312" s="1295"/>
      <c r="C1312" s="1296"/>
      <c r="D1312" s="1296"/>
      <c r="E1312" s="1296"/>
      <c r="F1312" s="1296"/>
      <c r="G1312" s="1296"/>
      <c r="K1312" s="1291"/>
      <c r="L1312" s="1291"/>
      <c r="M1312" s="1291"/>
      <c r="N1312" s="1291"/>
      <c r="O1312" s="1359"/>
      <c r="P1312" s="1359" t="s">
        <v>1159</v>
      </c>
      <c r="Q1312" s="1360" t="s">
        <v>1110</v>
      </c>
      <c r="R1312" s="1360">
        <v>0.08</v>
      </c>
      <c r="S1312" s="1360">
        <f>[19]Material!E76</f>
        <v>0</v>
      </c>
      <c r="T1312" s="1360">
        <f>R1312*S1312</f>
        <v>0</v>
      </c>
      <c r="U1312" s="1360"/>
      <c r="Y1312" s="1332"/>
      <c r="Z1312" s="1332"/>
      <c r="AA1312" s="1332"/>
      <c r="AB1312" s="1332"/>
      <c r="AC1312" s="1332"/>
    </row>
    <row r="1313" spans="1:29" ht="13.8" x14ac:dyDescent="0.25">
      <c r="A1313" s="1294"/>
      <c r="B1313" s="1295" t="s">
        <v>1414</v>
      </c>
      <c r="C1313" s="1296"/>
      <c r="D1313" s="1296"/>
      <c r="E1313" s="1296"/>
      <c r="F1313" s="1296">
        <v>1000</v>
      </c>
      <c r="G1313" s="1296"/>
      <c r="K1313" s="1291"/>
      <c r="L1313" s="1291"/>
      <c r="M1313" s="1291"/>
      <c r="N1313" s="1291"/>
      <c r="O1313" s="1359"/>
      <c r="P1313" s="1359" t="s">
        <v>1417</v>
      </c>
      <c r="Q1313" s="1360" t="s">
        <v>1324</v>
      </c>
      <c r="R1313" s="1360">
        <v>2.86</v>
      </c>
      <c r="S1313" s="1360">
        <f>[19]Material!E200</f>
        <v>0</v>
      </c>
      <c r="T1313" s="1360">
        <f t="shared" ref="T1313:T1314" si="114">R1313*S1313</f>
        <v>0</v>
      </c>
      <c r="U1313" s="1360"/>
      <c r="Y1313" s="1332"/>
      <c r="Z1313" s="1332"/>
      <c r="AA1313" s="1332"/>
      <c r="AB1313" s="1332"/>
      <c r="AC1313" s="1332"/>
    </row>
    <row r="1314" spans="1:29" ht="13.8" x14ac:dyDescent="0.25">
      <c r="A1314" s="1294"/>
      <c r="B1314" s="1295"/>
      <c r="C1314" s="1296"/>
      <c r="D1314" s="1296"/>
      <c r="E1314" s="1296"/>
      <c r="F1314" s="1296"/>
      <c r="G1314" s="1296"/>
      <c r="K1314" s="1291"/>
      <c r="L1314" s="1291"/>
      <c r="M1314" s="1291"/>
      <c r="N1314" s="1291"/>
      <c r="O1314" s="1359"/>
      <c r="P1314" s="1359" t="s">
        <v>1162</v>
      </c>
      <c r="Q1314" s="1360" t="s">
        <v>1324</v>
      </c>
      <c r="R1314" s="1360">
        <v>1</v>
      </c>
      <c r="S1314" s="1360">
        <f>[19]Material!E201</f>
        <v>0</v>
      </c>
      <c r="T1314" s="1360">
        <f t="shared" si="114"/>
        <v>0</v>
      </c>
      <c r="U1314" s="1360"/>
      <c r="Y1314" s="1332"/>
      <c r="Z1314" s="1332"/>
      <c r="AA1314" s="1332"/>
      <c r="AB1314" s="1332"/>
      <c r="AC1314" s="1332"/>
    </row>
    <row r="1315" spans="1:29" ht="27.6" x14ac:dyDescent="0.25">
      <c r="A1315" s="1294"/>
      <c r="B1315" s="1294"/>
      <c r="C1315" s="1295"/>
      <c r="D1315" s="1296"/>
      <c r="E1315" s="1296"/>
      <c r="F1315" s="1296">
        <f t="shared" ref="F1315" si="115">D1315*E1315</f>
        <v>0</v>
      </c>
      <c r="G1315" s="1296"/>
      <c r="K1315" s="1291"/>
      <c r="L1315" s="1291"/>
      <c r="M1315" s="1291"/>
      <c r="N1315" s="1291"/>
      <c r="O1315" s="1359"/>
      <c r="P1315" s="1361" t="s">
        <v>1164</v>
      </c>
      <c r="Q1315" s="1360" t="s">
        <v>1413</v>
      </c>
      <c r="R1315" s="1360"/>
      <c r="S1315" s="1360"/>
      <c r="T1315" s="1360">
        <v>500</v>
      </c>
      <c r="U1315" s="1360"/>
      <c r="Y1315" s="1332"/>
      <c r="Z1315" s="1332"/>
      <c r="AA1315" s="1332"/>
      <c r="AB1315" s="1332"/>
      <c r="AC1315" s="1332"/>
    </row>
    <row r="1316" spans="1:29" ht="13.8" x14ac:dyDescent="0.25">
      <c r="A1316" s="1298"/>
      <c r="B1316" s="1476" t="s">
        <v>1277</v>
      </c>
      <c r="C1316" s="1476"/>
      <c r="D1316" s="1476"/>
      <c r="E1316" s="1476"/>
      <c r="F1316" s="1299"/>
      <c r="G1316" s="1300">
        <f>SUM(F1305:F1316)</f>
        <v>107220.34375</v>
      </c>
      <c r="K1316" s="1291"/>
      <c r="L1316" s="1291"/>
      <c r="M1316" s="1291"/>
      <c r="N1316" s="1291"/>
      <c r="O1316" s="1294"/>
      <c r="P1316" s="1295"/>
      <c r="Q1316" s="1296"/>
      <c r="R1316" s="1296"/>
      <c r="S1316" s="1296"/>
      <c r="T1316" s="1296"/>
      <c r="U1316" s="1296"/>
      <c r="Y1316" s="1332"/>
      <c r="Z1316" s="1332"/>
      <c r="AA1316" s="1332"/>
      <c r="AB1316" s="1332"/>
      <c r="AC1316" s="1332"/>
    </row>
    <row r="1317" spans="1:29" ht="13.8" x14ac:dyDescent="0.25">
      <c r="A1317" s="1294"/>
      <c r="B1317" s="1297" t="s">
        <v>1261</v>
      </c>
      <c r="C1317" s="1295"/>
      <c r="D1317" s="1296"/>
      <c r="E1317" s="1296"/>
      <c r="F1317" s="1296">
        <f t="shared" ref="F1317:F1318" si="116">D1317*E1317</f>
        <v>0</v>
      </c>
      <c r="G1317" s="1296"/>
      <c r="K1317" s="1291"/>
      <c r="L1317" s="1291"/>
      <c r="M1317" s="1291"/>
      <c r="N1317" s="1291"/>
      <c r="O1317" s="1294"/>
      <c r="P1317" s="1295" t="s">
        <v>1414</v>
      </c>
      <c r="Q1317" s="1296"/>
      <c r="R1317" s="1296"/>
      <c r="S1317" s="1296"/>
      <c r="T1317" s="1296">
        <v>1000</v>
      </c>
      <c r="U1317" s="1296"/>
      <c r="Y1317" s="1332"/>
      <c r="Z1317" s="1332"/>
      <c r="AA1317" s="1332"/>
      <c r="AB1317" s="1332"/>
      <c r="AC1317" s="1332"/>
    </row>
    <row r="1318" spans="1:29" ht="13.8" x14ac:dyDescent="0.25">
      <c r="A1318" s="1359"/>
      <c r="B1318" s="1359" t="s">
        <v>1271</v>
      </c>
      <c r="C1318" s="1360" t="s">
        <v>1294</v>
      </c>
      <c r="D1318" s="1360">
        <v>100</v>
      </c>
      <c r="E1318" s="1360">
        <v>250</v>
      </c>
      <c r="F1318" s="1360">
        <f t="shared" si="116"/>
        <v>25000</v>
      </c>
      <c r="G1318" s="1360"/>
      <c r="K1318" s="1291"/>
      <c r="L1318" s="1291"/>
      <c r="M1318" s="1291"/>
      <c r="N1318" s="1291"/>
      <c r="O1318" s="1294"/>
      <c r="P1318" s="1295"/>
      <c r="Q1318" s="1296"/>
      <c r="R1318" s="1296"/>
      <c r="S1318" s="1296"/>
      <c r="T1318" s="1296"/>
      <c r="U1318" s="1296"/>
      <c r="Y1318" s="1332"/>
      <c r="Z1318" s="1332"/>
      <c r="AA1318" s="1332"/>
      <c r="AB1318" s="1332"/>
      <c r="AC1318" s="1332"/>
    </row>
    <row r="1319" spans="1:29" ht="13.8" x14ac:dyDescent="0.25">
      <c r="A1319" s="1294"/>
      <c r="B1319" s="1294"/>
      <c r="C1319" s="1296"/>
      <c r="D1319" s="1296"/>
      <c r="E1319" s="1296"/>
      <c r="F1319" s="1296"/>
      <c r="G1319" s="1296"/>
      <c r="K1319" s="1291"/>
      <c r="L1319" s="1291"/>
      <c r="M1319" s="1291"/>
      <c r="N1319" s="1291"/>
      <c r="O1319" s="1294"/>
      <c r="P1319" s="1294"/>
      <c r="Q1319" s="1295"/>
      <c r="R1319" s="1296"/>
      <c r="S1319" s="1296"/>
      <c r="T1319" s="1296">
        <f t="shared" ref="T1319" si="117">R1319*S1319</f>
        <v>0</v>
      </c>
      <c r="U1319" s="1296"/>
      <c r="Y1319" s="1332"/>
      <c r="Z1319" s="1332"/>
      <c r="AA1319" s="1332"/>
      <c r="AB1319" s="1332"/>
      <c r="AC1319" s="1332"/>
    </row>
    <row r="1320" spans="1:29" ht="13.8" x14ac:dyDescent="0.25">
      <c r="A1320" s="1294"/>
      <c r="B1320" s="1294"/>
      <c r="C1320" s="1296"/>
      <c r="D1320" s="1296"/>
      <c r="E1320" s="1296"/>
      <c r="F1320" s="1296"/>
      <c r="G1320" s="1296"/>
      <c r="K1320" s="1291"/>
      <c r="L1320" s="1291"/>
      <c r="M1320" s="1291"/>
      <c r="N1320" s="1291"/>
      <c r="O1320" s="1298"/>
      <c r="P1320" s="1476" t="s">
        <v>1277</v>
      </c>
      <c r="Q1320" s="1476"/>
      <c r="R1320" s="1476"/>
      <c r="S1320" s="1476"/>
      <c r="T1320" s="1299"/>
      <c r="U1320" s="1300">
        <f>SUM(T1309:T1320)</f>
        <v>54000</v>
      </c>
      <c r="Y1320" s="1332"/>
      <c r="Z1320" s="1332"/>
      <c r="AA1320" s="1332"/>
      <c r="AB1320" s="1332"/>
      <c r="AC1320" s="1332"/>
    </row>
    <row r="1321" spans="1:29" ht="13.8" x14ac:dyDescent="0.25">
      <c r="A1321" s="1294"/>
      <c r="B1321" s="1294"/>
      <c r="C1321" s="1295"/>
      <c r="D1321" s="1296"/>
      <c r="E1321" s="1296"/>
      <c r="F1321" s="1296"/>
      <c r="G1321" s="1296"/>
      <c r="K1321" s="1291"/>
      <c r="L1321" s="1291"/>
      <c r="M1321" s="1291"/>
      <c r="N1321" s="1291"/>
      <c r="O1321" s="1294"/>
      <c r="P1321" s="1297" t="s">
        <v>1261</v>
      </c>
      <c r="Q1321" s="1295"/>
      <c r="R1321" s="1296"/>
      <c r="S1321" s="1296"/>
      <c r="T1321" s="1296">
        <f t="shared" ref="T1321:T1322" si="118">R1321*S1321</f>
        <v>0</v>
      </c>
      <c r="U1321" s="1296"/>
      <c r="Y1321" s="1332"/>
      <c r="Z1321" s="1332"/>
      <c r="AA1321" s="1332"/>
      <c r="AB1321" s="1332"/>
      <c r="AC1321" s="1332"/>
    </row>
    <row r="1322" spans="1:29" ht="13.8" x14ac:dyDescent="0.25">
      <c r="A1322" s="1298"/>
      <c r="B1322" s="1476" t="s">
        <v>1264</v>
      </c>
      <c r="C1322" s="1476"/>
      <c r="D1322" s="1476"/>
      <c r="E1322" s="1476"/>
      <c r="F1322" s="1299">
        <f t="shared" ref="F1322" si="119">D1322*E1322</f>
        <v>0</v>
      </c>
      <c r="G1322" s="1300">
        <f>SUM(F1318:F1322)</f>
        <v>25000</v>
      </c>
      <c r="K1322" s="1291"/>
      <c r="L1322" s="1291"/>
      <c r="M1322" s="1291"/>
      <c r="N1322" s="1291"/>
      <c r="O1322" s="1359"/>
      <c r="P1322" s="1359" t="s">
        <v>1271</v>
      </c>
      <c r="Q1322" s="1360" t="s">
        <v>1294</v>
      </c>
      <c r="R1322" s="1360">
        <v>100</v>
      </c>
      <c r="S1322" s="1360">
        <v>100</v>
      </c>
      <c r="T1322" s="1360">
        <f t="shared" si="118"/>
        <v>10000</v>
      </c>
      <c r="U1322" s="1360"/>
      <c r="Y1322" s="1332"/>
      <c r="Z1322" s="1332"/>
      <c r="AA1322" s="1332"/>
      <c r="AB1322" s="1332"/>
      <c r="AC1322" s="1332"/>
    </row>
    <row r="1323" spans="1:29" ht="13.8" x14ac:dyDescent="0.25">
      <c r="A1323" s="1294"/>
      <c r="B1323" s="1302"/>
      <c r="C1323" s="1302"/>
      <c r="D1323" s="1302"/>
      <c r="E1323" s="1302"/>
      <c r="F1323" s="1296"/>
      <c r="G1323" s="1302"/>
      <c r="K1323" s="1291"/>
      <c r="L1323" s="1291"/>
      <c r="M1323" s="1291"/>
      <c r="N1323" s="1291"/>
      <c r="O1323" s="1294"/>
      <c r="P1323" s="1294"/>
      <c r="Q1323" s="1296"/>
      <c r="R1323" s="1296"/>
      <c r="S1323" s="1296"/>
      <c r="T1323" s="1296"/>
      <c r="U1323" s="1296"/>
      <c r="Y1323" s="1332"/>
      <c r="Z1323" s="1332"/>
      <c r="AA1323" s="1332"/>
      <c r="AB1323" s="1332"/>
      <c r="AC1323" s="1332"/>
    </row>
    <row r="1324" spans="1:29" ht="13.8" x14ac:dyDescent="0.25">
      <c r="A1324" s="1294"/>
      <c r="B1324" s="1302"/>
      <c r="C1324" s="1302"/>
      <c r="D1324" s="1302"/>
      <c r="E1324" s="1302"/>
      <c r="F1324" s="1296"/>
      <c r="G1324" s="1302"/>
      <c r="K1324" s="1291"/>
      <c r="L1324" s="1291"/>
      <c r="M1324" s="1291"/>
      <c r="N1324" s="1291"/>
      <c r="O1324" s="1294"/>
      <c r="P1324" s="1294"/>
      <c r="Q1324" s="1296"/>
      <c r="R1324" s="1296"/>
      <c r="S1324" s="1296"/>
      <c r="T1324" s="1296"/>
      <c r="U1324" s="1296"/>
      <c r="V1324" s="1334"/>
      <c r="Y1324" s="1332"/>
      <c r="Z1324" s="1332"/>
      <c r="AA1324" s="1332"/>
      <c r="AB1324" s="1332"/>
      <c r="AC1324" s="1332"/>
    </row>
    <row r="1325" spans="1:29" ht="13.8" x14ac:dyDescent="0.25">
      <c r="A1325" s="1469" t="s">
        <v>1295</v>
      </c>
      <c r="B1325" s="1469"/>
      <c r="C1325" s="1469"/>
      <c r="D1325" s="1469"/>
      <c r="E1325" s="1469"/>
      <c r="F1325" s="1469"/>
      <c r="G1325" s="1303">
        <f>G1316+G1322</f>
        <v>132220.34375</v>
      </c>
      <c r="K1325" s="1291"/>
      <c r="L1325" s="1291"/>
      <c r="M1325" s="1291"/>
      <c r="N1325" s="1291"/>
      <c r="O1325" s="1294"/>
      <c r="P1325" s="1294"/>
      <c r="Q1325" s="1295"/>
      <c r="R1325" s="1296"/>
      <c r="S1325" s="1296"/>
      <c r="T1325" s="1296"/>
      <c r="U1325" s="1296"/>
      <c r="V1325" s="1334"/>
      <c r="Y1325" s="1332"/>
      <c r="Z1325" s="1332"/>
      <c r="AA1325" s="1332"/>
      <c r="AB1325" s="1332"/>
      <c r="AC1325" s="1332"/>
    </row>
    <row r="1326" spans="1:29" ht="13.8" x14ac:dyDescent="0.25">
      <c r="A1326" s="1469" t="s">
        <v>1296</v>
      </c>
      <c r="B1326" s="1469"/>
      <c r="C1326" s="1469"/>
      <c r="D1326" s="1469"/>
      <c r="E1326" s="1469"/>
      <c r="F1326" s="1469"/>
      <c r="G1326" s="1303">
        <f>G1325/9.29</f>
        <v>14232.545075349839</v>
      </c>
      <c r="K1326" s="1291"/>
      <c r="L1326" s="1291"/>
      <c r="M1326" s="1291"/>
      <c r="N1326" s="1291"/>
      <c r="O1326" s="1298"/>
      <c r="P1326" s="1476" t="s">
        <v>1264</v>
      </c>
      <c r="Q1326" s="1476"/>
      <c r="R1326" s="1476"/>
      <c r="S1326" s="1476"/>
      <c r="T1326" s="1299">
        <f t="shared" ref="T1326" si="120">R1326*S1326</f>
        <v>0</v>
      </c>
      <c r="U1326" s="1300">
        <f>SUM(T1322:T1326)</f>
        <v>10000</v>
      </c>
      <c r="V1326" s="1334"/>
      <c r="Y1326" s="1332"/>
      <c r="Z1326" s="1332"/>
      <c r="AA1326" s="1332"/>
      <c r="AB1326" s="1332"/>
      <c r="AC1326" s="1332"/>
    </row>
    <row r="1327" spans="1:29" ht="13.8" x14ac:dyDescent="0.25">
      <c r="A1327" s="1469" t="s">
        <v>1297</v>
      </c>
      <c r="B1327" s="1469"/>
      <c r="C1327" s="1469"/>
      <c r="D1327" s="1469"/>
      <c r="E1327" s="1469"/>
      <c r="F1327" s="1469"/>
      <c r="G1327" s="1351">
        <f>G1326/10.76</f>
        <v>1322.7272374860445</v>
      </c>
      <c r="K1327" s="1291"/>
      <c r="L1327" s="1291"/>
      <c r="M1327" s="1291"/>
      <c r="N1327" s="1291"/>
      <c r="O1327" s="1294"/>
      <c r="P1327" s="1302"/>
      <c r="Q1327" s="1302"/>
      <c r="R1327" s="1302"/>
      <c r="S1327" s="1302"/>
      <c r="T1327" s="1296"/>
      <c r="U1327" s="1302"/>
      <c r="V1327" s="1334"/>
      <c r="Y1327" s="1332">
        <f>1380/20</f>
        <v>69</v>
      </c>
      <c r="Z1327" s="1332"/>
      <c r="AA1327" s="1332"/>
      <c r="AB1327" s="1332"/>
      <c r="AC1327" s="1332"/>
    </row>
    <row r="1328" spans="1:29" ht="13.8" x14ac:dyDescent="0.25">
      <c r="K1328" s="1291"/>
      <c r="L1328" s="1291"/>
      <c r="M1328" s="1291"/>
      <c r="N1328" s="1291"/>
      <c r="O1328" s="1294"/>
      <c r="P1328" s="1302"/>
      <c r="Q1328" s="1302"/>
      <c r="R1328" s="1302"/>
      <c r="S1328" s="1302"/>
      <c r="T1328" s="1296"/>
      <c r="U1328" s="1302"/>
      <c r="V1328" s="1362" t="s">
        <v>1420</v>
      </c>
      <c r="Y1328" s="1332"/>
      <c r="Z1328" s="1332"/>
      <c r="AA1328" s="1332"/>
      <c r="AB1328" s="1332"/>
      <c r="AC1328" s="1332"/>
    </row>
    <row r="1329" spans="1:29" ht="13.8" x14ac:dyDescent="0.25">
      <c r="K1329" s="1291"/>
      <c r="L1329" s="1291"/>
      <c r="M1329" s="1291"/>
      <c r="N1329" s="1291"/>
      <c r="O1329" s="1469" t="s">
        <v>1295</v>
      </c>
      <c r="P1329" s="1469"/>
      <c r="Q1329" s="1469"/>
      <c r="R1329" s="1469"/>
      <c r="S1329" s="1469"/>
      <c r="T1329" s="1469"/>
      <c r="U1329" s="1303">
        <f>U1320+U1326</f>
        <v>64000</v>
      </c>
      <c r="V1329" s="1362" t="s">
        <v>1421</v>
      </c>
      <c r="Y1329" s="1332">
        <f>12821/20</f>
        <v>641.04999999999995</v>
      </c>
      <c r="Z1329" s="1332"/>
      <c r="AA1329" s="1332"/>
      <c r="AB1329" s="1332"/>
      <c r="AC1329" s="1332"/>
    </row>
    <row r="1330" spans="1:29" ht="14.4" thickBot="1" x14ac:dyDescent="0.3">
      <c r="K1330" s="1291"/>
      <c r="L1330" s="1291"/>
      <c r="M1330" s="1291"/>
      <c r="N1330" s="1291"/>
      <c r="O1330" s="1305"/>
      <c r="P1330" s="1305"/>
      <c r="Q1330" s="1305"/>
      <c r="R1330" s="1305"/>
      <c r="S1330" s="1305"/>
      <c r="T1330" s="1305"/>
      <c r="U1330" s="1305"/>
      <c r="V1330" s="1362"/>
      <c r="Y1330" s="1332"/>
      <c r="Z1330" s="1332"/>
      <c r="AA1330" s="1332"/>
      <c r="AB1330" s="1332"/>
      <c r="AC1330" s="1332"/>
    </row>
    <row r="1331" spans="1:29" ht="13.8" x14ac:dyDescent="0.25">
      <c r="A1331" s="1470" t="s">
        <v>1422</v>
      </c>
      <c r="B1331" s="1471"/>
      <c r="C1331" s="1471"/>
      <c r="D1331" s="1471"/>
      <c r="E1331" s="1471"/>
      <c r="F1331" s="1471"/>
      <c r="G1331" s="1472"/>
    </row>
    <row r="1332" spans="1:29" ht="14.4" thickBot="1" x14ac:dyDescent="0.3">
      <c r="A1332" s="1473" t="s">
        <v>1259</v>
      </c>
      <c r="B1332" s="1474"/>
      <c r="C1332" s="1474"/>
      <c r="D1332" s="1474"/>
      <c r="E1332" s="1474"/>
      <c r="F1332" s="1474"/>
      <c r="G1332" s="1475"/>
    </row>
    <row r="1333" spans="1:29" ht="14.4" thickBot="1" x14ac:dyDescent="0.3">
      <c r="A1333" s="1292"/>
      <c r="B1333" s="1293" t="s">
        <v>1038</v>
      </c>
      <c r="C1333" s="1293" t="s">
        <v>1039</v>
      </c>
      <c r="D1333" s="1293" t="s">
        <v>2</v>
      </c>
      <c r="E1333" s="1293" t="s">
        <v>1040</v>
      </c>
      <c r="F1333" s="1293" t="s">
        <v>5</v>
      </c>
      <c r="G1333" s="1293" t="s">
        <v>1260</v>
      </c>
    </row>
    <row r="1334" spans="1:29" ht="13.8" x14ac:dyDescent="0.25">
      <c r="A1334" s="1294"/>
      <c r="B1334" s="1294"/>
      <c r="C1334" s="1295"/>
      <c r="D1334" s="1296"/>
      <c r="E1334" s="1296"/>
      <c r="F1334" s="1296"/>
      <c r="G1334" s="1296"/>
      <c r="I1334" s="1290">
        <f>5000/10.76</f>
        <v>464.68401486988847</v>
      </c>
    </row>
    <row r="1335" spans="1:29" ht="13.8" x14ac:dyDescent="0.25">
      <c r="A1335" s="1294"/>
      <c r="B1335" s="1297" t="s">
        <v>1276</v>
      </c>
      <c r="C1335" s="1295"/>
      <c r="D1335" s="1296"/>
      <c r="E1335" s="1296"/>
      <c r="F1335" s="1296"/>
      <c r="G1335" s="1296"/>
    </row>
    <row r="1336" spans="1:29" ht="13.8" x14ac:dyDescent="0.25">
      <c r="A1336" s="1359"/>
      <c r="B1336" s="1359" t="s">
        <v>1412</v>
      </c>
      <c r="C1336" s="1360" t="s">
        <v>1294</v>
      </c>
      <c r="D1336" s="1360">
        <v>34</v>
      </c>
      <c r="E1336" s="1360">
        <v>500</v>
      </c>
      <c r="F1336" s="1360">
        <f t="shared" ref="F1336" si="121">D1336*E1336</f>
        <v>17000</v>
      </c>
      <c r="G1336" s="1360"/>
    </row>
    <row r="1337" spans="1:29" ht="13.8" x14ac:dyDescent="0.25">
      <c r="A1337" s="1294"/>
      <c r="B1337" s="1311" t="s">
        <v>1376</v>
      </c>
      <c r="C1337" s="1295"/>
      <c r="D1337" s="1296"/>
      <c r="E1337" s="1296"/>
      <c r="F1337" s="1296">
        <f>F1336*5%</f>
        <v>850</v>
      </c>
      <c r="G1337" s="1296"/>
      <c r="I1337" s="1290">
        <f>100/3</f>
        <v>33.333333333333336</v>
      </c>
    </row>
    <row r="1338" spans="1:29" ht="13.8" x14ac:dyDescent="0.25">
      <c r="A1338" s="1359"/>
      <c r="B1338" s="1359"/>
      <c r="C1338" s="1360"/>
      <c r="D1338" s="1360"/>
      <c r="E1338" s="1360"/>
      <c r="F1338" s="1360"/>
      <c r="G1338" s="1360"/>
    </row>
    <row r="1339" spans="1:29" ht="13.8" x14ac:dyDescent="0.25">
      <c r="A1339" s="1359"/>
      <c r="B1339" s="1359"/>
      <c r="C1339" s="1360"/>
      <c r="D1339" s="1360"/>
      <c r="E1339" s="1360"/>
      <c r="F1339" s="1360"/>
      <c r="G1339" s="1360"/>
    </row>
    <row r="1340" spans="1:29" ht="13.8" x14ac:dyDescent="0.25">
      <c r="A1340" s="1359"/>
      <c r="B1340" s="1359" t="s">
        <v>1417</v>
      </c>
      <c r="C1340" s="1360" t="s">
        <v>1324</v>
      </c>
      <c r="D1340" s="1360">
        <v>1</v>
      </c>
      <c r="E1340" s="1360">
        <f>[19]Material!E137</f>
        <v>1800</v>
      </c>
      <c r="F1340" s="1360">
        <f t="shared" ref="F1340:F1341" si="122">D1340*E1340</f>
        <v>1800</v>
      </c>
      <c r="G1340" s="1360"/>
    </row>
    <row r="1341" spans="1:29" ht="13.8" x14ac:dyDescent="0.25">
      <c r="A1341" s="1359"/>
      <c r="B1341" s="1359" t="s">
        <v>1162</v>
      </c>
      <c r="C1341" s="1360" t="s">
        <v>1324</v>
      </c>
      <c r="D1341" s="1360">
        <v>1</v>
      </c>
      <c r="E1341" s="1360">
        <f>[19]Material!E138</f>
        <v>280</v>
      </c>
      <c r="F1341" s="1360">
        <f t="shared" si="122"/>
        <v>280</v>
      </c>
      <c r="G1341" s="1360"/>
    </row>
    <row r="1342" spans="1:29" ht="13.8" x14ac:dyDescent="0.25">
      <c r="A1342" s="1359"/>
      <c r="B1342" s="1361" t="s">
        <v>1164</v>
      </c>
      <c r="C1342" s="1360" t="s">
        <v>1413</v>
      </c>
      <c r="D1342" s="1360"/>
      <c r="E1342" s="1360"/>
      <c r="F1342" s="1360">
        <v>500</v>
      </c>
      <c r="G1342" s="1360"/>
    </row>
    <row r="1343" spans="1:29" ht="13.8" x14ac:dyDescent="0.25">
      <c r="A1343" s="1294"/>
      <c r="B1343" s="1295"/>
      <c r="C1343" s="1296"/>
      <c r="D1343" s="1296"/>
      <c r="E1343" s="1296"/>
      <c r="F1343" s="1296"/>
      <c r="G1343" s="1296"/>
    </row>
    <row r="1344" spans="1:29" ht="13.8" x14ac:dyDescent="0.25">
      <c r="A1344" s="1294"/>
      <c r="B1344" s="1295" t="s">
        <v>1414</v>
      </c>
      <c r="C1344" s="1296"/>
      <c r="D1344" s="1296"/>
      <c r="E1344" s="1296"/>
      <c r="F1344" s="1296">
        <v>1000</v>
      </c>
      <c r="G1344" s="1296"/>
    </row>
    <row r="1345" spans="1:29" ht="13.8" x14ac:dyDescent="0.25">
      <c r="A1345" s="1294"/>
      <c r="B1345" s="1295"/>
      <c r="C1345" s="1296"/>
      <c r="D1345" s="1296"/>
      <c r="E1345" s="1296"/>
      <c r="F1345" s="1296"/>
      <c r="G1345" s="1296"/>
    </row>
    <row r="1346" spans="1:29" ht="13.8" x14ac:dyDescent="0.25">
      <c r="A1346" s="1294"/>
      <c r="B1346" s="1294"/>
      <c r="C1346" s="1295"/>
      <c r="D1346" s="1296"/>
      <c r="E1346" s="1296"/>
      <c r="F1346" s="1296">
        <f t="shared" ref="F1346" si="123">D1346*E1346</f>
        <v>0</v>
      </c>
      <c r="G1346" s="1296"/>
    </row>
    <row r="1347" spans="1:29" ht="13.8" x14ac:dyDescent="0.25">
      <c r="A1347" s="1298"/>
      <c r="B1347" s="1476" t="s">
        <v>1277</v>
      </c>
      <c r="C1347" s="1476"/>
      <c r="D1347" s="1476"/>
      <c r="E1347" s="1476"/>
      <c r="F1347" s="1299"/>
      <c r="G1347" s="1300">
        <f>SUM(F1336:F1347)</f>
        <v>21430</v>
      </c>
    </row>
    <row r="1348" spans="1:29" ht="13.8" x14ac:dyDescent="0.25">
      <c r="A1348" s="1294"/>
      <c r="B1348" s="1297" t="s">
        <v>1261</v>
      </c>
      <c r="C1348" s="1295"/>
      <c r="D1348" s="1296"/>
      <c r="E1348" s="1296"/>
      <c r="F1348" s="1296">
        <f t="shared" ref="F1348:F1349" si="124">D1348*E1348</f>
        <v>0</v>
      </c>
      <c r="G1348" s="1296"/>
    </row>
    <row r="1349" spans="1:29" ht="13.8" x14ac:dyDescent="0.25">
      <c r="A1349" s="1359"/>
      <c r="B1349" s="1359" t="s">
        <v>1271</v>
      </c>
      <c r="C1349" s="1360" t="s">
        <v>1190</v>
      </c>
      <c r="D1349" s="1360">
        <v>100</v>
      </c>
      <c r="E1349" s="1360">
        <v>90</v>
      </c>
      <c r="F1349" s="1360">
        <f t="shared" si="124"/>
        <v>9000</v>
      </c>
      <c r="G1349" s="1360"/>
    </row>
    <row r="1350" spans="1:29" ht="13.8" x14ac:dyDescent="0.25">
      <c r="A1350" s="1294"/>
      <c r="B1350" s="1294"/>
      <c r="C1350" s="1296"/>
      <c r="D1350" s="1296"/>
      <c r="E1350" s="1296"/>
      <c r="F1350" s="1296"/>
      <c r="G1350" s="1296"/>
    </row>
    <row r="1351" spans="1:29" ht="13.8" x14ac:dyDescent="0.25">
      <c r="A1351" s="1294"/>
      <c r="B1351" s="1294"/>
      <c r="C1351" s="1296"/>
      <c r="D1351" s="1296"/>
      <c r="E1351" s="1296"/>
      <c r="F1351" s="1296"/>
      <c r="G1351" s="1296"/>
    </row>
    <row r="1352" spans="1:29" ht="13.8" x14ac:dyDescent="0.25">
      <c r="A1352" s="1294"/>
      <c r="B1352" s="1294"/>
      <c r="C1352" s="1295"/>
      <c r="D1352" s="1296"/>
      <c r="E1352" s="1296"/>
      <c r="F1352" s="1296"/>
      <c r="G1352" s="1296"/>
    </row>
    <row r="1353" spans="1:29" ht="13.8" x14ac:dyDescent="0.25">
      <c r="A1353" s="1298"/>
      <c r="B1353" s="1476" t="s">
        <v>1264</v>
      </c>
      <c r="C1353" s="1476"/>
      <c r="D1353" s="1476"/>
      <c r="E1353" s="1476"/>
      <c r="F1353" s="1299">
        <f t="shared" ref="F1353" si="125">D1353*E1353</f>
        <v>0</v>
      </c>
      <c r="G1353" s="1300">
        <f>SUM(F1349:F1353)</f>
        <v>9000</v>
      </c>
    </row>
    <row r="1354" spans="1:29" ht="13.8" x14ac:dyDescent="0.25">
      <c r="A1354" s="1294"/>
      <c r="B1354" s="1302"/>
      <c r="C1354" s="1302"/>
      <c r="D1354" s="1302"/>
      <c r="E1354" s="1302"/>
      <c r="F1354" s="1296"/>
      <c r="G1354" s="1302"/>
    </row>
    <row r="1355" spans="1:29" ht="13.8" x14ac:dyDescent="0.25">
      <c r="A1355" s="1294"/>
      <c r="B1355" s="1302"/>
      <c r="C1355" s="1302"/>
      <c r="D1355" s="1302"/>
      <c r="E1355" s="1302"/>
      <c r="F1355" s="1296"/>
      <c r="G1355" s="1302"/>
    </row>
    <row r="1356" spans="1:29" ht="13.8" x14ac:dyDescent="0.25">
      <c r="A1356" s="1469" t="s">
        <v>1423</v>
      </c>
      <c r="B1356" s="1469"/>
      <c r="C1356" s="1469"/>
      <c r="D1356" s="1469"/>
      <c r="E1356" s="1469"/>
      <c r="F1356" s="1469"/>
      <c r="G1356" s="1303">
        <f>G1347+G1353</f>
        <v>30430</v>
      </c>
    </row>
    <row r="1357" spans="1:29" ht="13.8" x14ac:dyDescent="0.25">
      <c r="A1357" s="1469" t="s">
        <v>1330</v>
      </c>
      <c r="B1357" s="1469"/>
      <c r="C1357" s="1469"/>
      <c r="D1357" s="1469"/>
      <c r="E1357" s="1469"/>
      <c r="F1357" s="1469"/>
      <c r="G1357" s="1303">
        <f>G1356/100</f>
        <v>304.3</v>
      </c>
    </row>
    <row r="1358" spans="1:29" ht="13.8" x14ac:dyDescent="0.25">
      <c r="A1358" s="1469" t="s">
        <v>1424</v>
      </c>
      <c r="B1358" s="1469"/>
      <c r="C1358" s="1469"/>
      <c r="D1358" s="1469"/>
      <c r="E1358" s="1469"/>
      <c r="F1358" s="1469"/>
      <c r="G1358" s="1351">
        <f>G1357*3.28</f>
        <v>998.10399999999993</v>
      </c>
    </row>
    <row r="1359" spans="1:29" ht="13.8" x14ac:dyDescent="0.25">
      <c r="K1359" s="1291"/>
      <c r="L1359" s="1291"/>
      <c r="M1359" s="1291"/>
      <c r="N1359" s="1291"/>
      <c r="O1359" s="1305"/>
      <c r="P1359" s="1305"/>
      <c r="Q1359" s="1305"/>
      <c r="R1359" s="1305"/>
      <c r="S1359" s="1305"/>
      <c r="T1359" s="1305"/>
      <c r="U1359" s="1305"/>
      <c r="V1359" s="1362"/>
      <c r="Y1359" s="1332"/>
      <c r="Z1359" s="1332"/>
      <c r="AA1359" s="1332"/>
      <c r="AB1359" s="1332"/>
      <c r="AC1359" s="1332"/>
    </row>
    <row r="1360" spans="1:29" ht="14.4" thickBot="1" x14ac:dyDescent="0.3">
      <c r="K1360" s="1291"/>
      <c r="L1360" s="1291"/>
      <c r="M1360" s="1291"/>
      <c r="N1360" s="1291"/>
      <c r="O1360" s="1305"/>
      <c r="P1360" s="1305"/>
      <c r="Q1360" s="1305"/>
      <c r="R1360" s="1305"/>
      <c r="S1360" s="1305"/>
      <c r="T1360" s="1305"/>
      <c r="U1360" s="1305"/>
      <c r="V1360" s="1362"/>
      <c r="Y1360" s="1332"/>
      <c r="Z1360" s="1332"/>
      <c r="AA1360" s="1332"/>
      <c r="AB1360" s="1332"/>
      <c r="AC1360" s="1332"/>
    </row>
    <row r="1361" spans="1:9" ht="13.8" x14ac:dyDescent="0.25">
      <c r="A1361" s="1470" t="s">
        <v>1175</v>
      </c>
      <c r="B1361" s="1471"/>
      <c r="C1361" s="1471"/>
      <c r="D1361" s="1471"/>
      <c r="E1361" s="1471"/>
      <c r="F1361" s="1471"/>
      <c r="G1361" s="1472"/>
    </row>
    <row r="1362" spans="1:9" ht="14.4" thickBot="1" x14ac:dyDescent="0.3">
      <c r="A1362" s="1473" t="s">
        <v>1259</v>
      </c>
      <c r="B1362" s="1474"/>
      <c r="C1362" s="1474"/>
      <c r="D1362" s="1474"/>
      <c r="E1362" s="1474"/>
      <c r="F1362" s="1474"/>
      <c r="G1362" s="1475"/>
    </row>
    <row r="1363" spans="1:9" ht="14.4" thickBot="1" x14ac:dyDescent="0.3">
      <c r="A1363" s="1292"/>
      <c r="B1363" s="1293" t="s">
        <v>1038</v>
      </c>
      <c r="C1363" s="1293" t="s">
        <v>1039</v>
      </c>
      <c r="D1363" s="1293" t="s">
        <v>2</v>
      </c>
      <c r="E1363" s="1293" t="s">
        <v>1040</v>
      </c>
      <c r="F1363" s="1293" t="s">
        <v>5</v>
      </c>
      <c r="G1363" s="1293" t="s">
        <v>1260</v>
      </c>
    </row>
    <row r="1364" spans="1:9" ht="13.8" x14ac:dyDescent="0.25">
      <c r="A1364" s="1294"/>
      <c r="B1364" s="1294"/>
      <c r="C1364" s="1295"/>
      <c r="D1364" s="1296"/>
      <c r="E1364" s="1296"/>
      <c r="F1364" s="1296"/>
      <c r="G1364" s="1296"/>
      <c r="I1364" s="1290">
        <f>5000/10.76</f>
        <v>464.68401486988847</v>
      </c>
    </row>
    <row r="1365" spans="1:9" ht="13.8" x14ac:dyDescent="0.25">
      <c r="A1365" s="1294"/>
      <c r="B1365" s="1297" t="s">
        <v>1276</v>
      </c>
      <c r="C1365" s="1295"/>
      <c r="D1365" s="1296"/>
      <c r="E1365" s="1296"/>
      <c r="F1365" s="1296"/>
      <c r="G1365" s="1296"/>
    </row>
    <row r="1366" spans="1:9" ht="13.8" x14ac:dyDescent="0.25">
      <c r="A1366" s="1359"/>
      <c r="B1366" s="1359" t="s">
        <v>1425</v>
      </c>
      <c r="C1366" s="1360" t="s">
        <v>1294</v>
      </c>
      <c r="D1366" s="1360">
        <v>100</v>
      </c>
      <c r="E1366" s="1360">
        <v>700</v>
      </c>
      <c r="F1366" s="1360">
        <f t="shared" ref="F1366" si="126">D1366*E1366</f>
        <v>70000</v>
      </c>
      <c r="G1366" s="1360"/>
    </row>
    <row r="1367" spans="1:9" ht="13.8" x14ac:dyDescent="0.25">
      <c r="A1367" s="1294"/>
      <c r="B1367" s="1311" t="s">
        <v>1376</v>
      </c>
      <c r="C1367" s="1295"/>
      <c r="D1367" s="1296"/>
      <c r="E1367" s="1296"/>
      <c r="F1367" s="1296">
        <f>F1366*5%</f>
        <v>3500</v>
      </c>
      <c r="G1367" s="1296"/>
    </row>
    <row r="1368" spans="1:9" ht="13.8" x14ac:dyDescent="0.25">
      <c r="A1368" s="1359"/>
      <c r="B1368" s="1359" t="s">
        <v>1108</v>
      </c>
      <c r="C1368" s="1360" t="s">
        <v>1324</v>
      </c>
      <c r="D1368" s="1360">
        <v>1.75</v>
      </c>
      <c r="E1368" s="1360">
        <f>F197</f>
        <v>2235.625</v>
      </c>
      <c r="F1368" s="1360">
        <f>D1368*E1368</f>
        <v>3912.34375</v>
      </c>
      <c r="G1368" s="1360"/>
    </row>
    <row r="1369" spans="1:9" ht="13.8" x14ac:dyDescent="0.25">
      <c r="A1369" s="1359"/>
      <c r="B1369" s="1359" t="s">
        <v>1159</v>
      </c>
      <c r="C1369" s="1360" t="s">
        <v>1110</v>
      </c>
      <c r="D1369" s="1360">
        <v>0.08</v>
      </c>
      <c r="E1369" s="1360">
        <f>[19]Material!E13</f>
        <v>23500</v>
      </c>
      <c r="F1369" s="1360">
        <f>D1369*E1369</f>
        <v>1880</v>
      </c>
      <c r="G1369" s="1360"/>
    </row>
    <row r="1370" spans="1:9" ht="13.8" x14ac:dyDescent="0.25">
      <c r="A1370" s="1359"/>
      <c r="B1370" s="1359" t="s">
        <v>1417</v>
      </c>
      <c r="C1370" s="1360" t="s">
        <v>1324</v>
      </c>
      <c r="D1370" s="1360">
        <v>2.86</v>
      </c>
      <c r="E1370" s="1360">
        <f>[19]Material!E137</f>
        <v>1800</v>
      </c>
      <c r="F1370" s="1360">
        <f t="shared" ref="F1370:F1371" si="127">D1370*E1370</f>
        <v>5148</v>
      </c>
      <c r="G1370" s="1360"/>
    </row>
    <row r="1371" spans="1:9" ht="13.8" x14ac:dyDescent="0.25">
      <c r="A1371" s="1359"/>
      <c r="B1371" s="1359" t="s">
        <v>1162</v>
      </c>
      <c r="C1371" s="1360" t="s">
        <v>1324</v>
      </c>
      <c r="D1371" s="1360">
        <v>1</v>
      </c>
      <c r="E1371" s="1360">
        <f>[19]Material!E138</f>
        <v>280</v>
      </c>
      <c r="F1371" s="1360">
        <f t="shared" si="127"/>
        <v>280</v>
      </c>
      <c r="G1371" s="1360"/>
    </row>
    <row r="1372" spans="1:9" ht="13.8" x14ac:dyDescent="0.25">
      <c r="A1372" s="1359"/>
      <c r="B1372" s="1361" t="s">
        <v>1164</v>
      </c>
      <c r="C1372" s="1360" t="s">
        <v>1413</v>
      </c>
      <c r="D1372" s="1360"/>
      <c r="E1372" s="1360"/>
      <c r="F1372" s="1360">
        <v>500</v>
      </c>
      <c r="G1372" s="1360"/>
    </row>
    <row r="1373" spans="1:9" ht="13.8" x14ac:dyDescent="0.25">
      <c r="A1373" s="1294"/>
      <c r="B1373" s="1295"/>
      <c r="C1373" s="1296"/>
      <c r="D1373" s="1296"/>
      <c r="E1373" s="1296"/>
      <c r="F1373" s="1296"/>
      <c r="G1373" s="1296"/>
    </row>
    <row r="1374" spans="1:9" ht="13.8" x14ac:dyDescent="0.25">
      <c r="A1374" s="1294"/>
      <c r="B1374" s="1295" t="s">
        <v>1414</v>
      </c>
      <c r="C1374" s="1296"/>
      <c r="D1374" s="1296"/>
      <c r="E1374" s="1296"/>
      <c r="F1374" s="1296">
        <v>1000</v>
      </c>
      <c r="G1374" s="1296"/>
    </row>
    <row r="1375" spans="1:9" ht="13.8" x14ac:dyDescent="0.25">
      <c r="A1375" s="1294"/>
      <c r="B1375" s="1295"/>
      <c r="C1375" s="1296"/>
      <c r="D1375" s="1296"/>
      <c r="E1375" s="1296"/>
      <c r="F1375" s="1296"/>
      <c r="G1375" s="1296"/>
    </row>
    <row r="1376" spans="1:9" ht="13.8" x14ac:dyDescent="0.25">
      <c r="A1376" s="1294"/>
      <c r="B1376" s="1294"/>
      <c r="C1376" s="1295"/>
      <c r="D1376" s="1296"/>
      <c r="E1376" s="1296"/>
      <c r="F1376" s="1296"/>
      <c r="G1376" s="1296"/>
    </row>
    <row r="1377" spans="1:8" ht="13.8" x14ac:dyDescent="0.25">
      <c r="A1377" s="1298"/>
      <c r="B1377" s="1476" t="s">
        <v>1277</v>
      </c>
      <c r="C1377" s="1476"/>
      <c r="D1377" s="1476"/>
      <c r="E1377" s="1476"/>
      <c r="F1377" s="1299"/>
      <c r="G1377" s="1300">
        <f>SUM(F1366:F1377)</f>
        <v>86220.34375</v>
      </c>
    </row>
    <row r="1378" spans="1:8" ht="13.8" x14ac:dyDescent="0.25">
      <c r="A1378" s="1294"/>
      <c r="B1378" s="1297" t="s">
        <v>1261</v>
      </c>
      <c r="C1378" s="1295"/>
      <c r="D1378" s="1296"/>
      <c r="E1378" s="1296"/>
      <c r="F1378" s="1296"/>
      <c r="G1378" s="1296"/>
    </row>
    <row r="1379" spans="1:8" ht="13.8" x14ac:dyDescent="0.25">
      <c r="A1379" s="1359"/>
      <c r="B1379" s="1359" t="s">
        <v>1271</v>
      </c>
      <c r="C1379" s="1360" t="s">
        <v>1294</v>
      </c>
      <c r="D1379" s="1360">
        <v>100</v>
      </c>
      <c r="E1379" s="1360">
        <v>400</v>
      </c>
      <c r="F1379" s="1360">
        <f>D1379*E1379</f>
        <v>40000</v>
      </c>
      <c r="G1379" s="1360"/>
    </row>
    <row r="1380" spans="1:8" ht="13.8" x14ac:dyDescent="0.25">
      <c r="A1380" s="1294"/>
      <c r="B1380" s="1294"/>
      <c r="C1380" s="1296"/>
      <c r="D1380" s="1296"/>
      <c r="E1380" s="1296"/>
      <c r="F1380" s="1296"/>
      <c r="G1380" s="1296"/>
    </row>
    <row r="1381" spans="1:8" ht="13.8" x14ac:dyDescent="0.25">
      <c r="A1381" s="1294"/>
      <c r="B1381" s="1294"/>
      <c r="C1381" s="1296"/>
      <c r="D1381" s="1296"/>
      <c r="E1381" s="1296"/>
      <c r="F1381" s="1296"/>
      <c r="G1381" s="1296"/>
    </row>
    <row r="1382" spans="1:8" ht="13.8" x14ac:dyDescent="0.25">
      <c r="A1382" s="1294"/>
      <c r="B1382" s="1294"/>
      <c r="C1382" s="1295"/>
      <c r="D1382" s="1296"/>
      <c r="E1382" s="1296"/>
      <c r="F1382" s="1296"/>
      <c r="G1382" s="1296"/>
    </row>
    <row r="1383" spans="1:8" ht="13.8" x14ac:dyDescent="0.25">
      <c r="A1383" s="1298"/>
      <c r="B1383" s="1476" t="s">
        <v>1264</v>
      </c>
      <c r="C1383" s="1476"/>
      <c r="D1383" s="1476"/>
      <c r="E1383" s="1476"/>
      <c r="F1383" s="1299"/>
      <c r="G1383" s="1300">
        <f>SUM(F1379:F1383)</f>
        <v>40000</v>
      </c>
    </row>
    <row r="1384" spans="1:8" ht="13.8" x14ac:dyDescent="0.25">
      <c r="A1384" s="1294"/>
      <c r="B1384" s="1302"/>
      <c r="C1384" s="1302"/>
      <c r="D1384" s="1302"/>
      <c r="E1384" s="1302"/>
      <c r="F1384" s="1296"/>
      <c r="G1384" s="1302"/>
    </row>
    <row r="1385" spans="1:8" ht="13.8" x14ac:dyDescent="0.25">
      <c r="A1385" s="1294"/>
      <c r="B1385" s="1302"/>
      <c r="C1385" s="1302"/>
      <c r="D1385" s="1302"/>
      <c r="E1385" s="1302"/>
      <c r="F1385" s="1296"/>
      <c r="G1385" s="1302"/>
    </row>
    <row r="1386" spans="1:8" ht="13.8" x14ac:dyDescent="0.25">
      <c r="A1386" s="1469" t="s">
        <v>1295</v>
      </c>
      <c r="B1386" s="1469"/>
      <c r="C1386" s="1469"/>
      <c r="D1386" s="1469"/>
      <c r="E1386" s="1469"/>
      <c r="F1386" s="1469"/>
      <c r="G1386" s="1303">
        <f>G1377+G1383</f>
        <v>126220.34375</v>
      </c>
    </row>
    <row r="1387" spans="1:8" ht="13.8" x14ac:dyDescent="0.25">
      <c r="A1387" s="1469" t="s">
        <v>1296</v>
      </c>
      <c r="B1387" s="1469"/>
      <c r="C1387" s="1469"/>
      <c r="D1387" s="1469"/>
      <c r="E1387" s="1469"/>
      <c r="F1387" s="1469"/>
      <c r="G1387" s="1303">
        <f>G1386/9.29</f>
        <v>13586.689316469323</v>
      </c>
    </row>
    <row r="1388" spans="1:8" ht="13.8" x14ac:dyDescent="0.25">
      <c r="A1388" s="1469" t="s">
        <v>1297</v>
      </c>
      <c r="B1388" s="1469"/>
      <c r="C1388" s="1469"/>
      <c r="D1388" s="1469"/>
      <c r="E1388" s="1469"/>
      <c r="F1388" s="1469"/>
      <c r="G1388" s="1351">
        <f>G1387/10.76</f>
        <v>1262.7034680733573</v>
      </c>
    </row>
    <row r="1389" spans="1:8" ht="13.8" x14ac:dyDescent="0.25">
      <c r="H1389" s="1363"/>
    </row>
    <row r="1390" spans="1:8" ht="14.4" thickBot="1" x14ac:dyDescent="0.3">
      <c r="H1390" s="1363"/>
    </row>
    <row r="1391" spans="1:8" ht="13.8" x14ac:dyDescent="0.25">
      <c r="A1391" s="1470" t="s">
        <v>1175</v>
      </c>
      <c r="B1391" s="1471"/>
      <c r="C1391" s="1471"/>
      <c r="D1391" s="1471"/>
      <c r="E1391" s="1471"/>
      <c r="F1391" s="1471"/>
      <c r="G1391" s="1472"/>
    </row>
    <row r="1392" spans="1:8" ht="14.4" thickBot="1" x14ac:dyDescent="0.3">
      <c r="A1392" s="1473" t="s">
        <v>1259</v>
      </c>
      <c r="B1392" s="1474"/>
      <c r="C1392" s="1474"/>
      <c r="D1392" s="1474"/>
      <c r="E1392" s="1474"/>
      <c r="F1392" s="1474"/>
      <c r="G1392" s="1475"/>
    </row>
    <row r="1393" spans="1:9" ht="14.4" thickBot="1" x14ac:dyDescent="0.3">
      <c r="A1393" s="1292"/>
      <c r="B1393" s="1293" t="s">
        <v>1038</v>
      </c>
      <c r="C1393" s="1293" t="s">
        <v>1039</v>
      </c>
      <c r="D1393" s="1293" t="s">
        <v>2</v>
      </c>
      <c r="E1393" s="1293" t="s">
        <v>1040</v>
      </c>
      <c r="F1393" s="1293" t="s">
        <v>5</v>
      </c>
      <c r="G1393" s="1293" t="s">
        <v>1260</v>
      </c>
    </row>
    <row r="1394" spans="1:9" ht="13.8" x14ac:dyDescent="0.25">
      <c r="A1394" s="1294"/>
      <c r="B1394" s="1294"/>
      <c r="C1394" s="1295"/>
      <c r="D1394" s="1296"/>
      <c r="E1394" s="1296"/>
      <c r="F1394" s="1296"/>
      <c r="G1394" s="1296"/>
      <c r="I1394" s="1290">
        <f>5000/10.76</f>
        <v>464.68401486988847</v>
      </c>
    </row>
    <row r="1395" spans="1:9" ht="13.8" x14ac:dyDescent="0.25">
      <c r="A1395" s="1294"/>
      <c r="B1395" s="1297" t="s">
        <v>1276</v>
      </c>
      <c r="C1395" s="1295"/>
      <c r="D1395" s="1296"/>
      <c r="E1395" s="1296"/>
      <c r="F1395" s="1296"/>
      <c r="G1395" s="1296"/>
    </row>
    <row r="1396" spans="1:9" ht="13.8" x14ac:dyDescent="0.25">
      <c r="A1396" s="1359"/>
      <c r="B1396" s="1359" t="s">
        <v>1426</v>
      </c>
      <c r="C1396" s="1360" t="s">
        <v>1294</v>
      </c>
      <c r="D1396" s="1360">
        <v>100</v>
      </c>
      <c r="E1396" s="1360">
        <v>600</v>
      </c>
      <c r="F1396" s="1360">
        <f t="shared" ref="F1396" si="128">D1396*E1396</f>
        <v>60000</v>
      </c>
      <c r="G1396" s="1360"/>
    </row>
    <row r="1397" spans="1:9" ht="13.8" x14ac:dyDescent="0.25">
      <c r="A1397" s="1294"/>
      <c r="B1397" s="1311" t="s">
        <v>1376</v>
      </c>
      <c r="C1397" s="1295"/>
      <c r="D1397" s="1296"/>
      <c r="E1397" s="1296"/>
      <c r="F1397" s="1296">
        <f>F1396*5%</f>
        <v>3000</v>
      </c>
      <c r="G1397" s="1296"/>
    </row>
    <row r="1398" spans="1:9" ht="13.8" x14ac:dyDescent="0.25">
      <c r="A1398" s="1359"/>
      <c r="B1398" s="1359" t="s">
        <v>1108</v>
      </c>
      <c r="C1398" s="1360" t="s">
        <v>1324</v>
      </c>
      <c r="D1398" s="1360">
        <v>1.75</v>
      </c>
      <c r="E1398" s="1360">
        <f>F197</f>
        <v>2235.625</v>
      </c>
      <c r="F1398" s="1360">
        <f>D1398*E1398</f>
        <v>3912.34375</v>
      </c>
      <c r="G1398" s="1360"/>
    </row>
    <row r="1399" spans="1:9" ht="13.8" x14ac:dyDescent="0.25">
      <c r="A1399" s="1359"/>
      <c r="B1399" s="1359" t="s">
        <v>1159</v>
      </c>
      <c r="C1399" s="1360" t="s">
        <v>1110</v>
      </c>
      <c r="D1399" s="1360">
        <v>0.08</v>
      </c>
      <c r="E1399" s="1360">
        <f>[19]Material!E13</f>
        <v>23500</v>
      </c>
      <c r="F1399" s="1360">
        <f>D1399*E1399</f>
        <v>1880</v>
      </c>
      <c r="G1399" s="1360"/>
    </row>
    <row r="1400" spans="1:9" ht="13.8" x14ac:dyDescent="0.25">
      <c r="A1400" s="1359"/>
      <c r="B1400" s="1359" t="s">
        <v>1417</v>
      </c>
      <c r="C1400" s="1360" t="s">
        <v>1324</v>
      </c>
      <c r="D1400" s="1360">
        <v>2.86</v>
      </c>
      <c r="E1400" s="1360">
        <f>[19]Material!E137</f>
        <v>1800</v>
      </c>
      <c r="F1400" s="1360">
        <f t="shared" ref="F1400:F1401" si="129">D1400*E1400</f>
        <v>5148</v>
      </c>
      <c r="G1400" s="1360"/>
    </row>
    <row r="1401" spans="1:9" ht="13.8" x14ac:dyDescent="0.25">
      <c r="A1401" s="1359"/>
      <c r="B1401" s="1359" t="s">
        <v>1162</v>
      </c>
      <c r="C1401" s="1360" t="s">
        <v>1324</v>
      </c>
      <c r="D1401" s="1360">
        <v>1</v>
      </c>
      <c r="E1401" s="1360">
        <f>[19]Material!E138</f>
        <v>280</v>
      </c>
      <c r="F1401" s="1360">
        <f t="shared" si="129"/>
        <v>280</v>
      </c>
      <c r="G1401" s="1360"/>
    </row>
    <row r="1402" spans="1:9" ht="13.8" x14ac:dyDescent="0.25">
      <c r="A1402" s="1359"/>
      <c r="B1402" s="1361" t="s">
        <v>1164</v>
      </c>
      <c r="C1402" s="1360" t="s">
        <v>1413</v>
      </c>
      <c r="D1402" s="1360"/>
      <c r="E1402" s="1360"/>
      <c r="F1402" s="1360">
        <v>500</v>
      </c>
      <c r="G1402" s="1360"/>
    </row>
    <row r="1403" spans="1:9" ht="13.8" x14ac:dyDescent="0.25">
      <c r="A1403" s="1294"/>
      <c r="B1403" s="1295"/>
      <c r="C1403" s="1296"/>
      <c r="D1403" s="1296"/>
      <c r="E1403" s="1296"/>
      <c r="F1403" s="1296"/>
      <c r="G1403" s="1296"/>
    </row>
    <row r="1404" spans="1:9" ht="13.8" x14ac:dyDescent="0.25">
      <c r="A1404" s="1294"/>
      <c r="B1404" s="1295" t="s">
        <v>1414</v>
      </c>
      <c r="C1404" s="1296"/>
      <c r="D1404" s="1296"/>
      <c r="E1404" s="1296"/>
      <c r="F1404" s="1296">
        <v>1000</v>
      </c>
      <c r="G1404" s="1296"/>
    </row>
    <row r="1405" spans="1:9" ht="13.8" x14ac:dyDescent="0.25">
      <c r="A1405" s="1294"/>
      <c r="B1405" s="1295"/>
      <c r="C1405" s="1296"/>
      <c r="D1405" s="1296"/>
      <c r="E1405" s="1296"/>
      <c r="F1405" s="1296"/>
      <c r="G1405" s="1296"/>
    </row>
    <row r="1406" spans="1:9" ht="13.8" x14ac:dyDescent="0.25">
      <c r="A1406" s="1294"/>
      <c r="B1406" s="1294"/>
      <c r="C1406" s="1295"/>
      <c r="D1406" s="1296"/>
      <c r="E1406" s="1296"/>
      <c r="F1406" s="1296">
        <f t="shared" ref="F1406" si="130">D1406*E1406</f>
        <v>0</v>
      </c>
      <c r="G1406" s="1296"/>
    </row>
    <row r="1407" spans="1:9" ht="13.8" x14ac:dyDescent="0.25">
      <c r="A1407" s="1298"/>
      <c r="B1407" s="1476" t="s">
        <v>1277</v>
      </c>
      <c r="C1407" s="1476"/>
      <c r="D1407" s="1476"/>
      <c r="E1407" s="1476"/>
      <c r="F1407" s="1299"/>
      <c r="G1407" s="1300">
        <f>SUM(F1396:F1407)</f>
        <v>75720.34375</v>
      </c>
    </row>
    <row r="1408" spans="1:9" ht="13.8" x14ac:dyDescent="0.25">
      <c r="A1408" s="1294"/>
      <c r="B1408" s="1297" t="s">
        <v>1261</v>
      </c>
      <c r="C1408" s="1295"/>
      <c r="D1408" s="1296"/>
      <c r="E1408" s="1296"/>
      <c r="F1408" s="1296">
        <f t="shared" ref="F1408:F1409" si="131">D1408*E1408</f>
        <v>0</v>
      </c>
      <c r="G1408" s="1296"/>
    </row>
    <row r="1409" spans="1:9" ht="13.8" x14ac:dyDescent="0.25">
      <c r="A1409" s="1359"/>
      <c r="B1409" s="1359" t="s">
        <v>1271</v>
      </c>
      <c r="C1409" s="1360" t="s">
        <v>1294</v>
      </c>
      <c r="D1409" s="1360">
        <v>100</v>
      </c>
      <c r="E1409" s="1360">
        <v>160</v>
      </c>
      <c r="F1409" s="1360">
        <f t="shared" si="131"/>
        <v>16000</v>
      </c>
      <c r="G1409" s="1360"/>
    </row>
    <row r="1410" spans="1:9" ht="13.8" x14ac:dyDescent="0.25">
      <c r="A1410" s="1294"/>
      <c r="B1410" s="1294"/>
      <c r="C1410" s="1296"/>
      <c r="D1410" s="1296"/>
      <c r="E1410" s="1296"/>
      <c r="F1410" s="1296"/>
      <c r="G1410" s="1296"/>
    </row>
    <row r="1411" spans="1:9" ht="13.8" x14ac:dyDescent="0.25">
      <c r="A1411" s="1294"/>
      <c r="B1411" s="1294"/>
      <c r="C1411" s="1296"/>
      <c r="D1411" s="1296"/>
      <c r="E1411" s="1296"/>
      <c r="F1411" s="1296"/>
      <c r="G1411" s="1296"/>
    </row>
    <row r="1412" spans="1:9" ht="13.8" x14ac:dyDescent="0.25">
      <c r="A1412" s="1294"/>
      <c r="B1412" s="1294"/>
      <c r="C1412" s="1295"/>
      <c r="D1412" s="1296"/>
      <c r="E1412" s="1296"/>
      <c r="F1412" s="1296"/>
      <c r="G1412" s="1296"/>
    </row>
    <row r="1413" spans="1:9" ht="13.8" x14ac:dyDescent="0.25">
      <c r="A1413" s="1298"/>
      <c r="B1413" s="1476" t="s">
        <v>1264</v>
      </c>
      <c r="C1413" s="1476"/>
      <c r="D1413" s="1476"/>
      <c r="E1413" s="1476"/>
      <c r="F1413" s="1299">
        <f t="shared" ref="F1413" si="132">D1413*E1413</f>
        <v>0</v>
      </c>
      <c r="G1413" s="1300">
        <f>SUM(F1409:F1413)</f>
        <v>16000</v>
      </c>
    </row>
    <row r="1414" spans="1:9" ht="13.8" x14ac:dyDescent="0.25">
      <c r="A1414" s="1294"/>
      <c r="B1414" s="1302"/>
      <c r="C1414" s="1302"/>
      <c r="D1414" s="1302"/>
      <c r="E1414" s="1302"/>
      <c r="F1414" s="1296"/>
      <c r="G1414" s="1302"/>
    </row>
    <row r="1415" spans="1:9" ht="13.8" x14ac:dyDescent="0.25">
      <c r="A1415" s="1294"/>
      <c r="B1415" s="1302"/>
      <c r="C1415" s="1302"/>
      <c r="D1415" s="1302"/>
      <c r="E1415" s="1302"/>
      <c r="F1415" s="1296"/>
      <c r="G1415" s="1302"/>
    </row>
    <row r="1416" spans="1:9" ht="13.8" x14ac:dyDescent="0.25">
      <c r="A1416" s="1469" t="s">
        <v>1295</v>
      </c>
      <c r="B1416" s="1469"/>
      <c r="C1416" s="1469"/>
      <c r="D1416" s="1469"/>
      <c r="E1416" s="1469"/>
      <c r="F1416" s="1469"/>
      <c r="G1416" s="1303">
        <f>G1407+G1413</f>
        <v>91720.34375</v>
      </c>
    </row>
    <row r="1417" spans="1:9" ht="13.8" x14ac:dyDescent="0.25">
      <c r="A1417" s="1469" t="s">
        <v>1296</v>
      </c>
      <c r="B1417" s="1469"/>
      <c r="C1417" s="1469"/>
      <c r="D1417" s="1469"/>
      <c r="E1417" s="1469"/>
      <c r="F1417" s="1469"/>
      <c r="G1417" s="1303">
        <f>G1416/9.29</f>
        <v>9873.0187029063527</v>
      </c>
    </row>
    <row r="1418" spans="1:9" ht="13.8" x14ac:dyDescent="0.25">
      <c r="A1418" s="1469" t="s">
        <v>1297</v>
      </c>
      <c r="B1418" s="1469"/>
      <c r="C1418" s="1469"/>
      <c r="D1418" s="1469"/>
      <c r="E1418" s="1469"/>
      <c r="F1418" s="1469"/>
      <c r="G1418" s="1351">
        <f>G1417/10.76</f>
        <v>917.56679395040453</v>
      </c>
    </row>
    <row r="1419" spans="1:9" ht="13.8" x14ac:dyDescent="0.25">
      <c r="H1419" s="1363"/>
    </row>
    <row r="1420" spans="1:9" ht="14.4" thickBot="1" x14ac:dyDescent="0.3">
      <c r="H1420" s="1363"/>
    </row>
    <row r="1421" spans="1:9" ht="13.8" x14ac:dyDescent="0.25">
      <c r="A1421" s="1470" t="s">
        <v>1427</v>
      </c>
      <c r="B1421" s="1471"/>
      <c r="C1421" s="1471"/>
      <c r="D1421" s="1471"/>
      <c r="E1421" s="1471"/>
      <c r="F1421" s="1471"/>
      <c r="G1421" s="1472"/>
    </row>
    <row r="1422" spans="1:9" ht="14.4" thickBot="1" x14ac:dyDescent="0.3">
      <c r="A1422" s="1473" t="s">
        <v>1259</v>
      </c>
      <c r="B1422" s="1474"/>
      <c r="C1422" s="1474"/>
      <c r="D1422" s="1474"/>
      <c r="E1422" s="1474"/>
      <c r="F1422" s="1474"/>
      <c r="G1422" s="1475"/>
    </row>
    <row r="1423" spans="1:9" ht="14.4" thickBot="1" x14ac:dyDescent="0.3">
      <c r="A1423" s="1292"/>
      <c r="B1423" s="1293" t="s">
        <v>1038</v>
      </c>
      <c r="C1423" s="1293" t="s">
        <v>1039</v>
      </c>
      <c r="D1423" s="1293" t="s">
        <v>2</v>
      </c>
      <c r="E1423" s="1293" t="s">
        <v>1040</v>
      </c>
      <c r="F1423" s="1293" t="s">
        <v>5</v>
      </c>
      <c r="G1423" s="1293" t="s">
        <v>1260</v>
      </c>
    </row>
    <row r="1424" spans="1:9" ht="13.8" x14ac:dyDescent="0.25">
      <c r="A1424" s="1294"/>
      <c r="B1424" s="1294"/>
      <c r="C1424" s="1295"/>
      <c r="D1424" s="1296"/>
      <c r="E1424" s="1296"/>
      <c r="F1424" s="1296"/>
      <c r="G1424" s="1296"/>
      <c r="I1424" s="1290">
        <f>5000/10.76</f>
        <v>464.68401486988847</v>
      </c>
    </row>
    <row r="1425" spans="1:9" ht="13.8" x14ac:dyDescent="0.25">
      <c r="A1425" s="1309"/>
      <c r="B1425" s="1352" t="s">
        <v>1276</v>
      </c>
      <c r="C1425" s="1343"/>
      <c r="D1425" s="1310"/>
      <c r="E1425" s="1310"/>
      <c r="F1425" s="1310"/>
      <c r="G1425" s="1310"/>
    </row>
    <row r="1426" spans="1:9" ht="13.8" x14ac:dyDescent="0.25">
      <c r="A1426" s="1309"/>
      <c r="B1426" s="1309" t="s">
        <v>1428</v>
      </c>
      <c r="C1426" s="1310" t="s">
        <v>1294</v>
      </c>
      <c r="D1426" s="1310">
        <v>100</v>
      </c>
      <c r="E1426" s="1310">
        <v>700</v>
      </c>
      <c r="F1426" s="1310">
        <f t="shared" ref="F1426" si="133">D1426*E1426</f>
        <v>70000</v>
      </c>
      <c r="G1426" s="1310"/>
    </row>
    <row r="1427" spans="1:9" ht="13.8" x14ac:dyDescent="0.25">
      <c r="A1427" s="1309"/>
      <c r="B1427" s="1342" t="s">
        <v>1376</v>
      </c>
      <c r="C1427" s="1343"/>
      <c r="D1427" s="1310"/>
      <c r="E1427" s="1310"/>
      <c r="F1427" s="1310">
        <f>F1426*5%</f>
        <v>3500</v>
      </c>
      <c r="G1427" s="1310"/>
      <c r="I1427" s="1290">
        <f>100/3</f>
        <v>33.333333333333336</v>
      </c>
    </row>
    <row r="1428" spans="1:9" ht="13.8" x14ac:dyDescent="0.25">
      <c r="A1428" s="1309"/>
      <c r="B1428" s="1309"/>
      <c r="C1428" s="1310"/>
      <c r="D1428" s="1310"/>
      <c r="E1428" s="1310"/>
      <c r="F1428" s="1310"/>
      <c r="G1428" s="1310"/>
    </row>
    <row r="1429" spans="1:9" ht="13.8" x14ac:dyDescent="0.25">
      <c r="A1429" s="1309"/>
      <c r="B1429" s="1309"/>
      <c r="C1429" s="1310"/>
      <c r="D1429" s="1310"/>
      <c r="E1429" s="1310"/>
      <c r="F1429" s="1310"/>
      <c r="G1429" s="1310"/>
    </row>
    <row r="1430" spans="1:9" ht="13.8" x14ac:dyDescent="0.25">
      <c r="A1430" s="1309"/>
      <c r="B1430" s="1309" t="s">
        <v>1108</v>
      </c>
      <c r="C1430" s="1310" t="s">
        <v>1324</v>
      </c>
      <c r="D1430" s="1310">
        <v>3</v>
      </c>
      <c r="E1430" s="1310">
        <f>F197</f>
        <v>2235.625</v>
      </c>
      <c r="F1430" s="1310">
        <f t="shared" ref="F1430:F1431" si="134">D1430*E1430</f>
        <v>6706.875</v>
      </c>
      <c r="G1430" s="1310"/>
    </row>
    <row r="1431" spans="1:9" ht="13.8" x14ac:dyDescent="0.25">
      <c r="A1431" s="1309"/>
      <c r="B1431" s="1309" t="s">
        <v>1159</v>
      </c>
      <c r="C1431" s="1310" t="s">
        <v>1324</v>
      </c>
      <c r="D1431" s="1310">
        <v>0.25</v>
      </c>
      <c r="E1431" s="1310">
        <f>[19]Material!E13</f>
        <v>23500</v>
      </c>
      <c r="F1431" s="1310">
        <f t="shared" si="134"/>
        <v>5875</v>
      </c>
      <c r="G1431" s="1310"/>
    </row>
    <row r="1432" spans="1:9" ht="13.8" x14ac:dyDescent="0.25">
      <c r="A1432" s="1309"/>
      <c r="B1432" s="1342"/>
      <c r="C1432" s="1310" t="s">
        <v>1413</v>
      </c>
      <c r="D1432" s="1310"/>
      <c r="E1432" s="1310"/>
      <c r="F1432" s="1310">
        <v>500</v>
      </c>
      <c r="G1432" s="1310"/>
    </row>
    <row r="1433" spans="1:9" ht="13.8" x14ac:dyDescent="0.25">
      <c r="A1433" s="1309"/>
      <c r="B1433" s="1343"/>
      <c r="C1433" s="1310"/>
      <c r="D1433" s="1310"/>
      <c r="E1433" s="1310"/>
      <c r="F1433" s="1310"/>
      <c r="G1433" s="1310"/>
    </row>
    <row r="1434" spans="1:9" ht="13.8" x14ac:dyDescent="0.25">
      <c r="A1434" s="1309"/>
      <c r="B1434" s="1343" t="s">
        <v>1414</v>
      </c>
      <c r="C1434" s="1310"/>
      <c r="D1434" s="1310"/>
      <c r="E1434" s="1310"/>
      <c r="F1434" s="1310">
        <v>1000</v>
      </c>
      <c r="G1434" s="1310"/>
    </row>
    <row r="1435" spans="1:9" ht="13.8" x14ac:dyDescent="0.25">
      <c r="A1435" s="1294"/>
      <c r="B1435" s="1295"/>
      <c r="C1435" s="1296"/>
      <c r="D1435" s="1296"/>
      <c r="E1435" s="1296"/>
      <c r="F1435" s="1296"/>
      <c r="G1435" s="1296"/>
    </row>
    <row r="1436" spans="1:9" ht="13.8" x14ac:dyDescent="0.25">
      <c r="A1436" s="1294"/>
      <c r="B1436" s="1294"/>
      <c r="C1436" s="1295"/>
      <c r="D1436" s="1296"/>
      <c r="E1436" s="1296"/>
      <c r="F1436" s="1296">
        <f t="shared" ref="F1436" si="135">D1436*E1436</f>
        <v>0</v>
      </c>
      <c r="G1436" s="1296"/>
    </row>
    <row r="1437" spans="1:9" ht="13.8" x14ac:dyDescent="0.25">
      <c r="A1437" s="1298"/>
      <c r="B1437" s="1476" t="s">
        <v>1277</v>
      </c>
      <c r="C1437" s="1476"/>
      <c r="D1437" s="1476"/>
      <c r="E1437" s="1476"/>
      <c r="F1437" s="1299"/>
      <c r="G1437" s="1300">
        <f>SUM(F1425:F1437)</f>
        <v>87581.875</v>
      </c>
    </row>
    <row r="1438" spans="1:9" ht="13.8" x14ac:dyDescent="0.25">
      <c r="A1438" s="1294"/>
      <c r="B1438" s="1297" t="s">
        <v>1261</v>
      </c>
      <c r="C1438" s="1295"/>
      <c r="D1438" s="1296"/>
      <c r="E1438" s="1296"/>
      <c r="F1438" s="1296">
        <f t="shared" ref="F1438:F1439" si="136">D1438*E1438</f>
        <v>0</v>
      </c>
      <c r="G1438" s="1296"/>
    </row>
    <row r="1439" spans="1:9" ht="13.8" x14ac:dyDescent="0.25">
      <c r="A1439" s="1309"/>
      <c r="B1439" s="1309" t="s">
        <v>1271</v>
      </c>
      <c r="C1439" s="1310" t="s">
        <v>1190</v>
      </c>
      <c r="D1439" s="1310">
        <v>100</v>
      </c>
      <c r="E1439" s="1310">
        <v>250</v>
      </c>
      <c r="F1439" s="1310">
        <f t="shared" si="136"/>
        <v>25000</v>
      </c>
      <c r="G1439" s="1310"/>
    </row>
    <row r="1440" spans="1:9" ht="13.8" x14ac:dyDescent="0.25">
      <c r="A1440" s="1309"/>
      <c r="B1440" s="1309"/>
      <c r="C1440" s="1310"/>
      <c r="D1440" s="1310"/>
      <c r="E1440" s="1310"/>
      <c r="F1440" s="1310"/>
      <c r="G1440" s="1310"/>
    </row>
    <row r="1441" spans="1:8" ht="13.8" x14ac:dyDescent="0.25">
      <c r="A1441" s="1294"/>
      <c r="B1441" s="1294"/>
      <c r="C1441" s="1296"/>
      <c r="D1441" s="1296"/>
      <c r="E1441" s="1296"/>
      <c r="F1441" s="1296"/>
      <c r="G1441" s="1296"/>
    </row>
    <row r="1442" spans="1:8" ht="13.8" x14ac:dyDescent="0.25">
      <c r="A1442" s="1294"/>
      <c r="B1442" s="1294"/>
      <c r="C1442" s="1295"/>
      <c r="D1442" s="1296"/>
      <c r="E1442" s="1296"/>
      <c r="F1442" s="1296"/>
      <c r="G1442" s="1296"/>
    </row>
    <row r="1443" spans="1:8" ht="13.8" x14ac:dyDescent="0.25">
      <c r="A1443" s="1298"/>
      <c r="B1443" s="1476" t="s">
        <v>1264</v>
      </c>
      <c r="C1443" s="1476"/>
      <c r="D1443" s="1476"/>
      <c r="E1443" s="1476"/>
      <c r="F1443" s="1299">
        <f t="shared" ref="F1443" si="137">D1443*E1443</f>
        <v>0</v>
      </c>
      <c r="G1443" s="1300">
        <f>SUM(F1439:F1443)</f>
        <v>25000</v>
      </c>
    </row>
    <row r="1444" spans="1:8" ht="13.8" x14ac:dyDescent="0.25">
      <c r="A1444" s="1294"/>
      <c r="B1444" s="1302"/>
      <c r="C1444" s="1302"/>
      <c r="D1444" s="1302"/>
      <c r="E1444" s="1302"/>
      <c r="F1444" s="1296"/>
      <c r="G1444" s="1302"/>
    </row>
    <row r="1445" spans="1:8" ht="13.8" x14ac:dyDescent="0.25">
      <c r="A1445" s="1294"/>
      <c r="B1445" s="1302"/>
      <c r="C1445" s="1302"/>
      <c r="D1445" s="1302"/>
      <c r="E1445" s="1302"/>
      <c r="F1445" s="1296"/>
      <c r="G1445" s="1302"/>
    </row>
    <row r="1446" spans="1:8" ht="13.8" x14ac:dyDescent="0.25">
      <c r="A1446" s="1469" t="s">
        <v>1295</v>
      </c>
      <c r="B1446" s="1469"/>
      <c r="C1446" s="1469"/>
      <c r="D1446" s="1469"/>
      <c r="E1446" s="1469"/>
      <c r="F1446" s="1469"/>
      <c r="G1446" s="1303">
        <f>G1437+G1443</f>
        <v>112581.875</v>
      </c>
    </row>
    <row r="1447" spans="1:8" ht="13.8" x14ac:dyDescent="0.25">
      <c r="A1447" s="1469" t="s">
        <v>1297</v>
      </c>
      <c r="B1447" s="1469"/>
      <c r="C1447" s="1469"/>
      <c r="D1447" s="1469"/>
      <c r="E1447" s="1469"/>
      <c r="F1447" s="1469"/>
      <c r="G1447" s="1303">
        <f>G1446/100</f>
        <v>1125.8187499999999</v>
      </c>
    </row>
    <row r="1448" spans="1:8" ht="13.8" x14ac:dyDescent="0.25">
      <c r="A1448" s="1469" t="s">
        <v>1296</v>
      </c>
      <c r="B1448" s="1469"/>
      <c r="C1448" s="1469"/>
      <c r="D1448" s="1469"/>
      <c r="E1448" s="1469"/>
      <c r="F1448" s="1469"/>
      <c r="G1448" s="1351">
        <f>G1447*10.76</f>
        <v>12113.809749999999</v>
      </c>
    </row>
    <row r="1449" spans="1:8" ht="14.4" thickBot="1" x14ac:dyDescent="0.3">
      <c r="H1449" s="1363"/>
    </row>
    <row r="1450" spans="1:8" ht="13.8" x14ac:dyDescent="0.25">
      <c r="A1450" s="1470" t="s">
        <v>1429</v>
      </c>
      <c r="B1450" s="1471"/>
      <c r="C1450" s="1471"/>
      <c r="D1450" s="1471"/>
      <c r="E1450" s="1471"/>
      <c r="F1450" s="1471"/>
      <c r="G1450" s="1472"/>
      <c r="H1450" s="1363"/>
    </row>
    <row r="1451" spans="1:8" ht="14.4" thickBot="1" x14ac:dyDescent="0.3">
      <c r="A1451" s="1473" t="s">
        <v>1259</v>
      </c>
      <c r="B1451" s="1474"/>
      <c r="C1451" s="1474"/>
      <c r="D1451" s="1474"/>
      <c r="E1451" s="1474"/>
      <c r="F1451" s="1474"/>
      <c r="G1451" s="1475"/>
      <c r="H1451" s="1363"/>
    </row>
    <row r="1452" spans="1:8" ht="14.4" thickBot="1" x14ac:dyDescent="0.3">
      <c r="A1452" s="1292"/>
      <c r="B1452" s="1293" t="s">
        <v>1038</v>
      </c>
      <c r="C1452" s="1293" t="s">
        <v>1039</v>
      </c>
      <c r="D1452" s="1293" t="s">
        <v>2</v>
      </c>
      <c r="E1452" s="1293" t="s">
        <v>1040</v>
      </c>
      <c r="F1452" s="1293" t="s">
        <v>5</v>
      </c>
      <c r="G1452" s="1293" t="s">
        <v>1260</v>
      </c>
      <c r="H1452" s="1363"/>
    </row>
    <row r="1453" spans="1:8" ht="13.8" x14ac:dyDescent="0.25">
      <c r="A1453" s="1294"/>
      <c r="B1453" s="1294"/>
      <c r="C1453" s="1295"/>
      <c r="D1453" s="1296"/>
      <c r="E1453" s="1296"/>
      <c r="F1453" s="1296"/>
      <c r="G1453" s="1296"/>
      <c r="H1453" s="1363"/>
    </row>
    <row r="1454" spans="1:8" ht="13.8" x14ac:dyDescent="0.25">
      <c r="A1454" s="1309"/>
      <c r="B1454" s="1352" t="s">
        <v>1276</v>
      </c>
      <c r="C1454" s="1343"/>
      <c r="D1454" s="1310"/>
      <c r="E1454" s="1310"/>
      <c r="F1454" s="1310"/>
      <c r="G1454" s="1310"/>
      <c r="H1454" s="1363"/>
    </row>
    <row r="1455" spans="1:8" ht="13.8" x14ac:dyDescent="0.25">
      <c r="A1455" s="1309"/>
      <c r="B1455" s="1309" t="s">
        <v>1430</v>
      </c>
      <c r="C1455" s="1310" t="s">
        <v>1294</v>
      </c>
      <c r="D1455" s="1310">
        <v>100</v>
      </c>
      <c r="E1455" s="1310">
        <f>4*55</f>
        <v>220</v>
      </c>
      <c r="F1455" s="1310">
        <f t="shared" ref="F1455" si="138">D1455*E1455</f>
        <v>22000</v>
      </c>
      <c r="G1455" s="1310"/>
      <c r="H1455" s="1363"/>
    </row>
    <row r="1456" spans="1:8" ht="13.8" x14ac:dyDescent="0.25">
      <c r="A1456" s="1309"/>
      <c r="B1456" s="1342" t="s">
        <v>1376</v>
      </c>
      <c r="C1456" s="1343"/>
      <c r="D1456" s="1310"/>
      <c r="E1456" s="1310"/>
      <c r="F1456" s="1310">
        <f>F1455*5%</f>
        <v>1100</v>
      </c>
      <c r="G1456" s="1310"/>
      <c r="H1456" s="1363"/>
    </row>
    <row r="1457" spans="1:8" ht="13.8" x14ac:dyDescent="0.25">
      <c r="A1457" s="1309"/>
      <c r="B1457" s="1309"/>
      <c r="C1457" s="1310"/>
      <c r="D1457" s="1310"/>
      <c r="E1457" s="1310"/>
      <c r="F1457" s="1310"/>
      <c r="G1457" s="1310"/>
      <c r="H1457" s="1363"/>
    </row>
    <row r="1458" spans="1:8" ht="13.8" x14ac:dyDescent="0.25">
      <c r="A1458" s="1309"/>
      <c r="B1458" s="1309"/>
      <c r="C1458" s="1310"/>
      <c r="D1458" s="1310"/>
      <c r="E1458" s="1310"/>
      <c r="F1458" s="1310"/>
      <c r="G1458" s="1310"/>
      <c r="H1458" s="1363"/>
    </row>
    <row r="1459" spans="1:8" ht="13.8" x14ac:dyDescent="0.25">
      <c r="A1459" s="1309"/>
      <c r="B1459" s="1309" t="s">
        <v>1108</v>
      </c>
      <c r="C1459" s="1310" t="s">
        <v>1324</v>
      </c>
      <c r="D1459" s="1310">
        <v>3</v>
      </c>
      <c r="E1459" s="1310">
        <f>+F197</f>
        <v>2235.625</v>
      </c>
      <c r="F1459" s="1310">
        <f t="shared" ref="F1459:F1460" si="139">D1459*E1459</f>
        <v>6706.875</v>
      </c>
      <c r="G1459" s="1310"/>
      <c r="H1459" s="1363"/>
    </row>
    <row r="1460" spans="1:8" ht="13.8" x14ac:dyDescent="0.25">
      <c r="A1460" s="1309"/>
      <c r="B1460" s="1309" t="s">
        <v>1159</v>
      </c>
      <c r="C1460" s="1310" t="s">
        <v>1324</v>
      </c>
      <c r="D1460" s="1310">
        <v>0.25</v>
      </c>
      <c r="E1460" s="1310">
        <f>+[19]Material!E13</f>
        <v>23500</v>
      </c>
      <c r="F1460" s="1310">
        <f t="shared" si="139"/>
        <v>5875</v>
      </c>
      <c r="G1460" s="1310"/>
      <c r="H1460" s="1363"/>
    </row>
    <row r="1461" spans="1:8" ht="13.8" x14ac:dyDescent="0.25">
      <c r="A1461" s="1309"/>
      <c r="B1461" s="1342"/>
      <c r="C1461" s="1310" t="s">
        <v>1413</v>
      </c>
      <c r="D1461" s="1310"/>
      <c r="E1461" s="1310"/>
      <c r="F1461" s="1310">
        <v>500</v>
      </c>
      <c r="G1461" s="1310"/>
      <c r="H1461" s="1363"/>
    </row>
    <row r="1462" spans="1:8" ht="13.8" x14ac:dyDescent="0.25">
      <c r="A1462" s="1309"/>
      <c r="B1462" s="1343"/>
      <c r="C1462" s="1310"/>
      <c r="D1462" s="1310"/>
      <c r="E1462" s="1310"/>
      <c r="F1462" s="1310"/>
      <c r="G1462" s="1310"/>
      <c r="H1462" s="1363"/>
    </row>
    <row r="1463" spans="1:8" ht="13.8" x14ac:dyDescent="0.25">
      <c r="A1463" s="1309"/>
      <c r="B1463" s="1343" t="s">
        <v>1414</v>
      </c>
      <c r="C1463" s="1310"/>
      <c r="D1463" s="1310"/>
      <c r="E1463" s="1310"/>
      <c r="F1463" s="1310">
        <v>1000</v>
      </c>
      <c r="G1463" s="1310"/>
      <c r="H1463" s="1363"/>
    </row>
    <row r="1464" spans="1:8" ht="13.8" x14ac:dyDescent="0.25">
      <c r="A1464" s="1294"/>
      <c r="B1464" s="1295"/>
      <c r="C1464" s="1296"/>
      <c r="D1464" s="1296"/>
      <c r="E1464" s="1296"/>
      <c r="F1464" s="1296"/>
      <c r="G1464" s="1296"/>
      <c r="H1464" s="1363"/>
    </row>
    <row r="1465" spans="1:8" ht="13.8" x14ac:dyDescent="0.25">
      <c r="A1465" s="1294"/>
      <c r="B1465" s="1294"/>
      <c r="C1465" s="1295"/>
      <c r="D1465" s="1296"/>
      <c r="E1465" s="1296"/>
      <c r="F1465" s="1296">
        <f t="shared" ref="F1465" si="140">D1465*E1465</f>
        <v>0</v>
      </c>
      <c r="G1465" s="1296"/>
      <c r="H1465" s="1363"/>
    </row>
    <row r="1466" spans="1:8" ht="13.8" x14ac:dyDescent="0.25">
      <c r="A1466" s="1298"/>
      <c r="B1466" s="1476" t="s">
        <v>1277</v>
      </c>
      <c r="C1466" s="1476"/>
      <c r="D1466" s="1476"/>
      <c r="E1466" s="1476"/>
      <c r="F1466" s="1299"/>
      <c r="G1466" s="1300">
        <f>SUM(F1454:F1466)</f>
        <v>37181.875</v>
      </c>
      <c r="H1466" s="1363"/>
    </row>
    <row r="1467" spans="1:8" ht="13.8" x14ac:dyDescent="0.25">
      <c r="A1467" s="1294"/>
      <c r="B1467" s="1297" t="s">
        <v>1261</v>
      </c>
      <c r="C1467" s="1295"/>
      <c r="D1467" s="1296"/>
      <c r="E1467" s="1296"/>
      <c r="F1467" s="1296">
        <f t="shared" ref="F1467:F1468" si="141">D1467*E1467</f>
        <v>0</v>
      </c>
      <c r="G1467" s="1296"/>
      <c r="H1467" s="1363"/>
    </row>
    <row r="1468" spans="1:8" ht="13.8" x14ac:dyDescent="0.25">
      <c r="A1468" s="1309"/>
      <c r="B1468" s="1309" t="s">
        <v>1271</v>
      </c>
      <c r="C1468" s="1310" t="s">
        <v>1190</v>
      </c>
      <c r="D1468" s="1310">
        <v>100</v>
      </c>
      <c r="E1468" s="1310">
        <v>250</v>
      </c>
      <c r="F1468" s="1310">
        <f t="shared" si="141"/>
        <v>25000</v>
      </c>
      <c r="G1468" s="1310"/>
      <c r="H1468" s="1363"/>
    </row>
    <row r="1469" spans="1:8" ht="13.8" x14ac:dyDescent="0.25">
      <c r="A1469" s="1309"/>
      <c r="B1469" s="1309"/>
      <c r="C1469" s="1310"/>
      <c r="D1469" s="1310"/>
      <c r="E1469" s="1310"/>
      <c r="F1469" s="1310"/>
      <c r="G1469" s="1310"/>
      <c r="H1469" s="1363"/>
    </row>
    <row r="1470" spans="1:8" ht="13.8" x14ac:dyDescent="0.25">
      <c r="A1470" s="1294"/>
      <c r="B1470" s="1294"/>
      <c r="C1470" s="1296"/>
      <c r="D1470" s="1296"/>
      <c r="E1470" s="1296"/>
      <c r="F1470" s="1296"/>
      <c r="G1470" s="1296"/>
      <c r="H1470" s="1363"/>
    </row>
    <row r="1471" spans="1:8" ht="13.8" x14ac:dyDescent="0.25">
      <c r="A1471" s="1294"/>
      <c r="B1471" s="1294"/>
      <c r="C1471" s="1295"/>
      <c r="D1471" s="1296"/>
      <c r="E1471" s="1296"/>
      <c r="F1471" s="1296"/>
      <c r="G1471" s="1296"/>
      <c r="H1471" s="1363"/>
    </row>
    <row r="1472" spans="1:8" ht="13.8" x14ac:dyDescent="0.25">
      <c r="A1472" s="1298"/>
      <c r="B1472" s="1476" t="s">
        <v>1264</v>
      </c>
      <c r="C1472" s="1476"/>
      <c r="D1472" s="1476"/>
      <c r="E1472" s="1476"/>
      <c r="F1472" s="1299">
        <f t="shared" ref="F1472" si="142">D1472*E1472</f>
        <v>0</v>
      </c>
      <c r="G1472" s="1300">
        <f>SUM(F1468:F1472)</f>
        <v>25000</v>
      </c>
      <c r="H1472" s="1363"/>
    </row>
    <row r="1473" spans="1:15" ht="13.8" x14ac:dyDescent="0.25">
      <c r="A1473" s="1294"/>
      <c r="B1473" s="1302"/>
      <c r="C1473" s="1302"/>
      <c r="D1473" s="1302"/>
      <c r="E1473" s="1302"/>
      <c r="F1473" s="1296"/>
      <c r="G1473" s="1302"/>
    </row>
    <row r="1474" spans="1:15" ht="13.8" x14ac:dyDescent="0.25">
      <c r="A1474" s="1294"/>
      <c r="B1474" s="1302"/>
      <c r="C1474" s="1302"/>
      <c r="D1474" s="1302"/>
      <c r="E1474" s="1302"/>
      <c r="F1474" s="1296"/>
      <c r="G1474" s="1302"/>
    </row>
    <row r="1475" spans="1:15" ht="13.8" x14ac:dyDescent="0.25">
      <c r="A1475" s="1469" t="s">
        <v>1295</v>
      </c>
      <c r="B1475" s="1469"/>
      <c r="C1475" s="1469"/>
      <c r="D1475" s="1469"/>
      <c r="E1475" s="1469"/>
      <c r="F1475" s="1469"/>
      <c r="G1475" s="1303">
        <f>G1466+G1472</f>
        <v>62181.875</v>
      </c>
    </row>
    <row r="1476" spans="1:15" ht="13.8" x14ac:dyDescent="0.25">
      <c r="A1476" s="1469" t="s">
        <v>1297</v>
      </c>
      <c r="B1476" s="1469"/>
      <c r="C1476" s="1469"/>
      <c r="D1476" s="1469"/>
      <c r="E1476" s="1469"/>
      <c r="F1476" s="1469"/>
      <c r="G1476" s="1303">
        <f>G1475/100</f>
        <v>621.81875000000002</v>
      </c>
    </row>
    <row r="1477" spans="1:15" ht="13.8" x14ac:dyDescent="0.25">
      <c r="A1477" s="1469" t="s">
        <v>1296</v>
      </c>
      <c r="B1477" s="1469"/>
      <c r="C1477" s="1469"/>
      <c r="D1477" s="1469"/>
      <c r="E1477" s="1469"/>
      <c r="F1477" s="1469"/>
      <c r="G1477" s="1351">
        <f>G1476*10.76</f>
        <v>6690.7697500000004</v>
      </c>
    </row>
    <row r="1478" spans="1:15" s="1290" customFormat="1" ht="13.8" x14ac:dyDescent="0.25">
      <c r="A1478" s="1364"/>
      <c r="B1478" s="1365"/>
      <c r="C1478" s="1365"/>
      <c r="D1478" s="1365"/>
      <c r="E1478" s="1365"/>
      <c r="F1478" s="1365"/>
      <c r="G1478" s="1365"/>
      <c r="K1478" s="1366"/>
      <c r="L1478" s="1366"/>
      <c r="M1478" s="1366"/>
      <c r="N1478" s="1366"/>
      <c r="O1478" s="1366"/>
    </row>
    <row r="1479" spans="1:15" s="1290" customFormat="1" ht="14.4" thickBot="1" x14ac:dyDescent="0.3">
      <c r="A1479" s="1364"/>
      <c r="B1479" s="1365"/>
      <c r="C1479" s="1365"/>
      <c r="D1479" s="1365"/>
      <c r="E1479" s="1365"/>
      <c r="F1479" s="1365"/>
      <c r="G1479" s="1365"/>
      <c r="K1479" s="1366"/>
      <c r="L1479" s="1366"/>
      <c r="M1479" s="1366"/>
      <c r="N1479" s="1366"/>
      <c r="O1479" s="1366"/>
    </row>
    <row r="1480" spans="1:15" ht="13.8" x14ac:dyDescent="0.25">
      <c r="A1480" s="1470" t="s">
        <v>1431</v>
      </c>
      <c r="B1480" s="1471"/>
      <c r="C1480" s="1471"/>
      <c r="D1480" s="1471"/>
      <c r="E1480" s="1471"/>
      <c r="F1480" s="1471"/>
      <c r="G1480" s="1472"/>
    </row>
    <row r="1481" spans="1:15" ht="14.4" thickBot="1" x14ac:dyDescent="0.3">
      <c r="A1481" s="1473" t="s">
        <v>1259</v>
      </c>
      <c r="B1481" s="1474"/>
      <c r="C1481" s="1474"/>
      <c r="D1481" s="1474"/>
      <c r="E1481" s="1474"/>
      <c r="F1481" s="1474"/>
      <c r="G1481" s="1475"/>
    </row>
    <row r="1482" spans="1:15" ht="14.4" thickBot="1" x14ac:dyDescent="0.3">
      <c r="A1482" s="1292"/>
      <c r="B1482" s="1293" t="s">
        <v>1038</v>
      </c>
      <c r="C1482" s="1293" t="s">
        <v>1039</v>
      </c>
      <c r="D1482" s="1293" t="s">
        <v>2</v>
      </c>
      <c r="E1482" s="1293" t="s">
        <v>1040</v>
      </c>
      <c r="F1482" s="1293" t="s">
        <v>5</v>
      </c>
      <c r="G1482" s="1293" t="s">
        <v>1260</v>
      </c>
    </row>
    <row r="1483" spans="1:15" ht="13.8" x14ac:dyDescent="0.25">
      <c r="A1483" s="1294"/>
      <c r="B1483" s="1294"/>
      <c r="C1483" s="1295"/>
      <c r="D1483" s="1296"/>
      <c r="E1483" s="1296"/>
      <c r="F1483" s="1296"/>
      <c r="G1483" s="1296"/>
    </row>
    <row r="1484" spans="1:15" ht="13.8" x14ac:dyDescent="0.25">
      <c r="A1484" s="1309"/>
      <c r="B1484" s="1309" t="s">
        <v>1138</v>
      </c>
      <c r="C1484" s="1310" t="s">
        <v>1397</v>
      </c>
      <c r="D1484" s="1310">
        <v>1</v>
      </c>
      <c r="E1484" s="1310">
        <v>641.04999999999995</v>
      </c>
      <c r="F1484" s="1310">
        <f t="shared" ref="F1484:F1486" si="143">D1484*E1484</f>
        <v>641.04999999999995</v>
      </c>
      <c r="G1484" s="1310"/>
    </row>
    <row r="1485" spans="1:15" ht="13.8" x14ac:dyDescent="0.25">
      <c r="A1485" s="1309"/>
      <c r="B1485" s="1342" t="s">
        <v>1139</v>
      </c>
      <c r="C1485" s="1310" t="s">
        <v>1397</v>
      </c>
      <c r="D1485" s="1310">
        <v>1.5</v>
      </c>
      <c r="E1485" s="1310">
        <v>2370.1999999999998</v>
      </c>
      <c r="F1485" s="1310">
        <f t="shared" si="143"/>
        <v>3555.2999999999997</v>
      </c>
      <c r="G1485" s="1310"/>
    </row>
    <row r="1486" spans="1:15" ht="13.8" x14ac:dyDescent="0.25">
      <c r="A1486" s="1309"/>
      <c r="B1486" s="1309" t="s">
        <v>1141</v>
      </c>
      <c r="C1486" s="1310" t="s">
        <v>449</v>
      </c>
      <c r="D1486" s="1310">
        <v>0.1</v>
      </c>
      <c r="E1486" s="1310">
        <v>1600</v>
      </c>
      <c r="F1486" s="1310">
        <f t="shared" si="143"/>
        <v>160</v>
      </c>
      <c r="G1486" s="1310"/>
    </row>
    <row r="1487" spans="1:15" ht="13.8" x14ac:dyDescent="0.25">
      <c r="A1487" s="1309"/>
      <c r="B1487" s="1342"/>
      <c r="C1487" s="1310"/>
      <c r="D1487" s="1310"/>
      <c r="E1487" s="1310"/>
      <c r="F1487" s="1310"/>
      <c r="G1487" s="1310"/>
    </row>
    <row r="1488" spans="1:15" ht="13.8" x14ac:dyDescent="0.25">
      <c r="A1488" s="1294"/>
      <c r="B1488" s="1311"/>
      <c r="C1488" s="1296"/>
      <c r="D1488" s="1296"/>
      <c r="E1488" s="1296"/>
      <c r="F1488" s="1296"/>
      <c r="G1488" s="1296"/>
    </row>
    <row r="1489" spans="1:15" ht="13.8" x14ac:dyDescent="0.25">
      <c r="A1489" s="1294"/>
      <c r="B1489" s="1295" t="s">
        <v>1432</v>
      </c>
      <c r="C1489" s="1296"/>
      <c r="D1489" s="1296"/>
      <c r="E1489" s="1296">
        <f>[20]Material!D767</f>
        <v>0</v>
      </c>
      <c r="F1489" s="1296">
        <f>(F1494+F1484+F1485+F1486+F1487)*5%</f>
        <v>217.8175</v>
      </c>
      <c r="G1489" s="1296"/>
    </row>
    <row r="1490" spans="1:15" ht="13.8" x14ac:dyDescent="0.25">
      <c r="A1490" s="1294"/>
      <c r="B1490" s="1294"/>
      <c r="C1490" s="1295"/>
      <c r="D1490" s="1296"/>
      <c r="E1490" s="1296"/>
      <c r="F1490" s="1296">
        <f t="shared" ref="F1490" si="144">D1490*E1490</f>
        <v>0</v>
      </c>
      <c r="G1490" s="1296"/>
    </row>
    <row r="1491" spans="1:15" ht="13.8" x14ac:dyDescent="0.25">
      <c r="A1491" s="1298"/>
      <c r="B1491" s="1476" t="s">
        <v>1277</v>
      </c>
      <c r="C1491" s="1476"/>
      <c r="D1491" s="1476"/>
      <c r="E1491" s="1476"/>
      <c r="F1491" s="1299"/>
      <c r="G1491" s="1300">
        <f>SUM(F1484:F1491)</f>
        <v>4574.1674999999996</v>
      </c>
    </row>
    <row r="1492" spans="1:15" ht="13.8" x14ac:dyDescent="0.25">
      <c r="A1492" s="1294"/>
      <c r="B1492" s="1297" t="s">
        <v>1261</v>
      </c>
      <c r="C1492" s="1295"/>
      <c r="D1492" s="1296"/>
      <c r="E1492" s="1296"/>
      <c r="F1492" s="1296">
        <f t="shared" ref="F1492:F1493" si="145">D1492*E1492</f>
        <v>0</v>
      </c>
      <c r="G1492" s="1296"/>
    </row>
    <row r="1493" spans="1:15" s="1290" customFormat="1" ht="13.8" x14ac:dyDescent="0.25">
      <c r="A1493" s="1367"/>
      <c r="B1493" s="1367" t="s">
        <v>1271</v>
      </c>
      <c r="C1493" s="1368" t="s">
        <v>1294</v>
      </c>
      <c r="D1493" s="1368">
        <v>100</v>
      </c>
      <c r="E1493" s="1368">
        <v>42</v>
      </c>
      <c r="F1493" s="1368">
        <f t="shared" si="145"/>
        <v>4200</v>
      </c>
      <c r="G1493" s="1368"/>
      <c r="K1493" s="1366"/>
      <c r="L1493" s="1366"/>
      <c r="M1493" s="1366"/>
      <c r="N1493" s="1366"/>
      <c r="O1493" s="1366"/>
    </row>
    <row r="1494" spans="1:15" s="1290" customFormat="1" ht="13.8" x14ac:dyDescent="0.25">
      <c r="A1494" s="1367"/>
      <c r="B1494" s="1367"/>
      <c r="C1494" s="1368"/>
      <c r="D1494" s="1368"/>
      <c r="E1494" s="1368"/>
      <c r="F1494" s="1368"/>
      <c r="G1494" s="1368"/>
      <c r="K1494" s="1366"/>
      <c r="L1494" s="1366"/>
      <c r="M1494" s="1366"/>
      <c r="N1494" s="1366"/>
      <c r="O1494" s="1366"/>
    </row>
    <row r="1495" spans="1:15" ht="13.8" x14ac:dyDescent="0.25">
      <c r="A1495" s="1294"/>
      <c r="B1495" s="1294" t="s">
        <v>1433</v>
      </c>
      <c r="C1495" s="1295"/>
      <c r="D1495" s="1296"/>
      <c r="E1495" s="1296"/>
      <c r="F1495" s="1296">
        <f>F1493*5%</f>
        <v>210</v>
      </c>
      <c r="G1495" s="1296"/>
    </row>
    <row r="1496" spans="1:15" ht="13.8" x14ac:dyDescent="0.25">
      <c r="A1496" s="1298"/>
      <c r="B1496" s="1476" t="s">
        <v>1264</v>
      </c>
      <c r="C1496" s="1476"/>
      <c r="D1496" s="1476"/>
      <c r="E1496" s="1476"/>
      <c r="F1496" s="1299">
        <f t="shared" ref="F1496" si="146">D1496*E1496</f>
        <v>0</v>
      </c>
      <c r="G1496" s="1300">
        <f>SUM(F1493:F1496)</f>
        <v>4410</v>
      </c>
    </row>
    <row r="1497" spans="1:15" ht="13.8" x14ac:dyDescent="0.25">
      <c r="A1497" s="1294"/>
      <c r="B1497" s="1302"/>
      <c r="C1497" s="1302"/>
      <c r="D1497" s="1302"/>
      <c r="E1497" s="1302"/>
      <c r="F1497" s="1296"/>
      <c r="G1497" s="1302"/>
    </row>
    <row r="1498" spans="1:15" ht="13.8" x14ac:dyDescent="0.25">
      <c r="A1498" s="1294"/>
      <c r="B1498" s="1302"/>
      <c r="C1498" s="1302"/>
      <c r="D1498" s="1302"/>
      <c r="E1498" s="1302"/>
      <c r="F1498" s="1296"/>
      <c r="G1498" s="1302"/>
    </row>
    <row r="1499" spans="1:15" ht="13.8" x14ac:dyDescent="0.25">
      <c r="A1499" s="1469" t="s">
        <v>1295</v>
      </c>
      <c r="B1499" s="1469"/>
      <c r="C1499" s="1469"/>
      <c r="D1499" s="1469"/>
      <c r="E1499" s="1469"/>
      <c r="F1499" s="1469"/>
      <c r="G1499" s="1303">
        <f>G1491+G1496</f>
        <v>8984.1674999999996</v>
      </c>
    </row>
    <row r="1500" spans="1:15" ht="13.8" x14ac:dyDescent="0.25">
      <c r="A1500" s="1469" t="s">
        <v>1296</v>
      </c>
      <c r="B1500" s="1469"/>
      <c r="C1500" s="1469"/>
      <c r="D1500" s="1469"/>
      <c r="E1500" s="1469"/>
      <c r="F1500" s="1469"/>
      <c r="G1500" s="1303">
        <f>G1499/9.29</f>
        <v>967.07938643702914</v>
      </c>
    </row>
    <row r="1501" spans="1:15" ht="13.8" x14ac:dyDescent="0.25">
      <c r="A1501" s="1469" t="s">
        <v>1297</v>
      </c>
      <c r="B1501" s="1469"/>
      <c r="C1501" s="1469"/>
      <c r="D1501" s="1469"/>
      <c r="E1501" s="1469"/>
      <c r="F1501" s="1469"/>
      <c r="G1501" s="1354">
        <f>G1500/10.76</f>
        <v>89.877266397493415</v>
      </c>
    </row>
    <row r="1503" spans="1:15" ht="14.4" thickBot="1" x14ac:dyDescent="0.3">
      <c r="H1503" s="1363"/>
    </row>
    <row r="1504" spans="1:15" ht="13.8" x14ac:dyDescent="0.25">
      <c r="A1504" s="1470" t="s">
        <v>1434</v>
      </c>
      <c r="B1504" s="1471"/>
      <c r="C1504" s="1471"/>
      <c r="D1504" s="1471"/>
      <c r="E1504" s="1471"/>
      <c r="F1504" s="1471"/>
      <c r="G1504" s="1472"/>
      <c r="H1504" s="1363"/>
    </row>
    <row r="1505" spans="1:29" ht="14.4" thickBot="1" x14ac:dyDescent="0.3">
      <c r="A1505" s="1473" t="s">
        <v>1259</v>
      </c>
      <c r="B1505" s="1474"/>
      <c r="C1505" s="1474"/>
      <c r="D1505" s="1474"/>
      <c r="E1505" s="1474"/>
      <c r="F1505" s="1474"/>
      <c r="G1505" s="1475"/>
      <c r="H1505" s="1363"/>
    </row>
    <row r="1506" spans="1:29" ht="14.4" thickBot="1" x14ac:dyDescent="0.3">
      <c r="A1506" s="1292"/>
      <c r="B1506" s="1293" t="s">
        <v>1038</v>
      </c>
      <c r="C1506" s="1293" t="s">
        <v>1039</v>
      </c>
      <c r="D1506" s="1293" t="s">
        <v>2</v>
      </c>
      <c r="E1506" s="1293" t="s">
        <v>1040</v>
      </c>
      <c r="F1506" s="1293" t="s">
        <v>5</v>
      </c>
      <c r="G1506" s="1293" t="s">
        <v>1260</v>
      </c>
      <c r="H1506" s="1363"/>
    </row>
    <row r="1507" spans="1:29" s="1332" customFormat="1" ht="13.8" x14ac:dyDescent="0.25">
      <c r="A1507" s="1294"/>
      <c r="B1507" s="1294"/>
      <c r="C1507" s="1295"/>
      <c r="D1507" s="1296"/>
      <c r="E1507" s="1296"/>
      <c r="F1507" s="1296"/>
      <c r="G1507" s="1296"/>
      <c r="H1507" s="1363"/>
      <c r="I1507" s="1290"/>
      <c r="J1507" s="1290"/>
      <c r="P1507" s="1291"/>
      <c r="Q1507" s="1291"/>
      <c r="R1507" s="1291"/>
      <c r="S1507" s="1291"/>
      <c r="T1507" s="1291"/>
      <c r="U1507" s="1291"/>
      <c r="V1507" s="1291"/>
      <c r="W1507" s="1291"/>
      <c r="X1507" s="1291"/>
      <c r="Y1507" s="1291"/>
      <c r="Z1507" s="1291"/>
      <c r="AA1507" s="1291"/>
      <c r="AB1507" s="1291"/>
      <c r="AC1507" s="1291"/>
    </row>
    <row r="1508" spans="1:29" s="1332" customFormat="1" ht="13.8" x14ac:dyDescent="0.25">
      <c r="A1508" s="1309"/>
      <c r="B1508" s="1309" t="s">
        <v>1136</v>
      </c>
      <c r="C1508" s="1310" t="s">
        <v>37</v>
      </c>
      <c r="D1508" s="1310">
        <v>27</v>
      </c>
      <c r="E1508" s="1310">
        <v>69</v>
      </c>
      <c r="F1508" s="1310">
        <f>D1508*E1508</f>
        <v>1863</v>
      </c>
      <c r="G1508" s="1310"/>
      <c r="H1508" s="1367" t="s">
        <v>1435</v>
      </c>
      <c r="I1508" s="1290"/>
      <c r="J1508" s="1290"/>
      <c r="K1508" s="1332">
        <f>58583/20</f>
        <v>2929.15</v>
      </c>
      <c r="P1508" s="1291"/>
      <c r="Q1508" s="1291"/>
      <c r="R1508" s="1291"/>
      <c r="S1508" s="1291"/>
      <c r="T1508" s="1291"/>
      <c r="U1508" s="1291"/>
      <c r="V1508" s="1291"/>
      <c r="W1508" s="1291"/>
      <c r="X1508" s="1291"/>
      <c r="Y1508" s="1291"/>
      <c r="Z1508" s="1291"/>
      <c r="AA1508" s="1291"/>
      <c r="AB1508" s="1291"/>
      <c r="AC1508" s="1291"/>
    </row>
    <row r="1509" spans="1:29" s="1332" customFormat="1" ht="13.8" x14ac:dyDescent="0.25">
      <c r="A1509" s="1309"/>
      <c r="B1509" s="1309"/>
      <c r="C1509" s="1310"/>
      <c r="D1509" s="1310"/>
      <c r="E1509" s="1310"/>
      <c r="F1509" s="1310"/>
      <c r="G1509" s="1310"/>
      <c r="H1509" s="1363" t="s">
        <v>1436</v>
      </c>
      <c r="I1509" s="1290"/>
      <c r="J1509" s="1290"/>
      <c r="K1509" s="1332">
        <f>58583/20</f>
        <v>2929.15</v>
      </c>
      <c r="P1509" s="1291"/>
      <c r="Q1509" s="1291"/>
      <c r="R1509" s="1291"/>
      <c r="S1509" s="1291"/>
      <c r="T1509" s="1291"/>
      <c r="U1509" s="1291"/>
      <c r="V1509" s="1291"/>
      <c r="W1509" s="1291"/>
      <c r="X1509" s="1291"/>
      <c r="Y1509" s="1291"/>
      <c r="Z1509" s="1291"/>
      <c r="AA1509" s="1291"/>
      <c r="AB1509" s="1291"/>
      <c r="AC1509" s="1291"/>
    </row>
    <row r="1510" spans="1:29" s="1332" customFormat="1" ht="13.2" customHeight="1" x14ac:dyDescent="0.25">
      <c r="A1510" s="1309"/>
      <c r="B1510" s="1342"/>
      <c r="C1510" s="1310"/>
      <c r="D1510" s="1310"/>
      <c r="E1510" s="1310"/>
      <c r="F1510" s="1310"/>
      <c r="G1510" s="1310"/>
      <c r="H1510" s="1363"/>
      <c r="I1510" s="1290"/>
      <c r="J1510" s="1290"/>
      <c r="P1510" s="1291"/>
      <c r="Q1510" s="1291"/>
      <c r="R1510" s="1291"/>
      <c r="S1510" s="1291"/>
      <c r="T1510" s="1291"/>
      <c r="U1510" s="1291"/>
      <c r="V1510" s="1291"/>
      <c r="W1510" s="1291"/>
      <c r="X1510" s="1291"/>
      <c r="Y1510" s="1291"/>
      <c r="Z1510" s="1291"/>
      <c r="AA1510" s="1291"/>
      <c r="AB1510" s="1291"/>
      <c r="AC1510" s="1291"/>
    </row>
    <row r="1511" spans="1:29" s="1332" customFormat="1" ht="13.8" x14ac:dyDescent="0.25">
      <c r="A1511" s="1309"/>
      <c r="B1511" s="1309"/>
      <c r="C1511" s="1310"/>
      <c r="D1511" s="1310"/>
      <c r="E1511" s="1310"/>
      <c r="F1511" s="1310"/>
      <c r="G1511" s="1310"/>
      <c r="H1511" s="1363"/>
      <c r="I1511" s="1290"/>
      <c r="J1511" s="1290"/>
      <c r="P1511" s="1291"/>
      <c r="Q1511" s="1291"/>
      <c r="R1511" s="1291"/>
      <c r="S1511" s="1291"/>
      <c r="T1511" s="1291"/>
      <c r="U1511" s="1291"/>
      <c r="V1511" s="1291"/>
      <c r="W1511" s="1291"/>
      <c r="X1511" s="1291"/>
      <c r="Y1511" s="1291"/>
      <c r="Z1511" s="1291"/>
      <c r="AA1511" s="1291"/>
      <c r="AB1511" s="1291"/>
      <c r="AC1511" s="1291"/>
    </row>
    <row r="1512" spans="1:29" s="1332" customFormat="1" ht="13.8" x14ac:dyDescent="0.25">
      <c r="A1512" s="1309"/>
      <c r="B1512" s="1342" t="s">
        <v>1394</v>
      </c>
      <c r="C1512" s="1310" t="s">
        <v>449</v>
      </c>
      <c r="D1512" s="1310">
        <v>1</v>
      </c>
      <c r="E1512" s="1310">
        <v>260</v>
      </c>
      <c r="F1512" s="1310">
        <f t="shared" ref="F1512" si="147">D1512*E1512</f>
        <v>260</v>
      </c>
      <c r="G1512" s="1310"/>
      <c r="H1512" s="1363"/>
      <c r="I1512" s="1290"/>
      <c r="J1512" s="1290"/>
      <c r="P1512" s="1291"/>
      <c r="Q1512" s="1291"/>
      <c r="R1512" s="1291"/>
      <c r="S1512" s="1291"/>
      <c r="T1512" s="1291"/>
      <c r="U1512" s="1291"/>
      <c r="V1512" s="1291"/>
      <c r="W1512" s="1291"/>
      <c r="X1512" s="1291"/>
      <c r="Y1512" s="1291"/>
      <c r="Z1512" s="1291"/>
      <c r="AA1512" s="1291"/>
      <c r="AB1512" s="1291"/>
      <c r="AC1512" s="1291"/>
    </row>
    <row r="1513" spans="1:29" s="1332" customFormat="1" ht="13.8" x14ac:dyDescent="0.25">
      <c r="A1513" s="1294"/>
      <c r="B1513" s="1311"/>
      <c r="C1513" s="1296"/>
      <c r="D1513" s="1296"/>
      <c r="E1513" s="1296"/>
      <c r="F1513" s="1296"/>
      <c r="G1513" s="1296"/>
      <c r="H1513" s="1363"/>
      <c r="I1513" s="1290"/>
      <c r="J1513" s="1290"/>
      <c r="P1513" s="1291"/>
      <c r="Q1513" s="1291"/>
      <c r="R1513" s="1291"/>
      <c r="S1513" s="1291"/>
      <c r="T1513" s="1291"/>
      <c r="U1513" s="1291"/>
      <c r="V1513" s="1291"/>
      <c r="W1513" s="1291"/>
      <c r="X1513" s="1291"/>
      <c r="Y1513" s="1291"/>
      <c r="Z1513" s="1291"/>
      <c r="AA1513" s="1291"/>
      <c r="AB1513" s="1291"/>
      <c r="AC1513" s="1291"/>
    </row>
    <row r="1514" spans="1:29" s="1332" customFormat="1" ht="13.8" x14ac:dyDescent="0.25">
      <c r="A1514" s="1294"/>
      <c r="B1514" s="1295" t="s">
        <v>1432</v>
      </c>
      <c r="C1514" s="1296"/>
      <c r="D1514" s="1296"/>
      <c r="E1514" s="1296">
        <f>[20]Material!D792</f>
        <v>0</v>
      </c>
      <c r="F1514" s="1296">
        <f>(F1508+F1509+F1510+F1511+F1512)*10%</f>
        <v>212.3</v>
      </c>
      <c r="G1514" s="1296"/>
      <c r="H1514" s="1363"/>
      <c r="I1514" s="1290"/>
      <c r="J1514" s="1290"/>
      <c r="P1514" s="1291"/>
      <c r="Q1514" s="1291"/>
      <c r="R1514" s="1291"/>
      <c r="S1514" s="1291"/>
      <c r="T1514" s="1291"/>
      <c r="U1514" s="1291"/>
      <c r="V1514" s="1291"/>
      <c r="W1514" s="1291"/>
      <c r="X1514" s="1291"/>
      <c r="Y1514" s="1291"/>
      <c r="Z1514" s="1291"/>
      <c r="AA1514" s="1291"/>
      <c r="AB1514" s="1291"/>
      <c r="AC1514" s="1291"/>
    </row>
    <row r="1515" spans="1:29" s="1332" customFormat="1" ht="13.8" x14ac:dyDescent="0.25">
      <c r="A1515" s="1294"/>
      <c r="B1515" s="1294"/>
      <c r="C1515" s="1295"/>
      <c r="D1515" s="1296"/>
      <c r="E1515" s="1296"/>
      <c r="F1515" s="1296">
        <f t="shared" ref="F1515" si="148">D1515*E1515</f>
        <v>0</v>
      </c>
      <c r="G1515" s="1296"/>
      <c r="H1515" s="1363"/>
      <c r="I1515" s="1290"/>
      <c r="J1515" s="1290"/>
      <c r="P1515" s="1291"/>
      <c r="Q1515" s="1291"/>
      <c r="R1515" s="1291"/>
      <c r="S1515" s="1291"/>
      <c r="T1515" s="1291"/>
      <c r="U1515" s="1291"/>
      <c r="V1515" s="1291"/>
      <c r="W1515" s="1291"/>
      <c r="X1515" s="1291"/>
      <c r="Y1515" s="1291"/>
      <c r="Z1515" s="1291"/>
      <c r="AA1515" s="1291"/>
      <c r="AB1515" s="1291"/>
      <c r="AC1515" s="1291"/>
    </row>
    <row r="1516" spans="1:29" s="1332" customFormat="1" ht="13.8" x14ac:dyDescent="0.25">
      <c r="A1516" s="1298"/>
      <c r="B1516" s="1476" t="s">
        <v>1277</v>
      </c>
      <c r="C1516" s="1476"/>
      <c r="D1516" s="1476"/>
      <c r="E1516" s="1476"/>
      <c r="F1516" s="1299"/>
      <c r="G1516" s="1300">
        <f>SUM(F1508:F1516)</f>
        <v>2335.3000000000002</v>
      </c>
      <c r="H1516" s="1363"/>
      <c r="I1516" s="1290"/>
      <c r="J1516" s="1290"/>
      <c r="P1516" s="1291"/>
      <c r="Q1516" s="1291"/>
      <c r="R1516" s="1291"/>
      <c r="S1516" s="1291"/>
      <c r="T1516" s="1291"/>
      <c r="U1516" s="1291"/>
      <c r="V1516" s="1291"/>
      <c r="W1516" s="1291"/>
      <c r="X1516" s="1291"/>
      <c r="Y1516" s="1291"/>
      <c r="Z1516" s="1291"/>
      <c r="AA1516" s="1291"/>
      <c r="AB1516" s="1291"/>
      <c r="AC1516" s="1291"/>
    </row>
    <row r="1517" spans="1:29" s="1332" customFormat="1" ht="13.8" x14ac:dyDescent="0.25">
      <c r="A1517" s="1309"/>
      <c r="B1517" s="1352" t="s">
        <v>1261</v>
      </c>
      <c r="C1517" s="1343"/>
      <c r="D1517" s="1310"/>
      <c r="E1517" s="1310"/>
      <c r="F1517" s="1310">
        <f t="shared" ref="F1517:F1518" si="149">D1517*E1517</f>
        <v>0</v>
      </c>
      <c r="G1517" s="1310"/>
      <c r="H1517" s="1363"/>
      <c r="I1517" s="1290"/>
      <c r="J1517" s="1290"/>
      <c r="P1517" s="1291"/>
      <c r="Q1517" s="1291"/>
      <c r="R1517" s="1291"/>
      <c r="S1517" s="1291"/>
      <c r="T1517" s="1291"/>
      <c r="U1517" s="1291"/>
      <c r="V1517" s="1291"/>
      <c r="W1517" s="1291"/>
      <c r="X1517" s="1291"/>
      <c r="Y1517" s="1291"/>
      <c r="Z1517" s="1291"/>
      <c r="AA1517" s="1291"/>
      <c r="AB1517" s="1291"/>
      <c r="AC1517" s="1291"/>
    </row>
    <row r="1518" spans="1:29" s="1332" customFormat="1" ht="13.8" x14ac:dyDescent="0.25">
      <c r="A1518" s="1309"/>
      <c r="B1518" s="1309" t="s">
        <v>1271</v>
      </c>
      <c r="C1518" s="1310" t="s">
        <v>1294</v>
      </c>
      <c r="D1518" s="1310">
        <v>100</v>
      </c>
      <c r="E1518" s="1310">
        <f>50*60%</f>
        <v>30</v>
      </c>
      <c r="F1518" s="1310">
        <f t="shared" si="149"/>
        <v>3000</v>
      </c>
      <c r="G1518" s="1310"/>
      <c r="H1518" s="1363"/>
      <c r="I1518" s="1290"/>
      <c r="J1518" s="1290"/>
      <c r="P1518" s="1291"/>
      <c r="Q1518" s="1291"/>
      <c r="R1518" s="1291"/>
      <c r="S1518" s="1291"/>
      <c r="T1518" s="1291"/>
      <c r="U1518" s="1291"/>
      <c r="V1518" s="1291"/>
      <c r="W1518" s="1291"/>
      <c r="X1518" s="1291"/>
      <c r="Y1518" s="1291"/>
      <c r="Z1518" s="1291"/>
      <c r="AA1518" s="1291"/>
      <c r="AB1518" s="1291"/>
      <c r="AC1518" s="1291"/>
    </row>
    <row r="1519" spans="1:29" s="1332" customFormat="1" ht="13.8" x14ac:dyDescent="0.25">
      <c r="A1519" s="1294"/>
      <c r="B1519" s="1294"/>
      <c r="C1519" s="1296"/>
      <c r="D1519" s="1296"/>
      <c r="E1519" s="1296"/>
      <c r="F1519" s="1296"/>
      <c r="G1519" s="1296"/>
      <c r="H1519" s="1363"/>
      <c r="I1519" s="1290"/>
      <c r="J1519" s="1290"/>
      <c r="P1519" s="1291"/>
      <c r="Q1519" s="1291"/>
      <c r="R1519" s="1291"/>
      <c r="S1519" s="1291"/>
      <c r="T1519" s="1291"/>
      <c r="U1519" s="1291"/>
      <c r="V1519" s="1291"/>
      <c r="W1519" s="1291"/>
      <c r="X1519" s="1291"/>
      <c r="Y1519" s="1291"/>
      <c r="Z1519" s="1291"/>
      <c r="AA1519" s="1291"/>
      <c r="AB1519" s="1291"/>
      <c r="AC1519" s="1291"/>
    </row>
    <row r="1520" spans="1:29" s="1332" customFormat="1" ht="13.8" x14ac:dyDescent="0.25">
      <c r="A1520" s="1294"/>
      <c r="B1520" s="1294" t="s">
        <v>1433</v>
      </c>
      <c r="C1520" s="1295"/>
      <c r="D1520" s="1296"/>
      <c r="E1520" s="1296"/>
      <c r="F1520" s="1296">
        <f>F1518*5%</f>
        <v>150</v>
      </c>
      <c r="G1520" s="1296"/>
      <c r="H1520" s="1363"/>
      <c r="I1520" s="1290"/>
      <c r="J1520" s="1290"/>
      <c r="P1520" s="1291"/>
      <c r="Q1520" s="1291"/>
      <c r="R1520" s="1291"/>
      <c r="S1520" s="1291"/>
      <c r="T1520" s="1291"/>
      <c r="U1520" s="1291"/>
      <c r="V1520" s="1291"/>
      <c r="W1520" s="1291"/>
      <c r="X1520" s="1291"/>
      <c r="Y1520" s="1291"/>
      <c r="Z1520" s="1291"/>
      <c r="AA1520" s="1291"/>
      <c r="AB1520" s="1291"/>
      <c r="AC1520" s="1291"/>
    </row>
    <row r="1521" spans="1:29" s="1332" customFormat="1" ht="13.8" x14ac:dyDescent="0.25">
      <c r="A1521" s="1298"/>
      <c r="B1521" s="1476" t="s">
        <v>1264</v>
      </c>
      <c r="C1521" s="1476"/>
      <c r="D1521" s="1476"/>
      <c r="E1521" s="1476"/>
      <c r="F1521" s="1299">
        <f t="shared" ref="F1521" si="150">D1521*E1521</f>
        <v>0</v>
      </c>
      <c r="G1521" s="1300">
        <f>SUM(F1518:F1521)</f>
        <v>3150</v>
      </c>
      <c r="H1521" s="1363"/>
      <c r="I1521" s="1290"/>
      <c r="J1521" s="1290"/>
      <c r="P1521" s="1291"/>
      <c r="Q1521" s="1291"/>
      <c r="R1521" s="1291"/>
      <c r="S1521" s="1291"/>
      <c r="T1521" s="1291"/>
      <c r="U1521" s="1291"/>
      <c r="V1521" s="1291"/>
      <c r="W1521" s="1291"/>
      <c r="X1521" s="1291"/>
      <c r="Y1521" s="1291"/>
      <c r="Z1521" s="1291"/>
      <c r="AA1521" s="1291"/>
      <c r="AB1521" s="1291"/>
      <c r="AC1521" s="1291"/>
    </row>
    <row r="1522" spans="1:29" s="1332" customFormat="1" ht="13.8" x14ac:dyDescent="0.25">
      <c r="A1522" s="1294"/>
      <c r="B1522" s="1302"/>
      <c r="C1522" s="1302"/>
      <c r="D1522" s="1302"/>
      <c r="E1522" s="1302"/>
      <c r="F1522" s="1296"/>
      <c r="G1522" s="1302"/>
      <c r="H1522" s="1363"/>
      <c r="I1522" s="1290"/>
      <c r="J1522" s="1290"/>
      <c r="P1522" s="1291"/>
      <c r="Q1522" s="1291"/>
      <c r="R1522" s="1291"/>
      <c r="S1522" s="1291"/>
      <c r="T1522" s="1291"/>
      <c r="U1522" s="1291"/>
      <c r="V1522" s="1291"/>
      <c r="W1522" s="1291"/>
      <c r="X1522" s="1291"/>
      <c r="Y1522" s="1291"/>
      <c r="Z1522" s="1291"/>
      <c r="AA1522" s="1291"/>
      <c r="AB1522" s="1291"/>
      <c r="AC1522" s="1291"/>
    </row>
    <row r="1523" spans="1:29" ht="13.8" x14ac:dyDescent="0.25">
      <c r="A1523" s="1294"/>
      <c r="B1523" s="1302"/>
      <c r="C1523" s="1302"/>
      <c r="D1523" s="1302"/>
      <c r="E1523" s="1302"/>
      <c r="F1523" s="1296"/>
      <c r="G1523" s="1302"/>
      <c r="H1523" s="1363"/>
    </row>
    <row r="1524" spans="1:29" ht="13.8" x14ac:dyDescent="0.25">
      <c r="A1524" s="1469" t="s">
        <v>1295</v>
      </c>
      <c r="B1524" s="1469"/>
      <c r="C1524" s="1469"/>
      <c r="D1524" s="1469"/>
      <c r="E1524" s="1469"/>
      <c r="F1524" s="1469"/>
      <c r="G1524" s="1303">
        <f>G1516+G1521</f>
        <v>5485.3</v>
      </c>
      <c r="H1524" s="1363"/>
    </row>
    <row r="1525" spans="1:29" ht="13.8" x14ac:dyDescent="0.25">
      <c r="A1525" s="1469" t="s">
        <v>1296</v>
      </c>
      <c r="B1525" s="1469"/>
      <c r="C1525" s="1469"/>
      <c r="D1525" s="1469"/>
      <c r="E1525" s="1469"/>
      <c r="F1525" s="1469"/>
      <c r="G1525" s="1303">
        <f>G1524/9.29</f>
        <v>590.45209903121645</v>
      </c>
    </row>
    <row r="1526" spans="1:29" ht="13.8" x14ac:dyDescent="0.25">
      <c r="A1526" s="1469" t="s">
        <v>1297</v>
      </c>
      <c r="B1526" s="1469"/>
      <c r="C1526" s="1469"/>
      <c r="D1526" s="1469"/>
      <c r="E1526" s="1469"/>
      <c r="F1526" s="1469"/>
      <c r="G1526" s="1354">
        <f>G1525/10.76</f>
        <v>54.87473039323573</v>
      </c>
    </row>
    <row r="1527" spans="1:29" ht="13.8" thickBot="1" x14ac:dyDescent="0.3"/>
    <row r="1528" spans="1:29" ht="13.8" x14ac:dyDescent="0.25">
      <c r="A1528" s="1470" t="s">
        <v>1437</v>
      </c>
      <c r="B1528" s="1471"/>
      <c r="C1528" s="1471"/>
      <c r="D1528" s="1471"/>
      <c r="E1528" s="1471"/>
      <c r="F1528" s="1471"/>
      <c r="G1528" s="1472"/>
    </row>
    <row r="1529" spans="1:29" ht="14.4" thickBot="1" x14ac:dyDescent="0.3">
      <c r="A1529" s="1473" t="s">
        <v>1259</v>
      </c>
      <c r="B1529" s="1474"/>
      <c r="C1529" s="1474"/>
      <c r="D1529" s="1474"/>
      <c r="E1529" s="1474"/>
      <c r="F1529" s="1474"/>
      <c r="G1529" s="1475"/>
    </row>
    <row r="1530" spans="1:29" ht="14.4" thickBot="1" x14ac:dyDescent="0.3">
      <c r="A1530" s="1292"/>
      <c r="B1530" s="1293" t="s">
        <v>1038</v>
      </c>
      <c r="C1530" s="1293" t="s">
        <v>1039</v>
      </c>
      <c r="D1530" s="1293" t="s">
        <v>2</v>
      </c>
      <c r="E1530" s="1293" t="s">
        <v>1040</v>
      </c>
      <c r="F1530" s="1293" t="s">
        <v>5</v>
      </c>
      <c r="G1530" s="1293" t="s">
        <v>1260</v>
      </c>
    </row>
    <row r="1531" spans="1:29" ht="13.8" x14ac:dyDescent="0.25">
      <c r="A1531" s="1294"/>
      <c r="B1531" s="1294"/>
      <c r="C1531" s="1295"/>
      <c r="D1531" s="1296"/>
      <c r="E1531" s="1296"/>
      <c r="F1531" s="1296"/>
      <c r="G1531" s="1296"/>
    </row>
    <row r="1532" spans="1:29" ht="13.8" x14ac:dyDescent="0.25">
      <c r="A1532" s="1309"/>
      <c r="B1532" s="1309"/>
      <c r="C1532" s="1310"/>
      <c r="D1532" s="1310"/>
      <c r="E1532" s="1310"/>
      <c r="F1532" s="1310"/>
      <c r="G1532" s="1310"/>
    </row>
    <row r="1533" spans="1:29" ht="13.8" x14ac:dyDescent="0.25">
      <c r="A1533" s="1309"/>
      <c r="B1533" s="1309" t="s">
        <v>1138</v>
      </c>
      <c r="C1533" s="1310" t="s">
        <v>1397</v>
      </c>
      <c r="D1533" s="1310">
        <v>1</v>
      </c>
      <c r="E1533" s="1310">
        <v>641.04999999999995</v>
      </c>
      <c r="F1533" s="1310">
        <f t="shared" ref="F1533:F1535" si="151">D1533*E1533</f>
        <v>641.04999999999995</v>
      </c>
      <c r="G1533" s="1310"/>
    </row>
    <row r="1534" spans="1:29" ht="13.8" x14ac:dyDescent="0.25">
      <c r="A1534" s="1309"/>
      <c r="B1534" s="1342" t="s">
        <v>1139</v>
      </c>
      <c r="C1534" s="1310" t="s">
        <v>1397</v>
      </c>
      <c r="D1534" s="1310">
        <v>1.5</v>
      </c>
      <c r="E1534" s="1310">
        <v>2370.1999999999998</v>
      </c>
      <c r="F1534" s="1310">
        <f t="shared" si="151"/>
        <v>3555.2999999999997</v>
      </c>
      <c r="G1534" s="1310"/>
    </row>
    <row r="1535" spans="1:29" ht="13.8" x14ac:dyDescent="0.25">
      <c r="A1535" s="1309"/>
      <c r="B1535" s="1309" t="s">
        <v>1141</v>
      </c>
      <c r="C1535" s="1310" t="s">
        <v>449</v>
      </c>
      <c r="D1535" s="1310">
        <v>0.1</v>
      </c>
      <c r="E1535" s="1310">
        <v>1600</v>
      </c>
      <c r="F1535" s="1310">
        <f t="shared" si="151"/>
        <v>160</v>
      </c>
      <c r="G1535" s="1310"/>
    </row>
    <row r="1536" spans="1:29" ht="13.8" x14ac:dyDescent="0.25">
      <c r="A1536" s="1309"/>
      <c r="B1536" s="1342"/>
      <c r="C1536" s="1310"/>
      <c r="D1536" s="1310"/>
      <c r="E1536" s="1310"/>
      <c r="F1536" s="1310"/>
      <c r="G1536" s="1310"/>
    </row>
    <row r="1537" spans="1:7" ht="13.8" x14ac:dyDescent="0.25">
      <c r="A1537" s="1294"/>
      <c r="B1537" s="1311"/>
      <c r="C1537" s="1296"/>
      <c r="D1537" s="1296"/>
      <c r="E1537" s="1296"/>
      <c r="F1537" s="1296"/>
      <c r="G1537" s="1296"/>
    </row>
    <row r="1538" spans="1:7" ht="13.8" x14ac:dyDescent="0.25">
      <c r="A1538" s="1294"/>
      <c r="B1538" s="1295" t="s">
        <v>1432</v>
      </c>
      <c r="C1538" s="1296"/>
      <c r="D1538" s="1296"/>
      <c r="E1538" s="1296">
        <f>[20]Material!D812</f>
        <v>0</v>
      </c>
      <c r="F1538" s="1296">
        <f>(F1532+F1533+F1534+F1535+F1536)*10%</f>
        <v>435.63499999999999</v>
      </c>
      <c r="G1538" s="1296"/>
    </row>
    <row r="1539" spans="1:7" ht="13.8" x14ac:dyDescent="0.25">
      <c r="A1539" s="1294"/>
      <c r="B1539" s="1294"/>
      <c r="C1539" s="1295"/>
      <c r="D1539" s="1296"/>
      <c r="E1539" s="1296"/>
      <c r="F1539" s="1296">
        <f t="shared" ref="F1539" si="152">D1539*E1539</f>
        <v>0</v>
      </c>
      <c r="G1539" s="1296"/>
    </row>
    <row r="1540" spans="1:7" ht="13.8" x14ac:dyDescent="0.25">
      <c r="A1540" s="1298"/>
      <c r="B1540" s="1476" t="s">
        <v>1277</v>
      </c>
      <c r="C1540" s="1476"/>
      <c r="D1540" s="1476"/>
      <c r="E1540" s="1476"/>
      <c r="F1540" s="1299"/>
      <c r="G1540" s="1300">
        <f>SUM(F1532:F1540)</f>
        <v>4791.9849999999997</v>
      </c>
    </row>
    <row r="1541" spans="1:7" ht="13.8" x14ac:dyDescent="0.25">
      <c r="A1541" s="1309"/>
      <c r="B1541" s="1352" t="s">
        <v>1261</v>
      </c>
      <c r="C1541" s="1343"/>
      <c r="D1541" s="1310"/>
      <c r="E1541" s="1310"/>
      <c r="F1541" s="1310">
        <f t="shared" ref="F1541:F1542" si="153">D1541*E1541</f>
        <v>0</v>
      </c>
      <c r="G1541" s="1310"/>
    </row>
    <row r="1542" spans="1:7" ht="13.8" x14ac:dyDescent="0.25">
      <c r="A1542" s="1309"/>
      <c r="B1542" s="1309" t="s">
        <v>1271</v>
      </c>
      <c r="C1542" s="1310" t="s">
        <v>1294</v>
      </c>
      <c r="D1542" s="1310">
        <v>100</v>
      </c>
      <c r="E1542" s="1310">
        <f>50*40%</f>
        <v>20</v>
      </c>
      <c r="F1542" s="1310">
        <f t="shared" si="153"/>
        <v>2000</v>
      </c>
      <c r="G1542" s="1310"/>
    </row>
    <row r="1543" spans="1:7" ht="13.8" x14ac:dyDescent="0.25">
      <c r="A1543" s="1294"/>
      <c r="B1543" s="1294"/>
      <c r="C1543" s="1296"/>
      <c r="D1543" s="1296"/>
      <c r="E1543" s="1296"/>
      <c r="F1543" s="1296"/>
      <c r="G1543" s="1296"/>
    </row>
    <row r="1544" spans="1:7" ht="13.8" x14ac:dyDescent="0.25">
      <c r="A1544" s="1294"/>
      <c r="B1544" s="1294" t="s">
        <v>1433</v>
      </c>
      <c r="C1544" s="1295"/>
      <c r="D1544" s="1296"/>
      <c r="E1544" s="1296"/>
      <c r="F1544" s="1296">
        <f>F1542*5%</f>
        <v>100</v>
      </c>
      <c r="G1544" s="1296"/>
    </row>
    <row r="1545" spans="1:7" ht="13.8" x14ac:dyDescent="0.25">
      <c r="A1545" s="1298"/>
      <c r="B1545" s="1476" t="s">
        <v>1264</v>
      </c>
      <c r="C1545" s="1476"/>
      <c r="D1545" s="1476"/>
      <c r="E1545" s="1476"/>
      <c r="F1545" s="1299">
        <f t="shared" ref="F1545" si="154">D1545*E1545</f>
        <v>0</v>
      </c>
      <c r="G1545" s="1300">
        <f>SUM(F1542:F1545)</f>
        <v>2100</v>
      </c>
    </row>
    <row r="1546" spans="1:7" ht="13.8" x14ac:dyDescent="0.25">
      <c r="A1546" s="1294"/>
      <c r="B1546" s="1302"/>
      <c r="C1546" s="1302"/>
      <c r="D1546" s="1302"/>
      <c r="E1546" s="1302"/>
      <c r="F1546" s="1296"/>
      <c r="G1546" s="1302"/>
    </row>
    <row r="1547" spans="1:7" ht="13.8" x14ac:dyDescent="0.25">
      <c r="A1547" s="1294"/>
      <c r="B1547" s="1302"/>
      <c r="C1547" s="1302"/>
      <c r="D1547" s="1302"/>
      <c r="E1547" s="1302"/>
      <c r="F1547" s="1296"/>
      <c r="G1547" s="1302"/>
    </row>
    <row r="1548" spans="1:7" ht="13.8" x14ac:dyDescent="0.25">
      <c r="A1548" s="1469" t="s">
        <v>1295</v>
      </c>
      <c r="B1548" s="1469"/>
      <c r="C1548" s="1469"/>
      <c r="D1548" s="1469"/>
      <c r="E1548" s="1469"/>
      <c r="F1548" s="1469"/>
      <c r="G1548" s="1303">
        <f>G1540+G1545</f>
        <v>6891.9849999999997</v>
      </c>
    </row>
    <row r="1549" spans="1:7" ht="13.8" x14ac:dyDescent="0.25">
      <c r="A1549" s="1469" t="s">
        <v>1296</v>
      </c>
      <c r="B1549" s="1469"/>
      <c r="C1549" s="1469"/>
      <c r="D1549" s="1469"/>
      <c r="E1549" s="1469"/>
      <c r="F1549" s="1469"/>
      <c r="G1549" s="1303">
        <f>G1548/9.29</f>
        <v>741.8713670613563</v>
      </c>
    </row>
    <row r="1550" spans="1:7" ht="13.8" x14ac:dyDescent="0.25">
      <c r="A1550" s="1469" t="s">
        <v>1297</v>
      </c>
      <c r="B1550" s="1469"/>
      <c r="C1550" s="1469"/>
      <c r="D1550" s="1469"/>
      <c r="E1550" s="1469"/>
      <c r="F1550" s="1469"/>
      <c r="G1550" s="1354">
        <f>G1549/10.76</f>
        <v>68.947153072616757</v>
      </c>
    </row>
    <row r="1560" spans="1:7" ht="13.8" thickBot="1" x14ac:dyDescent="0.3"/>
    <row r="1561" spans="1:7" ht="13.8" x14ac:dyDescent="0.25">
      <c r="A1561" s="1470" t="s">
        <v>1438</v>
      </c>
      <c r="B1561" s="1471"/>
      <c r="C1561" s="1471"/>
      <c r="D1561" s="1471"/>
      <c r="E1561" s="1471"/>
      <c r="F1561" s="1471"/>
      <c r="G1561" s="1472"/>
    </row>
    <row r="1562" spans="1:7" ht="14.4" thickBot="1" x14ac:dyDescent="0.3">
      <c r="A1562" s="1473" t="s">
        <v>1259</v>
      </c>
      <c r="B1562" s="1474"/>
      <c r="C1562" s="1474"/>
      <c r="D1562" s="1474"/>
      <c r="E1562" s="1474"/>
      <c r="F1562" s="1474"/>
      <c r="G1562" s="1475"/>
    </row>
    <row r="1563" spans="1:7" ht="14.4" thickBot="1" x14ac:dyDescent="0.3">
      <c r="A1563" s="1292"/>
      <c r="B1563" s="1293" t="s">
        <v>1038</v>
      </c>
      <c r="C1563" s="1293" t="s">
        <v>1039</v>
      </c>
      <c r="D1563" s="1293" t="s">
        <v>2</v>
      </c>
      <c r="E1563" s="1293" t="s">
        <v>1040</v>
      </c>
      <c r="F1563" s="1293" t="s">
        <v>5</v>
      </c>
      <c r="G1563" s="1293" t="s">
        <v>1260</v>
      </c>
    </row>
    <row r="1564" spans="1:7" ht="13.8" x14ac:dyDescent="0.25">
      <c r="A1564" s="1294"/>
      <c r="B1564" s="1294"/>
      <c r="C1564" s="1295"/>
      <c r="D1564" s="1296"/>
      <c r="E1564" s="1296"/>
      <c r="F1564" s="1296"/>
      <c r="G1564" s="1296"/>
    </row>
    <row r="1565" spans="1:7" ht="13.8" x14ac:dyDescent="0.25">
      <c r="A1565" s="1309"/>
      <c r="B1565" s="1309" t="s">
        <v>1439</v>
      </c>
      <c r="C1565" s="1310" t="s">
        <v>1397</v>
      </c>
      <c r="D1565" s="1310">
        <v>2</v>
      </c>
      <c r="E1565" s="1310">
        <v>2929.15</v>
      </c>
      <c r="F1565" s="1310">
        <f t="shared" ref="F1565:F1566" si="155">D1565*E1565</f>
        <v>5858.3</v>
      </c>
      <c r="G1565" s="1310"/>
    </row>
    <row r="1566" spans="1:7" ht="13.8" x14ac:dyDescent="0.25">
      <c r="A1566" s="1309"/>
      <c r="B1566" s="1309" t="s">
        <v>1440</v>
      </c>
      <c r="C1566" s="1310" t="s">
        <v>1397</v>
      </c>
      <c r="D1566" s="1310">
        <v>2</v>
      </c>
      <c r="E1566" s="1310">
        <f>2929+300</f>
        <v>3229</v>
      </c>
      <c r="F1566" s="1310">
        <f t="shared" si="155"/>
        <v>6458</v>
      </c>
      <c r="G1566" s="1310"/>
    </row>
    <row r="1567" spans="1:7" ht="13.8" x14ac:dyDescent="0.25">
      <c r="A1567" s="1309"/>
      <c r="B1567" s="1309" t="s">
        <v>1141</v>
      </c>
      <c r="C1567" s="1310" t="s">
        <v>449</v>
      </c>
      <c r="D1567" s="1310">
        <v>0.1</v>
      </c>
      <c r="E1567" s="1310">
        <v>1600</v>
      </c>
      <c r="F1567" s="1310">
        <f>D1567*E1567</f>
        <v>160</v>
      </c>
      <c r="G1567" s="1310"/>
    </row>
    <row r="1568" spans="1:7" ht="13.8" x14ac:dyDescent="0.25">
      <c r="A1568" s="1294"/>
      <c r="B1568" s="1294"/>
      <c r="C1568" s="1296"/>
      <c r="D1568" s="1296"/>
      <c r="E1568" s="1296"/>
      <c r="F1568" s="1296"/>
      <c r="G1568" s="1296"/>
    </row>
    <row r="1569" spans="1:7" ht="13.8" x14ac:dyDescent="0.25">
      <c r="A1569" s="1294"/>
      <c r="B1569" s="1295" t="s">
        <v>1432</v>
      </c>
      <c r="C1569" s="1296"/>
      <c r="D1569" s="1296"/>
      <c r="E1569" s="1296"/>
      <c r="F1569" s="1296">
        <f>(F1566+F1567+F1568)*10%</f>
        <v>661.80000000000007</v>
      </c>
      <c r="G1569" s="1296"/>
    </row>
    <row r="1570" spans="1:7" ht="13.8" x14ac:dyDescent="0.25">
      <c r="A1570" s="1294"/>
      <c r="B1570" s="1295"/>
      <c r="C1570" s="1296"/>
      <c r="D1570" s="1296"/>
      <c r="E1570" s="1296"/>
      <c r="F1570" s="1296"/>
      <c r="G1570" s="1296"/>
    </row>
    <row r="1571" spans="1:7" ht="13.8" x14ac:dyDescent="0.25">
      <c r="A1571" s="1294"/>
      <c r="B1571" s="1294"/>
      <c r="C1571" s="1295"/>
      <c r="D1571" s="1296"/>
      <c r="E1571" s="1296"/>
      <c r="F1571" s="1296"/>
      <c r="G1571" s="1296"/>
    </row>
    <row r="1572" spans="1:7" ht="13.8" x14ac:dyDescent="0.25">
      <c r="A1572" s="1298"/>
      <c r="B1572" s="1476" t="s">
        <v>1277</v>
      </c>
      <c r="C1572" s="1476"/>
      <c r="D1572" s="1476"/>
      <c r="E1572" s="1476"/>
      <c r="F1572" s="1299"/>
      <c r="G1572" s="1300">
        <f>SUM(F1564:F1572)</f>
        <v>13138.099999999999</v>
      </c>
    </row>
    <row r="1573" spans="1:7" ht="13.8" x14ac:dyDescent="0.25">
      <c r="A1573" s="1294"/>
      <c r="B1573" s="1297" t="s">
        <v>1261</v>
      </c>
      <c r="C1573" s="1295"/>
      <c r="D1573" s="1296"/>
      <c r="E1573" s="1296"/>
      <c r="F1573" s="1296">
        <f t="shared" ref="F1573:F1574" si="156">D1573*E1573</f>
        <v>0</v>
      </c>
      <c r="G1573" s="1296"/>
    </row>
    <row r="1574" spans="1:7" ht="13.8" x14ac:dyDescent="0.25">
      <c r="A1574" s="1306"/>
      <c r="B1574" s="1306" t="s">
        <v>1271</v>
      </c>
      <c r="C1574" s="1307" t="s">
        <v>1294</v>
      </c>
      <c r="D1574" s="1307">
        <v>100</v>
      </c>
      <c r="E1574" s="1307">
        <v>27</v>
      </c>
      <c r="F1574" s="1307">
        <f t="shared" si="156"/>
        <v>2700</v>
      </c>
      <c r="G1574" s="1307"/>
    </row>
    <row r="1575" spans="1:7" ht="13.8" x14ac:dyDescent="0.25">
      <c r="A1575" s="1294"/>
      <c r="B1575" s="1294"/>
      <c r="C1575" s="1296"/>
      <c r="D1575" s="1296"/>
      <c r="E1575" s="1296"/>
      <c r="F1575" s="1296"/>
      <c r="G1575" s="1296"/>
    </row>
    <row r="1576" spans="1:7" ht="13.8" x14ac:dyDescent="0.25">
      <c r="A1576" s="1294"/>
      <c r="B1576" s="1294" t="s">
        <v>1433</v>
      </c>
      <c r="C1576" s="1295"/>
      <c r="D1576" s="1296"/>
      <c r="E1576" s="1296"/>
      <c r="F1576" s="1296">
        <f>F1574*5%</f>
        <v>135</v>
      </c>
      <c r="G1576" s="1296"/>
    </row>
    <row r="1577" spans="1:7" ht="13.8" x14ac:dyDescent="0.25">
      <c r="A1577" s="1298"/>
      <c r="B1577" s="1476" t="s">
        <v>1264</v>
      </c>
      <c r="C1577" s="1476"/>
      <c r="D1577" s="1476"/>
      <c r="E1577" s="1476"/>
      <c r="F1577" s="1299">
        <f t="shared" ref="F1577" si="157">D1577*E1577</f>
        <v>0</v>
      </c>
      <c r="G1577" s="1300">
        <f>SUM(F1574:F1577)</f>
        <v>2835</v>
      </c>
    </row>
    <row r="1578" spans="1:7" ht="13.8" x14ac:dyDescent="0.25">
      <c r="A1578" s="1294"/>
      <c r="B1578" s="1302"/>
      <c r="C1578" s="1302"/>
      <c r="D1578" s="1302"/>
      <c r="E1578" s="1302"/>
      <c r="F1578" s="1296"/>
      <c r="G1578" s="1302"/>
    </row>
    <row r="1579" spans="1:7" ht="13.8" x14ac:dyDescent="0.25">
      <c r="A1579" s="1294"/>
      <c r="B1579" s="1302"/>
      <c r="C1579" s="1302"/>
      <c r="D1579" s="1302"/>
      <c r="E1579" s="1302"/>
      <c r="F1579" s="1296"/>
      <c r="G1579" s="1302"/>
    </row>
    <row r="1580" spans="1:7" ht="13.8" x14ac:dyDescent="0.25">
      <c r="A1580" s="1469" t="s">
        <v>1295</v>
      </c>
      <c r="B1580" s="1469"/>
      <c r="C1580" s="1469"/>
      <c r="D1580" s="1469"/>
      <c r="E1580" s="1469"/>
      <c r="F1580" s="1469"/>
      <c r="G1580" s="1303">
        <f>G1572+G1577</f>
        <v>15973.099999999999</v>
      </c>
    </row>
    <row r="1581" spans="1:7" ht="13.8" x14ac:dyDescent="0.25">
      <c r="A1581" s="1469" t="s">
        <v>1296</v>
      </c>
      <c r="B1581" s="1469"/>
      <c r="C1581" s="1469"/>
      <c r="D1581" s="1469"/>
      <c r="E1581" s="1469"/>
      <c r="F1581" s="1469"/>
      <c r="G1581" s="1303">
        <f>G1580/9.29</f>
        <v>1719.3864370290635</v>
      </c>
    </row>
    <row r="1582" spans="1:7" ht="13.8" x14ac:dyDescent="0.25">
      <c r="A1582" s="1469" t="s">
        <v>1297</v>
      </c>
      <c r="B1582" s="1469"/>
      <c r="C1582" s="1469"/>
      <c r="D1582" s="1469"/>
      <c r="E1582" s="1469"/>
      <c r="F1582" s="1469"/>
      <c r="G1582" s="1354">
        <f>G1581/10.76</f>
        <v>159.79427853429959</v>
      </c>
    </row>
    <row r="1587" spans="1:29" s="1332" customFormat="1" ht="13.8" thickBot="1" x14ac:dyDescent="0.3">
      <c r="A1587" s="1291"/>
      <c r="B1587" s="1291"/>
      <c r="C1587" s="1291"/>
      <c r="D1587" s="1291"/>
      <c r="E1587" s="1291"/>
      <c r="F1587" s="1291"/>
      <c r="G1587" s="1291"/>
      <c r="H1587" s="1290"/>
      <c r="I1587" s="1290"/>
      <c r="J1587" s="1290"/>
      <c r="K1587" s="1369"/>
      <c r="P1587" s="1291"/>
      <c r="Q1587" s="1291"/>
      <c r="R1587" s="1291"/>
      <c r="S1587" s="1291"/>
      <c r="T1587" s="1291"/>
      <c r="U1587" s="1291"/>
      <c r="V1587" s="1291"/>
      <c r="W1587" s="1291"/>
      <c r="X1587" s="1291"/>
      <c r="Y1587" s="1291"/>
      <c r="Z1587" s="1291"/>
      <c r="AA1587" s="1291"/>
      <c r="AB1587" s="1291"/>
      <c r="AC1587" s="1291"/>
    </row>
    <row r="1588" spans="1:29" s="1332" customFormat="1" ht="13.8" x14ac:dyDescent="0.25">
      <c r="A1588" s="1470" t="s">
        <v>1431</v>
      </c>
      <c r="B1588" s="1471"/>
      <c r="C1588" s="1471"/>
      <c r="D1588" s="1471"/>
      <c r="E1588" s="1471"/>
      <c r="F1588" s="1471"/>
      <c r="G1588" s="1472"/>
      <c r="H1588" s="1290"/>
      <c r="I1588" s="1290"/>
      <c r="J1588" s="1290"/>
      <c r="P1588" s="1291"/>
      <c r="Q1588" s="1291"/>
      <c r="R1588" s="1291"/>
      <c r="S1588" s="1291"/>
      <c r="T1588" s="1291"/>
      <c r="U1588" s="1291"/>
      <c r="V1588" s="1291"/>
      <c r="W1588" s="1291"/>
      <c r="X1588" s="1291"/>
      <c r="Y1588" s="1291"/>
      <c r="Z1588" s="1291"/>
      <c r="AA1588" s="1291"/>
      <c r="AB1588" s="1291"/>
      <c r="AC1588" s="1291"/>
    </row>
    <row r="1589" spans="1:29" s="1332" customFormat="1" ht="14.4" thickBot="1" x14ac:dyDescent="0.3">
      <c r="A1589" s="1473" t="s">
        <v>1259</v>
      </c>
      <c r="B1589" s="1474"/>
      <c r="C1589" s="1474"/>
      <c r="D1589" s="1474"/>
      <c r="E1589" s="1474"/>
      <c r="F1589" s="1474"/>
      <c r="G1589" s="1475"/>
      <c r="H1589" s="1290"/>
      <c r="I1589" s="1290"/>
      <c r="J1589" s="1290"/>
      <c r="P1589" s="1291"/>
      <c r="Q1589" s="1291"/>
      <c r="R1589" s="1291"/>
      <c r="S1589" s="1291"/>
      <c r="T1589" s="1291"/>
      <c r="U1589" s="1291"/>
      <c r="V1589" s="1291"/>
      <c r="W1589" s="1291"/>
      <c r="X1589" s="1291"/>
      <c r="Y1589" s="1291"/>
      <c r="Z1589" s="1291"/>
      <c r="AA1589" s="1291"/>
      <c r="AB1589" s="1291"/>
      <c r="AC1589" s="1291"/>
    </row>
    <row r="1590" spans="1:29" s="1332" customFormat="1" ht="14.4" thickBot="1" x14ac:dyDescent="0.3">
      <c r="A1590" s="1292"/>
      <c r="B1590" s="1293" t="s">
        <v>1038</v>
      </c>
      <c r="C1590" s="1293" t="s">
        <v>1039</v>
      </c>
      <c r="D1590" s="1293" t="s">
        <v>2</v>
      </c>
      <c r="E1590" s="1293" t="s">
        <v>1040</v>
      </c>
      <c r="F1590" s="1293" t="s">
        <v>5</v>
      </c>
      <c r="G1590" s="1293" t="s">
        <v>1260</v>
      </c>
      <c r="H1590" s="1290"/>
      <c r="I1590" s="1290"/>
      <c r="J1590" s="1290"/>
      <c r="P1590" s="1291"/>
      <c r="Q1590" s="1291"/>
      <c r="R1590" s="1291"/>
      <c r="S1590" s="1291"/>
      <c r="T1590" s="1291"/>
      <c r="U1590" s="1291"/>
      <c r="V1590" s="1291"/>
      <c r="W1590" s="1291"/>
      <c r="X1590" s="1291"/>
      <c r="Y1590" s="1291"/>
      <c r="Z1590" s="1291"/>
      <c r="AA1590" s="1291"/>
      <c r="AB1590" s="1291"/>
      <c r="AC1590" s="1291"/>
    </row>
    <row r="1591" spans="1:29" s="1332" customFormat="1" ht="13.8" x14ac:dyDescent="0.25">
      <c r="A1591" s="1294"/>
      <c r="B1591" s="1294"/>
      <c r="C1591" s="1295"/>
      <c r="D1591" s="1296"/>
      <c r="E1591" s="1296"/>
      <c r="F1591" s="1296"/>
      <c r="G1591" s="1296"/>
      <c r="H1591" s="1290"/>
      <c r="I1591" s="1290"/>
      <c r="J1591" s="1290"/>
      <c r="P1591" s="1291"/>
      <c r="Q1591" s="1291"/>
      <c r="R1591" s="1291"/>
      <c r="S1591" s="1291"/>
      <c r="T1591" s="1291"/>
      <c r="U1591" s="1291"/>
      <c r="V1591" s="1291"/>
      <c r="W1591" s="1291"/>
      <c r="X1591" s="1291"/>
      <c r="Y1591" s="1291"/>
      <c r="Z1591" s="1291"/>
      <c r="AA1591" s="1291"/>
      <c r="AB1591" s="1291"/>
      <c r="AC1591" s="1291"/>
    </row>
    <row r="1592" spans="1:29" s="1332" customFormat="1" ht="13.8" x14ac:dyDescent="0.25">
      <c r="A1592" s="1309"/>
      <c r="B1592" s="1309"/>
      <c r="C1592" s="1310"/>
      <c r="D1592" s="1310"/>
      <c r="E1592" s="1310"/>
      <c r="F1592" s="1310"/>
      <c r="G1592" s="1310"/>
      <c r="H1592" s="1290"/>
      <c r="I1592" s="1290"/>
      <c r="J1592" s="1290"/>
      <c r="P1592" s="1291"/>
      <c r="Q1592" s="1291"/>
      <c r="R1592" s="1291"/>
      <c r="S1592" s="1291"/>
      <c r="T1592" s="1291"/>
      <c r="U1592" s="1291"/>
      <c r="V1592" s="1291"/>
      <c r="W1592" s="1291"/>
      <c r="X1592" s="1291"/>
      <c r="Y1592" s="1291"/>
      <c r="Z1592" s="1291"/>
      <c r="AA1592" s="1291"/>
      <c r="AB1592" s="1291"/>
      <c r="AC1592" s="1291"/>
    </row>
    <row r="1593" spans="1:29" s="1332" customFormat="1" ht="13.8" x14ac:dyDescent="0.25">
      <c r="A1593" s="1309"/>
      <c r="B1593" s="1309" t="s">
        <v>1138</v>
      </c>
      <c r="C1593" s="1310" t="s">
        <v>1397</v>
      </c>
      <c r="D1593" s="1310">
        <v>1</v>
      </c>
      <c r="E1593" s="1310">
        <v>641.04999999999995</v>
      </c>
      <c r="F1593" s="1310">
        <f t="shared" ref="F1593:F1596" si="158">D1593*E1593</f>
        <v>641.04999999999995</v>
      </c>
      <c r="G1593" s="1310"/>
      <c r="H1593" s="1290"/>
      <c r="I1593" s="1290"/>
      <c r="J1593" s="1290"/>
      <c r="P1593" s="1291"/>
      <c r="Q1593" s="1291"/>
      <c r="R1593" s="1291"/>
      <c r="S1593" s="1291"/>
      <c r="T1593" s="1291"/>
      <c r="U1593" s="1291"/>
      <c r="V1593" s="1291"/>
      <c r="W1593" s="1291"/>
      <c r="X1593" s="1291"/>
      <c r="Y1593" s="1291"/>
      <c r="Z1593" s="1291"/>
      <c r="AA1593" s="1291"/>
      <c r="AB1593" s="1291"/>
      <c r="AC1593" s="1291"/>
    </row>
    <row r="1594" spans="1:29" s="1332" customFormat="1" ht="13.8" x14ac:dyDescent="0.25">
      <c r="A1594" s="1309"/>
      <c r="B1594" s="1342" t="s">
        <v>1139</v>
      </c>
      <c r="C1594" s="1310" t="s">
        <v>1397</v>
      </c>
      <c r="D1594" s="1310">
        <v>1.5</v>
      </c>
      <c r="E1594" s="1310">
        <v>2370.1999999999998</v>
      </c>
      <c r="F1594" s="1310">
        <f t="shared" si="158"/>
        <v>3555.2999999999997</v>
      </c>
      <c r="G1594" s="1310"/>
      <c r="H1594" s="1290"/>
      <c r="I1594" s="1290"/>
      <c r="J1594" s="1290"/>
      <c r="P1594" s="1291"/>
      <c r="Q1594" s="1291"/>
      <c r="R1594" s="1291"/>
      <c r="S1594" s="1291"/>
      <c r="T1594" s="1291"/>
      <c r="U1594" s="1291"/>
      <c r="V1594" s="1291"/>
      <c r="W1594" s="1291"/>
      <c r="X1594" s="1291"/>
      <c r="Y1594" s="1291"/>
      <c r="Z1594" s="1291"/>
      <c r="AA1594" s="1291"/>
      <c r="AB1594" s="1291"/>
      <c r="AC1594" s="1291"/>
    </row>
    <row r="1595" spans="1:29" s="1332" customFormat="1" ht="13.8" x14ac:dyDescent="0.25">
      <c r="A1595" s="1309"/>
      <c r="B1595" s="1309" t="s">
        <v>1141</v>
      </c>
      <c r="C1595" s="1310" t="s">
        <v>449</v>
      </c>
      <c r="D1595" s="1310">
        <v>0.1</v>
      </c>
      <c r="E1595" s="1310">
        <v>1600</v>
      </c>
      <c r="F1595" s="1310">
        <f t="shared" si="158"/>
        <v>160</v>
      </c>
      <c r="G1595" s="1310"/>
      <c r="H1595" s="1290"/>
      <c r="I1595" s="1290"/>
      <c r="J1595" s="1290"/>
      <c r="P1595" s="1291"/>
      <c r="Q1595" s="1291"/>
      <c r="R1595" s="1291"/>
      <c r="S1595" s="1291"/>
      <c r="T1595" s="1291"/>
      <c r="U1595" s="1291"/>
      <c r="V1595" s="1291"/>
      <c r="W1595" s="1291"/>
      <c r="X1595" s="1291"/>
      <c r="Y1595" s="1291"/>
      <c r="Z1595" s="1291"/>
      <c r="AA1595" s="1291"/>
      <c r="AB1595" s="1291"/>
      <c r="AC1595" s="1291"/>
    </row>
    <row r="1596" spans="1:29" s="1332" customFormat="1" ht="13.8" x14ac:dyDescent="0.25">
      <c r="A1596" s="1309"/>
      <c r="B1596" s="1342" t="s">
        <v>1394</v>
      </c>
      <c r="C1596" s="1310" t="s">
        <v>449</v>
      </c>
      <c r="D1596" s="1310">
        <v>1</v>
      </c>
      <c r="E1596" s="1310">
        <v>260</v>
      </c>
      <c r="F1596" s="1310">
        <f t="shared" si="158"/>
        <v>260</v>
      </c>
      <c r="G1596" s="1310"/>
      <c r="H1596" s="1290"/>
      <c r="I1596" s="1290"/>
      <c r="J1596" s="1290"/>
      <c r="P1596" s="1291"/>
      <c r="Q1596" s="1291"/>
      <c r="R1596" s="1291"/>
      <c r="S1596" s="1291"/>
      <c r="T1596" s="1291"/>
      <c r="U1596" s="1291"/>
      <c r="V1596" s="1291"/>
      <c r="W1596" s="1291"/>
      <c r="X1596" s="1291"/>
      <c r="Y1596" s="1291"/>
      <c r="Z1596" s="1291"/>
      <c r="AA1596" s="1291"/>
      <c r="AB1596" s="1291"/>
      <c r="AC1596" s="1291"/>
    </row>
    <row r="1597" spans="1:29" s="1332" customFormat="1" ht="13.8" x14ac:dyDescent="0.25">
      <c r="A1597" s="1294"/>
      <c r="B1597" s="1311"/>
      <c r="C1597" s="1296"/>
      <c r="D1597" s="1296"/>
      <c r="E1597" s="1296"/>
      <c r="F1597" s="1296"/>
      <c r="G1597" s="1296"/>
      <c r="H1597" s="1290"/>
      <c r="I1597" s="1290"/>
      <c r="J1597" s="1290"/>
      <c r="P1597" s="1291"/>
      <c r="Q1597" s="1291"/>
      <c r="R1597" s="1291"/>
      <c r="S1597" s="1291"/>
      <c r="T1597" s="1291"/>
      <c r="U1597" s="1291"/>
      <c r="V1597" s="1291"/>
      <c r="W1597" s="1291"/>
      <c r="X1597" s="1291"/>
      <c r="Y1597" s="1291"/>
      <c r="Z1597" s="1291"/>
      <c r="AA1597" s="1291"/>
      <c r="AB1597" s="1291"/>
      <c r="AC1597" s="1291"/>
    </row>
    <row r="1598" spans="1:29" s="1332" customFormat="1" ht="13.8" x14ac:dyDescent="0.25">
      <c r="A1598" s="1294"/>
      <c r="B1598" s="1295" t="s">
        <v>1432</v>
      </c>
      <c r="C1598" s="1296"/>
      <c r="D1598" s="1296"/>
      <c r="E1598" s="1296">
        <f>[20]Material!D844</f>
        <v>0</v>
      </c>
      <c r="F1598" s="1296">
        <f>(F1592+F1593+F1594+F1595+F1596)*10%</f>
        <v>461.63499999999999</v>
      </c>
      <c r="G1598" s="1296"/>
      <c r="H1598" s="1290"/>
      <c r="I1598" s="1290"/>
      <c r="J1598" s="1290"/>
      <c r="P1598" s="1291"/>
      <c r="Q1598" s="1291"/>
      <c r="R1598" s="1291"/>
      <c r="S1598" s="1291"/>
      <c r="T1598" s="1291"/>
      <c r="U1598" s="1291"/>
      <c r="V1598" s="1291"/>
      <c r="W1598" s="1291"/>
      <c r="X1598" s="1291"/>
      <c r="Y1598" s="1291"/>
      <c r="Z1598" s="1291"/>
      <c r="AA1598" s="1291"/>
      <c r="AB1598" s="1291"/>
      <c r="AC1598" s="1291"/>
    </row>
    <row r="1599" spans="1:29" s="1332" customFormat="1" ht="13.8" x14ac:dyDescent="0.25">
      <c r="A1599" s="1294"/>
      <c r="B1599" s="1294"/>
      <c r="C1599" s="1295"/>
      <c r="D1599" s="1296"/>
      <c r="E1599" s="1296"/>
      <c r="F1599" s="1296">
        <f t="shared" ref="F1599" si="159">D1599*E1599</f>
        <v>0</v>
      </c>
      <c r="G1599" s="1296"/>
      <c r="H1599" s="1290"/>
      <c r="I1599" s="1290"/>
      <c r="J1599" s="1290"/>
      <c r="P1599" s="1291"/>
      <c r="Q1599" s="1291"/>
      <c r="R1599" s="1291"/>
      <c r="S1599" s="1291"/>
      <c r="T1599" s="1291"/>
      <c r="U1599" s="1291"/>
      <c r="V1599" s="1291"/>
      <c r="W1599" s="1291"/>
      <c r="X1599" s="1291"/>
      <c r="Y1599" s="1291"/>
      <c r="Z1599" s="1291"/>
      <c r="AA1599" s="1291"/>
      <c r="AB1599" s="1291"/>
      <c r="AC1599" s="1291"/>
    </row>
    <row r="1600" spans="1:29" s="1332" customFormat="1" ht="13.8" x14ac:dyDescent="0.25">
      <c r="A1600" s="1298"/>
      <c r="B1600" s="1476" t="s">
        <v>1277</v>
      </c>
      <c r="C1600" s="1476"/>
      <c r="D1600" s="1476"/>
      <c r="E1600" s="1476"/>
      <c r="F1600" s="1299"/>
      <c r="G1600" s="1300">
        <f>SUM(F1592:F1600)</f>
        <v>5077.9849999999997</v>
      </c>
      <c r="H1600" s="1290"/>
      <c r="I1600" s="1290"/>
      <c r="J1600" s="1290"/>
      <c r="P1600" s="1291"/>
      <c r="Q1600" s="1291"/>
      <c r="R1600" s="1291"/>
      <c r="S1600" s="1291"/>
      <c r="T1600" s="1291"/>
      <c r="U1600" s="1291"/>
      <c r="V1600" s="1291"/>
      <c r="W1600" s="1291"/>
      <c r="X1600" s="1291"/>
      <c r="Y1600" s="1291"/>
      <c r="Z1600" s="1291"/>
      <c r="AA1600" s="1291"/>
      <c r="AB1600" s="1291"/>
      <c r="AC1600" s="1291"/>
    </row>
    <row r="1601" spans="1:7" ht="13.8" x14ac:dyDescent="0.25">
      <c r="A1601" s="1294"/>
      <c r="B1601" s="1297" t="s">
        <v>1261</v>
      </c>
      <c r="C1601" s="1295"/>
      <c r="D1601" s="1296"/>
      <c r="E1601" s="1296"/>
      <c r="F1601" s="1296">
        <f t="shared" ref="F1601:F1602" si="160">D1601*E1601</f>
        <v>0</v>
      </c>
      <c r="G1601" s="1296"/>
    </row>
    <row r="1602" spans="1:7" ht="13.8" x14ac:dyDescent="0.25">
      <c r="A1602" s="1309"/>
      <c r="B1602" s="1309" t="s">
        <v>1271</v>
      </c>
      <c r="C1602" s="1310" t="s">
        <v>1294</v>
      </c>
      <c r="D1602" s="1310">
        <v>100</v>
      </c>
      <c r="E1602" s="1310">
        <v>25</v>
      </c>
      <c r="F1602" s="1310">
        <f t="shared" si="160"/>
        <v>2500</v>
      </c>
      <c r="G1602" s="1310"/>
    </row>
    <row r="1603" spans="1:7" ht="13.8" x14ac:dyDescent="0.25">
      <c r="A1603" s="1294"/>
      <c r="B1603" s="1294"/>
      <c r="C1603" s="1296"/>
      <c r="D1603" s="1296"/>
      <c r="E1603" s="1296"/>
      <c r="F1603" s="1296"/>
      <c r="G1603" s="1296"/>
    </row>
    <row r="1604" spans="1:7" ht="13.8" x14ac:dyDescent="0.25">
      <c r="A1604" s="1294"/>
      <c r="B1604" s="1294" t="s">
        <v>1433</v>
      </c>
      <c r="C1604" s="1295"/>
      <c r="D1604" s="1296"/>
      <c r="E1604" s="1296"/>
      <c r="F1604" s="1296">
        <f>F1602*5%</f>
        <v>125</v>
      </c>
      <c r="G1604" s="1296"/>
    </row>
    <row r="1605" spans="1:7" ht="13.8" x14ac:dyDescent="0.25">
      <c r="A1605" s="1298"/>
      <c r="B1605" s="1476" t="s">
        <v>1264</v>
      </c>
      <c r="C1605" s="1476"/>
      <c r="D1605" s="1476"/>
      <c r="E1605" s="1476"/>
      <c r="F1605" s="1299">
        <f t="shared" ref="F1605" si="161">D1605*E1605</f>
        <v>0</v>
      </c>
      <c r="G1605" s="1300">
        <f>SUM(F1602:F1605)</f>
        <v>2625</v>
      </c>
    </row>
    <row r="1606" spans="1:7" ht="13.8" x14ac:dyDescent="0.25">
      <c r="A1606" s="1294"/>
      <c r="B1606" s="1302"/>
      <c r="C1606" s="1302"/>
      <c r="D1606" s="1302"/>
      <c r="E1606" s="1302"/>
      <c r="F1606" s="1296"/>
      <c r="G1606" s="1302"/>
    </row>
    <row r="1607" spans="1:7" ht="13.8" x14ac:dyDescent="0.25">
      <c r="A1607" s="1294"/>
      <c r="B1607" s="1302"/>
      <c r="C1607" s="1302"/>
      <c r="D1607" s="1302"/>
      <c r="E1607" s="1302"/>
      <c r="F1607" s="1296"/>
      <c r="G1607" s="1302"/>
    </row>
    <row r="1608" spans="1:7" ht="13.8" x14ac:dyDescent="0.25">
      <c r="A1608" s="1469" t="s">
        <v>1295</v>
      </c>
      <c r="B1608" s="1469"/>
      <c r="C1608" s="1469"/>
      <c r="D1608" s="1469"/>
      <c r="E1608" s="1469"/>
      <c r="F1608" s="1469"/>
      <c r="G1608" s="1303">
        <f>G1600+G1605</f>
        <v>7702.9849999999997</v>
      </c>
    </row>
    <row r="1609" spans="1:7" ht="13.8" x14ac:dyDescent="0.25">
      <c r="A1609" s="1469" t="s">
        <v>1296</v>
      </c>
      <c r="B1609" s="1469"/>
      <c r="C1609" s="1469"/>
      <c r="D1609" s="1469"/>
      <c r="E1609" s="1469"/>
      <c r="F1609" s="1469"/>
      <c r="G1609" s="1303">
        <f>G1608/9.29</f>
        <v>829.16953713670614</v>
      </c>
    </row>
    <row r="1612" spans="1:7" ht="13.8" thickBot="1" x14ac:dyDescent="0.3"/>
    <row r="1613" spans="1:7" ht="13.8" x14ac:dyDescent="0.25">
      <c r="A1613" s="1470" t="s">
        <v>1431</v>
      </c>
      <c r="B1613" s="1471"/>
      <c r="C1613" s="1471"/>
      <c r="D1613" s="1471"/>
      <c r="E1613" s="1471"/>
      <c r="F1613" s="1471"/>
      <c r="G1613" s="1472"/>
    </row>
    <row r="1614" spans="1:7" ht="14.4" thickBot="1" x14ac:dyDescent="0.3">
      <c r="A1614" s="1473" t="s">
        <v>1259</v>
      </c>
      <c r="B1614" s="1474"/>
      <c r="C1614" s="1474"/>
      <c r="D1614" s="1474"/>
      <c r="E1614" s="1474"/>
      <c r="F1614" s="1474"/>
      <c r="G1614" s="1475"/>
    </row>
    <row r="1615" spans="1:7" ht="14.4" thickBot="1" x14ac:dyDescent="0.3">
      <c r="A1615" s="1292"/>
      <c r="B1615" s="1293" t="s">
        <v>1038</v>
      </c>
      <c r="C1615" s="1293" t="s">
        <v>1039</v>
      </c>
      <c r="D1615" s="1293" t="s">
        <v>2</v>
      </c>
      <c r="E1615" s="1293" t="s">
        <v>1040</v>
      </c>
      <c r="F1615" s="1293" t="s">
        <v>5</v>
      </c>
      <c r="G1615" s="1293" t="s">
        <v>1260</v>
      </c>
    </row>
    <row r="1616" spans="1:7" ht="13.8" x14ac:dyDescent="0.25">
      <c r="A1616" s="1294"/>
      <c r="B1616" s="1294"/>
      <c r="C1616" s="1295"/>
      <c r="D1616" s="1296"/>
      <c r="E1616" s="1296"/>
      <c r="F1616" s="1296"/>
      <c r="G1616" s="1296"/>
    </row>
    <row r="1617" spans="1:7" ht="13.8" x14ac:dyDescent="0.25">
      <c r="A1617" s="1309"/>
      <c r="B1617" s="1309"/>
      <c r="C1617" s="1310"/>
      <c r="D1617" s="1310"/>
      <c r="E1617" s="1310"/>
      <c r="F1617" s="1310"/>
      <c r="G1617" s="1310"/>
    </row>
    <row r="1618" spans="1:7" ht="13.8" x14ac:dyDescent="0.25">
      <c r="A1618" s="1309"/>
      <c r="B1618" s="1309" t="s">
        <v>1138</v>
      </c>
      <c r="C1618" s="1310" t="s">
        <v>1397</v>
      </c>
      <c r="D1618" s="1310">
        <v>1</v>
      </c>
      <c r="E1618" s="1310">
        <f>[19]Material!E149</f>
        <v>641.04999999999995</v>
      </c>
      <c r="F1618" s="1310">
        <f t="shared" ref="F1618:F1621" si="162">D1618*E1618</f>
        <v>641.04999999999995</v>
      </c>
      <c r="G1618" s="1310"/>
    </row>
    <row r="1619" spans="1:7" ht="13.8" x14ac:dyDescent="0.25">
      <c r="A1619" s="1309"/>
      <c r="B1619" s="1342" t="s">
        <v>1139</v>
      </c>
      <c r="C1619" s="1310" t="s">
        <v>1397</v>
      </c>
      <c r="D1619" s="1310">
        <v>1.5</v>
      </c>
      <c r="E1619" s="1310">
        <f>[19]Material!E154</f>
        <v>2370.1999999999998</v>
      </c>
      <c r="F1619" s="1310">
        <f t="shared" si="162"/>
        <v>3555.2999999999997</v>
      </c>
      <c r="G1619" s="1310"/>
    </row>
    <row r="1620" spans="1:7" ht="13.8" x14ac:dyDescent="0.25">
      <c r="A1620" s="1309"/>
      <c r="B1620" s="1309" t="s">
        <v>1141</v>
      </c>
      <c r="C1620" s="1310" t="s">
        <v>449</v>
      </c>
      <c r="D1620" s="1310">
        <v>0.1</v>
      </c>
      <c r="E1620" s="1310">
        <f>[19]Material!E161</f>
        <v>1600</v>
      </c>
      <c r="F1620" s="1310">
        <f t="shared" si="162"/>
        <v>160</v>
      </c>
      <c r="G1620" s="1310"/>
    </row>
    <row r="1621" spans="1:7" ht="13.8" x14ac:dyDescent="0.25">
      <c r="A1621" s="1309"/>
      <c r="B1621" s="1342" t="s">
        <v>1394</v>
      </c>
      <c r="C1621" s="1310" t="s">
        <v>449</v>
      </c>
      <c r="D1621" s="1310">
        <v>1</v>
      </c>
      <c r="E1621" s="1310">
        <f>[19]Material!E162</f>
        <v>260</v>
      </c>
      <c r="F1621" s="1310">
        <f t="shared" si="162"/>
        <v>260</v>
      </c>
      <c r="G1621" s="1310"/>
    </row>
    <row r="1622" spans="1:7" ht="13.8" x14ac:dyDescent="0.25">
      <c r="A1622" s="1294"/>
      <c r="B1622" s="1311"/>
      <c r="C1622" s="1296"/>
      <c r="D1622" s="1296"/>
      <c r="E1622" s="1296"/>
      <c r="F1622" s="1296"/>
      <c r="G1622" s="1296"/>
    </row>
    <row r="1623" spans="1:7" ht="13.8" x14ac:dyDescent="0.25">
      <c r="A1623" s="1294"/>
      <c r="B1623" s="1295" t="s">
        <v>1432</v>
      </c>
      <c r="C1623" s="1296"/>
      <c r="D1623" s="1296"/>
      <c r="E1623" s="1296"/>
      <c r="F1623" s="1296">
        <f>(F1618+F1619+F1620+F1621)*10%</f>
        <v>461.63499999999999</v>
      </c>
      <c r="G1623" s="1296"/>
    </row>
    <row r="1624" spans="1:7" ht="13.8" x14ac:dyDescent="0.25">
      <c r="A1624" s="1294"/>
      <c r="B1624" s="1294"/>
      <c r="C1624" s="1295"/>
      <c r="D1624" s="1296"/>
      <c r="E1624" s="1296"/>
      <c r="F1624" s="1296">
        <f t="shared" ref="F1624" si="163">D1624*E1624</f>
        <v>0</v>
      </c>
      <c r="G1624" s="1296"/>
    </row>
    <row r="1625" spans="1:7" ht="13.8" x14ac:dyDescent="0.25">
      <c r="A1625" s="1298"/>
      <c r="B1625" s="1476" t="s">
        <v>1277</v>
      </c>
      <c r="C1625" s="1476"/>
      <c r="D1625" s="1476"/>
      <c r="E1625" s="1476"/>
      <c r="F1625" s="1299"/>
      <c r="G1625" s="1300">
        <f>SUM(F1617:F1625)</f>
        <v>5077.9849999999997</v>
      </c>
    </row>
    <row r="1626" spans="1:7" ht="13.8" x14ac:dyDescent="0.25">
      <c r="A1626" s="1294"/>
      <c r="B1626" s="1297" t="s">
        <v>1261</v>
      </c>
      <c r="C1626" s="1295"/>
      <c r="D1626" s="1296"/>
      <c r="E1626" s="1296"/>
      <c r="F1626" s="1296">
        <f t="shared" ref="F1626:F1627" si="164">D1626*E1626</f>
        <v>0</v>
      </c>
      <c r="G1626" s="1296"/>
    </row>
    <row r="1627" spans="1:7" ht="13.8" x14ac:dyDescent="0.25">
      <c r="A1627" s="1309"/>
      <c r="B1627" s="1309" t="s">
        <v>1271</v>
      </c>
      <c r="C1627" s="1310" t="s">
        <v>1294</v>
      </c>
      <c r="D1627" s="1310">
        <v>100</v>
      </c>
      <c r="E1627" s="1310">
        <v>32</v>
      </c>
      <c r="F1627" s="1310">
        <f t="shared" si="164"/>
        <v>3200</v>
      </c>
      <c r="G1627" s="1310"/>
    </row>
    <row r="1628" spans="1:7" ht="13.8" x14ac:dyDescent="0.25">
      <c r="A1628" s="1294"/>
      <c r="B1628" s="1294"/>
      <c r="C1628" s="1296"/>
      <c r="D1628" s="1296"/>
      <c r="E1628" s="1296"/>
      <c r="F1628" s="1296"/>
      <c r="G1628" s="1296"/>
    </row>
    <row r="1629" spans="1:7" ht="13.8" x14ac:dyDescent="0.25">
      <c r="A1629" s="1294"/>
      <c r="B1629" s="1294" t="s">
        <v>1433</v>
      </c>
      <c r="C1629" s="1295"/>
      <c r="D1629" s="1296"/>
      <c r="E1629" s="1296"/>
      <c r="F1629" s="1296">
        <f>F1627*5%</f>
        <v>160</v>
      </c>
      <c r="G1629" s="1296"/>
    </row>
    <row r="1630" spans="1:7" ht="13.8" x14ac:dyDescent="0.25">
      <c r="A1630" s="1298"/>
      <c r="B1630" s="1476" t="s">
        <v>1264</v>
      </c>
      <c r="C1630" s="1476"/>
      <c r="D1630" s="1476"/>
      <c r="E1630" s="1476"/>
      <c r="F1630" s="1299">
        <f t="shared" ref="F1630" si="165">D1630*E1630</f>
        <v>0</v>
      </c>
      <c r="G1630" s="1300">
        <f>SUM(F1627:F1630)</f>
        <v>3360</v>
      </c>
    </row>
    <row r="1631" spans="1:7" ht="13.8" x14ac:dyDescent="0.25">
      <c r="A1631" s="1294"/>
      <c r="B1631" s="1302"/>
      <c r="C1631" s="1302"/>
      <c r="D1631" s="1302"/>
      <c r="E1631" s="1302"/>
      <c r="F1631" s="1296"/>
      <c r="G1631" s="1302"/>
    </row>
    <row r="1632" spans="1:7" ht="13.8" x14ac:dyDescent="0.25">
      <c r="A1632" s="1294"/>
      <c r="B1632" s="1302"/>
      <c r="C1632" s="1302"/>
      <c r="D1632" s="1302"/>
      <c r="E1632" s="1302"/>
      <c r="F1632" s="1296"/>
      <c r="G1632" s="1302"/>
    </row>
    <row r="1633" spans="1:7" ht="13.8" x14ac:dyDescent="0.25">
      <c r="A1633" s="1469" t="s">
        <v>1295</v>
      </c>
      <c r="B1633" s="1469"/>
      <c r="C1633" s="1469"/>
      <c r="D1633" s="1469"/>
      <c r="E1633" s="1469"/>
      <c r="F1633" s="1469"/>
      <c r="G1633" s="1303">
        <f>G1625+G1630</f>
        <v>8437.9850000000006</v>
      </c>
    </row>
    <row r="1634" spans="1:7" ht="13.8" x14ac:dyDescent="0.25">
      <c r="A1634" s="1469" t="s">
        <v>1296</v>
      </c>
      <c r="B1634" s="1469"/>
      <c r="C1634" s="1469"/>
      <c r="D1634" s="1469"/>
      <c r="E1634" s="1469"/>
      <c r="F1634" s="1469"/>
      <c r="G1634" s="1303">
        <f>G1633/9.29</f>
        <v>908.28686759956963</v>
      </c>
    </row>
    <row r="1637" spans="1:7" x14ac:dyDescent="0.25">
      <c r="A1637" s="1497" t="s">
        <v>1356</v>
      </c>
      <c r="B1637" s="1497"/>
      <c r="C1637" s="1497"/>
      <c r="D1637" s="1497"/>
      <c r="E1637" s="1497"/>
      <c r="F1637" s="1497"/>
      <c r="G1637" s="1497"/>
    </row>
    <row r="1639" spans="1:7" ht="13.8" thickBot="1" x14ac:dyDescent="0.3"/>
    <row r="1640" spans="1:7" ht="13.8" x14ac:dyDescent="0.25">
      <c r="A1640" s="1470" t="s">
        <v>1357</v>
      </c>
      <c r="B1640" s="1471"/>
      <c r="C1640" s="1471"/>
      <c r="D1640" s="1471"/>
      <c r="E1640" s="1471"/>
      <c r="F1640" s="1471"/>
      <c r="G1640" s="1472"/>
    </row>
    <row r="1641" spans="1:7" ht="14.4" thickBot="1" x14ac:dyDescent="0.3">
      <c r="A1641" s="1473" t="s">
        <v>1358</v>
      </c>
      <c r="B1641" s="1474"/>
      <c r="C1641" s="1474"/>
      <c r="D1641" s="1474"/>
      <c r="E1641" s="1474"/>
      <c r="F1641" s="1474"/>
      <c r="G1641" s="1475"/>
    </row>
    <row r="1642" spans="1:7" ht="14.4" thickBot="1" x14ac:dyDescent="0.3">
      <c r="A1642" s="1292"/>
      <c r="B1642" s="1293" t="s">
        <v>1038</v>
      </c>
      <c r="C1642" s="1347" t="s">
        <v>1039</v>
      </c>
      <c r="D1642" s="1293" t="s">
        <v>2</v>
      </c>
      <c r="E1642" s="1293" t="s">
        <v>1040</v>
      </c>
      <c r="F1642" s="1293" t="s">
        <v>5</v>
      </c>
      <c r="G1642" s="1293" t="s">
        <v>1260</v>
      </c>
    </row>
    <row r="1643" spans="1:7" ht="13.8" x14ac:dyDescent="0.25">
      <c r="A1643" s="1294"/>
      <c r="B1643" s="1297" t="s">
        <v>1276</v>
      </c>
      <c r="C1643" s="1348"/>
      <c r="D1643" s="1296"/>
      <c r="E1643" s="1296"/>
      <c r="F1643" s="1296"/>
      <c r="G1643" s="1296"/>
    </row>
    <row r="1644" spans="1:7" ht="15.6" x14ac:dyDescent="0.4">
      <c r="A1644" s="1294"/>
      <c r="B1644" s="1308" t="s">
        <v>1359</v>
      </c>
      <c r="C1644" s="1348"/>
      <c r="D1644" s="1296"/>
      <c r="E1644" s="1296"/>
      <c r="F1644" s="1296"/>
      <c r="G1644" s="1296"/>
    </row>
    <row r="1645" spans="1:7" ht="13.8" x14ac:dyDescent="0.25">
      <c r="A1645" s="1294"/>
      <c r="B1645" s="1294" t="s">
        <v>1108</v>
      </c>
      <c r="C1645" s="1348" t="s">
        <v>1360</v>
      </c>
      <c r="D1645" s="1370">
        <v>0.4</v>
      </c>
      <c r="E1645" s="1296">
        <f>F197</f>
        <v>2235.625</v>
      </c>
      <c r="F1645" s="1296">
        <f t="shared" ref="F1645:F1646" si="166">D1645*E1645</f>
        <v>894.25</v>
      </c>
      <c r="G1645" s="1296"/>
    </row>
    <row r="1646" spans="1:7" ht="13.8" x14ac:dyDescent="0.25">
      <c r="A1646" s="1294"/>
      <c r="B1646" s="1294" t="s">
        <v>1159</v>
      </c>
      <c r="C1646" s="1348" t="s">
        <v>1361</v>
      </c>
      <c r="D1646" s="1370">
        <v>0.03</v>
      </c>
      <c r="E1646" s="1296">
        <f>[19]Material!E13</f>
        <v>23500</v>
      </c>
      <c r="F1646" s="1296">
        <f t="shared" si="166"/>
        <v>705</v>
      </c>
      <c r="G1646" s="1296"/>
    </row>
    <row r="1647" spans="1:7" ht="13.8" x14ac:dyDescent="0.25">
      <c r="A1647" s="1294"/>
      <c r="B1647" s="1294"/>
      <c r="C1647" s="1348"/>
      <c r="D1647" s="1370"/>
      <c r="E1647" s="1296"/>
      <c r="F1647" s="1296"/>
      <c r="G1647" s="1296"/>
    </row>
    <row r="1648" spans="1:7" ht="13.8" x14ac:dyDescent="0.25">
      <c r="A1648" s="1294"/>
      <c r="B1648" s="1294" t="s">
        <v>1362</v>
      </c>
      <c r="C1648" s="1348" t="s">
        <v>1360</v>
      </c>
      <c r="D1648" s="1370">
        <v>0.15</v>
      </c>
      <c r="E1648" s="1296">
        <v>5500</v>
      </c>
      <c r="F1648" s="1296">
        <f>D1648*E1648</f>
        <v>825</v>
      </c>
      <c r="G1648" s="1296"/>
    </row>
    <row r="1649" spans="1:7" ht="13.8" x14ac:dyDescent="0.25">
      <c r="A1649" s="1294"/>
      <c r="B1649" s="1294" t="s">
        <v>1363</v>
      </c>
      <c r="C1649" s="1348" t="s">
        <v>1360</v>
      </c>
      <c r="D1649" s="1370">
        <v>0.2</v>
      </c>
      <c r="E1649" s="1296">
        <v>47150</v>
      </c>
      <c r="F1649" s="1296">
        <f>D1649*E1649</f>
        <v>9430</v>
      </c>
      <c r="G1649" s="1296"/>
    </row>
    <row r="1650" spans="1:7" ht="13.8" x14ac:dyDescent="0.25">
      <c r="A1650" s="1294"/>
      <c r="B1650" s="1294"/>
      <c r="C1650" s="1348"/>
      <c r="D1650" s="1296"/>
      <c r="E1650" s="1296"/>
      <c r="F1650" s="1349">
        <f>SUM(F1645:F1649)</f>
        <v>11854.25</v>
      </c>
      <c r="G1650" s="1296"/>
    </row>
    <row r="1651" spans="1:7" ht="13.8" x14ac:dyDescent="0.25">
      <c r="A1651" s="1294"/>
      <c r="B1651" s="1295" t="s">
        <v>1364</v>
      </c>
      <c r="C1651" s="1348"/>
      <c r="D1651" s="1296"/>
      <c r="E1651" s="1296"/>
      <c r="F1651" s="1296">
        <v>400</v>
      </c>
      <c r="G1651" s="1296"/>
    </row>
    <row r="1652" spans="1:7" ht="13.8" x14ac:dyDescent="0.25">
      <c r="A1652" s="1294"/>
      <c r="B1652" s="1295"/>
      <c r="C1652" s="1348"/>
      <c r="D1652" s="1296"/>
      <c r="E1652" s="1296"/>
      <c r="F1652" s="1296"/>
      <c r="G1652" s="1296"/>
    </row>
    <row r="1653" spans="1:7" ht="13.8" x14ac:dyDescent="0.25">
      <c r="A1653" s="1298"/>
      <c r="B1653" s="1492" t="s">
        <v>1277</v>
      </c>
      <c r="C1653" s="1493"/>
      <c r="D1653" s="1493"/>
      <c r="E1653" s="1494"/>
      <c r="F1653" s="1299"/>
      <c r="G1653" s="1300">
        <f>SUM(F1650:F1653)</f>
        <v>12254.25</v>
      </c>
    </row>
    <row r="1654" spans="1:7" ht="13.8" x14ac:dyDescent="0.25">
      <c r="A1654" s="1294"/>
      <c r="B1654" s="1297" t="s">
        <v>1261</v>
      </c>
      <c r="C1654" s="1348"/>
      <c r="D1654" s="1296"/>
      <c r="E1654" s="1296"/>
      <c r="F1654" s="1296">
        <f t="shared" ref="F1654:F1655" si="167">D1654*E1654</f>
        <v>0</v>
      </c>
      <c r="G1654" s="1296"/>
    </row>
    <row r="1655" spans="1:7" ht="13.8" x14ac:dyDescent="0.25">
      <c r="A1655" s="1294"/>
      <c r="B1655" s="1311" t="s">
        <v>1441</v>
      </c>
      <c r="C1655" s="1348" t="s">
        <v>1294</v>
      </c>
      <c r="D1655" s="1296">
        <v>38.75</v>
      </c>
      <c r="E1655" s="1296">
        <v>40</v>
      </c>
      <c r="F1655" s="1296">
        <f t="shared" si="167"/>
        <v>1550</v>
      </c>
      <c r="G1655" s="1296"/>
    </row>
    <row r="1656" spans="1:7" ht="13.8" x14ac:dyDescent="0.25">
      <c r="A1656" s="1294"/>
      <c r="B1656" s="1311" t="s">
        <v>1442</v>
      </c>
      <c r="C1656" s="1348" t="s">
        <v>1190</v>
      </c>
      <c r="D1656" s="1296">
        <v>22.65</v>
      </c>
      <c r="E1656" s="1296">
        <v>65</v>
      </c>
      <c r="F1656" s="1296">
        <f>D1656*E1656</f>
        <v>1472.25</v>
      </c>
      <c r="G1656" s="1296"/>
    </row>
    <row r="1657" spans="1:7" ht="13.8" x14ac:dyDescent="0.25">
      <c r="A1657" s="1294"/>
      <c r="B1657" s="1294"/>
      <c r="C1657" s="1348"/>
      <c r="D1657" s="1296"/>
      <c r="E1657" s="1296"/>
      <c r="F1657" s="1296"/>
      <c r="G1657" s="1296"/>
    </row>
    <row r="1658" spans="1:7" ht="13.8" x14ac:dyDescent="0.25">
      <c r="A1658" s="1298"/>
      <c r="B1658" s="1492" t="s">
        <v>1264</v>
      </c>
      <c r="C1658" s="1493"/>
      <c r="D1658" s="1493"/>
      <c r="E1658" s="1494"/>
      <c r="F1658" s="1299">
        <f t="shared" ref="F1658" si="168">D1658*E1658</f>
        <v>0</v>
      </c>
      <c r="G1658" s="1300">
        <f>SUM(F1655:F1658)</f>
        <v>3022.25</v>
      </c>
    </row>
    <row r="1659" spans="1:7" ht="13.8" x14ac:dyDescent="0.25">
      <c r="A1659" s="1294"/>
      <c r="B1659" s="1302"/>
      <c r="C1659" s="1350"/>
      <c r="D1659" s="1302"/>
      <c r="E1659" s="1302"/>
      <c r="F1659" s="1296"/>
      <c r="G1659" s="1302"/>
    </row>
    <row r="1660" spans="1:7" ht="13.8" x14ac:dyDescent="0.25">
      <c r="A1660" s="1294"/>
      <c r="B1660" s="1302"/>
      <c r="C1660" s="1350"/>
      <c r="D1660" s="1302"/>
      <c r="E1660" s="1302"/>
      <c r="F1660" s="1296"/>
      <c r="G1660" s="1302"/>
    </row>
    <row r="1661" spans="1:7" ht="13.8" x14ac:dyDescent="0.25">
      <c r="A1661" s="1489" t="s">
        <v>1367</v>
      </c>
      <c r="B1661" s="1490"/>
      <c r="C1661" s="1490"/>
      <c r="D1661" s="1490"/>
      <c r="E1661" s="1490"/>
      <c r="F1661" s="1491"/>
      <c r="G1661" s="1303">
        <f>G1653+G1658</f>
        <v>15276.5</v>
      </c>
    </row>
    <row r="1662" spans="1:7" ht="13.8" x14ac:dyDescent="0.25">
      <c r="A1662" s="1489" t="s">
        <v>1297</v>
      </c>
      <c r="B1662" s="1490"/>
      <c r="C1662" s="1490"/>
      <c r="D1662" s="1490"/>
      <c r="E1662" s="1490"/>
      <c r="F1662" s="1491"/>
      <c r="G1662" s="1303">
        <f>G1661/38.75</f>
        <v>394.23225806451615</v>
      </c>
    </row>
    <row r="1663" spans="1:7" ht="13.8" x14ac:dyDescent="0.25">
      <c r="A1663" s="1489" t="s">
        <v>1296</v>
      </c>
      <c r="B1663" s="1490"/>
      <c r="C1663" s="1490"/>
      <c r="D1663" s="1490"/>
      <c r="E1663" s="1490"/>
      <c r="F1663" s="1491"/>
      <c r="G1663" s="1303">
        <f>G1662*10.76</f>
        <v>4241.9390967741938</v>
      </c>
    </row>
    <row r="1712" spans="1:29" s="1332" customFormat="1" x14ac:dyDescent="0.25">
      <c r="A1712" s="1291"/>
      <c r="B1712" s="1291"/>
      <c r="C1712" s="1291"/>
      <c r="D1712" s="1291"/>
      <c r="E1712" s="1291"/>
      <c r="F1712" s="1291"/>
      <c r="G1712" s="1291"/>
      <c r="H1712" s="1290"/>
      <c r="I1712" s="1290"/>
      <c r="J1712" s="1290">
        <f>4000/100</f>
        <v>40</v>
      </c>
      <c r="P1712" s="1291"/>
      <c r="Q1712" s="1291"/>
      <c r="R1712" s="1291"/>
      <c r="S1712" s="1291"/>
      <c r="T1712" s="1291"/>
      <c r="U1712" s="1291"/>
      <c r="V1712" s="1291"/>
      <c r="W1712" s="1291"/>
      <c r="X1712" s="1291"/>
      <c r="Y1712" s="1291"/>
      <c r="Z1712" s="1291"/>
      <c r="AA1712" s="1291"/>
      <c r="AB1712" s="1291"/>
      <c r="AC1712" s="1291"/>
    </row>
    <row r="1715" spans="1:29" s="1332" customFormat="1" x14ac:dyDescent="0.25">
      <c r="A1715" s="1498" t="s">
        <v>1443</v>
      </c>
      <c r="B1715" s="1498"/>
      <c r="C1715" s="1498"/>
      <c r="D1715" s="1498"/>
      <c r="E1715" s="1498"/>
      <c r="F1715" s="1498"/>
      <c r="G1715" s="1498"/>
      <c r="H1715" s="1290"/>
      <c r="I1715" s="1290"/>
      <c r="J1715" s="1290"/>
      <c r="P1715" s="1291"/>
      <c r="Q1715" s="1291"/>
      <c r="R1715" s="1291"/>
      <c r="S1715" s="1291"/>
      <c r="T1715" s="1291"/>
      <c r="U1715" s="1291"/>
      <c r="V1715" s="1291"/>
      <c r="W1715" s="1291"/>
      <c r="X1715" s="1291"/>
      <c r="Y1715" s="1291"/>
      <c r="Z1715" s="1291"/>
      <c r="AA1715" s="1291"/>
      <c r="AB1715" s="1291"/>
      <c r="AC1715" s="1291"/>
    </row>
    <row r="1717" spans="1:29" s="1332" customFormat="1" x14ac:dyDescent="0.25">
      <c r="A1717" s="1291"/>
      <c r="B1717" s="1291"/>
      <c r="C1717" s="1291"/>
      <c r="D1717" s="1291"/>
      <c r="E1717" s="1291"/>
      <c r="F1717" s="1291"/>
      <c r="G1717" s="1291"/>
      <c r="H1717" s="1290"/>
      <c r="I1717" s="1290">
        <f>4*3.28</f>
        <v>13.12</v>
      </c>
      <c r="J1717" s="1290">
        <f>I1717*40</f>
        <v>524.79999999999995</v>
      </c>
      <c r="P1717" s="1291"/>
      <c r="Q1717" s="1291"/>
      <c r="R1717" s="1291"/>
      <c r="S1717" s="1291"/>
      <c r="T1717" s="1291"/>
      <c r="U1717" s="1291"/>
      <c r="V1717" s="1291"/>
      <c r="W1717" s="1291"/>
      <c r="X1717" s="1291"/>
      <c r="Y1717" s="1291"/>
      <c r="Z1717" s="1291"/>
      <c r="AA1717" s="1291"/>
      <c r="AB1717" s="1291"/>
      <c r="AC1717" s="1291"/>
    </row>
    <row r="1720" spans="1:29" s="1332" customFormat="1" ht="13.8" thickBot="1" x14ac:dyDescent="0.3">
      <c r="A1720" s="1291"/>
      <c r="B1720" s="1291"/>
      <c r="C1720" s="1291"/>
      <c r="D1720" s="1291"/>
      <c r="E1720" s="1291"/>
      <c r="F1720" s="1291"/>
      <c r="G1720" s="1291"/>
      <c r="H1720" s="1290"/>
      <c r="I1720" s="1290"/>
      <c r="J1720" s="1290">
        <f>6.92*1</f>
        <v>6.92</v>
      </c>
      <c r="K1720" s="1332">
        <f>5000/6.92</f>
        <v>722.54335260115613</v>
      </c>
      <c r="P1720" s="1291"/>
      <c r="Q1720" s="1291"/>
      <c r="R1720" s="1291"/>
      <c r="S1720" s="1291"/>
      <c r="T1720" s="1291"/>
      <c r="U1720" s="1291"/>
      <c r="V1720" s="1291"/>
      <c r="W1720" s="1291"/>
      <c r="X1720" s="1291"/>
      <c r="Y1720" s="1291"/>
      <c r="Z1720" s="1291"/>
      <c r="AA1720" s="1291"/>
      <c r="AB1720" s="1291"/>
      <c r="AC1720" s="1291"/>
    </row>
    <row r="1721" spans="1:29" s="1332" customFormat="1" ht="13.8" x14ac:dyDescent="0.25">
      <c r="A1721" s="1470" t="s">
        <v>1444</v>
      </c>
      <c r="B1721" s="1471"/>
      <c r="C1721" s="1471"/>
      <c r="D1721" s="1471"/>
      <c r="E1721" s="1471"/>
      <c r="F1721" s="1471"/>
      <c r="G1721" s="1472"/>
      <c r="H1721" s="1290"/>
      <c r="I1721" s="1290"/>
      <c r="J1721" s="1290"/>
      <c r="P1721" s="1291"/>
      <c r="Q1721" s="1291"/>
      <c r="R1721" s="1291"/>
      <c r="S1721" s="1291"/>
      <c r="T1721" s="1291"/>
      <c r="U1721" s="1291"/>
      <c r="V1721" s="1291"/>
      <c r="W1721" s="1291"/>
      <c r="X1721" s="1291"/>
      <c r="Y1721" s="1291"/>
      <c r="Z1721" s="1291"/>
      <c r="AA1721" s="1291"/>
      <c r="AB1721" s="1291"/>
      <c r="AC1721" s="1291"/>
    </row>
    <row r="1722" spans="1:29" s="1332" customFormat="1" ht="14.4" thickBot="1" x14ac:dyDescent="0.3">
      <c r="A1722" s="1473" t="s">
        <v>1259</v>
      </c>
      <c r="B1722" s="1474"/>
      <c r="C1722" s="1474"/>
      <c r="D1722" s="1474"/>
      <c r="E1722" s="1474"/>
      <c r="F1722" s="1474"/>
      <c r="G1722" s="1475"/>
      <c r="H1722" s="1290"/>
      <c r="I1722" s="1290"/>
      <c r="J1722" s="1290"/>
      <c r="P1722" s="1291"/>
      <c r="Q1722" s="1291"/>
      <c r="R1722" s="1291"/>
      <c r="S1722" s="1291"/>
      <c r="T1722" s="1291"/>
      <c r="U1722" s="1291"/>
      <c r="V1722" s="1291"/>
      <c r="W1722" s="1291"/>
      <c r="X1722" s="1291"/>
      <c r="Y1722" s="1291"/>
      <c r="Z1722" s="1291"/>
      <c r="AA1722" s="1291"/>
      <c r="AB1722" s="1291"/>
      <c r="AC1722" s="1291"/>
    </row>
    <row r="1723" spans="1:29" s="1332" customFormat="1" ht="14.4" thickBot="1" x14ac:dyDescent="0.3">
      <c r="A1723" s="1292"/>
      <c r="B1723" s="1293" t="s">
        <v>1038</v>
      </c>
      <c r="C1723" s="1293" t="s">
        <v>1039</v>
      </c>
      <c r="D1723" s="1293" t="s">
        <v>2</v>
      </c>
      <c r="E1723" s="1293" t="s">
        <v>1040</v>
      </c>
      <c r="F1723" s="1293" t="s">
        <v>5</v>
      </c>
      <c r="G1723" s="1293" t="s">
        <v>1260</v>
      </c>
      <c r="H1723" s="1290"/>
      <c r="I1723" s="1290"/>
      <c r="J1723" s="1290"/>
      <c r="P1723" s="1291"/>
      <c r="Q1723" s="1291"/>
      <c r="R1723" s="1291"/>
      <c r="S1723" s="1291"/>
      <c r="T1723" s="1291"/>
      <c r="U1723" s="1291"/>
      <c r="V1723" s="1291"/>
      <c r="W1723" s="1291"/>
      <c r="X1723" s="1291"/>
      <c r="Y1723" s="1291"/>
      <c r="Z1723" s="1291"/>
      <c r="AA1723" s="1291"/>
      <c r="AB1723" s="1291"/>
      <c r="AC1723" s="1291"/>
    </row>
    <row r="1724" spans="1:29" s="1332" customFormat="1" ht="13.8" x14ac:dyDescent="0.25">
      <c r="A1724" s="1294"/>
      <c r="B1724" s="1294"/>
      <c r="C1724" s="1295"/>
      <c r="D1724" s="1296"/>
      <c r="E1724" s="1296"/>
      <c r="F1724" s="1296"/>
      <c r="G1724" s="1296"/>
      <c r="H1724" s="1290"/>
      <c r="I1724" s="1290"/>
      <c r="J1724" s="1290"/>
      <c r="P1724" s="1291"/>
      <c r="Q1724" s="1291"/>
      <c r="R1724" s="1291"/>
      <c r="S1724" s="1291"/>
      <c r="T1724" s="1291"/>
      <c r="U1724" s="1291"/>
      <c r="V1724" s="1291"/>
      <c r="W1724" s="1291"/>
      <c r="X1724" s="1291"/>
      <c r="Y1724" s="1291"/>
      <c r="Z1724" s="1291"/>
      <c r="AA1724" s="1291"/>
      <c r="AB1724" s="1291"/>
      <c r="AC1724" s="1291"/>
    </row>
    <row r="1725" spans="1:29" s="1332" customFormat="1" ht="27.6" x14ac:dyDescent="0.25">
      <c r="A1725" s="1309"/>
      <c r="B1725" s="1342" t="s">
        <v>1445</v>
      </c>
      <c r="C1725" s="1310" t="s">
        <v>449</v>
      </c>
      <c r="D1725" s="1310">
        <v>1</v>
      </c>
      <c r="E1725" s="1310">
        <f>339500*1.15</f>
        <v>390424.99999999994</v>
      </c>
      <c r="F1725" s="1310">
        <f>D1725*E1725</f>
        <v>390424.99999999994</v>
      </c>
      <c r="G1725" s="1310"/>
      <c r="H1725" s="1290"/>
      <c r="I1725" s="1290"/>
      <c r="J1725" s="1290"/>
      <c r="P1725" s="1291"/>
      <c r="Q1725" s="1291"/>
      <c r="R1725" s="1291"/>
      <c r="S1725" s="1291"/>
      <c r="T1725" s="1291"/>
      <c r="U1725" s="1291"/>
      <c r="V1725" s="1291"/>
      <c r="W1725" s="1291"/>
      <c r="X1725" s="1291"/>
      <c r="Y1725" s="1291"/>
      <c r="Z1725" s="1291"/>
      <c r="AA1725" s="1291"/>
      <c r="AB1725" s="1291"/>
      <c r="AC1725" s="1291"/>
    </row>
    <row r="1726" spans="1:29" s="1332" customFormat="1" ht="13.8" x14ac:dyDescent="0.25">
      <c r="A1726" s="1309"/>
      <c r="B1726" s="1309"/>
      <c r="C1726" s="1310"/>
      <c r="D1726" s="1310"/>
      <c r="E1726" s="1310"/>
      <c r="F1726" s="1310">
        <f t="shared" ref="F1726:F1729" si="169">D1726*E1726</f>
        <v>0</v>
      </c>
      <c r="G1726" s="1310"/>
      <c r="H1726" s="1290"/>
      <c r="I1726" s="1290"/>
      <c r="J1726" s="1290"/>
      <c r="P1726" s="1291"/>
      <c r="Q1726" s="1291"/>
      <c r="R1726" s="1291"/>
      <c r="S1726" s="1291"/>
      <c r="T1726" s="1291"/>
      <c r="U1726" s="1291"/>
      <c r="V1726" s="1291"/>
      <c r="W1726" s="1291"/>
      <c r="X1726" s="1291"/>
      <c r="Y1726" s="1291"/>
      <c r="Z1726" s="1291"/>
      <c r="AA1726" s="1291"/>
      <c r="AB1726" s="1291"/>
      <c r="AC1726" s="1291"/>
    </row>
    <row r="1727" spans="1:29" s="1332" customFormat="1" ht="13.8" x14ac:dyDescent="0.25">
      <c r="A1727" s="1309"/>
      <c r="B1727" s="1342"/>
      <c r="C1727" s="1310"/>
      <c r="D1727" s="1310"/>
      <c r="E1727" s="1310"/>
      <c r="F1727" s="1310">
        <f t="shared" si="169"/>
        <v>0</v>
      </c>
      <c r="G1727" s="1310"/>
      <c r="H1727" s="1290"/>
      <c r="I1727" s="1290"/>
      <c r="J1727" s="1290"/>
      <c r="P1727" s="1291"/>
      <c r="Q1727" s="1291"/>
      <c r="R1727" s="1291"/>
      <c r="S1727" s="1291"/>
      <c r="T1727" s="1291"/>
      <c r="U1727" s="1291"/>
      <c r="V1727" s="1291"/>
      <c r="W1727" s="1291"/>
      <c r="X1727" s="1291"/>
      <c r="Y1727" s="1291"/>
      <c r="Z1727" s="1291"/>
      <c r="AA1727" s="1291"/>
      <c r="AB1727" s="1291"/>
      <c r="AC1727" s="1291"/>
    </row>
    <row r="1728" spans="1:29" s="1332" customFormat="1" ht="13.8" x14ac:dyDescent="0.25">
      <c r="A1728" s="1309"/>
      <c r="B1728" s="1309"/>
      <c r="C1728" s="1310"/>
      <c r="D1728" s="1310"/>
      <c r="E1728" s="1310"/>
      <c r="F1728" s="1310">
        <f t="shared" si="169"/>
        <v>0</v>
      </c>
      <c r="G1728" s="1310"/>
      <c r="H1728" s="1290"/>
      <c r="I1728" s="1290"/>
      <c r="J1728" s="1290"/>
      <c r="P1728" s="1291"/>
      <c r="Q1728" s="1291"/>
      <c r="R1728" s="1291"/>
      <c r="S1728" s="1291"/>
      <c r="T1728" s="1291"/>
      <c r="U1728" s="1291"/>
      <c r="V1728" s="1291"/>
      <c r="W1728" s="1291"/>
      <c r="X1728" s="1291"/>
      <c r="Y1728" s="1291"/>
      <c r="Z1728" s="1291"/>
      <c r="AA1728" s="1291"/>
      <c r="AB1728" s="1291"/>
      <c r="AC1728" s="1291"/>
    </row>
    <row r="1729" spans="1:7" ht="13.8" x14ac:dyDescent="0.25">
      <c r="A1729" s="1309"/>
      <c r="B1729" s="1342"/>
      <c r="C1729" s="1310"/>
      <c r="D1729" s="1310"/>
      <c r="E1729" s="1310"/>
      <c r="F1729" s="1310">
        <f t="shared" si="169"/>
        <v>0</v>
      </c>
      <c r="G1729" s="1310"/>
    </row>
    <row r="1730" spans="1:7" ht="13.8" x14ac:dyDescent="0.25">
      <c r="A1730" s="1294"/>
      <c r="B1730" s="1311"/>
      <c r="C1730" s="1296"/>
      <c r="D1730" s="1296"/>
      <c r="E1730" s="1296"/>
      <c r="F1730" s="1296"/>
      <c r="G1730" s="1296"/>
    </row>
    <row r="1731" spans="1:7" ht="13.8" x14ac:dyDescent="0.25">
      <c r="A1731" s="1294"/>
      <c r="B1731" s="1295"/>
      <c r="C1731" s="1296"/>
      <c r="D1731" s="1296"/>
      <c r="E1731" s="1296"/>
      <c r="F1731" s="1296">
        <f>(F1725+F1726+F1727+F1728+F1729)*10%</f>
        <v>39042.499999999993</v>
      </c>
      <c r="G1731" s="1296"/>
    </row>
    <row r="1732" spans="1:7" ht="13.8" x14ac:dyDescent="0.25">
      <c r="A1732" s="1294"/>
      <c r="B1732" s="1294"/>
      <c r="C1732" s="1295"/>
      <c r="D1732" s="1296"/>
      <c r="E1732" s="1296"/>
      <c r="F1732" s="1296">
        <f t="shared" ref="F1732" si="170">D1732*E1732</f>
        <v>0</v>
      </c>
      <c r="G1732" s="1296"/>
    </row>
    <row r="1733" spans="1:7" ht="13.8" x14ac:dyDescent="0.25">
      <c r="A1733" s="1294"/>
      <c r="B1733" s="1302"/>
      <c r="C1733" s="1302"/>
      <c r="D1733" s="1302"/>
      <c r="E1733" s="1302"/>
      <c r="F1733" s="1296"/>
      <c r="G1733" s="1302"/>
    </row>
    <row r="1734" spans="1:7" ht="13.8" x14ac:dyDescent="0.25">
      <c r="A1734" s="1294"/>
      <c r="B1734" s="1302"/>
      <c r="C1734" s="1302"/>
      <c r="D1734" s="1302"/>
      <c r="E1734" s="1302"/>
      <c r="F1734" s="1296"/>
      <c r="G1734" s="1302"/>
    </row>
    <row r="1735" spans="1:7" ht="13.8" x14ac:dyDescent="0.25">
      <c r="A1735" s="1469" t="s">
        <v>1446</v>
      </c>
      <c r="B1735" s="1469"/>
      <c r="C1735" s="1469"/>
      <c r="D1735" s="1469"/>
      <c r="E1735" s="1469"/>
      <c r="F1735" s="1469"/>
      <c r="G1735" s="1303">
        <f>SUM(G1725:G1734)</f>
        <v>0</v>
      </c>
    </row>
    <row r="1737" spans="1:7" ht="13.8" thickBot="1" x14ac:dyDescent="0.3"/>
    <row r="1738" spans="1:7" ht="13.8" x14ac:dyDescent="0.25">
      <c r="A1738" s="1470" t="s">
        <v>1447</v>
      </c>
      <c r="B1738" s="1471"/>
      <c r="C1738" s="1471"/>
      <c r="D1738" s="1471"/>
      <c r="E1738" s="1471"/>
      <c r="F1738" s="1471"/>
      <c r="G1738" s="1472"/>
    </row>
    <row r="1739" spans="1:7" ht="14.4" thickBot="1" x14ac:dyDescent="0.3">
      <c r="A1739" s="1473" t="s">
        <v>1448</v>
      </c>
      <c r="B1739" s="1474"/>
      <c r="C1739" s="1474"/>
      <c r="D1739" s="1474"/>
      <c r="E1739" s="1474"/>
      <c r="F1739" s="1474"/>
      <c r="G1739" s="1475"/>
    </row>
    <row r="1740" spans="1:7" ht="14.4" thickBot="1" x14ac:dyDescent="0.3">
      <c r="A1740" s="1292"/>
      <c r="B1740" s="1293" t="s">
        <v>1038</v>
      </c>
      <c r="C1740" s="1293" t="s">
        <v>1039</v>
      </c>
      <c r="D1740" s="1293" t="s">
        <v>2</v>
      </c>
      <c r="E1740" s="1293" t="s">
        <v>1040</v>
      </c>
      <c r="F1740" s="1293" t="s">
        <v>5</v>
      </c>
      <c r="G1740" s="1293" t="s">
        <v>1260</v>
      </c>
    </row>
    <row r="1741" spans="1:7" ht="13.8" x14ac:dyDescent="0.25">
      <c r="A1741" s="1294"/>
      <c r="B1741" s="1294"/>
      <c r="C1741" s="1295"/>
      <c r="D1741" s="1296"/>
      <c r="E1741" s="1296"/>
      <c r="F1741" s="1296"/>
      <c r="G1741" s="1296"/>
    </row>
    <row r="1742" spans="1:7" ht="13.8" x14ac:dyDescent="0.25">
      <c r="A1742" s="1294"/>
      <c r="B1742" s="1297" t="s">
        <v>1276</v>
      </c>
      <c r="C1742" s="1295"/>
      <c r="D1742" s="1296"/>
      <c r="E1742" s="1296"/>
      <c r="F1742" s="1296"/>
      <c r="G1742" s="1296"/>
    </row>
    <row r="1743" spans="1:7" ht="13.8" x14ac:dyDescent="0.25">
      <c r="A1743" s="1294"/>
      <c r="B1743" s="1294" t="s">
        <v>1449</v>
      </c>
      <c r="C1743" s="1296" t="s">
        <v>449</v>
      </c>
      <c r="D1743" s="1296">
        <v>10</v>
      </c>
      <c r="E1743" s="1296">
        <f>2012.5*4</f>
        <v>8050</v>
      </c>
      <c r="F1743" s="1296">
        <f>D1743*E1743</f>
        <v>80500</v>
      </c>
      <c r="G1743" s="1296"/>
    </row>
    <row r="1744" spans="1:7" ht="13.8" x14ac:dyDescent="0.25">
      <c r="A1744" s="1309"/>
      <c r="B1744" s="1309"/>
      <c r="C1744" s="1310"/>
      <c r="D1744" s="1310"/>
      <c r="E1744" s="1310">
        <f>+F1564</f>
        <v>0</v>
      </c>
      <c r="F1744" s="1310">
        <f t="shared" ref="F1744" si="171">D1744*E1744</f>
        <v>0</v>
      </c>
      <c r="G1744" s="1310"/>
    </row>
    <row r="1745" spans="1:29" s="1332" customFormat="1" ht="13.8" x14ac:dyDescent="0.25">
      <c r="A1745" s="1309"/>
      <c r="B1745" s="1309" t="s">
        <v>1450</v>
      </c>
      <c r="C1745" s="1310" t="s">
        <v>1413</v>
      </c>
      <c r="D1745" s="1310"/>
      <c r="E1745" s="1310">
        <v>15000</v>
      </c>
      <c r="F1745" s="1310">
        <f>E1745</f>
        <v>15000</v>
      </c>
      <c r="G1745" s="1310"/>
      <c r="H1745" s="1290"/>
      <c r="I1745" s="1290"/>
      <c r="J1745" s="1290"/>
      <c r="P1745" s="1291"/>
      <c r="Q1745" s="1291"/>
      <c r="R1745" s="1291"/>
      <c r="S1745" s="1291"/>
      <c r="T1745" s="1291"/>
      <c r="U1745" s="1291"/>
      <c r="V1745" s="1291"/>
      <c r="W1745" s="1291"/>
      <c r="X1745" s="1291"/>
      <c r="Y1745" s="1291"/>
      <c r="Z1745" s="1291"/>
      <c r="AA1745" s="1291"/>
      <c r="AB1745" s="1291"/>
      <c r="AC1745" s="1291"/>
    </row>
    <row r="1746" spans="1:29" s="1332" customFormat="1" ht="13.8" x14ac:dyDescent="0.25">
      <c r="A1746" s="1309"/>
      <c r="B1746" s="1343"/>
      <c r="C1746" s="1310"/>
      <c r="D1746" s="1310"/>
      <c r="E1746" s="1310">
        <f>+[20]Material!D705</f>
        <v>0</v>
      </c>
      <c r="F1746" s="1310">
        <f t="shared" ref="F1746" si="172">E1746</f>
        <v>0</v>
      </c>
      <c r="G1746" s="1310"/>
      <c r="H1746" s="1290"/>
      <c r="I1746" s="1290"/>
      <c r="J1746" s="1290"/>
      <c r="P1746" s="1291"/>
      <c r="Q1746" s="1291"/>
      <c r="R1746" s="1291"/>
      <c r="S1746" s="1291"/>
      <c r="T1746" s="1291"/>
      <c r="U1746" s="1291"/>
      <c r="V1746" s="1291"/>
      <c r="W1746" s="1291"/>
      <c r="X1746" s="1291"/>
      <c r="Y1746" s="1291"/>
      <c r="Z1746" s="1291"/>
      <c r="AA1746" s="1291"/>
      <c r="AB1746" s="1291"/>
      <c r="AC1746" s="1291"/>
    </row>
    <row r="1747" spans="1:29" s="1332" customFormat="1" ht="13.8" x14ac:dyDescent="0.25">
      <c r="A1747" s="1309"/>
      <c r="B1747" s="1309" t="s">
        <v>1451</v>
      </c>
      <c r="C1747" s="1310" t="s">
        <v>1327</v>
      </c>
      <c r="D1747" s="1310">
        <v>525</v>
      </c>
      <c r="E1747" s="1310">
        <v>120</v>
      </c>
      <c r="F1747" s="1310">
        <f>D1747*E1747</f>
        <v>63000</v>
      </c>
      <c r="G1747" s="1310"/>
      <c r="H1747" s="1290">
        <f>475+25+25</f>
        <v>525</v>
      </c>
      <c r="I1747" s="1290"/>
      <c r="J1747" s="1290"/>
      <c r="P1747" s="1291"/>
      <c r="Q1747" s="1291"/>
      <c r="R1747" s="1291"/>
      <c r="S1747" s="1291"/>
      <c r="T1747" s="1291"/>
      <c r="U1747" s="1291"/>
      <c r="V1747" s="1291"/>
      <c r="W1747" s="1291"/>
      <c r="X1747" s="1291"/>
      <c r="Y1747" s="1291"/>
      <c r="Z1747" s="1291"/>
      <c r="AA1747" s="1291"/>
      <c r="AB1747" s="1291"/>
      <c r="AC1747" s="1291"/>
    </row>
    <row r="1748" spans="1:29" s="1332" customFormat="1" ht="13.8" x14ac:dyDescent="0.25">
      <c r="A1748" s="1309"/>
      <c r="B1748" s="1309"/>
      <c r="C1748" s="1310"/>
      <c r="D1748" s="1310"/>
      <c r="E1748" s="1310"/>
      <c r="F1748" s="1310"/>
      <c r="G1748" s="1310"/>
      <c r="H1748" s="1290">
        <v>2700</v>
      </c>
      <c r="I1748" s="1290"/>
      <c r="J1748" s="1290"/>
      <c r="P1748" s="1291"/>
      <c r="Q1748" s="1291"/>
      <c r="R1748" s="1291"/>
      <c r="S1748" s="1291"/>
      <c r="T1748" s="1291"/>
      <c r="U1748" s="1291"/>
      <c r="V1748" s="1291"/>
      <c r="W1748" s="1291"/>
      <c r="X1748" s="1291"/>
      <c r="Y1748" s="1291"/>
      <c r="Z1748" s="1291"/>
      <c r="AA1748" s="1291"/>
      <c r="AB1748" s="1291"/>
      <c r="AC1748" s="1291"/>
    </row>
    <row r="1749" spans="1:29" s="1332" customFormat="1" ht="13.8" x14ac:dyDescent="0.25">
      <c r="A1749" s="1309"/>
      <c r="B1749" s="1309" t="s">
        <v>1452</v>
      </c>
      <c r="C1749" s="1310" t="s">
        <v>1294</v>
      </c>
      <c r="D1749" s="1310">
        <f>(16*10.76)</f>
        <v>172.16</v>
      </c>
      <c r="E1749" s="1310">
        <v>725</v>
      </c>
      <c r="F1749" s="1310">
        <f t="shared" ref="F1749" si="173">D1749*E1749</f>
        <v>124816</v>
      </c>
      <c r="G1749" s="1310"/>
      <c r="H1749" s="1290">
        <v>650</v>
      </c>
      <c r="I1749" s="1290"/>
      <c r="J1749" s="1290"/>
      <c r="P1749" s="1291"/>
      <c r="Q1749" s="1291"/>
      <c r="R1749" s="1291"/>
      <c r="S1749" s="1291"/>
      <c r="T1749" s="1291"/>
      <c r="U1749" s="1291"/>
      <c r="V1749" s="1291"/>
      <c r="W1749" s="1291"/>
      <c r="X1749" s="1291"/>
      <c r="Y1749" s="1291"/>
      <c r="Z1749" s="1291"/>
      <c r="AA1749" s="1291"/>
      <c r="AB1749" s="1291"/>
      <c r="AC1749" s="1291"/>
    </row>
    <row r="1750" spans="1:29" s="1332" customFormat="1" ht="13.8" x14ac:dyDescent="0.25">
      <c r="A1750" s="1309"/>
      <c r="B1750" s="1309"/>
      <c r="C1750" s="1310"/>
      <c r="D1750" s="1310"/>
      <c r="E1750" s="1310"/>
      <c r="F1750" s="1296"/>
      <c r="G1750" s="1310"/>
      <c r="H1750" s="1290">
        <v>150</v>
      </c>
      <c r="I1750" s="1290"/>
      <c r="J1750" s="1290"/>
      <c r="P1750" s="1291"/>
      <c r="Q1750" s="1291"/>
      <c r="R1750" s="1291"/>
      <c r="S1750" s="1291"/>
      <c r="T1750" s="1291"/>
      <c r="U1750" s="1291"/>
      <c r="V1750" s="1291"/>
      <c r="W1750" s="1291"/>
      <c r="X1750" s="1291"/>
      <c r="Y1750" s="1291"/>
      <c r="Z1750" s="1291"/>
      <c r="AA1750" s="1291"/>
      <c r="AB1750" s="1291"/>
      <c r="AC1750" s="1291"/>
    </row>
    <row r="1751" spans="1:29" s="1332" customFormat="1" ht="13.8" x14ac:dyDescent="0.25">
      <c r="A1751" s="1309"/>
      <c r="B1751" s="1309" t="s">
        <v>499</v>
      </c>
      <c r="C1751" s="1310"/>
      <c r="D1751" s="1310"/>
      <c r="E1751" s="1310">
        <v>30000</v>
      </c>
      <c r="F1751" s="1296">
        <f t="shared" ref="F1751:F1753" si="174">E1751</f>
        <v>30000</v>
      </c>
      <c r="G1751" s="1310"/>
      <c r="H1751" s="1290">
        <v>700</v>
      </c>
      <c r="I1751" s="1290"/>
      <c r="J1751" s="1290"/>
      <c r="P1751" s="1291"/>
      <c r="Q1751" s="1291"/>
      <c r="R1751" s="1291"/>
      <c r="S1751" s="1291"/>
      <c r="T1751" s="1291"/>
      <c r="U1751" s="1291"/>
      <c r="V1751" s="1291"/>
      <c r="W1751" s="1291"/>
      <c r="X1751" s="1291"/>
      <c r="Y1751" s="1291"/>
      <c r="Z1751" s="1291"/>
      <c r="AA1751" s="1291"/>
      <c r="AB1751" s="1291"/>
      <c r="AC1751" s="1291"/>
    </row>
    <row r="1752" spans="1:29" s="1332" customFormat="1" ht="13.8" x14ac:dyDescent="0.25">
      <c r="A1752" s="1309"/>
      <c r="B1752" s="1309"/>
      <c r="C1752" s="1310"/>
      <c r="D1752" s="1310"/>
      <c r="E1752" s="1310"/>
      <c r="F1752" s="1296"/>
      <c r="G1752" s="1310"/>
      <c r="H1752" s="1290">
        <v>700</v>
      </c>
      <c r="I1752" s="1290"/>
      <c r="J1752" s="1290"/>
      <c r="P1752" s="1291"/>
      <c r="Q1752" s="1291"/>
      <c r="R1752" s="1291"/>
      <c r="S1752" s="1291"/>
      <c r="T1752" s="1291"/>
      <c r="U1752" s="1291"/>
      <c r="V1752" s="1291"/>
      <c r="W1752" s="1291"/>
      <c r="X1752" s="1291"/>
      <c r="Y1752" s="1291"/>
      <c r="Z1752" s="1291"/>
      <c r="AA1752" s="1291"/>
      <c r="AB1752" s="1291"/>
      <c r="AC1752" s="1291"/>
    </row>
    <row r="1753" spans="1:29" s="1332" customFormat="1" ht="13.8" x14ac:dyDescent="0.25">
      <c r="A1753" s="1309"/>
      <c r="B1753" s="1309" t="s">
        <v>1453</v>
      </c>
      <c r="C1753" s="1310" t="s">
        <v>449</v>
      </c>
      <c r="D1753" s="1310">
        <v>4</v>
      </c>
      <c r="E1753" s="1310">
        <v>15000</v>
      </c>
      <c r="F1753" s="1296">
        <f t="shared" si="174"/>
        <v>15000</v>
      </c>
      <c r="G1753" s="1310"/>
      <c r="H1753" s="1290"/>
      <c r="I1753" s="1371" t="s">
        <v>1454</v>
      </c>
      <c r="J1753" s="1290">
        <f>1.2*50</f>
        <v>60</v>
      </c>
      <c r="K1753" s="1332">
        <f>J1753*10.76</f>
        <v>645.6</v>
      </c>
      <c r="L1753" s="1332">
        <f>14500/645.6</f>
        <v>22.459727385377942</v>
      </c>
      <c r="P1753" s="1291"/>
      <c r="Q1753" s="1291"/>
      <c r="R1753" s="1291"/>
      <c r="S1753" s="1291"/>
      <c r="T1753" s="1291"/>
      <c r="U1753" s="1291"/>
      <c r="V1753" s="1291"/>
      <c r="W1753" s="1291"/>
      <c r="X1753" s="1291"/>
      <c r="Y1753" s="1291"/>
      <c r="Z1753" s="1291"/>
      <c r="AA1753" s="1291"/>
      <c r="AB1753" s="1291"/>
      <c r="AC1753" s="1291"/>
    </row>
    <row r="1754" spans="1:29" s="1332" customFormat="1" ht="13.8" x14ac:dyDescent="0.25">
      <c r="A1754" s="1309"/>
      <c r="B1754" s="1309"/>
      <c r="C1754" s="1310"/>
      <c r="D1754" s="1310"/>
      <c r="E1754" s="1310"/>
      <c r="F1754" s="1310"/>
      <c r="G1754" s="1310"/>
      <c r="H1754" s="1290"/>
      <c r="I1754" s="1290"/>
      <c r="J1754" s="1290"/>
      <c r="P1754" s="1291"/>
      <c r="Q1754" s="1291"/>
      <c r="R1754" s="1291"/>
      <c r="S1754" s="1291"/>
      <c r="T1754" s="1291"/>
      <c r="U1754" s="1291"/>
      <c r="V1754" s="1291"/>
      <c r="W1754" s="1291"/>
      <c r="X1754" s="1291"/>
      <c r="Y1754" s="1291"/>
      <c r="Z1754" s="1291"/>
      <c r="AA1754" s="1291"/>
      <c r="AB1754" s="1291"/>
      <c r="AC1754" s="1291"/>
    </row>
    <row r="1755" spans="1:29" s="1332" customFormat="1" ht="13.8" x14ac:dyDescent="0.25">
      <c r="A1755" s="1298"/>
      <c r="B1755" s="1476" t="s">
        <v>1277</v>
      </c>
      <c r="C1755" s="1476"/>
      <c r="D1755" s="1476"/>
      <c r="E1755" s="1476"/>
      <c r="F1755" s="1299"/>
      <c r="G1755" s="1300">
        <f>SUM(F1741:F1754)</f>
        <v>328316</v>
      </c>
      <c r="H1755" s="1290"/>
      <c r="I1755" s="1290"/>
      <c r="J1755" s="1290"/>
      <c r="P1755" s="1291"/>
      <c r="Q1755" s="1291"/>
      <c r="R1755" s="1291"/>
      <c r="S1755" s="1291"/>
      <c r="T1755" s="1291"/>
      <c r="U1755" s="1291"/>
      <c r="V1755" s="1291"/>
      <c r="W1755" s="1291"/>
      <c r="X1755" s="1291"/>
      <c r="Y1755" s="1291"/>
      <c r="Z1755" s="1291"/>
      <c r="AA1755" s="1291"/>
      <c r="AB1755" s="1291"/>
      <c r="AC1755" s="1291"/>
    </row>
    <row r="1756" spans="1:29" s="1332" customFormat="1" ht="13.8" x14ac:dyDescent="0.25">
      <c r="A1756" s="1294"/>
      <c r="B1756" s="1297" t="s">
        <v>1261</v>
      </c>
      <c r="C1756" s="1295"/>
      <c r="D1756" s="1296"/>
      <c r="E1756" s="1296"/>
      <c r="F1756" s="1296">
        <f>D1756*E1756</f>
        <v>0</v>
      </c>
      <c r="G1756" s="1296"/>
      <c r="H1756" s="1290"/>
      <c r="I1756" s="1290"/>
      <c r="J1756" s="1290"/>
      <c r="P1756" s="1291"/>
      <c r="Q1756" s="1291"/>
      <c r="R1756" s="1291"/>
      <c r="S1756" s="1291"/>
      <c r="T1756" s="1291"/>
      <c r="U1756" s="1291"/>
      <c r="V1756" s="1291"/>
      <c r="W1756" s="1291"/>
      <c r="X1756" s="1291"/>
      <c r="Y1756" s="1291"/>
      <c r="Z1756" s="1291"/>
      <c r="AA1756" s="1291"/>
      <c r="AB1756" s="1291"/>
      <c r="AC1756" s="1291"/>
    </row>
    <row r="1757" spans="1:29" s="1332" customFormat="1" ht="13.8" x14ac:dyDescent="0.25">
      <c r="A1757" s="1309"/>
      <c r="B1757" s="1352"/>
      <c r="C1757" s="1343"/>
      <c r="D1757" s="1310"/>
      <c r="E1757" s="1310"/>
      <c r="F1757" s="1310"/>
      <c r="G1757" s="1310"/>
      <c r="H1757" s="1290"/>
      <c r="I1757" s="1290"/>
      <c r="J1757" s="1290"/>
      <c r="P1757" s="1291"/>
      <c r="Q1757" s="1291"/>
      <c r="R1757" s="1291"/>
      <c r="S1757" s="1291"/>
      <c r="T1757" s="1291"/>
      <c r="U1757" s="1291"/>
      <c r="V1757" s="1291"/>
      <c r="W1757" s="1291"/>
      <c r="X1757" s="1291"/>
      <c r="Y1757" s="1291"/>
      <c r="Z1757" s="1291"/>
      <c r="AA1757" s="1291"/>
      <c r="AB1757" s="1291"/>
      <c r="AC1757" s="1291"/>
    </row>
    <row r="1758" spans="1:29" s="1332" customFormat="1" ht="13.8" x14ac:dyDescent="0.25">
      <c r="A1758" s="1309"/>
      <c r="B1758" s="1309" t="s">
        <v>1271</v>
      </c>
      <c r="C1758" s="1310" t="s">
        <v>449</v>
      </c>
      <c r="D1758" s="1310">
        <v>40</v>
      </c>
      <c r="E1758" s="1310">
        <v>500</v>
      </c>
      <c r="F1758" s="1310">
        <f>D1758*E1758</f>
        <v>20000</v>
      </c>
      <c r="G1758" s="1310"/>
      <c r="H1758" s="1290"/>
      <c r="I1758" s="1290"/>
      <c r="J1758" s="1290"/>
      <c r="P1758" s="1291"/>
      <c r="Q1758" s="1291"/>
      <c r="R1758" s="1291"/>
      <c r="S1758" s="1291"/>
      <c r="T1758" s="1291"/>
      <c r="U1758" s="1291"/>
      <c r="V1758" s="1291"/>
      <c r="W1758" s="1291"/>
      <c r="X1758" s="1291"/>
      <c r="Y1758" s="1291"/>
      <c r="Z1758" s="1291"/>
      <c r="AA1758" s="1291"/>
      <c r="AB1758" s="1291"/>
      <c r="AC1758" s="1291"/>
    </row>
    <row r="1759" spans="1:29" s="1332" customFormat="1" ht="13.8" x14ac:dyDescent="0.25">
      <c r="A1759" s="1309"/>
      <c r="B1759" s="1309"/>
      <c r="C1759" s="1310"/>
      <c r="D1759" s="1310"/>
      <c r="E1759" s="1310"/>
      <c r="F1759" s="1310"/>
      <c r="G1759" s="1310"/>
      <c r="H1759" s="1290"/>
      <c r="I1759" s="1290"/>
      <c r="J1759" s="1290"/>
      <c r="P1759" s="1291"/>
      <c r="Q1759" s="1291"/>
      <c r="R1759" s="1291"/>
      <c r="S1759" s="1291"/>
      <c r="T1759" s="1291"/>
      <c r="U1759" s="1291"/>
      <c r="V1759" s="1291"/>
      <c r="W1759" s="1291"/>
      <c r="X1759" s="1291"/>
      <c r="Y1759" s="1291"/>
      <c r="Z1759" s="1291"/>
      <c r="AA1759" s="1291"/>
      <c r="AB1759" s="1291"/>
      <c r="AC1759" s="1291"/>
    </row>
    <row r="1760" spans="1:29" s="1332" customFormat="1" ht="13.8" x14ac:dyDescent="0.25">
      <c r="A1760" s="1294"/>
      <c r="B1760" s="1294" t="s">
        <v>1389</v>
      </c>
      <c r="C1760" s="1296"/>
      <c r="D1760" s="1296"/>
      <c r="E1760" s="1296"/>
      <c r="F1760" s="1296">
        <f>F1758*3%</f>
        <v>600</v>
      </c>
      <c r="G1760" s="1296"/>
      <c r="H1760" s="1290"/>
      <c r="I1760" s="1290"/>
      <c r="J1760" s="1290"/>
      <c r="P1760" s="1291"/>
      <c r="Q1760" s="1291"/>
      <c r="R1760" s="1291"/>
      <c r="S1760" s="1291"/>
      <c r="T1760" s="1291"/>
      <c r="U1760" s="1291"/>
      <c r="V1760" s="1291"/>
      <c r="W1760" s="1291"/>
      <c r="X1760" s="1291"/>
      <c r="Y1760" s="1291"/>
      <c r="Z1760" s="1291"/>
      <c r="AA1760" s="1291"/>
      <c r="AB1760" s="1291"/>
      <c r="AC1760" s="1291"/>
    </row>
    <row r="1761" spans="1:7" ht="13.8" x14ac:dyDescent="0.25">
      <c r="A1761" s="1294"/>
      <c r="B1761" s="1294" t="s">
        <v>1395</v>
      </c>
      <c r="C1761" s="1296"/>
      <c r="D1761" s="1296"/>
      <c r="E1761" s="1296"/>
      <c r="F1761" s="1296">
        <f>F1758*5%</f>
        <v>1000</v>
      </c>
      <c r="G1761" s="1296"/>
    </row>
    <row r="1762" spans="1:7" ht="13.8" x14ac:dyDescent="0.25">
      <c r="A1762" s="1294"/>
      <c r="B1762" s="1294"/>
      <c r="C1762" s="1295"/>
      <c r="D1762" s="1296"/>
      <c r="E1762" s="1296"/>
      <c r="F1762" s="1296"/>
      <c r="G1762" s="1296"/>
    </row>
    <row r="1763" spans="1:7" ht="13.8" x14ac:dyDescent="0.25">
      <c r="A1763" s="1298"/>
      <c r="B1763" s="1476" t="s">
        <v>1264</v>
      </c>
      <c r="C1763" s="1476"/>
      <c r="D1763" s="1476"/>
      <c r="E1763" s="1476"/>
      <c r="F1763" s="1299">
        <f>D1763*E1763</f>
        <v>0</v>
      </c>
      <c r="G1763" s="1300">
        <f>SUM(F1758:F1763)</f>
        <v>21600</v>
      </c>
    </row>
    <row r="1764" spans="1:7" ht="13.8" x14ac:dyDescent="0.25">
      <c r="A1764" s="1294"/>
      <c r="B1764" s="1302"/>
      <c r="C1764" s="1302"/>
      <c r="D1764" s="1302"/>
      <c r="E1764" s="1302"/>
      <c r="F1764" s="1296"/>
      <c r="G1764" s="1302"/>
    </row>
    <row r="1765" spans="1:7" ht="13.8" x14ac:dyDescent="0.25">
      <c r="A1765" s="1294"/>
      <c r="B1765" s="1302"/>
      <c r="C1765" s="1302"/>
      <c r="D1765" s="1302"/>
      <c r="E1765" s="1302"/>
      <c r="F1765" s="1296"/>
      <c r="G1765" s="1302"/>
    </row>
    <row r="1766" spans="1:7" ht="13.8" x14ac:dyDescent="0.25">
      <c r="A1766" s="1469" t="s">
        <v>1455</v>
      </c>
      <c r="B1766" s="1469"/>
      <c r="C1766" s="1469"/>
      <c r="D1766" s="1469"/>
      <c r="E1766" s="1469"/>
      <c r="F1766" s="1469"/>
      <c r="G1766" s="1303">
        <f>G1755+G1763</f>
        <v>349916</v>
      </c>
    </row>
    <row r="1767" spans="1:7" ht="13.8" x14ac:dyDescent="0.25">
      <c r="A1767" s="1469" t="s">
        <v>1296</v>
      </c>
      <c r="B1767" s="1469"/>
      <c r="C1767" s="1469"/>
      <c r="D1767" s="1469"/>
      <c r="E1767" s="1469"/>
      <c r="F1767" s="1469"/>
      <c r="G1767" s="1303">
        <f>G1766/16</f>
        <v>21869.75</v>
      </c>
    </row>
    <row r="1768" spans="1:7" ht="13.8" x14ac:dyDescent="0.25">
      <c r="A1768" s="1469" t="s">
        <v>1297</v>
      </c>
      <c r="B1768" s="1469"/>
      <c r="C1768" s="1469"/>
      <c r="D1768" s="1469"/>
      <c r="E1768" s="1469"/>
      <c r="F1768" s="1469"/>
      <c r="G1768" s="1354">
        <f>G1767/10.76</f>
        <v>2032.5046468401488</v>
      </c>
    </row>
    <row r="1770" spans="1:7" ht="13.8" thickBot="1" x14ac:dyDescent="0.3"/>
    <row r="1771" spans="1:7" ht="13.8" x14ac:dyDescent="0.25">
      <c r="A1771" s="1470" t="s">
        <v>1456</v>
      </c>
      <c r="B1771" s="1471"/>
      <c r="C1771" s="1471"/>
      <c r="D1771" s="1471"/>
      <c r="E1771" s="1471"/>
      <c r="F1771" s="1471"/>
      <c r="G1771" s="1472"/>
    </row>
    <row r="1772" spans="1:7" ht="14.4" thickBot="1" x14ac:dyDescent="0.3">
      <c r="A1772" s="1473" t="s">
        <v>1457</v>
      </c>
      <c r="B1772" s="1474"/>
      <c r="C1772" s="1474"/>
      <c r="D1772" s="1474"/>
      <c r="E1772" s="1474"/>
      <c r="F1772" s="1474"/>
      <c r="G1772" s="1475"/>
    </row>
    <row r="1773" spans="1:7" ht="14.4" thickBot="1" x14ac:dyDescent="0.3">
      <c r="A1773" s="1292"/>
      <c r="B1773" s="1293" t="s">
        <v>1038</v>
      </c>
      <c r="C1773" s="1293" t="s">
        <v>1039</v>
      </c>
      <c r="D1773" s="1293" t="s">
        <v>2</v>
      </c>
      <c r="E1773" s="1293" t="s">
        <v>1040</v>
      </c>
      <c r="F1773" s="1293" t="s">
        <v>5</v>
      </c>
      <c r="G1773" s="1293" t="s">
        <v>1260</v>
      </c>
    </row>
    <row r="1774" spans="1:7" ht="13.8" x14ac:dyDescent="0.25">
      <c r="A1774" s="1294"/>
      <c r="B1774" s="1294"/>
      <c r="C1774" s="1295"/>
      <c r="D1774" s="1296"/>
      <c r="E1774" s="1296"/>
      <c r="F1774" s="1296"/>
      <c r="G1774" s="1296"/>
    </row>
    <row r="1775" spans="1:7" ht="13.8" x14ac:dyDescent="0.25">
      <c r="A1775" s="1309"/>
      <c r="B1775" s="1311" t="s">
        <v>1458</v>
      </c>
      <c r="C1775" s="1310" t="s">
        <v>1190</v>
      </c>
      <c r="D1775" s="1310">
        <v>94</v>
      </c>
      <c r="E1775" s="1310">
        <v>1100</v>
      </c>
      <c r="F1775" s="1310">
        <f>D1775*E1775</f>
        <v>103400</v>
      </c>
      <c r="G1775" s="1310"/>
    </row>
    <row r="1776" spans="1:7" ht="13.8" x14ac:dyDescent="0.25">
      <c r="A1776" s="1294"/>
      <c r="B1776" s="1311" t="s">
        <v>1459</v>
      </c>
      <c r="C1776" s="1296" t="s">
        <v>1190</v>
      </c>
      <c r="D1776" s="1296">
        <v>47</v>
      </c>
      <c r="E1776" s="1296">
        <v>2500</v>
      </c>
      <c r="F1776" s="1310">
        <f t="shared" ref="F1776:F1792" si="175">D1776*E1776</f>
        <v>117500</v>
      </c>
      <c r="G1776" s="1296"/>
    </row>
    <row r="1777" spans="1:7" ht="13.8" x14ac:dyDescent="0.25">
      <c r="A1777" s="1294"/>
      <c r="B1777" s="1311" t="s">
        <v>1460</v>
      </c>
      <c r="C1777" s="1296" t="s">
        <v>1190</v>
      </c>
      <c r="D1777" s="1296">
        <v>665</v>
      </c>
      <c r="E1777" s="1296">
        <v>750</v>
      </c>
      <c r="F1777" s="1310">
        <f t="shared" si="175"/>
        <v>498750</v>
      </c>
      <c r="G1777" s="1296"/>
    </row>
    <row r="1778" spans="1:7" ht="13.8" x14ac:dyDescent="0.25">
      <c r="A1778" s="1294"/>
      <c r="B1778" s="1311" t="s">
        <v>1461</v>
      </c>
      <c r="C1778" s="1296" t="s">
        <v>1190</v>
      </c>
      <c r="D1778" s="1296">
        <v>658</v>
      </c>
      <c r="E1778" s="1296">
        <v>180</v>
      </c>
      <c r="F1778" s="1310">
        <f t="shared" si="175"/>
        <v>118440</v>
      </c>
      <c r="G1778" s="1296"/>
    </row>
    <row r="1779" spans="1:7" ht="13.8" x14ac:dyDescent="0.25">
      <c r="A1779" s="1294"/>
      <c r="B1779" s="1311" t="s">
        <v>1462</v>
      </c>
      <c r="C1779" s="1296" t="s">
        <v>1190</v>
      </c>
      <c r="D1779" s="1296">
        <v>94</v>
      </c>
      <c r="E1779" s="1296">
        <v>750</v>
      </c>
      <c r="F1779" s="1310">
        <f t="shared" si="175"/>
        <v>70500</v>
      </c>
      <c r="G1779" s="1296"/>
    </row>
    <row r="1780" spans="1:7" ht="13.8" x14ac:dyDescent="0.25">
      <c r="A1780" s="1294"/>
      <c r="B1780" s="1311" t="s">
        <v>1463</v>
      </c>
      <c r="C1780" s="1296" t="s">
        <v>1190</v>
      </c>
      <c r="D1780" s="1296">
        <v>54</v>
      </c>
      <c r="E1780" s="1296">
        <v>750</v>
      </c>
      <c r="F1780" s="1310">
        <f t="shared" si="175"/>
        <v>40500</v>
      </c>
      <c r="G1780" s="1296"/>
    </row>
    <row r="1781" spans="1:7" ht="13.8" x14ac:dyDescent="0.25">
      <c r="A1781" s="1294"/>
      <c r="B1781" s="1311" t="s">
        <v>1464</v>
      </c>
      <c r="C1781" s="1296" t="s">
        <v>1294</v>
      </c>
      <c r="D1781" s="1296">
        <v>1248.05</v>
      </c>
      <c r="E1781" s="1310">
        <v>25</v>
      </c>
      <c r="F1781" s="1310">
        <f t="shared" si="175"/>
        <v>31201.25</v>
      </c>
      <c r="G1781" s="1296"/>
    </row>
    <row r="1782" spans="1:7" ht="13.8" x14ac:dyDescent="0.25">
      <c r="A1782" s="1294"/>
      <c r="B1782" s="1311" t="s">
        <v>1465</v>
      </c>
      <c r="C1782" s="1296" t="s">
        <v>1294</v>
      </c>
      <c r="D1782" s="1296">
        <v>1248.05</v>
      </c>
      <c r="E1782" s="1296">
        <f>170*1.25</f>
        <v>212.5</v>
      </c>
      <c r="F1782" s="1310">
        <f t="shared" si="175"/>
        <v>265210.625</v>
      </c>
      <c r="G1782" s="1296"/>
    </row>
    <row r="1783" spans="1:7" ht="13.8" x14ac:dyDescent="0.25">
      <c r="A1783" s="1294"/>
      <c r="B1783" s="1311" t="s">
        <v>1466</v>
      </c>
      <c r="C1783" s="1296" t="s">
        <v>1294</v>
      </c>
      <c r="D1783" s="1296">
        <v>1248.05</v>
      </c>
      <c r="E1783" s="1296">
        <v>215</v>
      </c>
      <c r="F1783" s="1310">
        <f t="shared" si="175"/>
        <v>268330.75</v>
      </c>
      <c r="G1783" s="1296"/>
    </row>
    <row r="1784" spans="1:7" ht="13.8" x14ac:dyDescent="0.25">
      <c r="A1784" s="1294"/>
      <c r="B1784" s="1311" t="s">
        <v>1467</v>
      </c>
      <c r="C1784" s="1296" t="s">
        <v>1294</v>
      </c>
      <c r="D1784" s="1296">
        <f>2995</f>
        <v>2995</v>
      </c>
      <c r="E1784" s="1296">
        <v>45</v>
      </c>
      <c r="F1784" s="1310">
        <f t="shared" si="175"/>
        <v>134775</v>
      </c>
      <c r="G1784" s="1296"/>
    </row>
    <row r="1785" spans="1:7" ht="13.8" x14ac:dyDescent="0.25">
      <c r="A1785" s="1294"/>
      <c r="B1785" s="1311" t="s">
        <v>1468</v>
      </c>
      <c r="C1785" s="1296" t="s">
        <v>1190</v>
      </c>
      <c r="D1785" s="1296">
        <v>57</v>
      </c>
      <c r="E1785" s="1296">
        <v>419</v>
      </c>
      <c r="F1785" s="1310">
        <f t="shared" si="175"/>
        <v>23883</v>
      </c>
      <c r="G1785" s="1296"/>
    </row>
    <row r="1786" spans="1:7" ht="13.8" x14ac:dyDescent="0.25">
      <c r="A1786" s="1294"/>
      <c r="B1786" s="1311"/>
      <c r="C1786" s="1296"/>
      <c r="D1786" s="1296"/>
      <c r="E1786" s="1296"/>
      <c r="F1786" s="1310">
        <f t="shared" si="175"/>
        <v>0</v>
      </c>
      <c r="G1786" s="1296"/>
    </row>
    <row r="1787" spans="1:7" ht="13.8" x14ac:dyDescent="0.25">
      <c r="A1787" s="1294"/>
      <c r="B1787" s="1311"/>
      <c r="C1787" s="1296"/>
      <c r="D1787" s="1296"/>
      <c r="E1787" s="1296"/>
      <c r="F1787" s="1310"/>
      <c r="G1787" s="1296"/>
    </row>
    <row r="1788" spans="1:7" ht="13.8" x14ac:dyDescent="0.25">
      <c r="A1788" s="1294"/>
      <c r="B1788" s="1311"/>
      <c r="C1788" s="1296"/>
      <c r="D1788" s="1296"/>
      <c r="E1788" s="1296"/>
      <c r="F1788" s="1310"/>
      <c r="G1788" s="1296"/>
    </row>
    <row r="1789" spans="1:7" ht="13.8" x14ac:dyDescent="0.25">
      <c r="A1789" s="1294"/>
      <c r="B1789" s="1311"/>
      <c r="C1789" s="1296"/>
      <c r="D1789" s="1296"/>
      <c r="E1789" s="1296"/>
      <c r="F1789" s="1310"/>
      <c r="G1789" s="1296"/>
    </row>
    <row r="1790" spans="1:7" ht="13.8" x14ac:dyDescent="0.25">
      <c r="A1790" s="1294"/>
      <c r="B1790" s="1311" t="s">
        <v>1469</v>
      </c>
      <c r="C1790" s="1296" t="s">
        <v>1294</v>
      </c>
      <c r="D1790" s="1296">
        <v>2451.34</v>
      </c>
      <c r="E1790" s="1296">
        <v>300</v>
      </c>
      <c r="F1790" s="1310">
        <f t="shared" si="175"/>
        <v>735402</v>
      </c>
      <c r="G1790" s="1296"/>
    </row>
    <row r="1791" spans="1:7" ht="13.8" x14ac:dyDescent="0.25">
      <c r="A1791" s="1294"/>
      <c r="B1791" s="1311"/>
      <c r="C1791" s="1296"/>
      <c r="D1791" s="1296"/>
      <c r="E1791" s="1296"/>
      <c r="F1791" s="1310">
        <f t="shared" si="175"/>
        <v>0</v>
      </c>
      <c r="G1791" s="1296"/>
    </row>
    <row r="1792" spans="1:7" ht="13.8" x14ac:dyDescent="0.25">
      <c r="A1792" s="1294"/>
      <c r="B1792" s="1311"/>
      <c r="C1792" s="1296"/>
      <c r="D1792" s="1296"/>
      <c r="E1792" s="1296"/>
      <c r="F1792" s="1310">
        <f t="shared" si="175"/>
        <v>0</v>
      </c>
      <c r="G1792" s="1296"/>
    </row>
    <row r="1793" spans="1:7" ht="13.8" x14ac:dyDescent="0.25">
      <c r="A1793" s="1294"/>
      <c r="B1793" s="1295" t="s">
        <v>1414</v>
      </c>
      <c r="C1793" s="1296"/>
      <c r="D1793" s="1296"/>
      <c r="E1793" s="1296"/>
      <c r="F1793" s="1296">
        <v>35000</v>
      </c>
      <c r="G1793" s="1296"/>
    </row>
    <row r="1794" spans="1:7" ht="13.8" x14ac:dyDescent="0.25">
      <c r="A1794" s="1294"/>
      <c r="B1794" s="1294"/>
      <c r="C1794" s="1295"/>
      <c r="D1794" s="1296"/>
      <c r="E1794" s="1296"/>
      <c r="F1794" s="1296">
        <f t="shared" ref="F1794" si="176">D1794*E1794</f>
        <v>0</v>
      </c>
      <c r="G1794" s="1296"/>
    </row>
    <row r="1795" spans="1:7" ht="13.8" x14ac:dyDescent="0.25">
      <c r="A1795" s="1298"/>
      <c r="B1795" s="1476" t="s">
        <v>1277</v>
      </c>
      <c r="C1795" s="1476"/>
      <c r="D1795" s="1476"/>
      <c r="E1795" s="1476"/>
      <c r="F1795" s="1299"/>
      <c r="G1795" s="1300">
        <f>SUM(F1775:F1795)</f>
        <v>2442892.625</v>
      </c>
    </row>
    <row r="1796" spans="1:7" ht="13.8" x14ac:dyDescent="0.25">
      <c r="A1796" s="1294"/>
      <c r="B1796" s="1297" t="s">
        <v>1261</v>
      </c>
      <c r="C1796" s="1295"/>
      <c r="D1796" s="1296"/>
      <c r="E1796" s="1296"/>
      <c r="F1796" s="1296">
        <f t="shared" ref="F1796:F1797" si="177">D1796*E1796</f>
        <v>0</v>
      </c>
      <c r="G1796" s="1296"/>
    </row>
    <row r="1797" spans="1:7" ht="13.8" x14ac:dyDescent="0.25">
      <c r="A1797" s="1309"/>
      <c r="B1797" s="1309" t="s">
        <v>1271</v>
      </c>
      <c r="C1797" s="1310" t="s">
        <v>1294</v>
      </c>
      <c r="D1797" s="1310">
        <v>1248.05</v>
      </c>
      <c r="E1797" s="1310">
        <v>300</v>
      </c>
      <c r="F1797" s="1310">
        <f t="shared" si="177"/>
        <v>374415</v>
      </c>
      <c r="G1797" s="1310"/>
    </row>
    <row r="1798" spans="1:7" ht="13.8" x14ac:dyDescent="0.25">
      <c r="A1798" s="1309"/>
      <c r="B1798" s="1309"/>
      <c r="C1798" s="1310"/>
      <c r="D1798" s="1310"/>
      <c r="E1798" s="1310"/>
      <c r="F1798" s="1310"/>
      <c r="G1798" s="1310"/>
    </row>
    <row r="1799" spans="1:7" ht="13.8" x14ac:dyDescent="0.25">
      <c r="A1799" s="1294"/>
      <c r="B1799" s="1294"/>
      <c r="C1799" s="1296"/>
      <c r="D1799" s="1296"/>
      <c r="E1799" s="1296"/>
      <c r="F1799" s="1296"/>
      <c r="G1799" s="1296"/>
    </row>
    <row r="1800" spans="1:7" ht="13.8" x14ac:dyDescent="0.25">
      <c r="A1800" s="1294"/>
      <c r="B1800" s="1294" t="s">
        <v>1470</v>
      </c>
      <c r="C1800" s="1296"/>
      <c r="D1800" s="1296"/>
      <c r="E1800" s="1296"/>
      <c r="F1800" s="1296">
        <f>F1797*3%</f>
        <v>11232.449999999999</v>
      </c>
      <c r="G1800" s="1296"/>
    </row>
    <row r="1801" spans="1:7" ht="13.8" x14ac:dyDescent="0.25">
      <c r="A1801" s="1294"/>
      <c r="B1801" s="1294" t="s">
        <v>1433</v>
      </c>
      <c r="C1801" s="1295"/>
      <c r="D1801" s="1296"/>
      <c r="E1801" s="1296"/>
      <c r="F1801" s="1296">
        <f>F1797*5%</f>
        <v>18720.75</v>
      </c>
      <c r="G1801" s="1296"/>
    </row>
    <row r="1802" spans="1:7" ht="13.8" x14ac:dyDescent="0.25">
      <c r="A1802" s="1298"/>
      <c r="B1802" s="1476" t="s">
        <v>1264</v>
      </c>
      <c r="C1802" s="1476"/>
      <c r="D1802" s="1476"/>
      <c r="E1802" s="1476"/>
      <c r="F1802" s="1299">
        <f t="shared" ref="F1802" si="178">D1802*E1802</f>
        <v>0</v>
      </c>
      <c r="G1802" s="1300">
        <f>SUM(F1797:F1802)</f>
        <v>404368.2</v>
      </c>
    </row>
    <row r="1803" spans="1:7" ht="13.8" x14ac:dyDescent="0.25">
      <c r="A1803" s="1294"/>
      <c r="B1803" s="1302"/>
      <c r="C1803" s="1302"/>
      <c r="D1803" s="1302"/>
      <c r="E1803" s="1302"/>
      <c r="F1803" s="1296"/>
      <c r="G1803" s="1302"/>
    </row>
    <row r="1804" spans="1:7" ht="13.8" x14ac:dyDescent="0.25">
      <c r="A1804" s="1294"/>
      <c r="B1804" s="1302"/>
      <c r="C1804" s="1302"/>
      <c r="D1804" s="1302"/>
      <c r="E1804" s="1302"/>
      <c r="F1804" s="1296"/>
      <c r="G1804" s="1302"/>
    </row>
    <row r="1805" spans="1:7" ht="13.8" x14ac:dyDescent="0.25">
      <c r="A1805" s="1469" t="s">
        <v>1471</v>
      </c>
      <c r="B1805" s="1469"/>
      <c r="C1805" s="1469"/>
      <c r="D1805" s="1469"/>
      <c r="E1805" s="1469"/>
      <c r="F1805" s="1469"/>
      <c r="G1805" s="1353">
        <f>G1795+G1802</f>
        <v>2847260.8250000002</v>
      </c>
    </row>
    <row r="1806" spans="1:7" ht="13.8" x14ac:dyDescent="0.25">
      <c r="A1806" s="1469" t="s">
        <v>1295</v>
      </c>
      <c r="B1806" s="1469"/>
      <c r="C1806" s="1469"/>
      <c r="D1806" s="1469"/>
      <c r="E1806" s="1469"/>
      <c r="F1806" s="1469"/>
      <c r="G1806" s="1353">
        <f>G1805/12.48</f>
        <v>228145.89943910256</v>
      </c>
    </row>
    <row r="1807" spans="1:7" ht="13.8" x14ac:dyDescent="0.25">
      <c r="A1807" s="1469" t="s">
        <v>1296</v>
      </c>
      <c r="B1807" s="1469"/>
      <c r="C1807" s="1469"/>
      <c r="D1807" s="1469"/>
      <c r="E1807" s="1469"/>
      <c r="F1807" s="1469"/>
      <c r="G1807" s="1372">
        <f>G1806/9.29</f>
        <v>24558.223836286608</v>
      </c>
    </row>
    <row r="1808" spans="1:7" ht="13.8" x14ac:dyDescent="0.25">
      <c r="A1808" s="1469" t="s">
        <v>1297</v>
      </c>
      <c r="B1808" s="1469"/>
      <c r="C1808" s="1469"/>
      <c r="D1808" s="1469"/>
      <c r="E1808" s="1469"/>
      <c r="F1808" s="1469"/>
      <c r="G1808" s="1373">
        <f>G1807/10.76</f>
        <v>2282.3628100638111</v>
      </c>
    </row>
    <row r="1811" spans="1:7" ht="13.8" thickBot="1" x14ac:dyDescent="0.3"/>
    <row r="1812" spans="1:7" ht="13.8" x14ac:dyDescent="0.25">
      <c r="A1812" s="1470" t="s">
        <v>1472</v>
      </c>
      <c r="B1812" s="1471"/>
      <c r="C1812" s="1471"/>
      <c r="D1812" s="1471"/>
      <c r="E1812" s="1471"/>
      <c r="F1812" s="1471"/>
      <c r="G1812" s="1472"/>
    </row>
    <row r="1813" spans="1:7" ht="14.4" thickBot="1" x14ac:dyDescent="0.3">
      <c r="A1813" s="1473" t="s">
        <v>1448</v>
      </c>
      <c r="B1813" s="1474"/>
      <c r="C1813" s="1474"/>
      <c r="D1813" s="1474"/>
      <c r="E1813" s="1474"/>
      <c r="F1813" s="1474"/>
      <c r="G1813" s="1475"/>
    </row>
    <row r="1814" spans="1:7" ht="14.4" thickBot="1" x14ac:dyDescent="0.3">
      <c r="A1814" s="1292"/>
      <c r="B1814" s="1293" t="s">
        <v>1038</v>
      </c>
      <c r="C1814" s="1293" t="s">
        <v>1039</v>
      </c>
      <c r="D1814" s="1293" t="s">
        <v>2</v>
      </c>
      <c r="E1814" s="1293" t="s">
        <v>1040</v>
      </c>
      <c r="F1814" s="1293" t="s">
        <v>5</v>
      </c>
      <c r="G1814" s="1293" t="s">
        <v>1260</v>
      </c>
    </row>
    <row r="1815" spans="1:7" ht="13.8" x14ac:dyDescent="0.25">
      <c r="A1815" s="1294"/>
      <c r="B1815" s="1294"/>
      <c r="C1815" s="1295"/>
      <c r="D1815" s="1296"/>
      <c r="E1815" s="1296"/>
      <c r="F1815" s="1296"/>
      <c r="G1815" s="1296"/>
    </row>
    <row r="1816" spans="1:7" ht="13.8" x14ac:dyDescent="0.25">
      <c r="A1816" s="1294"/>
      <c r="B1816" s="1297" t="s">
        <v>1276</v>
      </c>
      <c r="C1816" s="1295"/>
      <c r="D1816" s="1296"/>
      <c r="E1816" s="1296"/>
      <c r="F1816" s="1296"/>
      <c r="G1816" s="1296"/>
    </row>
    <row r="1817" spans="1:7" ht="13.8" x14ac:dyDescent="0.25">
      <c r="A1817" s="1294"/>
      <c r="B1817" s="1294" t="s">
        <v>1449</v>
      </c>
      <c r="C1817" s="1296" t="s">
        <v>449</v>
      </c>
      <c r="D1817" s="1296">
        <v>40</v>
      </c>
      <c r="E1817" s="1296">
        <f>2012.5*4</f>
        <v>8050</v>
      </c>
      <c r="F1817" s="1296">
        <f>D1817*E1817</f>
        <v>322000</v>
      </c>
      <c r="G1817" s="1296"/>
    </row>
    <row r="1818" spans="1:7" ht="13.8" x14ac:dyDescent="0.25">
      <c r="A1818" s="1309"/>
      <c r="B1818" s="1309"/>
      <c r="C1818" s="1310"/>
      <c r="D1818" s="1310"/>
      <c r="E1818" s="1310">
        <f>+F1750</f>
        <v>0</v>
      </c>
      <c r="F1818" s="1310">
        <f t="shared" ref="F1818" si="179">D1818*E1818</f>
        <v>0</v>
      </c>
      <c r="G1818" s="1310"/>
    </row>
    <row r="1819" spans="1:7" ht="13.8" x14ac:dyDescent="0.25">
      <c r="A1819" s="1309"/>
      <c r="B1819" s="1309" t="s">
        <v>1450</v>
      </c>
      <c r="C1819" s="1310" t="s">
        <v>1413</v>
      </c>
      <c r="D1819" s="1310"/>
      <c r="E1819" s="1310">
        <v>15000</v>
      </c>
      <c r="F1819" s="1310">
        <f>E1819</f>
        <v>15000</v>
      </c>
      <c r="G1819" s="1310"/>
    </row>
    <row r="1820" spans="1:7" ht="13.8" x14ac:dyDescent="0.25">
      <c r="A1820" s="1309"/>
      <c r="B1820" s="1343"/>
      <c r="C1820" s="1310"/>
      <c r="D1820" s="1310"/>
      <c r="E1820" s="1310">
        <f>+[20]Material!D779</f>
        <v>0</v>
      </c>
      <c r="F1820" s="1310">
        <f t="shared" ref="F1820" si="180">E1820</f>
        <v>0</v>
      </c>
      <c r="G1820" s="1310"/>
    </row>
    <row r="1821" spans="1:7" ht="13.8" x14ac:dyDescent="0.25">
      <c r="A1821" s="1309"/>
      <c r="B1821" s="1309" t="s">
        <v>1451</v>
      </c>
      <c r="C1821" s="1310" t="s">
        <v>1327</v>
      </c>
      <c r="D1821" s="1310">
        <v>525</v>
      </c>
      <c r="E1821" s="1310">
        <v>450</v>
      </c>
      <c r="F1821" s="1310">
        <f>D1821*E1821</f>
        <v>236250</v>
      </c>
      <c r="G1821" s="1310"/>
    </row>
    <row r="1822" spans="1:7" ht="13.8" x14ac:dyDescent="0.25">
      <c r="A1822" s="1309"/>
      <c r="B1822" s="1309"/>
      <c r="C1822" s="1310"/>
      <c r="D1822" s="1310"/>
      <c r="E1822" s="1310"/>
      <c r="F1822" s="1310"/>
      <c r="G1822" s="1310"/>
    </row>
    <row r="1823" spans="1:7" ht="13.8" x14ac:dyDescent="0.25">
      <c r="A1823" s="1309"/>
      <c r="B1823" s="1309" t="s">
        <v>499</v>
      </c>
      <c r="C1823" s="1310"/>
      <c r="D1823" s="1310"/>
      <c r="E1823" s="1310">
        <v>30000</v>
      </c>
      <c r="F1823" s="1296">
        <f t="shared" ref="F1823:F1825" si="181">E1823</f>
        <v>30000</v>
      </c>
      <c r="G1823" s="1310"/>
    </row>
    <row r="1824" spans="1:7" ht="13.8" x14ac:dyDescent="0.25">
      <c r="A1824" s="1309"/>
      <c r="B1824" s="1309"/>
      <c r="C1824" s="1310"/>
      <c r="D1824" s="1310"/>
      <c r="E1824" s="1310"/>
      <c r="F1824" s="1296"/>
      <c r="G1824" s="1310"/>
    </row>
    <row r="1825" spans="1:7" ht="13.8" x14ac:dyDescent="0.25">
      <c r="A1825" s="1309"/>
      <c r="B1825" s="1309" t="s">
        <v>1453</v>
      </c>
      <c r="C1825" s="1310" t="s">
        <v>449</v>
      </c>
      <c r="D1825" s="1310">
        <v>4</v>
      </c>
      <c r="E1825" s="1310">
        <v>15000</v>
      </c>
      <c r="F1825" s="1296">
        <f t="shared" si="181"/>
        <v>15000</v>
      </c>
      <c r="G1825" s="1310"/>
    </row>
    <row r="1826" spans="1:7" ht="13.8" x14ac:dyDescent="0.25">
      <c r="A1826" s="1309"/>
      <c r="B1826" s="1309"/>
      <c r="C1826" s="1310"/>
      <c r="D1826" s="1310"/>
      <c r="E1826" s="1310"/>
      <c r="F1826" s="1310"/>
      <c r="G1826" s="1310"/>
    </row>
    <row r="1827" spans="1:7" ht="13.8" x14ac:dyDescent="0.25">
      <c r="A1827" s="1298"/>
      <c r="B1827" s="1476" t="s">
        <v>1277</v>
      </c>
      <c r="C1827" s="1476"/>
      <c r="D1827" s="1476"/>
      <c r="E1827" s="1476"/>
      <c r="F1827" s="1299"/>
      <c r="G1827" s="1300">
        <f>SUM(F1815:F1826)</f>
        <v>618250</v>
      </c>
    </row>
    <row r="1828" spans="1:7" ht="13.8" x14ac:dyDescent="0.25">
      <c r="A1828" s="1294"/>
      <c r="B1828" s="1297" t="s">
        <v>1261</v>
      </c>
      <c r="C1828" s="1295"/>
      <c r="D1828" s="1296"/>
      <c r="E1828" s="1296"/>
      <c r="F1828" s="1296">
        <f>D1828*E1828</f>
        <v>0</v>
      </c>
      <c r="G1828" s="1296"/>
    </row>
    <row r="1829" spans="1:7" ht="13.8" x14ac:dyDescent="0.25">
      <c r="A1829" s="1309"/>
      <c r="B1829" s="1352"/>
      <c r="C1829" s="1343"/>
      <c r="D1829" s="1310"/>
      <c r="E1829" s="1310"/>
      <c r="F1829" s="1310"/>
      <c r="G1829" s="1310"/>
    </row>
    <row r="1830" spans="1:7" ht="13.8" x14ac:dyDescent="0.25">
      <c r="A1830" s="1309"/>
      <c r="B1830" s="1309" t="s">
        <v>1271</v>
      </c>
      <c r="C1830" s="1310" t="s">
        <v>449</v>
      </c>
      <c r="D1830" s="1310">
        <v>40</v>
      </c>
      <c r="E1830" s="1310">
        <v>500</v>
      </c>
      <c r="F1830" s="1310">
        <f>D1830*E1830</f>
        <v>20000</v>
      </c>
      <c r="G1830" s="1310"/>
    </row>
    <row r="1831" spans="1:7" ht="13.8" x14ac:dyDescent="0.25">
      <c r="A1831" s="1309"/>
      <c r="B1831" s="1309"/>
      <c r="C1831" s="1310"/>
      <c r="D1831" s="1310"/>
      <c r="E1831" s="1310"/>
      <c r="F1831" s="1310"/>
      <c r="G1831" s="1310"/>
    </row>
    <row r="1832" spans="1:7" ht="13.8" x14ac:dyDescent="0.25">
      <c r="A1832" s="1294"/>
      <c r="B1832" s="1294" t="s">
        <v>1389</v>
      </c>
      <c r="C1832" s="1296"/>
      <c r="D1832" s="1296"/>
      <c r="E1832" s="1296"/>
      <c r="F1832" s="1296">
        <f>F1830*3%</f>
        <v>600</v>
      </c>
      <c r="G1832" s="1296"/>
    </row>
    <row r="1833" spans="1:7" ht="13.8" x14ac:dyDescent="0.25">
      <c r="A1833" s="1294"/>
      <c r="B1833" s="1294" t="s">
        <v>1395</v>
      </c>
      <c r="C1833" s="1296"/>
      <c r="D1833" s="1296"/>
      <c r="E1833" s="1296"/>
      <c r="F1833" s="1296">
        <f>F1830*5%</f>
        <v>1000</v>
      </c>
      <c r="G1833" s="1296"/>
    </row>
    <row r="1834" spans="1:7" ht="13.8" x14ac:dyDescent="0.25">
      <c r="A1834" s="1294"/>
      <c r="B1834" s="1294"/>
      <c r="C1834" s="1295"/>
      <c r="D1834" s="1296"/>
      <c r="E1834" s="1296"/>
      <c r="F1834" s="1296"/>
      <c r="G1834" s="1296"/>
    </row>
    <row r="1835" spans="1:7" ht="13.8" x14ac:dyDescent="0.25">
      <c r="A1835" s="1298"/>
      <c r="B1835" s="1476" t="s">
        <v>1264</v>
      </c>
      <c r="C1835" s="1476"/>
      <c r="D1835" s="1476"/>
      <c r="E1835" s="1476"/>
      <c r="F1835" s="1299">
        <f>D1835*E1835</f>
        <v>0</v>
      </c>
      <c r="G1835" s="1300">
        <f>SUM(F1830:F1835)</f>
        <v>21600</v>
      </c>
    </row>
    <row r="1836" spans="1:7" ht="13.8" x14ac:dyDescent="0.25">
      <c r="A1836" s="1294"/>
      <c r="B1836" s="1302"/>
      <c r="C1836" s="1302"/>
      <c r="D1836" s="1302"/>
      <c r="E1836" s="1302"/>
      <c r="F1836" s="1296"/>
      <c r="G1836" s="1302"/>
    </row>
    <row r="1837" spans="1:7" ht="13.8" x14ac:dyDescent="0.25">
      <c r="A1837" s="1294"/>
      <c r="B1837" s="1302"/>
      <c r="C1837" s="1302"/>
      <c r="D1837" s="1302"/>
      <c r="E1837" s="1302"/>
      <c r="F1837" s="1296"/>
      <c r="G1837" s="1302"/>
    </row>
    <row r="1838" spans="1:7" ht="13.8" x14ac:dyDescent="0.25">
      <c r="A1838" s="1469" t="s">
        <v>1455</v>
      </c>
      <c r="B1838" s="1469"/>
      <c r="C1838" s="1469"/>
      <c r="D1838" s="1469"/>
      <c r="E1838" s="1469"/>
      <c r="F1838" s="1469"/>
      <c r="G1838" s="1303">
        <f>G1827+G1835</f>
        <v>639850</v>
      </c>
    </row>
    <row r="1839" spans="1:7" ht="13.8" x14ac:dyDescent="0.25">
      <c r="A1839" s="1469" t="s">
        <v>1296</v>
      </c>
      <c r="B1839" s="1469"/>
      <c r="C1839" s="1469"/>
      <c r="D1839" s="1469"/>
      <c r="E1839" s="1469"/>
      <c r="F1839" s="1469"/>
      <c r="G1839" s="1303">
        <f>G1838/16</f>
        <v>39990.625</v>
      </c>
    </row>
    <row r="1840" spans="1:7" ht="13.8" x14ac:dyDescent="0.25">
      <c r="A1840" s="1469" t="s">
        <v>1297</v>
      </c>
      <c r="B1840" s="1469"/>
      <c r="C1840" s="1469"/>
      <c r="D1840" s="1469"/>
      <c r="E1840" s="1469"/>
      <c r="F1840" s="1469"/>
      <c r="G1840" s="1354">
        <f>G1839/10.76</f>
        <v>3716.600836431227</v>
      </c>
    </row>
    <row r="1843" spans="1:7" ht="13.8" thickBot="1" x14ac:dyDescent="0.3"/>
    <row r="1844" spans="1:7" ht="13.8" x14ac:dyDescent="0.25">
      <c r="A1844" s="1470" t="s">
        <v>1472</v>
      </c>
      <c r="B1844" s="1471"/>
      <c r="C1844" s="1471"/>
      <c r="D1844" s="1471"/>
      <c r="E1844" s="1471"/>
      <c r="F1844" s="1471"/>
      <c r="G1844" s="1472"/>
    </row>
    <row r="1845" spans="1:7" ht="14.4" thickBot="1" x14ac:dyDescent="0.3">
      <c r="A1845" s="1473" t="s">
        <v>1448</v>
      </c>
      <c r="B1845" s="1474"/>
      <c r="C1845" s="1474"/>
      <c r="D1845" s="1474"/>
      <c r="E1845" s="1474"/>
      <c r="F1845" s="1474"/>
      <c r="G1845" s="1475"/>
    </row>
    <row r="1846" spans="1:7" ht="14.4" thickBot="1" x14ac:dyDescent="0.3">
      <c r="A1846" s="1292"/>
      <c r="B1846" s="1293" t="s">
        <v>1038</v>
      </c>
      <c r="C1846" s="1293" t="s">
        <v>1039</v>
      </c>
      <c r="D1846" s="1293" t="s">
        <v>2</v>
      </c>
      <c r="E1846" s="1293" t="s">
        <v>1040</v>
      </c>
      <c r="F1846" s="1293" t="s">
        <v>5</v>
      </c>
      <c r="G1846" s="1293" t="s">
        <v>1260</v>
      </c>
    </row>
    <row r="1847" spans="1:7" ht="13.8" x14ac:dyDescent="0.25">
      <c r="A1847" s="1294"/>
      <c r="B1847" s="1294"/>
      <c r="C1847" s="1295"/>
      <c r="D1847" s="1296"/>
      <c r="E1847" s="1296"/>
      <c r="F1847" s="1296"/>
      <c r="G1847" s="1296"/>
    </row>
    <row r="1848" spans="1:7" ht="13.8" x14ac:dyDescent="0.25">
      <c r="A1848" s="1294"/>
      <c r="B1848" s="1297" t="s">
        <v>1276</v>
      </c>
      <c r="C1848" s="1295"/>
      <c r="D1848" s="1296"/>
      <c r="E1848" s="1296"/>
      <c r="F1848" s="1296"/>
      <c r="G1848" s="1296"/>
    </row>
    <row r="1849" spans="1:7" ht="13.8" x14ac:dyDescent="0.25">
      <c r="A1849" s="1294"/>
      <c r="B1849" s="1294" t="s">
        <v>1449</v>
      </c>
      <c r="C1849" s="1296" t="s">
        <v>449</v>
      </c>
      <c r="D1849" s="1296">
        <v>40</v>
      </c>
      <c r="E1849" s="1296">
        <f>2012.5*4</f>
        <v>8050</v>
      </c>
      <c r="F1849" s="1296">
        <f>D1849*E1849</f>
        <v>322000</v>
      </c>
      <c r="G1849" s="1296"/>
    </row>
    <row r="1850" spans="1:7" ht="13.8" x14ac:dyDescent="0.25">
      <c r="A1850" s="1309"/>
      <c r="B1850" s="1309"/>
      <c r="C1850" s="1310"/>
      <c r="D1850" s="1310"/>
      <c r="E1850" s="1310"/>
      <c r="F1850" s="1310">
        <f t="shared" ref="F1850" si="182">D1850*E1850</f>
        <v>0</v>
      </c>
      <c r="G1850" s="1310"/>
    </row>
    <row r="1851" spans="1:7" ht="13.8" x14ac:dyDescent="0.25">
      <c r="A1851" s="1309"/>
      <c r="B1851" s="1309" t="s">
        <v>1450</v>
      </c>
      <c r="C1851" s="1310" t="s">
        <v>1413</v>
      </c>
      <c r="D1851" s="1310"/>
      <c r="E1851" s="1310">
        <v>15000</v>
      </c>
      <c r="F1851" s="1310">
        <f>E1851</f>
        <v>15000</v>
      </c>
      <c r="G1851" s="1310"/>
    </row>
    <row r="1852" spans="1:7" ht="13.8" x14ac:dyDescent="0.25">
      <c r="A1852" s="1309"/>
      <c r="B1852" s="1343"/>
      <c r="C1852" s="1310"/>
      <c r="D1852" s="1310"/>
      <c r="E1852" s="1310"/>
      <c r="F1852" s="1310"/>
      <c r="G1852" s="1310"/>
    </row>
    <row r="1853" spans="1:7" ht="13.8" x14ac:dyDescent="0.25">
      <c r="A1853" s="1309"/>
      <c r="B1853" s="1309" t="s">
        <v>1451</v>
      </c>
      <c r="C1853" s="1310" t="s">
        <v>1327</v>
      </c>
      <c r="D1853" s="1310">
        <v>525</v>
      </c>
      <c r="E1853" s="1310">
        <f>G1582</f>
        <v>159.79427853429959</v>
      </c>
      <c r="F1853" s="1310">
        <f>D1853*E1853</f>
        <v>83891.996230507284</v>
      </c>
      <c r="G1853" s="1310"/>
    </row>
    <row r="1854" spans="1:7" ht="13.8" x14ac:dyDescent="0.25">
      <c r="A1854" s="1309"/>
      <c r="B1854" s="1309"/>
      <c r="C1854" s="1310"/>
      <c r="D1854" s="1310"/>
      <c r="E1854" s="1310"/>
      <c r="F1854" s="1310"/>
      <c r="G1854" s="1310"/>
    </row>
    <row r="1855" spans="1:7" ht="13.8" x14ac:dyDescent="0.25">
      <c r="A1855" s="1309"/>
      <c r="B1855" s="1309" t="s">
        <v>499</v>
      </c>
      <c r="C1855" s="1310"/>
      <c r="D1855" s="1310"/>
      <c r="E1855" s="1310">
        <v>30000</v>
      </c>
      <c r="F1855" s="1296">
        <f t="shared" ref="F1855:F1857" si="183">E1855</f>
        <v>30000</v>
      </c>
      <c r="G1855" s="1310"/>
    </row>
    <row r="1856" spans="1:7" ht="13.8" x14ac:dyDescent="0.25">
      <c r="A1856" s="1309"/>
      <c r="B1856" s="1309"/>
      <c r="C1856" s="1310"/>
      <c r="D1856" s="1310"/>
      <c r="E1856" s="1310"/>
      <c r="F1856" s="1296"/>
      <c r="G1856" s="1310"/>
    </row>
    <row r="1857" spans="1:7" ht="13.8" x14ac:dyDescent="0.25">
      <c r="A1857" s="1309"/>
      <c r="B1857" s="1309" t="s">
        <v>1453</v>
      </c>
      <c r="C1857" s="1310" t="s">
        <v>449</v>
      </c>
      <c r="D1857" s="1310">
        <v>4</v>
      </c>
      <c r="E1857" s="1310">
        <v>15000</v>
      </c>
      <c r="F1857" s="1296">
        <f t="shared" si="183"/>
        <v>15000</v>
      </c>
      <c r="G1857" s="1310"/>
    </row>
    <row r="1858" spans="1:7" ht="13.8" x14ac:dyDescent="0.25">
      <c r="A1858" s="1309"/>
      <c r="B1858" s="1309"/>
      <c r="C1858" s="1310"/>
      <c r="D1858" s="1310"/>
      <c r="E1858" s="1310"/>
      <c r="F1858" s="1310"/>
      <c r="G1858" s="1310"/>
    </row>
    <row r="1859" spans="1:7" ht="13.8" x14ac:dyDescent="0.25">
      <c r="A1859" s="1298"/>
      <c r="B1859" s="1476" t="s">
        <v>1277</v>
      </c>
      <c r="C1859" s="1476"/>
      <c r="D1859" s="1476"/>
      <c r="E1859" s="1476"/>
      <c r="F1859" s="1299"/>
      <c r="G1859" s="1300">
        <f>SUM(F1847:F1858)</f>
        <v>465891.99623050727</v>
      </c>
    </row>
    <row r="1860" spans="1:7" ht="13.8" x14ac:dyDescent="0.25">
      <c r="A1860" s="1294"/>
      <c r="B1860" s="1297" t="s">
        <v>1261</v>
      </c>
      <c r="C1860" s="1295"/>
      <c r="D1860" s="1296"/>
      <c r="E1860" s="1296"/>
      <c r="F1860" s="1296">
        <f>D1860*E1860</f>
        <v>0</v>
      </c>
      <c r="G1860" s="1296"/>
    </row>
    <row r="1861" spans="1:7" ht="13.8" x14ac:dyDescent="0.25">
      <c r="A1861" s="1309"/>
      <c r="B1861" s="1352"/>
      <c r="C1861" s="1343"/>
      <c r="D1861" s="1310"/>
      <c r="E1861" s="1310"/>
      <c r="F1861" s="1310"/>
      <c r="G1861" s="1310"/>
    </row>
    <row r="1862" spans="1:7" ht="13.8" x14ac:dyDescent="0.25">
      <c r="A1862" s="1309"/>
      <c r="B1862" s="1309" t="s">
        <v>1271</v>
      </c>
      <c r="C1862" s="1310" t="s">
        <v>449</v>
      </c>
      <c r="D1862" s="1310">
        <v>40</v>
      </c>
      <c r="E1862" s="1310">
        <v>500</v>
      </c>
      <c r="F1862" s="1310">
        <f>D1862*E1862</f>
        <v>20000</v>
      </c>
      <c r="G1862" s="1310"/>
    </row>
    <row r="1863" spans="1:7" ht="13.8" x14ac:dyDescent="0.25">
      <c r="A1863" s="1309"/>
      <c r="B1863" s="1309"/>
      <c r="C1863" s="1310"/>
      <c r="D1863" s="1310"/>
      <c r="E1863" s="1310"/>
      <c r="F1863" s="1310"/>
      <c r="G1863" s="1310"/>
    </row>
    <row r="1864" spans="1:7" ht="13.8" x14ac:dyDescent="0.25">
      <c r="A1864" s="1294"/>
      <c r="B1864" s="1294" t="s">
        <v>1389</v>
      </c>
      <c r="C1864" s="1296"/>
      <c r="D1864" s="1296"/>
      <c r="E1864" s="1296"/>
      <c r="F1864" s="1296">
        <f>F1862*3%</f>
        <v>600</v>
      </c>
      <c r="G1864" s="1296"/>
    </row>
    <row r="1865" spans="1:7" ht="13.8" x14ac:dyDescent="0.25">
      <c r="A1865" s="1294"/>
      <c r="B1865" s="1294" t="s">
        <v>1395</v>
      </c>
      <c r="C1865" s="1296"/>
      <c r="D1865" s="1296"/>
      <c r="E1865" s="1296"/>
      <c r="F1865" s="1296">
        <f>F1862*5%</f>
        <v>1000</v>
      </c>
      <c r="G1865" s="1296"/>
    </row>
    <row r="1866" spans="1:7" ht="13.8" x14ac:dyDescent="0.25">
      <c r="A1866" s="1294"/>
      <c r="B1866" s="1294"/>
      <c r="C1866" s="1295"/>
      <c r="D1866" s="1296"/>
      <c r="E1866" s="1296"/>
      <c r="F1866" s="1296"/>
      <c r="G1866" s="1296"/>
    </row>
    <row r="1867" spans="1:7" ht="13.8" x14ac:dyDescent="0.25">
      <c r="A1867" s="1298"/>
      <c r="B1867" s="1476" t="s">
        <v>1264</v>
      </c>
      <c r="C1867" s="1476"/>
      <c r="D1867" s="1476"/>
      <c r="E1867" s="1476"/>
      <c r="F1867" s="1299">
        <f>D1867*E1867</f>
        <v>0</v>
      </c>
      <c r="G1867" s="1300">
        <f>SUM(F1862:F1867)</f>
        <v>21600</v>
      </c>
    </row>
    <row r="1868" spans="1:7" ht="13.8" x14ac:dyDescent="0.25">
      <c r="A1868" s="1294"/>
      <c r="B1868" s="1302"/>
      <c r="C1868" s="1302"/>
      <c r="D1868" s="1302"/>
      <c r="E1868" s="1302"/>
      <c r="F1868" s="1296"/>
      <c r="G1868" s="1302"/>
    </row>
    <row r="1869" spans="1:7" ht="13.8" x14ac:dyDescent="0.25">
      <c r="A1869" s="1294"/>
      <c r="B1869" s="1302"/>
      <c r="C1869" s="1302"/>
      <c r="D1869" s="1302"/>
      <c r="E1869" s="1302"/>
      <c r="F1869" s="1296"/>
      <c r="G1869" s="1302"/>
    </row>
    <row r="1870" spans="1:7" ht="13.8" x14ac:dyDescent="0.25">
      <c r="A1870" s="1469" t="s">
        <v>1455</v>
      </c>
      <c r="B1870" s="1469"/>
      <c r="C1870" s="1469"/>
      <c r="D1870" s="1469"/>
      <c r="E1870" s="1469"/>
      <c r="F1870" s="1469"/>
      <c r="G1870" s="1303">
        <f>G1859+G1867</f>
        <v>487491.99623050727</v>
      </c>
    </row>
    <row r="1871" spans="1:7" ht="13.8" x14ac:dyDescent="0.25">
      <c r="A1871" s="1469" t="s">
        <v>1296</v>
      </c>
      <c r="B1871" s="1469"/>
      <c r="C1871" s="1469"/>
      <c r="D1871" s="1469"/>
      <c r="E1871" s="1469"/>
      <c r="F1871" s="1469"/>
      <c r="G1871" s="1303">
        <f>G1870/16</f>
        <v>30468.249764406704</v>
      </c>
    </row>
    <row r="1872" spans="1:7" ht="13.8" x14ac:dyDescent="0.25">
      <c r="A1872" s="1469" t="s">
        <v>1297</v>
      </c>
      <c r="B1872" s="1469"/>
      <c r="C1872" s="1469"/>
      <c r="D1872" s="1469"/>
      <c r="E1872" s="1469"/>
      <c r="F1872" s="1469"/>
      <c r="G1872" s="1354">
        <f>G1871/10.76</f>
        <v>2831.6217253166083</v>
      </c>
    </row>
    <row r="1875" spans="1:18" ht="13.8" thickBot="1" x14ac:dyDescent="0.3"/>
    <row r="1876" spans="1:18" ht="14.4" x14ac:dyDescent="0.3">
      <c r="A1876" s="1470" t="s">
        <v>1473</v>
      </c>
      <c r="B1876" s="1471"/>
      <c r="C1876" s="1471"/>
      <c r="D1876" s="1471"/>
      <c r="E1876" s="1471"/>
      <c r="F1876" s="1471"/>
      <c r="G1876" s="1472"/>
      <c r="H1876" s="1374"/>
      <c r="I1876" s="1374"/>
      <c r="J1876" s="1375"/>
      <c r="K1876" s="1376" t="s">
        <v>0</v>
      </c>
      <c r="L1876" s="1377" t="s">
        <v>1333</v>
      </c>
      <c r="M1876" s="1377" t="s">
        <v>1474</v>
      </c>
      <c r="N1876" s="1377" t="s">
        <v>1475</v>
      </c>
      <c r="O1876" s="1316" t="s">
        <v>1260</v>
      </c>
      <c r="P1876" s="1378"/>
      <c r="Q1876" s="1334"/>
      <c r="R1876" s="1379"/>
    </row>
    <row r="1877" spans="1:18" ht="15" thickBot="1" x14ac:dyDescent="0.35">
      <c r="A1877" s="1473" t="s">
        <v>1476</v>
      </c>
      <c r="B1877" s="1474"/>
      <c r="C1877" s="1474"/>
      <c r="D1877" s="1474"/>
      <c r="E1877" s="1474"/>
      <c r="F1877" s="1474"/>
      <c r="G1877" s="1475"/>
      <c r="H1877" s="1374"/>
      <c r="I1877" s="1374"/>
      <c r="J1877" s="1380"/>
      <c r="K1877" s="1381"/>
      <c r="L1877" s="1382"/>
      <c r="M1877" s="1382"/>
      <c r="N1877" s="1382"/>
      <c r="O1877" s="1383"/>
      <c r="P1877" s="1334"/>
      <c r="Q1877" s="1334"/>
      <c r="R1877" s="1379"/>
    </row>
    <row r="1878" spans="1:18" ht="15" thickBot="1" x14ac:dyDescent="0.35">
      <c r="A1878" s="1292"/>
      <c r="B1878" s="1293" t="s">
        <v>1038</v>
      </c>
      <c r="C1878" s="1293" t="s">
        <v>1039</v>
      </c>
      <c r="D1878" s="1293" t="s">
        <v>2</v>
      </c>
      <c r="E1878" s="1293" t="s">
        <v>1040</v>
      </c>
      <c r="F1878" s="1293" t="s">
        <v>5</v>
      </c>
      <c r="G1878" s="1293" t="s">
        <v>1260</v>
      </c>
      <c r="H1878" s="1374"/>
      <c r="I1878" s="1374"/>
      <c r="J1878" s="1384" t="s">
        <v>1477</v>
      </c>
      <c r="K1878" s="1385"/>
      <c r="L1878" s="1386">
        <v>0.9</v>
      </c>
      <c r="M1878" s="1386">
        <v>0.6</v>
      </c>
      <c r="N1878" s="1387">
        <v>0.1</v>
      </c>
      <c r="O1878" s="1388">
        <f>PRODUCT(K1878:N1878)</f>
        <v>5.4000000000000006E-2</v>
      </c>
      <c r="P1878" s="1334">
        <f>+O1878</f>
        <v>5.4000000000000006E-2</v>
      </c>
      <c r="Q1878" s="1334" t="s">
        <v>872</v>
      </c>
      <c r="R1878" s="1379"/>
    </row>
    <row r="1879" spans="1:18" ht="14.4" x14ac:dyDescent="0.3">
      <c r="A1879" s="1294"/>
      <c r="B1879" s="1294"/>
      <c r="C1879" s="1295"/>
      <c r="D1879" s="1296"/>
      <c r="E1879" s="1296"/>
      <c r="F1879" s="1296"/>
      <c r="G1879" s="1296"/>
      <c r="H1879" s="1374"/>
      <c r="I1879" s="1374"/>
      <c r="J1879" s="1384"/>
      <c r="K1879" s="1385"/>
      <c r="L1879" s="1387"/>
      <c r="M1879" s="1387"/>
      <c r="N1879" s="1387"/>
      <c r="O1879" s="1389">
        <f t="shared" ref="O1879:O1881" si="184">PRODUCT(K1879:N1879)</f>
        <v>0</v>
      </c>
      <c r="P1879" s="1334">
        <f>P1878/2.83</f>
        <v>1.9081272084805655E-2</v>
      </c>
      <c r="Q1879" s="1334" t="s">
        <v>1110</v>
      </c>
      <c r="R1879" s="1379"/>
    </row>
    <row r="1880" spans="1:18" ht="14.4" x14ac:dyDescent="0.3">
      <c r="A1880" s="1294"/>
      <c r="B1880" s="1294" t="s">
        <v>1478</v>
      </c>
      <c r="C1880" s="1296" t="s">
        <v>1110</v>
      </c>
      <c r="D1880" s="1296">
        <f>P1879</f>
        <v>1.9081272084805655E-2</v>
      </c>
      <c r="E1880" s="1296">
        <f>G238</f>
        <v>63871.25</v>
      </c>
      <c r="F1880" s="1296">
        <f t="shared" ref="F1880" si="185">D1880*E1880</f>
        <v>1218.7446996466433</v>
      </c>
      <c r="G1880" s="1296"/>
      <c r="H1880" s="1374"/>
      <c r="I1880" s="1374"/>
      <c r="J1880" s="1384" t="s">
        <v>1479</v>
      </c>
      <c r="K1880" s="1385"/>
      <c r="L1880" s="1390">
        <f>+L1878</f>
        <v>0.9</v>
      </c>
      <c r="M1880" s="1390">
        <f>+M1878</f>
        <v>0.6</v>
      </c>
      <c r="N1880" s="1391"/>
      <c r="O1880" s="1389">
        <f t="shared" si="184"/>
        <v>0.54</v>
      </c>
      <c r="P1880" s="1334"/>
      <c r="Q1880" s="1334">
        <f>+O1880*10.76</f>
        <v>5.8104000000000005</v>
      </c>
      <c r="R1880" s="1379"/>
    </row>
    <row r="1881" spans="1:18" ht="14.4" x14ac:dyDescent="0.3">
      <c r="A1881" s="1294"/>
      <c r="B1881" s="1311" t="s">
        <v>1314</v>
      </c>
      <c r="C1881" s="1295"/>
      <c r="D1881" s="1296"/>
      <c r="E1881" s="1296"/>
      <c r="F1881" s="1296">
        <f>F1880*10%</f>
        <v>121.87446996466434</v>
      </c>
      <c r="G1881" s="1296"/>
      <c r="H1881" s="1374"/>
      <c r="I1881" s="1374"/>
      <c r="J1881" s="1384"/>
      <c r="K1881" s="1385"/>
      <c r="L1881" s="1390">
        <f>+L1880+M1880</f>
        <v>1.5</v>
      </c>
      <c r="M1881" s="1391"/>
      <c r="N1881" s="1391">
        <v>0.1</v>
      </c>
      <c r="O1881" s="1392">
        <f t="shared" si="184"/>
        <v>0.15000000000000002</v>
      </c>
      <c r="P1881" s="1334"/>
      <c r="Q1881" s="1334"/>
      <c r="R1881" s="1379"/>
    </row>
    <row r="1882" spans="1:18" ht="14.4" x14ac:dyDescent="0.3">
      <c r="A1882" s="1294"/>
      <c r="B1882" s="1294" t="s">
        <v>1325</v>
      </c>
      <c r="C1882" s="1296" t="s">
        <v>1480</v>
      </c>
      <c r="D1882" s="1296">
        <f>+P1887</f>
        <v>4.9950049950049946</v>
      </c>
      <c r="E1882" s="1296">
        <f>H586</f>
        <v>442.34015625000001</v>
      </c>
      <c r="F1882" s="1296">
        <f t="shared" ref="F1882" si="186">D1882*E1882</f>
        <v>2209.4912899600399</v>
      </c>
      <c r="G1882" s="1296"/>
      <c r="H1882" s="1374"/>
      <c r="I1882" s="1374"/>
      <c r="J1882" s="1384"/>
      <c r="K1882" s="1385"/>
      <c r="L1882" s="1391"/>
      <c r="M1882" s="1391"/>
      <c r="N1882" s="1391"/>
      <c r="O1882" s="1393">
        <f>SUM(O1880:O1881)</f>
        <v>0.69000000000000006</v>
      </c>
      <c r="P1882" s="1334">
        <f>SUM(O1882)</f>
        <v>0.69000000000000006</v>
      </c>
      <c r="Q1882" s="1334" t="s">
        <v>183</v>
      </c>
      <c r="R1882" s="1379"/>
    </row>
    <row r="1883" spans="1:18" ht="14.4" x14ac:dyDescent="0.3">
      <c r="A1883" s="1294"/>
      <c r="B1883" s="1294" t="s">
        <v>1481</v>
      </c>
      <c r="C1883" s="1296" t="s">
        <v>183</v>
      </c>
      <c r="D1883" s="1296">
        <f>+P1881</f>
        <v>0</v>
      </c>
      <c r="E1883" s="1296"/>
      <c r="F1883" s="1296">
        <f>D1883*E1883</f>
        <v>0</v>
      </c>
      <c r="G1883" s="1296"/>
      <c r="H1883" s="1374"/>
      <c r="I1883" s="1374"/>
      <c r="J1883" s="1384"/>
      <c r="K1883" s="1385"/>
      <c r="L1883" s="1391"/>
      <c r="M1883" s="1391"/>
      <c r="N1883" s="1391"/>
      <c r="O1883" s="1394"/>
      <c r="P1883" s="1334"/>
      <c r="Q1883" s="1334"/>
      <c r="R1883" s="1379"/>
    </row>
    <row r="1884" spans="1:18" ht="14.4" x14ac:dyDescent="0.3">
      <c r="A1884" s="1294"/>
      <c r="B1884" s="1311" t="s">
        <v>1482</v>
      </c>
      <c r="C1884" s="1296" t="s">
        <v>183</v>
      </c>
      <c r="D1884" s="1296">
        <f>+P1892</f>
        <v>0.89999999999999991</v>
      </c>
      <c r="E1884" s="1296"/>
      <c r="F1884" s="1296">
        <f>D1884*E1884</f>
        <v>0</v>
      </c>
      <c r="G1884" s="1296"/>
      <c r="H1884" s="1374"/>
      <c r="I1884" s="1374"/>
      <c r="J1884" s="1384" t="s">
        <v>1325</v>
      </c>
      <c r="K1884" s="1385"/>
      <c r="L1884" s="1391"/>
      <c r="M1884" s="1391"/>
      <c r="N1884" s="1391"/>
      <c r="O1884" s="1391">
        <f t="shared" ref="O1884:O1886" si="187">PRODUCT(K1884:N1884)</f>
        <v>0</v>
      </c>
      <c r="P1884" s="1334"/>
      <c r="Q1884" s="1334"/>
      <c r="R1884" s="1379"/>
    </row>
    <row r="1885" spans="1:18" ht="14.4" x14ac:dyDescent="0.3">
      <c r="A1885" s="1294"/>
      <c r="B1885" s="1311" t="s">
        <v>1483</v>
      </c>
      <c r="C1885" s="1296" t="s">
        <v>183</v>
      </c>
      <c r="D1885" s="1296">
        <f>+O1891</f>
        <v>0.69000000000000006</v>
      </c>
      <c r="E1885" s="1296">
        <f>G946</f>
        <v>1642.7173035522069</v>
      </c>
      <c r="F1885" s="1296">
        <f t="shared" ref="F1885:F1886" si="188">D1885*E1885</f>
        <v>1133.4749394510229</v>
      </c>
      <c r="G1885" s="1296"/>
      <c r="H1885" s="1374">
        <f>4000*10.76</f>
        <v>43040</v>
      </c>
      <c r="I1885" s="1374"/>
      <c r="J1885" s="1384" t="s">
        <v>1484</v>
      </c>
      <c r="K1885" s="1385">
        <v>7</v>
      </c>
      <c r="L1885" s="1391">
        <v>0.55000000000000004</v>
      </c>
      <c r="M1885" s="1391"/>
      <c r="N1885" s="1391">
        <f>+(10*10)/(162.162)</f>
        <v>0.61666728333394993</v>
      </c>
      <c r="O1885" s="1391">
        <f t="shared" si="187"/>
        <v>2.3741690408357075</v>
      </c>
      <c r="P1885" s="1334"/>
      <c r="Q1885" s="1334">
        <f>0.9/0.15+1</f>
        <v>7</v>
      </c>
      <c r="R1885" s="1379"/>
    </row>
    <row r="1886" spans="1:18" ht="14.4" x14ac:dyDescent="0.3">
      <c r="A1886" s="1294"/>
      <c r="B1886" s="1295" t="s">
        <v>1485</v>
      </c>
      <c r="C1886" s="1296" t="s">
        <v>1294</v>
      </c>
      <c r="D1886" s="1296">
        <f>+O1880*10.76</f>
        <v>5.8104000000000005</v>
      </c>
      <c r="E1886" s="1296">
        <v>4000</v>
      </c>
      <c r="F1886" s="1296">
        <f t="shared" si="188"/>
        <v>23241.600000000002</v>
      </c>
      <c r="G1886" s="1296"/>
      <c r="H1886" s="1374"/>
      <c r="I1886" s="1374"/>
      <c r="J1886" s="1395" t="s">
        <v>1484</v>
      </c>
      <c r="K1886" s="1396">
        <v>5</v>
      </c>
      <c r="L1886" s="1397">
        <v>0.85</v>
      </c>
      <c r="M1886" s="1397"/>
      <c r="N1886" s="1391">
        <f>+(10*10)/(162.162)</f>
        <v>0.61666728333394993</v>
      </c>
      <c r="O1886" s="1391">
        <f t="shared" si="187"/>
        <v>2.6208359541692872</v>
      </c>
      <c r="P1886" s="1334"/>
      <c r="Q1886" s="1334">
        <f>0.55/0.15+1</f>
        <v>4.666666666666667</v>
      </c>
      <c r="R1886" s="1379"/>
    </row>
    <row r="1887" spans="1:18" ht="14.4" x14ac:dyDescent="0.3">
      <c r="A1887" s="1294"/>
      <c r="B1887" s="1294" t="s">
        <v>1486</v>
      </c>
      <c r="C1887" s="1295"/>
      <c r="D1887" s="1296"/>
      <c r="E1887" s="1296"/>
      <c r="F1887" s="1296">
        <f>+H1886*3%</f>
        <v>0</v>
      </c>
      <c r="G1887" s="1296"/>
      <c r="H1887" s="1374"/>
      <c r="I1887" s="1374"/>
      <c r="J1887" s="1398"/>
      <c r="K1887" s="1399"/>
      <c r="L1887" s="1400"/>
      <c r="M1887" s="1400"/>
      <c r="N1887" s="1400"/>
      <c r="O1887" s="1401">
        <f>SUM(O1885:O1886)</f>
        <v>4.9950049950049946</v>
      </c>
      <c r="P1887" s="1334">
        <f>+O1887</f>
        <v>4.9950049950049946</v>
      </c>
      <c r="Q1887" s="1334" t="s">
        <v>37</v>
      </c>
      <c r="R1887" s="1379"/>
    </row>
    <row r="1888" spans="1:18" ht="14.4" x14ac:dyDescent="0.3">
      <c r="A1888" s="1298"/>
      <c r="B1888" s="1476" t="s">
        <v>1277</v>
      </c>
      <c r="C1888" s="1476"/>
      <c r="D1888" s="1476"/>
      <c r="E1888" s="1476"/>
      <c r="F1888" s="1299"/>
      <c r="G1888" s="1300">
        <f>SUM(F1880:F1887)</f>
        <v>27925.185399022372</v>
      </c>
      <c r="H1888" s="1374"/>
      <c r="I1888" s="1374"/>
      <c r="J1888" s="1363"/>
      <c r="K1888" s="1402"/>
      <c r="L1888" s="1403"/>
      <c r="M1888" s="1403"/>
      <c r="N1888" s="1403"/>
      <c r="O1888" s="1334"/>
      <c r="P1888" s="1334"/>
      <c r="Q1888" s="1334"/>
      <c r="R1888" s="1379"/>
    </row>
    <row r="1889" spans="1:18" ht="14.4" x14ac:dyDescent="0.3">
      <c r="A1889" s="1294"/>
      <c r="B1889" s="1297" t="s">
        <v>1261</v>
      </c>
      <c r="C1889" s="1295"/>
      <c r="D1889" s="1296"/>
      <c r="E1889" s="1296"/>
      <c r="F1889" s="1296">
        <f t="shared" ref="F1889" si="189">D1889*E1889</f>
        <v>0</v>
      </c>
      <c r="G1889" s="1296"/>
      <c r="H1889" s="1374"/>
      <c r="I1889" s="1374"/>
      <c r="J1889" s="1404" t="s">
        <v>1487</v>
      </c>
      <c r="K1889" s="1385"/>
      <c r="L1889" s="1391">
        <f>+L1878</f>
        <v>0.9</v>
      </c>
      <c r="M1889" s="1391">
        <f>+M1878</f>
        <v>0.6</v>
      </c>
      <c r="N1889" s="1391"/>
      <c r="O1889" s="1391">
        <f t="shared" ref="O1889:O1890" si="190">PRODUCT(K1889:N1889)</f>
        <v>0.54</v>
      </c>
      <c r="P1889" s="1379"/>
      <c r="Q1889" s="1379"/>
      <c r="R1889" s="1379"/>
    </row>
    <row r="1890" spans="1:18" ht="14.4" x14ac:dyDescent="0.3">
      <c r="A1890" s="1294"/>
      <c r="B1890" s="1311" t="s">
        <v>1488</v>
      </c>
      <c r="C1890" s="1296" t="s">
        <v>1489</v>
      </c>
      <c r="D1890" s="1296">
        <v>1</v>
      </c>
      <c r="E1890" s="1296">
        <v>10000</v>
      </c>
      <c r="F1890" s="1296">
        <f>+E1890</f>
        <v>10000</v>
      </c>
      <c r="G1890" s="1296"/>
      <c r="H1890" s="1374" t="s">
        <v>1490</v>
      </c>
      <c r="I1890" s="1374"/>
      <c r="J1890" s="1384"/>
      <c r="K1890" s="1385"/>
      <c r="L1890" s="1391"/>
      <c r="M1890" s="1391">
        <f>+L1889+M1889</f>
        <v>1.5</v>
      </c>
      <c r="N1890" s="1391">
        <v>0.1</v>
      </c>
      <c r="O1890" s="1397">
        <f t="shared" si="190"/>
        <v>0.15000000000000002</v>
      </c>
      <c r="P1890" s="1405">
        <f>+O1890+O1889</f>
        <v>0.69000000000000006</v>
      </c>
      <c r="Q1890" s="1379" t="s">
        <v>183</v>
      </c>
      <c r="R1890" s="1379"/>
    </row>
    <row r="1891" spans="1:18" ht="14.4" x14ac:dyDescent="0.3">
      <c r="A1891" s="1294"/>
      <c r="B1891" s="1294"/>
      <c r="C1891" s="1296"/>
      <c r="D1891" s="1296"/>
      <c r="E1891" s="1296"/>
      <c r="F1891" s="1296"/>
      <c r="G1891" s="1296"/>
      <c r="H1891" s="1374"/>
      <c r="I1891" s="1374"/>
      <c r="J1891" s="1384"/>
      <c r="K1891" s="1385"/>
      <c r="L1891" s="1391"/>
      <c r="M1891" s="1391"/>
      <c r="N1891" s="1391"/>
      <c r="O1891" s="1406">
        <f>SUM(O1889:O1890)</f>
        <v>0.69000000000000006</v>
      </c>
      <c r="P1891" s="1405"/>
      <c r="Q1891" s="1379"/>
      <c r="R1891" s="1379"/>
    </row>
    <row r="1892" spans="1:18" ht="14.4" x14ac:dyDescent="0.3">
      <c r="A1892" s="1298"/>
      <c r="B1892" s="1476" t="s">
        <v>1264</v>
      </c>
      <c r="C1892" s="1476"/>
      <c r="D1892" s="1476"/>
      <c r="E1892" s="1476"/>
      <c r="F1892" s="1299">
        <f t="shared" ref="F1892" si="191">D1892*E1892</f>
        <v>0</v>
      </c>
      <c r="G1892" s="1300">
        <f>SUM(F1890:F1892)</f>
        <v>10000</v>
      </c>
      <c r="H1892" s="1374"/>
      <c r="I1892" s="1374"/>
      <c r="J1892" s="1404" t="s">
        <v>1491</v>
      </c>
      <c r="K1892" s="1385"/>
      <c r="L1892" s="1391"/>
      <c r="M1892" s="1391">
        <f>+L1881</f>
        <v>1.5</v>
      </c>
      <c r="N1892" s="1391">
        <v>0.6</v>
      </c>
      <c r="O1892" s="1391">
        <f t="shared" ref="O1892" si="192">PRODUCT(K1892:N1892)</f>
        <v>0.89999999999999991</v>
      </c>
      <c r="P1892" s="1405">
        <f>+O1892</f>
        <v>0.89999999999999991</v>
      </c>
      <c r="Q1892" s="1379" t="s">
        <v>183</v>
      </c>
      <c r="R1892" s="1379"/>
    </row>
    <row r="1893" spans="1:18" ht="14.4" x14ac:dyDescent="0.3">
      <c r="A1893" s="1294"/>
      <c r="B1893" s="1301"/>
      <c r="C1893" s="1302"/>
      <c r="D1893" s="1302"/>
      <c r="E1893" s="1302"/>
      <c r="F1893" s="1296"/>
      <c r="G1893" s="1302"/>
      <c r="H1893" s="1374"/>
      <c r="I1893" s="1374"/>
      <c r="J1893" s="1374"/>
      <c r="K1893" s="1379"/>
      <c r="L1893" s="1379"/>
      <c r="M1893" s="1379"/>
      <c r="N1893" s="1379"/>
      <c r="O1893" s="1379"/>
      <c r="P1893" s="1379"/>
      <c r="Q1893" s="1379"/>
      <c r="R1893" s="1379"/>
    </row>
    <row r="1894" spans="1:18" ht="14.4" x14ac:dyDescent="0.3">
      <c r="A1894" s="1294"/>
      <c r="B1894" s="1302"/>
      <c r="C1894" s="1302"/>
      <c r="D1894" s="1302"/>
      <c r="E1894" s="1302"/>
      <c r="F1894" s="1296"/>
      <c r="G1894" s="1302"/>
      <c r="H1894" s="1374"/>
      <c r="I1894" s="1374"/>
      <c r="J1894" s="1374"/>
      <c r="K1894" s="1379"/>
      <c r="L1894" s="1379"/>
      <c r="M1894" s="1379"/>
      <c r="N1894" s="1379"/>
      <c r="O1894" s="1379"/>
      <c r="P1894" s="1379"/>
      <c r="Q1894" s="1379"/>
      <c r="R1894" s="1379"/>
    </row>
    <row r="1895" spans="1:18" ht="14.4" x14ac:dyDescent="0.3">
      <c r="A1895" s="1469" t="s">
        <v>1492</v>
      </c>
      <c r="B1895" s="1469"/>
      <c r="C1895" s="1469"/>
      <c r="D1895" s="1469"/>
      <c r="E1895" s="1469"/>
      <c r="F1895" s="1469"/>
      <c r="G1895" s="1303">
        <f>G1888+G1892</f>
        <v>37925.185399022375</v>
      </c>
      <c r="H1895" s="1374"/>
      <c r="I1895" s="1374"/>
      <c r="J1895" s="1374"/>
      <c r="K1895" s="1379"/>
      <c r="L1895" s="1379"/>
      <c r="M1895" s="1379"/>
      <c r="N1895" s="1379"/>
      <c r="O1895" s="1379"/>
      <c r="P1895" s="1379"/>
      <c r="Q1895" s="1379"/>
      <c r="R1895" s="1379"/>
    </row>
    <row r="1896" spans="1:18" ht="15" thickBot="1" x14ac:dyDescent="0.35">
      <c r="A1896" s="1469" t="s">
        <v>1296</v>
      </c>
      <c r="B1896" s="1469"/>
      <c r="C1896" s="1469"/>
      <c r="D1896" s="1469"/>
      <c r="E1896" s="1469"/>
      <c r="F1896" s="1469"/>
      <c r="G1896" s="1407">
        <f>G1895/9.29</f>
        <v>4082.3665660949814</v>
      </c>
      <c r="H1896" s="1374"/>
      <c r="I1896" s="1374"/>
      <c r="J1896" s="1374"/>
      <c r="K1896" s="1379"/>
      <c r="L1896" s="1379"/>
      <c r="M1896" s="1379"/>
      <c r="N1896" s="1379"/>
      <c r="O1896" s="1379"/>
      <c r="P1896" s="1379"/>
      <c r="Q1896" s="1379"/>
      <c r="R1896" s="1379"/>
    </row>
    <row r="1897" spans="1:18" ht="15" thickBot="1" x14ac:dyDescent="0.35">
      <c r="A1897" s="1469" t="s">
        <v>1297</v>
      </c>
      <c r="B1897" s="1469"/>
      <c r="C1897" s="1469"/>
      <c r="D1897" s="1469"/>
      <c r="E1897" s="1469"/>
      <c r="F1897" s="1469"/>
      <c r="G1897" s="1408">
        <f>G1896/10.76</f>
        <v>379.40209722072319</v>
      </c>
      <c r="H1897" s="1374"/>
      <c r="I1897" s="1374"/>
      <c r="J1897" s="1374"/>
      <c r="K1897" s="1379"/>
      <c r="L1897" s="1379"/>
      <c r="M1897" s="1379"/>
      <c r="N1897" s="1379"/>
      <c r="O1897" s="1379"/>
      <c r="P1897" s="1379"/>
      <c r="Q1897" s="1379"/>
      <c r="R1897" s="1379"/>
    </row>
    <row r="1898" spans="1:18" ht="14.4" x14ac:dyDescent="0.3">
      <c r="A1898" s="1379"/>
      <c r="B1898" s="1379"/>
      <c r="C1898" s="1379"/>
      <c r="D1898" s="1379"/>
      <c r="E1898" s="1379"/>
      <c r="F1898" s="1379"/>
      <c r="G1898" s="1379"/>
      <c r="H1898" s="1374"/>
      <c r="I1898" s="1374"/>
      <c r="J1898" s="1374"/>
      <c r="K1898" s="1379"/>
      <c r="L1898" s="1379"/>
      <c r="M1898" s="1379"/>
      <c r="N1898" s="1379"/>
      <c r="O1898" s="1379"/>
      <c r="P1898" s="1379"/>
      <c r="Q1898" s="1379"/>
      <c r="R1898" s="1379"/>
    </row>
    <row r="1899" spans="1:18" ht="14.4" x14ac:dyDescent="0.3">
      <c r="A1899" s="1379"/>
      <c r="B1899" s="1379"/>
      <c r="C1899" s="1379"/>
      <c r="D1899" s="1379"/>
      <c r="E1899" s="1379"/>
      <c r="F1899" s="1379"/>
      <c r="G1899" s="1379"/>
      <c r="H1899" s="1374"/>
      <c r="I1899" s="1374"/>
      <c r="J1899" s="1374"/>
      <c r="K1899" s="1379"/>
      <c r="L1899" s="1379"/>
      <c r="M1899" s="1379"/>
      <c r="N1899" s="1379"/>
      <c r="O1899" s="1379"/>
      <c r="P1899" s="1379"/>
      <c r="Q1899" s="1379"/>
      <c r="R1899" s="1379"/>
    </row>
    <row r="1900" spans="1:18" ht="15" thickBot="1" x14ac:dyDescent="0.35">
      <c r="A1900" s="1379"/>
      <c r="B1900" s="1379"/>
      <c r="C1900" s="1379"/>
      <c r="D1900" s="1379"/>
      <c r="E1900" s="1379"/>
      <c r="F1900" s="1379"/>
      <c r="G1900" s="1379"/>
      <c r="H1900" s="1374"/>
      <c r="I1900" s="1374"/>
      <c r="J1900" s="1375"/>
      <c r="K1900" s="1376" t="s">
        <v>0</v>
      </c>
      <c r="L1900" s="1377" t="s">
        <v>1333</v>
      </c>
      <c r="M1900" s="1377" t="s">
        <v>1474</v>
      </c>
      <c r="N1900" s="1377" t="s">
        <v>1475</v>
      </c>
      <c r="O1900" s="1316" t="s">
        <v>1260</v>
      </c>
      <c r="P1900" s="1378"/>
      <c r="Q1900" s="1334"/>
      <c r="R1900" s="1379"/>
    </row>
    <row r="1901" spans="1:18" ht="14.4" x14ac:dyDescent="0.3">
      <c r="A1901" s="1470" t="s">
        <v>1493</v>
      </c>
      <c r="B1901" s="1471"/>
      <c r="C1901" s="1471"/>
      <c r="D1901" s="1471"/>
      <c r="E1901" s="1471"/>
      <c r="F1901" s="1471"/>
      <c r="G1901" s="1472"/>
      <c r="H1901" s="1374"/>
      <c r="I1901" s="1374"/>
      <c r="J1901" s="1380"/>
      <c r="K1901" s="1381"/>
      <c r="L1901" s="1382"/>
      <c r="M1901" s="1382"/>
      <c r="N1901" s="1382"/>
      <c r="O1901" s="1383"/>
      <c r="P1901" s="1334"/>
      <c r="Q1901" s="1334"/>
      <c r="R1901" s="1379"/>
    </row>
    <row r="1902" spans="1:18" ht="15" thickBot="1" x14ac:dyDescent="0.35">
      <c r="A1902" s="1473" t="s">
        <v>1476</v>
      </c>
      <c r="B1902" s="1474"/>
      <c r="C1902" s="1474"/>
      <c r="D1902" s="1474"/>
      <c r="E1902" s="1474"/>
      <c r="F1902" s="1474"/>
      <c r="G1902" s="1475"/>
      <c r="H1902" s="1374"/>
      <c r="I1902" s="1374"/>
      <c r="J1902" s="1384" t="s">
        <v>1477</v>
      </c>
      <c r="K1902" s="1385"/>
      <c r="L1902" s="1386">
        <v>2.85</v>
      </c>
      <c r="M1902" s="1386">
        <v>0.6</v>
      </c>
      <c r="N1902" s="1387">
        <v>0.1</v>
      </c>
      <c r="O1902" s="1389">
        <f>PRODUCT(K1902:N1902)</f>
        <v>0.17100000000000001</v>
      </c>
      <c r="P1902" s="1334">
        <f>+O1902</f>
        <v>0.17100000000000001</v>
      </c>
      <c r="Q1902" s="1334" t="s">
        <v>872</v>
      </c>
      <c r="R1902" s="1379"/>
    </row>
    <row r="1903" spans="1:18" ht="15" thickBot="1" x14ac:dyDescent="0.35">
      <c r="A1903" s="1292"/>
      <c r="B1903" s="1293" t="s">
        <v>1038</v>
      </c>
      <c r="C1903" s="1293" t="s">
        <v>1039</v>
      </c>
      <c r="D1903" s="1293" t="s">
        <v>2</v>
      </c>
      <c r="E1903" s="1293" t="s">
        <v>1040</v>
      </c>
      <c r="F1903" s="1293" t="s">
        <v>5</v>
      </c>
      <c r="G1903" s="1293" t="s">
        <v>1260</v>
      </c>
      <c r="H1903" s="1374"/>
      <c r="I1903" s="1374"/>
      <c r="J1903" s="1384"/>
      <c r="K1903" s="1385"/>
      <c r="L1903" s="1386">
        <v>1.35</v>
      </c>
      <c r="M1903" s="1386">
        <v>0.6</v>
      </c>
      <c r="N1903" s="1387">
        <v>0.1</v>
      </c>
      <c r="O1903" s="1392">
        <f>PRODUCT(K1903:N1903)</f>
        <v>8.1000000000000016E-2</v>
      </c>
      <c r="P1903" s="1334">
        <f>P1902/2.83</f>
        <v>6.0424028268551241E-2</v>
      </c>
      <c r="Q1903" s="1334" t="s">
        <v>1110</v>
      </c>
      <c r="R1903" s="1379"/>
    </row>
    <row r="1904" spans="1:18" ht="14.4" x14ac:dyDescent="0.3">
      <c r="A1904" s="1294"/>
      <c r="B1904" s="1294"/>
      <c r="C1904" s="1295"/>
      <c r="D1904" s="1296"/>
      <c r="E1904" s="1296"/>
      <c r="F1904" s="1296"/>
      <c r="G1904" s="1296"/>
      <c r="H1904" s="1374"/>
      <c r="I1904" s="1374"/>
      <c r="J1904" s="1384"/>
      <c r="K1904" s="1385"/>
      <c r="L1904" s="1386"/>
      <c r="M1904" s="1386"/>
      <c r="N1904" s="1387"/>
      <c r="O1904" s="1401">
        <f>SUM(O1902:O1903)</f>
        <v>0.252</v>
      </c>
      <c r="P1904" s="1334"/>
      <c r="Q1904" s="1334"/>
      <c r="R1904" s="1379"/>
    </row>
    <row r="1905" spans="1:18" ht="14.4" x14ac:dyDescent="0.3">
      <c r="A1905" s="1294"/>
      <c r="B1905" s="1294" t="s">
        <v>1478</v>
      </c>
      <c r="C1905" s="1296" t="s">
        <v>872</v>
      </c>
      <c r="D1905" s="1296">
        <f>P1903</f>
        <v>6.0424028268551241E-2</v>
      </c>
      <c r="E1905" s="1296">
        <f>E1880</f>
        <v>63871.25</v>
      </c>
      <c r="F1905" s="1296">
        <f t="shared" ref="F1905" si="193">D1905*E1905</f>
        <v>3859.3582155477034</v>
      </c>
      <c r="G1905" s="1296"/>
      <c r="H1905" s="1374"/>
      <c r="I1905" s="1374"/>
      <c r="J1905" s="1384"/>
      <c r="K1905" s="1385"/>
      <c r="L1905" s="1387"/>
      <c r="M1905" s="1387"/>
      <c r="N1905" s="1387"/>
      <c r="O1905" s="1389">
        <f t="shared" ref="O1905:O1908" si="194">PRODUCT(K1905:N1905)</f>
        <v>0</v>
      </c>
      <c r="P1905" s="1334"/>
      <c r="Q1905" s="1334">
        <f>+O1906*10.76</f>
        <v>18.3996</v>
      </c>
      <c r="R1905" s="1379"/>
    </row>
    <row r="1906" spans="1:18" ht="14.4" x14ac:dyDescent="0.3">
      <c r="A1906" s="1294"/>
      <c r="B1906" s="1311" t="s">
        <v>1314</v>
      </c>
      <c r="C1906" s="1295"/>
      <c r="D1906" s="1296"/>
      <c r="E1906" s="1296"/>
      <c r="F1906" s="1296">
        <f>F1905*10%</f>
        <v>385.93582155477037</v>
      </c>
      <c r="G1906" s="1296"/>
      <c r="H1906" s="1374"/>
      <c r="I1906" s="1374"/>
      <c r="J1906" s="1384" t="s">
        <v>1479</v>
      </c>
      <c r="K1906" s="1385"/>
      <c r="L1906" s="1390">
        <f>+L1902</f>
        <v>2.85</v>
      </c>
      <c r="M1906" s="1390">
        <f>+M1902</f>
        <v>0.6</v>
      </c>
      <c r="N1906" s="1391"/>
      <c r="O1906" s="1389">
        <f t="shared" si="194"/>
        <v>1.71</v>
      </c>
      <c r="P1906" s="1334"/>
      <c r="Q1906" s="1334"/>
      <c r="R1906" s="1379"/>
    </row>
    <row r="1907" spans="1:18" ht="14.4" x14ac:dyDescent="0.3">
      <c r="A1907" s="1294"/>
      <c r="B1907" s="1294" t="s">
        <v>1325</v>
      </c>
      <c r="C1907" s="1296" t="s">
        <v>1480</v>
      </c>
      <c r="D1907" s="1296">
        <f>+P1915</f>
        <v>25.730853251686582</v>
      </c>
      <c r="E1907" s="1296">
        <f>E1882</f>
        <v>442.34015625000001</v>
      </c>
      <c r="F1907" s="1296">
        <f t="shared" ref="F1907" si="195">D1907*E1907</f>
        <v>11381.789647796864</v>
      </c>
      <c r="G1907" s="1296"/>
      <c r="H1907" s="1374"/>
      <c r="I1907" s="1374"/>
      <c r="J1907" s="1384"/>
      <c r="K1907" s="1385"/>
      <c r="L1907" s="1390">
        <f>+L1903</f>
        <v>1.35</v>
      </c>
      <c r="M1907" s="1390">
        <f>+M1903</f>
        <v>0.6</v>
      </c>
      <c r="N1907" s="1391"/>
      <c r="O1907" s="1389">
        <f t="shared" si="194"/>
        <v>0.81</v>
      </c>
      <c r="P1907" s="1334"/>
      <c r="Q1907" s="1334"/>
      <c r="R1907" s="1379"/>
    </row>
    <row r="1908" spans="1:18" ht="14.4" x14ac:dyDescent="0.3">
      <c r="A1908" s="1294"/>
      <c r="B1908" s="1294" t="s">
        <v>1481</v>
      </c>
      <c r="C1908" s="1296" t="s">
        <v>183</v>
      </c>
      <c r="D1908" s="1296">
        <f>+O1909</f>
        <v>2.9975000000000001</v>
      </c>
      <c r="E1908" s="1296"/>
      <c r="F1908" s="1296">
        <f>D1908*E1908</f>
        <v>0</v>
      </c>
      <c r="G1908" s="1296"/>
      <c r="H1908" s="1374"/>
      <c r="I1908" s="1374"/>
      <c r="J1908" s="1384"/>
      <c r="K1908" s="1385"/>
      <c r="L1908" s="1390">
        <f>4.5+0.275</f>
        <v>4.7750000000000004</v>
      </c>
      <c r="M1908" s="1391"/>
      <c r="N1908" s="1391">
        <v>0.1</v>
      </c>
      <c r="O1908" s="1392">
        <f t="shared" si="194"/>
        <v>0.47750000000000004</v>
      </c>
      <c r="P1908" s="1334"/>
      <c r="Q1908" s="1334"/>
      <c r="R1908" s="1379"/>
    </row>
    <row r="1909" spans="1:18" ht="14.4" x14ac:dyDescent="0.3">
      <c r="A1909" s="1294"/>
      <c r="B1909" s="1409" t="s">
        <v>1482</v>
      </c>
      <c r="C1909" s="1296" t="s">
        <v>183</v>
      </c>
      <c r="D1909" s="1296">
        <f>+P1921</f>
        <v>2.88</v>
      </c>
      <c r="E1909" s="1296"/>
      <c r="F1909" s="1296">
        <f>D1909*E1909</f>
        <v>0</v>
      </c>
      <c r="G1909" s="1296"/>
      <c r="H1909" s="1374"/>
      <c r="I1909" s="1374"/>
      <c r="J1909" s="1384"/>
      <c r="K1909" s="1385"/>
      <c r="L1909" s="1391"/>
      <c r="M1909" s="1391"/>
      <c r="N1909" s="1391"/>
      <c r="O1909" s="1393">
        <f>SUM(O1906:O1908)</f>
        <v>2.9975000000000001</v>
      </c>
      <c r="P1909" s="1334">
        <f>SUM(O1909)</f>
        <v>2.9975000000000001</v>
      </c>
      <c r="Q1909" s="1334" t="s">
        <v>183</v>
      </c>
      <c r="R1909" s="1379"/>
    </row>
    <row r="1910" spans="1:18" ht="14.4" x14ac:dyDescent="0.3">
      <c r="A1910" s="1294"/>
      <c r="B1910" s="1311" t="s">
        <v>1483</v>
      </c>
      <c r="C1910" s="1296" t="s">
        <v>183</v>
      </c>
      <c r="D1910" s="1296">
        <f>+O1920</f>
        <v>2.9975000000000001</v>
      </c>
      <c r="E1910" s="1296">
        <f>E1885</f>
        <v>1642.7173035522069</v>
      </c>
      <c r="F1910" s="1296">
        <f>D1910*E1910</f>
        <v>4924.0451173977399</v>
      </c>
      <c r="G1910" s="1296"/>
      <c r="H1910" s="1374"/>
      <c r="I1910" s="1374"/>
      <c r="J1910" s="1384"/>
      <c r="K1910" s="1385"/>
      <c r="L1910" s="1391"/>
      <c r="M1910" s="1391"/>
      <c r="N1910" s="1391"/>
      <c r="O1910" s="1394"/>
      <c r="P1910" s="1334"/>
      <c r="Q1910" s="1334"/>
      <c r="R1910" s="1379"/>
    </row>
    <row r="1911" spans="1:18" ht="14.4" x14ac:dyDescent="0.3">
      <c r="A1911" s="1294"/>
      <c r="B1911" s="1295" t="s">
        <v>1485</v>
      </c>
      <c r="C1911" s="1296" t="s">
        <v>1294</v>
      </c>
      <c r="D1911" s="1296">
        <f>(+O1906+O1907)*10.76</f>
        <v>27.115199999999998</v>
      </c>
      <c r="E1911" s="1296">
        <v>4000</v>
      </c>
      <c r="F1911" s="1296">
        <f>D1911*E1911</f>
        <v>108460.79999999999</v>
      </c>
      <c r="G1911" s="1296"/>
      <c r="H1911" s="1374"/>
      <c r="I1911" s="1374"/>
      <c r="J1911" s="1384" t="s">
        <v>1325</v>
      </c>
      <c r="K1911" s="1385"/>
      <c r="L1911" s="1391"/>
      <c r="M1911" s="1391"/>
      <c r="N1911" s="1391"/>
      <c r="O1911" s="1391">
        <f t="shared" ref="O1911:O1914" si="196">PRODUCT(K1911:N1911)</f>
        <v>0</v>
      </c>
      <c r="P1911" s="1334"/>
      <c r="Q1911" s="1334"/>
      <c r="R1911" s="1379"/>
    </row>
    <row r="1912" spans="1:18" ht="14.4" x14ac:dyDescent="0.3">
      <c r="A1912" s="1294"/>
      <c r="B1912" s="1294" t="s">
        <v>1486</v>
      </c>
      <c r="C1912" s="1295"/>
      <c r="D1912" s="1296"/>
      <c r="E1912" s="1296"/>
      <c r="F1912" s="1296">
        <f>+H1910*3%</f>
        <v>0</v>
      </c>
      <c r="G1912" s="1296"/>
      <c r="H1912" s="1374"/>
      <c r="I1912" s="1374"/>
      <c r="J1912" s="1384" t="s">
        <v>1484</v>
      </c>
      <c r="K1912" s="1385">
        <v>5</v>
      </c>
      <c r="L1912" s="1391">
        <v>3.6</v>
      </c>
      <c r="M1912" s="1391"/>
      <c r="N1912" s="1391">
        <f>+(10*10)/(162.162)</f>
        <v>0.61666728333394993</v>
      </c>
      <c r="O1912" s="1391">
        <f t="shared" si="196"/>
        <v>11.100011100011098</v>
      </c>
      <c r="P1912" s="1334"/>
      <c r="Q1912" s="1334">
        <f>0.6/0.15+1</f>
        <v>5</v>
      </c>
      <c r="R1912" s="1379">
        <f>1.35/0.15+1</f>
        <v>10.000000000000002</v>
      </c>
    </row>
    <row r="1913" spans="1:18" ht="14.4" x14ac:dyDescent="0.3">
      <c r="A1913" s="1298"/>
      <c r="B1913" s="1476" t="s">
        <v>1277</v>
      </c>
      <c r="C1913" s="1476"/>
      <c r="D1913" s="1476"/>
      <c r="E1913" s="1476"/>
      <c r="F1913" s="1299"/>
      <c r="G1913" s="1300">
        <f>SUM(F1905:F1912)</f>
        <v>129011.92880229707</v>
      </c>
      <c r="H1913" s="1374"/>
      <c r="I1913" s="1374"/>
      <c r="J1913" s="1395" t="s">
        <v>1484</v>
      </c>
      <c r="K1913" s="1396">
        <v>5</v>
      </c>
      <c r="L1913" s="1397">
        <v>1.875</v>
      </c>
      <c r="M1913" s="1397"/>
      <c r="N1913" s="1391">
        <v>0.62</v>
      </c>
      <c r="O1913" s="1391">
        <f t="shared" si="196"/>
        <v>5.8125</v>
      </c>
      <c r="P1913" s="1334"/>
      <c r="Q1913" s="1334">
        <f>+Q1912</f>
        <v>5</v>
      </c>
      <c r="R1913" s="1379">
        <f>2.25/0.15+1</f>
        <v>16</v>
      </c>
    </row>
    <row r="1914" spans="1:18" ht="14.4" x14ac:dyDescent="0.3">
      <c r="A1914" s="1294"/>
      <c r="B1914" s="1297" t="s">
        <v>1261</v>
      </c>
      <c r="C1914" s="1295"/>
      <c r="D1914" s="1296"/>
      <c r="E1914" s="1296"/>
      <c r="F1914" s="1296">
        <f t="shared" ref="F1914" si="197">D1914*E1914</f>
        <v>0</v>
      </c>
      <c r="G1914" s="1296"/>
      <c r="H1914" s="1374"/>
      <c r="I1914" s="1374"/>
      <c r="J1914" s="1395" t="s">
        <v>1484</v>
      </c>
      <c r="K1914" s="1396">
        <v>26</v>
      </c>
      <c r="L1914" s="1397">
        <v>0.55000000000000004</v>
      </c>
      <c r="M1914" s="1397"/>
      <c r="N1914" s="1391">
        <f>+(10*10)/(162.162)</f>
        <v>0.61666728333394993</v>
      </c>
      <c r="O1914" s="1391">
        <f t="shared" si="196"/>
        <v>8.8183421516754841</v>
      </c>
      <c r="P1914" s="1334"/>
      <c r="Q1914" s="1334"/>
      <c r="R1914" s="1379"/>
    </row>
    <row r="1915" spans="1:18" ht="14.4" x14ac:dyDescent="0.3">
      <c r="A1915" s="1294"/>
      <c r="B1915" s="1311" t="s">
        <v>1488</v>
      </c>
      <c r="C1915" s="1296" t="s">
        <v>1489</v>
      </c>
      <c r="D1915" s="1296">
        <v>1</v>
      </c>
      <c r="E1915" s="1296">
        <v>25000</v>
      </c>
      <c r="F1915" s="1296">
        <f>+E1915</f>
        <v>25000</v>
      </c>
      <c r="G1915" s="1296"/>
      <c r="H1915" s="1374" t="s">
        <v>1490</v>
      </c>
      <c r="I1915" s="1374"/>
      <c r="J1915" s="1398"/>
      <c r="K1915" s="1399"/>
      <c r="L1915" s="1400"/>
      <c r="M1915" s="1400"/>
      <c r="N1915" s="1400"/>
      <c r="O1915" s="1401">
        <f>SUM(O1912:O1914)</f>
        <v>25.730853251686582</v>
      </c>
      <c r="P1915" s="1334">
        <f>+O1915</f>
        <v>25.730853251686582</v>
      </c>
      <c r="Q1915" s="1334" t="s">
        <v>37</v>
      </c>
      <c r="R1915" s="1379"/>
    </row>
    <row r="1916" spans="1:18" ht="14.4" x14ac:dyDescent="0.3">
      <c r="A1916" s="1294"/>
      <c r="B1916" s="1294"/>
      <c r="C1916" s="1296"/>
      <c r="D1916" s="1296"/>
      <c r="E1916" s="1296"/>
      <c r="F1916" s="1296"/>
      <c r="G1916" s="1296"/>
      <c r="H1916" s="1374"/>
      <c r="I1916" s="1374"/>
      <c r="J1916" s="1363"/>
      <c r="K1916" s="1402"/>
      <c r="L1916" s="1403"/>
      <c r="M1916" s="1403"/>
      <c r="N1916" s="1403"/>
      <c r="O1916" s="1334"/>
      <c r="P1916" s="1334"/>
      <c r="Q1916" s="1334"/>
      <c r="R1916" s="1379"/>
    </row>
    <row r="1917" spans="1:18" ht="14.4" x14ac:dyDescent="0.3">
      <c r="A1917" s="1298"/>
      <c r="B1917" s="1476" t="s">
        <v>1264</v>
      </c>
      <c r="C1917" s="1476"/>
      <c r="D1917" s="1476"/>
      <c r="E1917" s="1476"/>
      <c r="F1917" s="1299">
        <f t="shared" ref="F1917" si="198">D1917*E1917</f>
        <v>0</v>
      </c>
      <c r="G1917" s="1300">
        <f>SUM(F1915:F1917)</f>
        <v>25000</v>
      </c>
      <c r="H1917" s="1374"/>
      <c r="I1917" s="1374"/>
      <c r="J1917" s="1384" t="s">
        <v>1487</v>
      </c>
      <c r="K1917" s="1385"/>
      <c r="L1917" s="1391">
        <f>+L1906</f>
        <v>2.85</v>
      </c>
      <c r="M1917" s="1391">
        <f>+M1902</f>
        <v>0.6</v>
      </c>
      <c r="N1917" s="1391"/>
      <c r="O1917" s="1391">
        <f t="shared" ref="O1917:O1919" si="199">PRODUCT(K1917:N1917)</f>
        <v>1.71</v>
      </c>
      <c r="P1917" s="1379"/>
      <c r="Q1917" s="1379"/>
      <c r="R1917" s="1379"/>
    </row>
    <row r="1918" spans="1:18" ht="14.4" x14ac:dyDescent="0.3">
      <c r="A1918" s="1294"/>
      <c r="B1918" s="1301"/>
      <c r="C1918" s="1302"/>
      <c r="D1918" s="1302"/>
      <c r="E1918" s="1302"/>
      <c r="F1918" s="1296"/>
      <c r="G1918" s="1302"/>
      <c r="H1918" s="1374"/>
      <c r="I1918" s="1374"/>
      <c r="J1918" s="1384"/>
      <c r="K1918" s="1385"/>
      <c r="L1918" s="1391">
        <f>+L1907</f>
        <v>1.35</v>
      </c>
      <c r="M1918" s="1391">
        <f>+M1903</f>
        <v>0.6</v>
      </c>
      <c r="N1918" s="1391"/>
      <c r="O1918" s="1391">
        <f t="shared" si="199"/>
        <v>0.81</v>
      </c>
      <c r="P1918" s="1379"/>
      <c r="Q1918" s="1379"/>
      <c r="R1918" s="1379"/>
    </row>
    <row r="1919" spans="1:18" ht="14.4" x14ac:dyDescent="0.3">
      <c r="A1919" s="1294"/>
      <c r="B1919" s="1302"/>
      <c r="C1919" s="1302"/>
      <c r="D1919" s="1302"/>
      <c r="E1919" s="1302"/>
      <c r="F1919" s="1296"/>
      <c r="G1919" s="1302"/>
      <c r="H1919" s="1374"/>
      <c r="I1919" s="1374"/>
      <c r="J1919" s="1384"/>
      <c r="K1919" s="1385"/>
      <c r="L1919" s="1391"/>
      <c r="M1919" s="1391">
        <f>+L1908</f>
        <v>4.7750000000000004</v>
      </c>
      <c r="N1919" s="1391">
        <v>0.1</v>
      </c>
      <c r="O1919" s="1397">
        <f t="shared" si="199"/>
        <v>0.47750000000000004</v>
      </c>
      <c r="P1919" s="1405">
        <f>+O1919+O1917</f>
        <v>2.1875</v>
      </c>
      <c r="Q1919" s="1379" t="s">
        <v>183</v>
      </c>
      <c r="R1919" s="1379"/>
    </row>
    <row r="1920" spans="1:18" ht="15" thickBot="1" x14ac:dyDescent="0.35">
      <c r="A1920" s="1469" t="s">
        <v>1492</v>
      </c>
      <c r="B1920" s="1469"/>
      <c r="C1920" s="1469"/>
      <c r="D1920" s="1469"/>
      <c r="E1920" s="1469"/>
      <c r="F1920" s="1469"/>
      <c r="G1920" s="1303">
        <f>G1913+G1917</f>
        <v>154011.92880229707</v>
      </c>
      <c r="H1920" s="1374"/>
      <c r="I1920" s="1374"/>
      <c r="J1920" s="1384"/>
      <c r="K1920" s="1385"/>
      <c r="L1920" s="1391"/>
      <c r="M1920" s="1391"/>
      <c r="N1920" s="1391"/>
      <c r="O1920" s="1410">
        <f>SUM(O1917:O1919)</f>
        <v>2.9975000000000001</v>
      </c>
      <c r="P1920" s="1405"/>
      <c r="Q1920" s="1379"/>
      <c r="R1920" s="1379"/>
    </row>
    <row r="1921" spans="1:18" ht="15.6" thickTop="1" thickBot="1" x14ac:dyDescent="0.35">
      <c r="A1921" s="1469" t="s">
        <v>1296</v>
      </c>
      <c r="B1921" s="1469"/>
      <c r="C1921" s="1469"/>
      <c r="D1921" s="1469"/>
      <c r="E1921" s="1469"/>
      <c r="F1921" s="1469"/>
      <c r="G1921" s="1407">
        <f>G1920/9.29</f>
        <v>16578.24852554328</v>
      </c>
      <c r="H1921" s="1374"/>
      <c r="I1921" s="1374"/>
      <c r="J1921" s="1404" t="s">
        <v>1491</v>
      </c>
      <c r="K1921" s="1385"/>
      <c r="L1921" s="1391"/>
      <c r="M1921" s="1391">
        <f>16*0.3</f>
        <v>4.8</v>
      </c>
      <c r="N1921" s="1391">
        <v>0.6</v>
      </c>
      <c r="O1921" s="1411">
        <f t="shared" ref="O1921" si="200">PRODUCT(K1921:N1921)</f>
        <v>2.88</v>
      </c>
      <c r="P1921" s="1405">
        <f>+O1921</f>
        <v>2.88</v>
      </c>
      <c r="Q1921" s="1379" t="s">
        <v>183</v>
      </c>
      <c r="R1921" s="1379"/>
    </row>
    <row r="1922" spans="1:18" ht="15" thickBot="1" x14ac:dyDescent="0.35">
      <c r="A1922" s="1469" t="s">
        <v>1297</v>
      </c>
      <c r="B1922" s="1469"/>
      <c r="C1922" s="1469"/>
      <c r="D1922" s="1469"/>
      <c r="E1922" s="1469"/>
      <c r="F1922" s="1469"/>
      <c r="G1922" s="1408">
        <f>G1921/10.76</f>
        <v>1540.7294168720521</v>
      </c>
      <c r="H1922" s="1374"/>
      <c r="I1922" s="1374"/>
      <c r="J1922" s="1374"/>
      <c r="K1922" s="1379"/>
      <c r="L1922" s="1379"/>
      <c r="M1922" s="1379"/>
      <c r="N1922" s="1379"/>
      <c r="O1922" s="1412">
        <f>+O1921</f>
        <v>2.88</v>
      </c>
      <c r="P1922" s="1379"/>
      <c r="Q1922" s="1379"/>
      <c r="R1922" s="1379"/>
    </row>
    <row r="1923" spans="1:18" ht="14.4" x14ac:dyDescent="0.3">
      <c r="A1923" s="1379"/>
      <c r="B1923" s="1379"/>
      <c r="C1923" s="1379"/>
      <c r="D1923" s="1379"/>
      <c r="E1923" s="1379"/>
      <c r="F1923" s="1379"/>
      <c r="G1923" s="1379"/>
      <c r="H1923" s="1374"/>
      <c r="I1923" s="1374"/>
      <c r="J1923" s="1374"/>
      <c r="K1923" s="1379"/>
      <c r="L1923" s="1379"/>
      <c r="M1923" s="1379"/>
      <c r="N1923" s="1379"/>
      <c r="O1923" s="1379"/>
      <c r="P1923" s="1379"/>
      <c r="Q1923" s="1379"/>
      <c r="R1923" s="1379"/>
    </row>
    <row r="1924" spans="1:18" ht="14.4" x14ac:dyDescent="0.3">
      <c r="A1924" s="1379"/>
      <c r="B1924" s="1379"/>
      <c r="C1924" s="1379"/>
      <c r="D1924" s="1379"/>
      <c r="E1924" s="1379"/>
      <c r="F1924" s="1379"/>
      <c r="G1924" s="1379"/>
      <c r="H1924" s="1374"/>
      <c r="I1924" s="1374"/>
      <c r="J1924" s="1374"/>
      <c r="K1924" s="1379">
        <f>15*0.3</f>
        <v>4.5</v>
      </c>
      <c r="L1924" s="1379"/>
      <c r="M1924" s="1379"/>
      <c r="N1924" s="1379"/>
      <c r="O1924" s="1379"/>
      <c r="P1924" s="1379"/>
      <c r="Q1924" s="1379"/>
      <c r="R1924" s="1379"/>
    </row>
    <row r="1925" spans="1:18" ht="15" thickBot="1" x14ac:dyDescent="0.35">
      <c r="A1925" s="1379"/>
      <c r="B1925" s="1379"/>
      <c r="C1925" s="1379"/>
      <c r="D1925" s="1379"/>
      <c r="E1925" s="1379"/>
      <c r="F1925" s="1379"/>
      <c r="G1925" s="1379"/>
      <c r="H1925" s="1374">
        <f>7*0.3</f>
        <v>2.1</v>
      </c>
      <c r="I1925" s="1374"/>
      <c r="J1925" s="1374"/>
      <c r="K1925" s="1379">
        <f>11*25</f>
        <v>275</v>
      </c>
      <c r="L1925" s="1379"/>
      <c r="M1925" s="1379"/>
      <c r="N1925" s="1379"/>
      <c r="O1925" s="1379"/>
      <c r="P1925" s="1379"/>
      <c r="Q1925" s="1379"/>
      <c r="R1925" s="1379"/>
    </row>
    <row r="1926" spans="1:18" ht="14.4" x14ac:dyDescent="0.3">
      <c r="A1926" s="1470" t="s">
        <v>1494</v>
      </c>
      <c r="B1926" s="1471"/>
      <c r="C1926" s="1471"/>
      <c r="D1926" s="1471"/>
      <c r="E1926" s="1471"/>
      <c r="F1926" s="1471"/>
      <c r="G1926" s="1472"/>
      <c r="H1926" s="1374">
        <f>9*25</f>
        <v>225</v>
      </c>
      <c r="I1926" s="1374"/>
      <c r="J1926" s="1375"/>
      <c r="K1926" s="1376" t="s">
        <v>0</v>
      </c>
      <c r="L1926" s="1377" t="s">
        <v>1333</v>
      </c>
      <c r="M1926" s="1377" t="s">
        <v>1474</v>
      </c>
      <c r="N1926" s="1377" t="s">
        <v>1475</v>
      </c>
      <c r="O1926" s="1316" t="s">
        <v>1260</v>
      </c>
      <c r="P1926" s="1378"/>
      <c r="Q1926" s="1334"/>
      <c r="R1926" s="1379"/>
    </row>
    <row r="1927" spans="1:18" ht="15" thickBot="1" x14ac:dyDescent="0.35">
      <c r="A1927" s="1473" t="s">
        <v>1476</v>
      </c>
      <c r="B1927" s="1474"/>
      <c r="C1927" s="1474"/>
      <c r="D1927" s="1474"/>
      <c r="E1927" s="1474"/>
      <c r="F1927" s="1474"/>
      <c r="G1927" s="1475"/>
      <c r="H1927" s="1374"/>
      <c r="I1927" s="1374"/>
      <c r="J1927" s="1380"/>
      <c r="K1927" s="1381"/>
      <c r="L1927" s="1382"/>
      <c r="M1927" s="1382"/>
      <c r="N1927" s="1382"/>
      <c r="O1927" s="1383"/>
      <c r="P1927" s="1334"/>
      <c r="Q1927" s="1334"/>
      <c r="R1927" s="1379"/>
    </row>
    <row r="1928" spans="1:18" ht="15" thickBot="1" x14ac:dyDescent="0.35">
      <c r="A1928" s="1292"/>
      <c r="B1928" s="1293" t="s">
        <v>1038</v>
      </c>
      <c r="C1928" s="1293" t="s">
        <v>1039</v>
      </c>
      <c r="D1928" s="1293" t="s">
        <v>2</v>
      </c>
      <c r="E1928" s="1293" t="s">
        <v>1040</v>
      </c>
      <c r="F1928" s="1293" t="s">
        <v>5</v>
      </c>
      <c r="G1928" s="1293" t="s">
        <v>1260</v>
      </c>
      <c r="H1928" s="1374"/>
      <c r="I1928" s="1374"/>
      <c r="J1928" s="1384" t="s">
        <v>1477</v>
      </c>
      <c r="K1928" s="1385"/>
      <c r="L1928" s="1386">
        <v>2.3250000000000002</v>
      </c>
      <c r="M1928" s="1386">
        <v>0.6</v>
      </c>
      <c r="N1928" s="1387">
        <v>0.1</v>
      </c>
      <c r="O1928" s="1388">
        <f>PRODUCT(K1928:N1928)</f>
        <v>0.13950000000000001</v>
      </c>
      <c r="P1928" s="1334">
        <f>+O1928</f>
        <v>0.13950000000000001</v>
      </c>
      <c r="Q1928" s="1334" t="s">
        <v>872</v>
      </c>
      <c r="R1928" s="1379"/>
    </row>
    <row r="1929" spans="1:18" ht="14.4" x14ac:dyDescent="0.3">
      <c r="A1929" s="1294"/>
      <c r="B1929" s="1294"/>
      <c r="C1929" s="1295"/>
      <c r="D1929" s="1296"/>
      <c r="E1929" s="1296"/>
      <c r="F1929" s="1296"/>
      <c r="G1929" s="1296"/>
      <c r="H1929" s="1374"/>
      <c r="I1929" s="1374"/>
      <c r="J1929" s="1384"/>
      <c r="K1929" s="1385"/>
      <c r="L1929" s="1387"/>
      <c r="M1929" s="1387"/>
      <c r="N1929" s="1387"/>
      <c r="O1929" s="1389">
        <f t="shared" ref="O1929:O1931" si="201">PRODUCT(K1929:N1929)</f>
        <v>0</v>
      </c>
      <c r="P1929" s="1334">
        <f>P1928/2.83</f>
        <v>4.9293286219081273E-2</v>
      </c>
      <c r="Q1929" s="1334" t="s">
        <v>1110</v>
      </c>
      <c r="R1929" s="1379"/>
    </row>
    <row r="1930" spans="1:18" ht="14.4" x14ac:dyDescent="0.3">
      <c r="A1930" s="1294"/>
      <c r="B1930" s="1294" t="s">
        <v>1478</v>
      </c>
      <c r="C1930" s="1296" t="s">
        <v>872</v>
      </c>
      <c r="D1930" s="1296">
        <f>P1929</f>
        <v>4.9293286219081273E-2</v>
      </c>
      <c r="E1930" s="1296">
        <f>E1905</f>
        <v>63871.25</v>
      </c>
      <c r="F1930" s="1296">
        <f t="shared" ref="F1930" si="202">D1930*E1930</f>
        <v>3148.4238074204945</v>
      </c>
      <c r="G1930" s="1296"/>
      <c r="H1930" s="1374"/>
      <c r="I1930" s="1374"/>
      <c r="J1930" s="1384" t="s">
        <v>1479</v>
      </c>
      <c r="K1930" s="1385"/>
      <c r="L1930" s="1390">
        <f>+L1928</f>
        <v>2.3250000000000002</v>
      </c>
      <c r="M1930" s="1390">
        <f>+M1928</f>
        <v>0.6</v>
      </c>
      <c r="N1930" s="1391"/>
      <c r="O1930" s="1389">
        <f t="shared" si="201"/>
        <v>1.395</v>
      </c>
      <c r="P1930" s="1334"/>
      <c r="Q1930" s="1334">
        <f>+O1930*10.76</f>
        <v>15.010199999999999</v>
      </c>
      <c r="R1930" s="1379"/>
    </row>
    <row r="1931" spans="1:18" ht="14.4" x14ac:dyDescent="0.3">
      <c r="A1931" s="1294"/>
      <c r="B1931" s="1311" t="s">
        <v>1314</v>
      </c>
      <c r="C1931" s="1295"/>
      <c r="D1931" s="1296"/>
      <c r="E1931" s="1296"/>
      <c r="F1931" s="1296">
        <f>F1930*10%</f>
        <v>314.8423807420495</v>
      </c>
      <c r="G1931" s="1296"/>
      <c r="H1931" s="1374"/>
      <c r="I1931" s="1374"/>
      <c r="J1931" s="1384"/>
      <c r="K1931" s="1385"/>
      <c r="L1931" s="1390">
        <f>+L1930</f>
        <v>2.3250000000000002</v>
      </c>
      <c r="M1931" s="1391"/>
      <c r="N1931" s="1391">
        <v>0.1</v>
      </c>
      <c r="O1931" s="1392">
        <f t="shared" si="201"/>
        <v>0.23250000000000004</v>
      </c>
      <c r="P1931" s="1334"/>
      <c r="Q1931" s="1334"/>
      <c r="R1931" s="1379"/>
    </row>
    <row r="1932" spans="1:18" ht="14.4" x14ac:dyDescent="0.3">
      <c r="A1932" s="1294"/>
      <c r="B1932" s="1294" t="s">
        <v>1325</v>
      </c>
      <c r="C1932" s="1296" t="s">
        <v>1480</v>
      </c>
      <c r="D1932" s="1296">
        <f>+P1937</f>
        <v>12.780429447096113</v>
      </c>
      <c r="E1932" s="1296">
        <f>E1907</f>
        <v>442.34015625000001</v>
      </c>
      <c r="F1932" s="1296">
        <f t="shared" ref="F1932:F1936" si="203">D1932*E1932</f>
        <v>5653.2971585705955</v>
      </c>
      <c r="G1932" s="1296"/>
      <c r="H1932" s="1374"/>
      <c r="I1932" s="1374"/>
      <c r="J1932" s="1384"/>
      <c r="K1932" s="1385"/>
      <c r="L1932" s="1391"/>
      <c r="M1932" s="1391"/>
      <c r="N1932" s="1391"/>
      <c r="O1932" s="1393">
        <f>SUM(O1930:O1931)</f>
        <v>1.6274999999999999</v>
      </c>
      <c r="P1932" s="1334">
        <f>SUM(O1932)</f>
        <v>1.6274999999999999</v>
      </c>
      <c r="Q1932" s="1334" t="s">
        <v>183</v>
      </c>
      <c r="R1932" s="1379"/>
    </row>
    <row r="1933" spans="1:18" ht="14.4" x14ac:dyDescent="0.3">
      <c r="A1933" s="1294"/>
      <c r="B1933" s="1294" t="s">
        <v>1481</v>
      </c>
      <c r="C1933" s="1296" t="s">
        <v>183</v>
      </c>
      <c r="D1933" s="1296">
        <f>+O1932</f>
        <v>1.6274999999999999</v>
      </c>
      <c r="E1933" s="1296"/>
      <c r="F1933" s="1296">
        <f t="shared" si="203"/>
        <v>0</v>
      </c>
      <c r="G1933" s="1296"/>
      <c r="H1933" s="1374"/>
      <c r="I1933" s="1374"/>
      <c r="J1933" s="1384"/>
      <c r="K1933" s="1385"/>
      <c r="L1933" s="1391"/>
      <c r="M1933" s="1391"/>
      <c r="N1933" s="1391"/>
      <c r="O1933" s="1394"/>
      <c r="P1933" s="1334"/>
      <c r="Q1933" s="1334"/>
      <c r="R1933" s="1379"/>
    </row>
    <row r="1934" spans="1:18" ht="14.4" x14ac:dyDescent="0.3">
      <c r="A1934" s="1294"/>
      <c r="B1934" s="1311" t="s">
        <v>1482</v>
      </c>
      <c r="C1934" s="1296" t="s">
        <v>183</v>
      </c>
      <c r="D1934" s="1296">
        <f>+P1942</f>
        <v>2.1150000000000002</v>
      </c>
      <c r="E1934" s="1296"/>
      <c r="F1934" s="1296">
        <f t="shared" si="203"/>
        <v>0</v>
      </c>
      <c r="G1934" s="1296"/>
      <c r="H1934" s="1374"/>
      <c r="I1934" s="1374"/>
      <c r="J1934" s="1384" t="s">
        <v>1325</v>
      </c>
      <c r="K1934" s="1385"/>
      <c r="L1934" s="1391"/>
      <c r="M1934" s="1391"/>
      <c r="N1934" s="1391"/>
      <c r="O1934" s="1391">
        <f t="shared" ref="O1934:O1936" si="204">PRODUCT(K1934:N1934)</f>
        <v>0</v>
      </c>
      <c r="P1934" s="1334"/>
      <c r="Q1934" s="1334"/>
      <c r="R1934" s="1379"/>
    </row>
    <row r="1935" spans="1:18" ht="14.4" x14ac:dyDescent="0.3">
      <c r="A1935" s="1294"/>
      <c r="B1935" s="1311" t="s">
        <v>1483</v>
      </c>
      <c r="C1935" s="1296" t="s">
        <v>183</v>
      </c>
      <c r="D1935" s="1296">
        <f>+O1941</f>
        <v>1.6274999999999999</v>
      </c>
      <c r="E1935" s="1296">
        <f>E1910</f>
        <v>1642.7173035522069</v>
      </c>
      <c r="F1935" s="1296">
        <f t="shared" si="203"/>
        <v>2673.5224115312167</v>
      </c>
      <c r="G1935" s="1296"/>
      <c r="H1935" s="1374"/>
      <c r="I1935" s="1374"/>
      <c r="J1935" s="1384" t="s">
        <v>1484</v>
      </c>
      <c r="K1935" s="1385">
        <v>5</v>
      </c>
      <c r="L1935" s="1391">
        <v>2.2749999999999999</v>
      </c>
      <c r="M1935" s="1391"/>
      <c r="N1935" s="1391">
        <f>+(10*10)/(162.162)</f>
        <v>0.61666728333394993</v>
      </c>
      <c r="O1935" s="1391">
        <f t="shared" si="204"/>
        <v>7.0145903479236802</v>
      </c>
      <c r="P1935" s="1334"/>
      <c r="Q1935" s="1334">
        <f>0.6/0.15+1</f>
        <v>5</v>
      </c>
      <c r="R1935" s="1379"/>
    </row>
    <row r="1936" spans="1:18" ht="14.4" x14ac:dyDescent="0.3">
      <c r="A1936" s="1294"/>
      <c r="B1936" s="1295" t="s">
        <v>1485</v>
      </c>
      <c r="C1936" s="1296" t="s">
        <v>1294</v>
      </c>
      <c r="D1936" s="1296">
        <f>+O1930*10.76</f>
        <v>15.010199999999999</v>
      </c>
      <c r="E1936" s="1296">
        <v>4000</v>
      </c>
      <c r="F1936" s="1296">
        <f t="shared" si="203"/>
        <v>60040.799999999996</v>
      </c>
      <c r="G1936" s="1296"/>
      <c r="H1936" s="1374"/>
      <c r="I1936" s="1374"/>
      <c r="J1936" s="1395" t="s">
        <v>1484</v>
      </c>
      <c r="K1936" s="1396">
        <v>17</v>
      </c>
      <c r="L1936" s="1397">
        <v>0.55000000000000004</v>
      </c>
      <c r="M1936" s="1397"/>
      <c r="N1936" s="1391">
        <f>+(10*10)/(162.162)</f>
        <v>0.61666728333394993</v>
      </c>
      <c r="O1936" s="1391">
        <f t="shared" si="204"/>
        <v>5.7658390991724326</v>
      </c>
      <c r="P1936" s="1334"/>
      <c r="Q1936" s="1334">
        <f>2.325/0.15+1</f>
        <v>16.5</v>
      </c>
      <c r="R1936" s="1379"/>
    </row>
    <row r="1937" spans="1:18" ht="14.4" x14ac:dyDescent="0.3">
      <c r="A1937" s="1294"/>
      <c r="B1937" s="1294" t="s">
        <v>1486</v>
      </c>
      <c r="C1937" s="1295"/>
      <c r="D1937" s="1296"/>
      <c r="E1937" s="1296"/>
      <c r="F1937" s="1296">
        <f>+H1936*3%</f>
        <v>0</v>
      </c>
      <c r="G1937" s="1296"/>
      <c r="H1937" s="1374"/>
      <c r="I1937" s="1374"/>
      <c r="J1937" s="1398"/>
      <c r="K1937" s="1399"/>
      <c r="L1937" s="1400"/>
      <c r="M1937" s="1400"/>
      <c r="N1937" s="1400"/>
      <c r="O1937" s="1401">
        <f>SUM(O1935:O1936)</f>
        <v>12.780429447096113</v>
      </c>
      <c r="P1937" s="1334">
        <f>+O1937</f>
        <v>12.780429447096113</v>
      </c>
      <c r="Q1937" s="1334" t="s">
        <v>37</v>
      </c>
      <c r="R1937" s="1379"/>
    </row>
    <row r="1938" spans="1:18" ht="14.4" x14ac:dyDescent="0.3">
      <c r="A1938" s="1298"/>
      <c r="B1938" s="1476" t="s">
        <v>1277</v>
      </c>
      <c r="C1938" s="1476"/>
      <c r="D1938" s="1476"/>
      <c r="E1938" s="1476"/>
      <c r="F1938" s="1299"/>
      <c r="G1938" s="1300">
        <f>SUM(F1930:F1937)</f>
        <v>71830.885758264354</v>
      </c>
      <c r="H1938" s="1374"/>
      <c r="I1938" s="1374"/>
      <c r="J1938" s="1363"/>
      <c r="K1938" s="1402"/>
      <c r="L1938" s="1403"/>
      <c r="M1938" s="1403"/>
      <c r="N1938" s="1403"/>
      <c r="O1938" s="1334"/>
      <c r="P1938" s="1334"/>
      <c r="Q1938" s="1334"/>
      <c r="R1938" s="1379"/>
    </row>
    <row r="1939" spans="1:18" ht="14.4" x14ac:dyDescent="0.3">
      <c r="A1939" s="1294"/>
      <c r="B1939" s="1297" t="s">
        <v>1261</v>
      </c>
      <c r="C1939" s="1295"/>
      <c r="D1939" s="1296"/>
      <c r="E1939" s="1296"/>
      <c r="F1939" s="1296">
        <f t="shared" ref="F1939" si="205">D1939*E1939</f>
        <v>0</v>
      </c>
      <c r="G1939" s="1296"/>
      <c r="H1939" s="1374"/>
      <c r="I1939" s="1374"/>
      <c r="J1939" s="1404" t="s">
        <v>1487</v>
      </c>
      <c r="K1939" s="1385"/>
      <c r="L1939" s="1391">
        <f>+L1928</f>
        <v>2.3250000000000002</v>
      </c>
      <c r="M1939" s="1391">
        <f>+M1928</f>
        <v>0.6</v>
      </c>
      <c r="N1939" s="1391"/>
      <c r="O1939" s="1391">
        <f t="shared" ref="O1939:O1940" si="206">PRODUCT(K1939:N1939)</f>
        <v>1.395</v>
      </c>
      <c r="P1939" s="1379"/>
      <c r="Q1939" s="1379"/>
      <c r="R1939" s="1379"/>
    </row>
    <row r="1940" spans="1:18" ht="14.4" x14ac:dyDescent="0.3">
      <c r="A1940" s="1294"/>
      <c r="B1940" s="1311" t="s">
        <v>1488</v>
      </c>
      <c r="C1940" s="1296" t="s">
        <v>1489</v>
      </c>
      <c r="D1940" s="1296">
        <v>1</v>
      </c>
      <c r="E1940" s="1296">
        <v>15000</v>
      </c>
      <c r="F1940" s="1296">
        <f>+E1940</f>
        <v>15000</v>
      </c>
      <c r="G1940" s="1296"/>
      <c r="H1940" s="1374" t="s">
        <v>1490</v>
      </c>
      <c r="I1940" s="1374"/>
      <c r="J1940" s="1384"/>
      <c r="K1940" s="1385"/>
      <c r="L1940" s="1391"/>
      <c r="M1940" s="1391">
        <f>+L1939</f>
        <v>2.3250000000000002</v>
      </c>
      <c r="N1940" s="1391">
        <v>0.1</v>
      </c>
      <c r="O1940" s="1397">
        <f t="shared" si="206"/>
        <v>0.23250000000000004</v>
      </c>
      <c r="P1940" s="1405">
        <f>+O1940+O1939</f>
        <v>1.6274999999999999</v>
      </c>
      <c r="Q1940" s="1379" t="s">
        <v>183</v>
      </c>
      <c r="R1940" s="1379"/>
    </row>
    <row r="1941" spans="1:18" ht="14.4" x14ac:dyDescent="0.3">
      <c r="A1941" s="1294"/>
      <c r="B1941" s="1294"/>
      <c r="C1941" s="1296"/>
      <c r="D1941" s="1296"/>
      <c r="E1941" s="1296"/>
      <c r="F1941" s="1296"/>
      <c r="G1941" s="1296"/>
      <c r="H1941" s="1374"/>
      <c r="I1941" s="1374"/>
      <c r="J1941" s="1384"/>
      <c r="K1941" s="1385"/>
      <c r="L1941" s="1391"/>
      <c r="M1941" s="1391"/>
      <c r="N1941" s="1391"/>
      <c r="O1941" s="1406">
        <f>SUM(O1939:O1940)</f>
        <v>1.6274999999999999</v>
      </c>
      <c r="P1941" s="1405"/>
      <c r="Q1941" s="1379"/>
      <c r="R1941" s="1379"/>
    </row>
    <row r="1942" spans="1:18" ht="14.4" x14ac:dyDescent="0.3">
      <c r="A1942" s="1298"/>
      <c r="B1942" s="1476" t="s">
        <v>1264</v>
      </c>
      <c r="C1942" s="1476"/>
      <c r="D1942" s="1476"/>
      <c r="E1942" s="1476"/>
      <c r="F1942" s="1299">
        <f t="shared" ref="F1942" si="207">D1942*E1942</f>
        <v>0</v>
      </c>
      <c r="G1942" s="1300">
        <f>SUM(F1940:F1942)</f>
        <v>15000</v>
      </c>
      <c r="H1942" s="1374"/>
      <c r="I1942" s="1374"/>
      <c r="J1942" s="1404" t="s">
        <v>1491</v>
      </c>
      <c r="K1942" s="1385"/>
      <c r="L1942" s="1391"/>
      <c r="M1942" s="1391">
        <f>+L1931+0.6+0.6</f>
        <v>3.5250000000000004</v>
      </c>
      <c r="N1942" s="1391">
        <v>0.6</v>
      </c>
      <c r="O1942" s="1391">
        <f t="shared" ref="O1942" si="208">PRODUCT(K1942:N1942)</f>
        <v>2.1150000000000002</v>
      </c>
      <c r="P1942" s="1405">
        <f>+O1942</f>
        <v>2.1150000000000002</v>
      </c>
      <c r="Q1942" s="1379" t="s">
        <v>183</v>
      </c>
      <c r="R1942" s="1379"/>
    </row>
    <row r="1943" spans="1:18" ht="14.4" x14ac:dyDescent="0.3">
      <c r="A1943" s="1294"/>
      <c r="B1943" s="1301"/>
      <c r="C1943" s="1302"/>
      <c r="D1943" s="1302"/>
      <c r="E1943" s="1302"/>
      <c r="F1943" s="1296"/>
      <c r="G1943" s="1302"/>
      <c r="H1943" s="1374"/>
      <c r="I1943" s="1374"/>
      <c r="J1943" s="1374"/>
      <c r="K1943" s="1379"/>
      <c r="L1943" s="1379"/>
      <c r="M1943" s="1379"/>
      <c r="N1943" s="1379"/>
      <c r="O1943" s="1379"/>
      <c r="P1943" s="1379"/>
      <c r="Q1943" s="1379"/>
      <c r="R1943" s="1379"/>
    </row>
    <row r="1944" spans="1:18" ht="14.4" x14ac:dyDescent="0.3">
      <c r="A1944" s="1294"/>
      <c r="B1944" s="1302"/>
      <c r="C1944" s="1302"/>
      <c r="D1944" s="1302"/>
      <c r="E1944" s="1302"/>
      <c r="F1944" s="1296"/>
      <c r="G1944" s="1302"/>
      <c r="H1944" s="1374"/>
      <c r="I1944" s="1374"/>
      <c r="J1944" s="1374"/>
      <c r="K1944" s="1379"/>
      <c r="L1944" s="1379"/>
      <c r="M1944" s="1379"/>
      <c r="N1944" s="1379"/>
      <c r="O1944" s="1379"/>
      <c r="P1944" s="1379"/>
      <c r="Q1944" s="1379"/>
      <c r="R1944" s="1379"/>
    </row>
    <row r="1945" spans="1:18" ht="14.4" x14ac:dyDescent="0.3">
      <c r="A1945" s="1469" t="s">
        <v>1492</v>
      </c>
      <c r="B1945" s="1469"/>
      <c r="C1945" s="1469"/>
      <c r="D1945" s="1469"/>
      <c r="E1945" s="1469"/>
      <c r="F1945" s="1469"/>
      <c r="G1945" s="1303">
        <f>G1938+G1942</f>
        <v>86830.885758264354</v>
      </c>
      <c r="H1945" s="1374"/>
      <c r="I1945" s="1374"/>
      <c r="J1945" s="1374"/>
      <c r="K1945" s="1379"/>
      <c r="L1945" s="1379"/>
      <c r="M1945" s="1379"/>
      <c r="N1945" s="1379"/>
      <c r="O1945" s="1379"/>
      <c r="P1945" s="1379"/>
      <c r="Q1945" s="1379"/>
      <c r="R1945" s="1379"/>
    </row>
    <row r="1946" spans="1:18" ht="15" thickBot="1" x14ac:dyDescent="0.35">
      <c r="A1946" s="1469" t="s">
        <v>1296</v>
      </c>
      <c r="B1946" s="1469"/>
      <c r="C1946" s="1469"/>
      <c r="D1946" s="1469"/>
      <c r="E1946" s="1469"/>
      <c r="F1946" s="1469"/>
      <c r="G1946" s="1407">
        <f>G1945/9.29</f>
        <v>9346.7046026118805</v>
      </c>
      <c r="H1946" s="1374"/>
      <c r="I1946" s="1374"/>
      <c r="J1946" s="1374"/>
      <c r="K1946" s="1379"/>
      <c r="L1946" s="1379"/>
      <c r="M1946" s="1379"/>
      <c r="N1946" s="1379"/>
      <c r="O1946" s="1379"/>
      <c r="P1946" s="1379"/>
      <c r="Q1946" s="1379"/>
      <c r="R1946" s="1379"/>
    </row>
    <row r="1947" spans="1:18" ht="15" thickBot="1" x14ac:dyDescent="0.35">
      <c r="A1947" s="1469" t="s">
        <v>1297</v>
      </c>
      <c r="B1947" s="1469"/>
      <c r="C1947" s="1469"/>
      <c r="D1947" s="1469"/>
      <c r="E1947" s="1469"/>
      <c r="F1947" s="1469"/>
      <c r="G1947" s="1408">
        <f>G1946/10.76</f>
        <v>868.65284410891081</v>
      </c>
      <c r="H1947" s="1374"/>
      <c r="I1947" s="1374"/>
      <c r="J1947" s="1374"/>
      <c r="K1947" s="1379"/>
      <c r="L1947" s="1379"/>
      <c r="M1947" s="1379"/>
      <c r="N1947" s="1379"/>
      <c r="O1947" s="1379"/>
      <c r="P1947" s="1379"/>
      <c r="Q1947" s="1379"/>
      <c r="R1947" s="1379"/>
    </row>
    <row r="1954" spans="1:7" ht="13.8" thickBot="1" x14ac:dyDescent="0.3"/>
    <row r="1955" spans="1:7" ht="13.8" x14ac:dyDescent="0.25">
      <c r="A1955" s="1499" t="s">
        <v>1495</v>
      </c>
      <c r="B1955" s="1500"/>
      <c r="C1955" s="1500"/>
      <c r="D1955" s="1500"/>
      <c r="E1955" s="1500"/>
      <c r="F1955" s="1500"/>
      <c r="G1955" s="1501"/>
    </row>
    <row r="1956" spans="1:7" ht="14.4" thickBot="1" x14ac:dyDescent="0.3">
      <c r="A1956" s="1473" t="s">
        <v>1496</v>
      </c>
      <c r="B1956" s="1474"/>
      <c r="C1956" s="1474"/>
      <c r="D1956" s="1474"/>
      <c r="E1956" s="1474"/>
      <c r="F1956" s="1474"/>
      <c r="G1956" s="1475"/>
    </row>
    <row r="1957" spans="1:7" ht="14.4" thickBot="1" x14ac:dyDescent="0.3">
      <c r="A1957" s="1292"/>
      <c r="B1957" s="1293" t="s">
        <v>1038</v>
      </c>
      <c r="C1957" s="1293" t="s">
        <v>1039</v>
      </c>
      <c r="D1957" s="1293" t="s">
        <v>2</v>
      </c>
      <c r="E1957" s="1293" t="s">
        <v>1040</v>
      </c>
      <c r="F1957" s="1293" t="s">
        <v>5</v>
      </c>
      <c r="G1957" s="1293" t="s">
        <v>1260</v>
      </c>
    </row>
    <row r="1958" spans="1:7" ht="13.8" x14ac:dyDescent="0.25">
      <c r="A1958" s="1294"/>
      <c r="B1958" s="1294"/>
      <c r="C1958" s="1295"/>
      <c r="D1958" s="1296"/>
      <c r="E1958" s="1296"/>
      <c r="F1958" s="1296"/>
      <c r="G1958" s="1296"/>
    </row>
    <row r="1959" spans="1:7" ht="13.8" x14ac:dyDescent="0.25">
      <c r="A1959" s="1294"/>
      <c r="B1959" s="1297" t="s">
        <v>1497</v>
      </c>
      <c r="C1959" s="1295"/>
      <c r="D1959" s="1296"/>
      <c r="E1959" s="1296"/>
      <c r="F1959" s="1296"/>
      <c r="G1959" s="1296"/>
    </row>
    <row r="1960" spans="1:7" ht="13.8" x14ac:dyDescent="0.25">
      <c r="A1960" s="1294"/>
      <c r="B1960" s="1294" t="s">
        <v>1498</v>
      </c>
      <c r="C1960" s="1296" t="s">
        <v>3</v>
      </c>
      <c r="D1960" s="1296">
        <v>1</v>
      </c>
      <c r="E1960" s="1296">
        <v>290000</v>
      </c>
      <c r="F1960" s="1296">
        <f>D1960*E1960</f>
        <v>290000</v>
      </c>
      <c r="G1960" s="1296"/>
    </row>
    <row r="1961" spans="1:7" ht="13.8" x14ac:dyDescent="0.25">
      <c r="A1961" s="1309"/>
      <c r="B1961" s="1309"/>
      <c r="C1961" s="1310"/>
      <c r="D1961" s="1310"/>
      <c r="E1961" s="1310">
        <f>+F1893</f>
        <v>0</v>
      </c>
      <c r="F1961" s="1310">
        <f t="shared" ref="F1961" si="209">D1961*E1961</f>
        <v>0</v>
      </c>
      <c r="G1961" s="1310"/>
    </row>
    <row r="1962" spans="1:7" ht="13.8" x14ac:dyDescent="0.25">
      <c r="A1962" s="1309"/>
      <c r="B1962" s="1309"/>
      <c r="C1962" s="1310"/>
      <c r="D1962" s="1310"/>
      <c r="E1962" s="1310"/>
      <c r="F1962" s="1296"/>
      <c r="G1962" s="1310"/>
    </row>
    <row r="1963" spans="1:7" ht="13.8" x14ac:dyDescent="0.25">
      <c r="A1963" s="1309"/>
      <c r="B1963" s="1309"/>
      <c r="C1963" s="1310"/>
      <c r="D1963" s="1310"/>
      <c r="E1963" s="1310"/>
      <c r="F1963" s="1296"/>
      <c r="G1963" s="1310"/>
    </row>
    <row r="1964" spans="1:7" ht="13.8" x14ac:dyDescent="0.25">
      <c r="A1964" s="1309"/>
      <c r="B1964" s="1309"/>
      <c r="C1964" s="1310"/>
      <c r="D1964" s="1310"/>
      <c r="E1964" s="1310"/>
      <c r="F1964" s="1296"/>
      <c r="G1964" s="1310"/>
    </row>
    <row r="1965" spans="1:7" ht="13.8" x14ac:dyDescent="0.25">
      <c r="A1965" s="1309"/>
      <c r="B1965" s="1309"/>
      <c r="C1965" s="1310"/>
      <c r="D1965" s="1310"/>
      <c r="E1965" s="1310"/>
      <c r="F1965" s="1310"/>
      <c r="G1965" s="1310"/>
    </row>
    <row r="1966" spans="1:7" ht="13.8" x14ac:dyDescent="0.25">
      <c r="A1966" s="1298"/>
      <c r="B1966" s="1476" t="s">
        <v>1277</v>
      </c>
      <c r="C1966" s="1476"/>
      <c r="D1966" s="1476"/>
      <c r="E1966" s="1476"/>
      <c r="F1966" s="1299"/>
      <c r="G1966" s="1300">
        <f>SUM(F1958:F1965)</f>
        <v>290000</v>
      </c>
    </row>
    <row r="1967" spans="1:7" ht="13.8" x14ac:dyDescent="0.25">
      <c r="A1967" s="1294"/>
      <c r="B1967" s="1297" t="s">
        <v>1261</v>
      </c>
      <c r="C1967" s="1295"/>
      <c r="D1967" s="1296"/>
      <c r="E1967" s="1296"/>
      <c r="F1967" s="1296">
        <f>D1967*E1967</f>
        <v>0</v>
      </c>
      <c r="G1967" s="1296"/>
    </row>
    <row r="1968" spans="1:7" ht="13.8" x14ac:dyDescent="0.25">
      <c r="A1968" s="1309"/>
      <c r="B1968" s="1352"/>
      <c r="C1968" s="1343"/>
      <c r="D1968" s="1310"/>
      <c r="E1968" s="1310"/>
      <c r="F1968" s="1310"/>
      <c r="G1968" s="1310"/>
    </row>
    <row r="1969" spans="1:7" ht="13.8" x14ac:dyDescent="0.25">
      <c r="A1969" s="1309"/>
      <c r="B1969" s="1309" t="s">
        <v>1499</v>
      </c>
      <c r="C1969" s="1310" t="s">
        <v>3</v>
      </c>
      <c r="D1969" s="1310">
        <v>1</v>
      </c>
      <c r="E1969" s="1310">
        <v>180000</v>
      </c>
      <c r="F1969" s="1310">
        <f>D1969*E1969</f>
        <v>180000</v>
      </c>
      <c r="G1969" s="1310"/>
    </row>
    <row r="1970" spans="1:7" ht="13.8" x14ac:dyDescent="0.25">
      <c r="A1970" s="1309"/>
      <c r="B1970" s="1309"/>
      <c r="C1970" s="1310"/>
      <c r="D1970" s="1310"/>
      <c r="E1970" s="1310"/>
      <c r="F1970" s="1310"/>
      <c r="G1970" s="1310"/>
    </row>
    <row r="1971" spans="1:7" ht="13.8" x14ac:dyDescent="0.25">
      <c r="A1971" s="1294"/>
      <c r="B1971" s="1294" t="s">
        <v>1389</v>
      </c>
      <c r="C1971" s="1296"/>
      <c r="D1971" s="1296"/>
      <c r="E1971" s="1296"/>
      <c r="F1971" s="1296">
        <f>F1969*3%</f>
        <v>5400</v>
      </c>
      <c r="G1971" s="1296"/>
    </row>
    <row r="1972" spans="1:7" ht="13.8" x14ac:dyDescent="0.25">
      <c r="A1972" s="1294"/>
      <c r="B1972" s="1294" t="s">
        <v>1395</v>
      </c>
      <c r="C1972" s="1296"/>
      <c r="D1972" s="1296"/>
      <c r="E1972" s="1296"/>
      <c r="F1972" s="1296">
        <f>F1969*5%</f>
        <v>9000</v>
      </c>
      <c r="G1972" s="1296"/>
    </row>
    <row r="1973" spans="1:7" ht="13.8" x14ac:dyDescent="0.25">
      <c r="A1973" s="1294"/>
      <c r="B1973" s="1294"/>
      <c r="C1973" s="1295"/>
      <c r="D1973" s="1296"/>
      <c r="E1973" s="1296"/>
      <c r="F1973" s="1296"/>
      <c r="G1973" s="1296"/>
    </row>
    <row r="1974" spans="1:7" ht="13.8" x14ac:dyDescent="0.25">
      <c r="A1974" s="1298"/>
      <c r="B1974" s="1476" t="s">
        <v>1264</v>
      </c>
      <c r="C1974" s="1476"/>
      <c r="D1974" s="1476"/>
      <c r="E1974" s="1476"/>
      <c r="F1974" s="1299">
        <f>D1974*E1974</f>
        <v>0</v>
      </c>
      <c r="G1974" s="1300">
        <f>SUM(F1969:F1974)</f>
        <v>194400</v>
      </c>
    </row>
    <row r="1975" spans="1:7" ht="13.8" x14ac:dyDescent="0.25">
      <c r="A1975" s="1294"/>
      <c r="B1975" s="1302"/>
      <c r="C1975" s="1302"/>
      <c r="D1975" s="1302"/>
      <c r="E1975" s="1302"/>
      <c r="F1975" s="1296"/>
      <c r="G1975" s="1302"/>
    </row>
    <row r="1976" spans="1:7" ht="13.8" x14ac:dyDescent="0.25">
      <c r="A1976" s="1294"/>
      <c r="B1976" s="1302"/>
      <c r="C1976" s="1302"/>
      <c r="D1976" s="1302"/>
      <c r="E1976" s="1302"/>
      <c r="F1976" s="1296"/>
      <c r="G1976" s="1302"/>
    </row>
    <row r="1977" spans="1:7" ht="13.8" x14ac:dyDescent="0.25">
      <c r="A1977" s="1469" t="s">
        <v>1500</v>
      </c>
      <c r="B1977" s="1469"/>
      <c r="C1977" s="1469"/>
      <c r="D1977" s="1469"/>
      <c r="E1977" s="1469"/>
      <c r="F1977" s="1469"/>
      <c r="G1977" s="1303">
        <f>G1966+G1974</f>
        <v>484400</v>
      </c>
    </row>
  </sheetData>
  <mergeCells count="468">
    <mergeCell ref="A1947:F1947"/>
    <mergeCell ref="A1955:G1955"/>
    <mergeCell ref="A1956:G1956"/>
    <mergeCell ref="B1966:E1966"/>
    <mergeCell ref="B1974:E1974"/>
    <mergeCell ref="A1977:F1977"/>
    <mergeCell ref="A1926:G1926"/>
    <mergeCell ref="A1927:G1927"/>
    <mergeCell ref="B1938:E1938"/>
    <mergeCell ref="B1942:E1942"/>
    <mergeCell ref="A1945:F1945"/>
    <mergeCell ref="A1946:F1946"/>
    <mergeCell ref="A1902:G1902"/>
    <mergeCell ref="B1913:E1913"/>
    <mergeCell ref="B1917:E1917"/>
    <mergeCell ref="A1920:F1920"/>
    <mergeCell ref="A1921:F1921"/>
    <mergeCell ref="A1922:F1922"/>
    <mergeCell ref="B1888:E1888"/>
    <mergeCell ref="B1892:E1892"/>
    <mergeCell ref="A1895:F1895"/>
    <mergeCell ref="A1896:F1896"/>
    <mergeCell ref="A1897:F1897"/>
    <mergeCell ref="A1901:G1901"/>
    <mergeCell ref="B1867:E1867"/>
    <mergeCell ref="A1870:F1870"/>
    <mergeCell ref="A1871:F1871"/>
    <mergeCell ref="A1872:F1872"/>
    <mergeCell ref="A1876:G1876"/>
    <mergeCell ref="A1877:G1877"/>
    <mergeCell ref="A1838:F1838"/>
    <mergeCell ref="A1839:F1839"/>
    <mergeCell ref="A1840:F1840"/>
    <mergeCell ref="A1844:G1844"/>
    <mergeCell ref="A1845:G1845"/>
    <mergeCell ref="B1859:E1859"/>
    <mergeCell ref="A1807:F1807"/>
    <mergeCell ref="A1808:F1808"/>
    <mergeCell ref="A1812:G1812"/>
    <mergeCell ref="A1813:G1813"/>
    <mergeCell ref="B1827:E1827"/>
    <mergeCell ref="B1835:E1835"/>
    <mergeCell ref="A1771:G1771"/>
    <mergeCell ref="A1772:G1772"/>
    <mergeCell ref="B1795:E1795"/>
    <mergeCell ref="B1802:E1802"/>
    <mergeCell ref="A1805:F1805"/>
    <mergeCell ref="A1806:F1806"/>
    <mergeCell ref="A1739:G1739"/>
    <mergeCell ref="B1755:E1755"/>
    <mergeCell ref="B1763:E1763"/>
    <mergeCell ref="A1766:F1766"/>
    <mergeCell ref="A1767:F1767"/>
    <mergeCell ref="A1768:F1768"/>
    <mergeCell ref="A1663:F1663"/>
    <mergeCell ref="A1715:G1715"/>
    <mergeCell ref="A1721:G1721"/>
    <mergeCell ref="A1722:G1722"/>
    <mergeCell ref="A1735:F1735"/>
    <mergeCell ref="A1738:G1738"/>
    <mergeCell ref="A1640:G1640"/>
    <mergeCell ref="A1641:G1641"/>
    <mergeCell ref="B1653:E1653"/>
    <mergeCell ref="B1658:E1658"/>
    <mergeCell ref="A1661:F1661"/>
    <mergeCell ref="A1662:F1662"/>
    <mergeCell ref="A1614:G1614"/>
    <mergeCell ref="B1625:E1625"/>
    <mergeCell ref="B1630:E1630"/>
    <mergeCell ref="A1633:F1633"/>
    <mergeCell ref="A1634:F1634"/>
    <mergeCell ref="A1637:G1637"/>
    <mergeCell ref="A1589:G1589"/>
    <mergeCell ref="B1600:E1600"/>
    <mergeCell ref="B1605:E1605"/>
    <mergeCell ref="A1608:F1608"/>
    <mergeCell ref="A1609:F1609"/>
    <mergeCell ref="A1613:G1613"/>
    <mergeCell ref="B1572:E1572"/>
    <mergeCell ref="B1577:E1577"/>
    <mergeCell ref="A1580:F1580"/>
    <mergeCell ref="A1581:F1581"/>
    <mergeCell ref="A1582:F1582"/>
    <mergeCell ref="A1588:G1588"/>
    <mergeCell ref="B1545:E1545"/>
    <mergeCell ref="A1548:F1548"/>
    <mergeCell ref="A1549:F1549"/>
    <mergeCell ref="A1550:F1550"/>
    <mergeCell ref="A1561:G1561"/>
    <mergeCell ref="A1562:G1562"/>
    <mergeCell ref="A1524:F1524"/>
    <mergeCell ref="A1525:F1525"/>
    <mergeCell ref="A1526:F1526"/>
    <mergeCell ref="A1528:G1528"/>
    <mergeCell ref="A1529:G1529"/>
    <mergeCell ref="B1540:E1540"/>
    <mergeCell ref="A1500:F1500"/>
    <mergeCell ref="A1501:F1501"/>
    <mergeCell ref="A1504:G1504"/>
    <mergeCell ref="A1505:G1505"/>
    <mergeCell ref="B1516:E1516"/>
    <mergeCell ref="B1521:E1521"/>
    <mergeCell ref="A1477:F1477"/>
    <mergeCell ref="A1480:G1480"/>
    <mergeCell ref="A1481:G1481"/>
    <mergeCell ref="B1491:E1491"/>
    <mergeCell ref="B1496:E1496"/>
    <mergeCell ref="A1499:F1499"/>
    <mergeCell ref="A1450:G1450"/>
    <mergeCell ref="A1451:G1451"/>
    <mergeCell ref="B1466:E1466"/>
    <mergeCell ref="B1472:E1472"/>
    <mergeCell ref="A1475:F1475"/>
    <mergeCell ref="A1476:F1476"/>
    <mergeCell ref="A1422:G1422"/>
    <mergeCell ref="B1437:E1437"/>
    <mergeCell ref="B1443:E1443"/>
    <mergeCell ref="A1446:F1446"/>
    <mergeCell ref="A1447:F1447"/>
    <mergeCell ref="A1448:F1448"/>
    <mergeCell ref="B1407:E1407"/>
    <mergeCell ref="B1413:E1413"/>
    <mergeCell ref="A1416:F1416"/>
    <mergeCell ref="A1417:F1417"/>
    <mergeCell ref="A1418:F1418"/>
    <mergeCell ref="A1421:G1421"/>
    <mergeCell ref="B1383:E1383"/>
    <mergeCell ref="A1386:F1386"/>
    <mergeCell ref="A1387:F1387"/>
    <mergeCell ref="A1388:F1388"/>
    <mergeCell ref="A1391:G1391"/>
    <mergeCell ref="A1392:G1392"/>
    <mergeCell ref="A1356:F1356"/>
    <mergeCell ref="A1357:F1357"/>
    <mergeCell ref="A1358:F1358"/>
    <mergeCell ref="A1361:G1361"/>
    <mergeCell ref="A1362:G1362"/>
    <mergeCell ref="B1377:E1377"/>
    <mergeCell ref="A1327:F1327"/>
    <mergeCell ref="O1329:T1329"/>
    <mergeCell ref="A1331:G1331"/>
    <mergeCell ref="A1332:G1332"/>
    <mergeCell ref="B1347:E1347"/>
    <mergeCell ref="B1353:E1353"/>
    <mergeCell ref="B1316:E1316"/>
    <mergeCell ref="P1320:S1320"/>
    <mergeCell ref="B1322:E1322"/>
    <mergeCell ref="A1325:F1325"/>
    <mergeCell ref="A1326:F1326"/>
    <mergeCell ref="P1326:S1326"/>
    <mergeCell ref="A1297:F1297"/>
    <mergeCell ref="A1298:F1298"/>
    <mergeCell ref="A1300:G1300"/>
    <mergeCell ref="A1301:G1301"/>
    <mergeCell ref="O1304:U1304"/>
    <mergeCell ref="O1305:U1305"/>
    <mergeCell ref="A1268:F1268"/>
    <mergeCell ref="A1271:G1271"/>
    <mergeCell ref="A1272:G1272"/>
    <mergeCell ref="B1287:E1287"/>
    <mergeCell ref="B1293:E1293"/>
    <mergeCell ref="A1296:F1296"/>
    <mergeCell ref="A1241:G1241"/>
    <mergeCell ref="A1242:G1242"/>
    <mergeCell ref="B1257:E1257"/>
    <mergeCell ref="B1263:E1263"/>
    <mergeCell ref="A1266:F1266"/>
    <mergeCell ref="A1267:F1267"/>
    <mergeCell ref="B1164:E1164"/>
    <mergeCell ref="B1170:E1170"/>
    <mergeCell ref="A1173:F1173"/>
    <mergeCell ref="A1174:F1174"/>
    <mergeCell ref="A1175:F1175"/>
    <mergeCell ref="A1238:G1238"/>
    <mergeCell ref="B1145:E1145"/>
    <mergeCell ref="A1148:F1148"/>
    <mergeCell ref="A1149:F1149"/>
    <mergeCell ref="A1150:F1150"/>
    <mergeCell ref="A1153:G1153"/>
    <mergeCell ref="A1154:G1154"/>
    <mergeCell ref="A1120:F1120"/>
    <mergeCell ref="A1121:F1121"/>
    <mergeCell ref="A1122:F1122"/>
    <mergeCell ref="A1128:G1128"/>
    <mergeCell ref="A1129:G1129"/>
    <mergeCell ref="B1139:E1139"/>
    <mergeCell ref="A1092:F1092"/>
    <mergeCell ref="A1093:F1093"/>
    <mergeCell ref="A1100:G1100"/>
    <mergeCell ref="A1101:G1101"/>
    <mergeCell ref="B1111:E1111"/>
    <mergeCell ref="B1117:E1117"/>
    <mergeCell ref="A1060:F1060"/>
    <mergeCell ref="A1071:G1071"/>
    <mergeCell ref="A1072:G1072"/>
    <mergeCell ref="B1082:E1082"/>
    <mergeCell ref="B1088:E1088"/>
    <mergeCell ref="A1091:F1091"/>
    <mergeCell ref="A1038:G1038"/>
    <mergeCell ref="A1039:G1039"/>
    <mergeCell ref="B1049:E1049"/>
    <mergeCell ref="B1055:E1055"/>
    <mergeCell ref="A1058:F1058"/>
    <mergeCell ref="A1059:F1059"/>
    <mergeCell ref="B1012:E1012"/>
    <mergeCell ref="B1020:E1020"/>
    <mergeCell ref="A1023:F1023"/>
    <mergeCell ref="A1024:F1024"/>
    <mergeCell ref="A1025:F1025"/>
    <mergeCell ref="A1035:G1035"/>
    <mergeCell ref="B993:E993"/>
    <mergeCell ref="A996:F996"/>
    <mergeCell ref="A997:F997"/>
    <mergeCell ref="A998:F998"/>
    <mergeCell ref="A1001:G1001"/>
    <mergeCell ref="A1002:G1002"/>
    <mergeCell ref="A971:F971"/>
    <mergeCell ref="A972:F972"/>
    <mergeCell ref="A973:F973"/>
    <mergeCell ref="A976:G976"/>
    <mergeCell ref="A977:G977"/>
    <mergeCell ref="B987:E987"/>
    <mergeCell ref="A946:F946"/>
    <mergeCell ref="A947:F947"/>
    <mergeCell ref="A951:G951"/>
    <mergeCell ref="A952:G952"/>
    <mergeCell ref="B962:E962"/>
    <mergeCell ref="B968:E968"/>
    <mergeCell ref="A911:F911"/>
    <mergeCell ref="A921:G921"/>
    <mergeCell ref="A922:G922"/>
    <mergeCell ref="B934:E934"/>
    <mergeCell ref="B942:E942"/>
    <mergeCell ref="A945:F945"/>
    <mergeCell ref="A886:G886"/>
    <mergeCell ref="A887:G887"/>
    <mergeCell ref="B898:E898"/>
    <mergeCell ref="B906:E906"/>
    <mergeCell ref="A909:F909"/>
    <mergeCell ref="A910:F910"/>
    <mergeCell ref="B847:E847"/>
    <mergeCell ref="B853:E853"/>
    <mergeCell ref="A856:F856"/>
    <mergeCell ref="A857:F857"/>
    <mergeCell ref="A858:F858"/>
    <mergeCell ref="A884:G884"/>
    <mergeCell ref="A825:F825"/>
    <mergeCell ref="A826:F826"/>
    <mergeCell ref="A827:F827"/>
    <mergeCell ref="A832:B832"/>
    <mergeCell ref="A836:G836"/>
    <mergeCell ref="A837:G837"/>
    <mergeCell ref="A784:F784"/>
    <mergeCell ref="A800:B800"/>
    <mergeCell ref="A804:G804"/>
    <mergeCell ref="A805:G805"/>
    <mergeCell ref="B815:E815"/>
    <mergeCell ref="B822:E822"/>
    <mergeCell ref="A761:G761"/>
    <mergeCell ref="A762:G762"/>
    <mergeCell ref="B772:E772"/>
    <mergeCell ref="B779:E779"/>
    <mergeCell ref="A782:F782"/>
    <mergeCell ref="A783:F783"/>
    <mergeCell ref="B742:E742"/>
    <mergeCell ref="B749:E749"/>
    <mergeCell ref="A752:F752"/>
    <mergeCell ref="A753:F753"/>
    <mergeCell ref="A754:F754"/>
    <mergeCell ref="A758:B758"/>
    <mergeCell ref="A722:F722"/>
    <mergeCell ref="A723:F723"/>
    <mergeCell ref="A725:G725"/>
    <mergeCell ref="A728:B728"/>
    <mergeCell ref="A731:G731"/>
    <mergeCell ref="A732:G732"/>
    <mergeCell ref="A697:F697"/>
    <mergeCell ref="A701:G701"/>
    <mergeCell ref="A702:G702"/>
    <mergeCell ref="B712:E712"/>
    <mergeCell ref="B718:E718"/>
    <mergeCell ref="A721:F721"/>
    <mergeCell ref="A674:G674"/>
    <mergeCell ref="A675:G675"/>
    <mergeCell ref="B686:E686"/>
    <mergeCell ref="B692:E692"/>
    <mergeCell ref="A695:F695"/>
    <mergeCell ref="A696:F696"/>
    <mergeCell ref="A650:G650"/>
    <mergeCell ref="B659:E659"/>
    <mergeCell ref="B665:E665"/>
    <mergeCell ref="A668:F668"/>
    <mergeCell ref="A669:F669"/>
    <mergeCell ref="A670:F670"/>
    <mergeCell ref="B635:E635"/>
    <mergeCell ref="B640:E640"/>
    <mergeCell ref="A643:F643"/>
    <mergeCell ref="A644:F644"/>
    <mergeCell ref="A647:G647"/>
    <mergeCell ref="A649:G649"/>
    <mergeCell ref="A616:F616"/>
    <mergeCell ref="A617:F617"/>
    <mergeCell ref="A618:F618"/>
    <mergeCell ref="A622:G622"/>
    <mergeCell ref="A625:G625"/>
    <mergeCell ref="A626:G626"/>
    <mergeCell ref="A586:F586"/>
    <mergeCell ref="A592:G592"/>
    <mergeCell ref="A595:G595"/>
    <mergeCell ref="A596:G596"/>
    <mergeCell ref="B608:E608"/>
    <mergeCell ref="B613:E613"/>
    <mergeCell ref="A565:G565"/>
    <mergeCell ref="A566:G566"/>
    <mergeCell ref="B575:E575"/>
    <mergeCell ref="B579:E579"/>
    <mergeCell ref="A584:F584"/>
    <mergeCell ref="A585:F585"/>
    <mergeCell ref="A533:F533"/>
    <mergeCell ref="A548:G548"/>
    <mergeCell ref="A551:B551"/>
    <mergeCell ref="A560:E560"/>
    <mergeCell ref="A561:E561"/>
    <mergeCell ref="A562:E562"/>
    <mergeCell ref="A506:G506"/>
    <mergeCell ref="B517:E517"/>
    <mergeCell ref="B521:E521"/>
    <mergeCell ref="B528:E528"/>
    <mergeCell ref="A531:F531"/>
    <mergeCell ref="A532:F532"/>
    <mergeCell ref="B493:E493"/>
    <mergeCell ref="A496:F496"/>
    <mergeCell ref="A497:F497"/>
    <mergeCell ref="A498:F498"/>
    <mergeCell ref="A502:G502"/>
    <mergeCell ref="A505:G505"/>
    <mergeCell ref="A466:F466"/>
    <mergeCell ref="A467:F467"/>
    <mergeCell ref="A470:G470"/>
    <mergeCell ref="A471:G471"/>
    <mergeCell ref="B483:E483"/>
    <mergeCell ref="B487:E487"/>
    <mergeCell ref="A439:G439"/>
    <mergeCell ref="A440:G440"/>
    <mergeCell ref="B452:E452"/>
    <mergeCell ref="B456:E456"/>
    <mergeCell ref="B462:E462"/>
    <mergeCell ref="A465:F465"/>
    <mergeCell ref="B420:E420"/>
    <mergeCell ref="B424:E424"/>
    <mergeCell ref="B430:E430"/>
    <mergeCell ref="A433:F433"/>
    <mergeCell ref="A434:F434"/>
    <mergeCell ref="A435:F435"/>
    <mergeCell ref="B399:E399"/>
    <mergeCell ref="A402:F402"/>
    <mergeCell ref="A403:F403"/>
    <mergeCell ref="A404:F404"/>
    <mergeCell ref="A407:G407"/>
    <mergeCell ref="A408:G408"/>
    <mergeCell ref="A370:F370"/>
    <mergeCell ref="A373:G373"/>
    <mergeCell ref="A376:G376"/>
    <mergeCell ref="A377:G377"/>
    <mergeCell ref="B389:E389"/>
    <mergeCell ref="B393:E393"/>
    <mergeCell ref="A344:G344"/>
    <mergeCell ref="B355:E355"/>
    <mergeCell ref="B359:E359"/>
    <mergeCell ref="B365:E365"/>
    <mergeCell ref="A368:F368"/>
    <mergeCell ref="A369:F369"/>
    <mergeCell ref="B329:E329"/>
    <mergeCell ref="B335:E335"/>
    <mergeCell ref="A338:F338"/>
    <mergeCell ref="A339:F339"/>
    <mergeCell ref="A340:F340"/>
    <mergeCell ref="A343:G343"/>
    <mergeCell ref="A310:F310"/>
    <mergeCell ref="A311:F311"/>
    <mergeCell ref="A312:F312"/>
    <mergeCell ref="A315:G315"/>
    <mergeCell ref="A316:G316"/>
    <mergeCell ref="B325:E325"/>
    <mergeCell ref="A283:F283"/>
    <mergeCell ref="A287:G287"/>
    <mergeCell ref="A288:G288"/>
    <mergeCell ref="B297:E297"/>
    <mergeCell ref="B301:E301"/>
    <mergeCell ref="B307:E307"/>
    <mergeCell ref="A260:G260"/>
    <mergeCell ref="B268:E268"/>
    <mergeCell ref="B272:E272"/>
    <mergeCell ref="B278:E278"/>
    <mergeCell ref="A281:F281"/>
    <mergeCell ref="A282:F282"/>
    <mergeCell ref="B248:E248"/>
    <mergeCell ref="A251:F251"/>
    <mergeCell ref="A252:F252"/>
    <mergeCell ref="A253:F253"/>
    <mergeCell ref="A254:F254"/>
    <mergeCell ref="A259:G259"/>
    <mergeCell ref="A224:F224"/>
    <mergeCell ref="A225:F225"/>
    <mergeCell ref="A229:G229"/>
    <mergeCell ref="A230:G230"/>
    <mergeCell ref="B238:E238"/>
    <mergeCell ref="B242:E242"/>
    <mergeCell ref="A201:G201"/>
    <mergeCell ref="A202:G202"/>
    <mergeCell ref="B210:E210"/>
    <mergeCell ref="B214:E214"/>
    <mergeCell ref="B220:E220"/>
    <mergeCell ref="A223:F223"/>
    <mergeCell ref="A159:F159"/>
    <mergeCell ref="A160:F160"/>
    <mergeCell ref="A183:G183"/>
    <mergeCell ref="A187:B187"/>
    <mergeCell ref="A196:E196"/>
    <mergeCell ref="A197:E197"/>
    <mergeCell ref="A138:F138"/>
    <mergeCell ref="A140:G140"/>
    <mergeCell ref="A141:G141"/>
    <mergeCell ref="B151:E151"/>
    <mergeCell ref="B155:E155"/>
    <mergeCell ref="A158:F158"/>
    <mergeCell ref="A120:G120"/>
    <mergeCell ref="A121:G121"/>
    <mergeCell ref="B129:E129"/>
    <mergeCell ref="B133:E133"/>
    <mergeCell ref="A136:F136"/>
    <mergeCell ref="A137:F137"/>
    <mergeCell ref="B100:E100"/>
    <mergeCell ref="B104:E104"/>
    <mergeCell ref="B110:E110"/>
    <mergeCell ref="A113:F113"/>
    <mergeCell ref="A114:F114"/>
    <mergeCell ref="A115:F115"/>
    <mergeCell ref="B82:E82"/>
    <mergeCell ref="A85:F85"/>
    <mergeCell ref="A86:F86"/>
    <mergeCell ref="A87:F87"/>
    <mergeCell ref="A90:G90"/>
    <mergeCell ref="A91:G91"/>
    <mergeCell ref="A56:F56"/>
    <mergeCell ref="A57:F57"/>
    <mergeCell ref="A63:G63"/>
    <mergeCell ref="A64:G64"/>
    <mergeCell ref="B73:E73"/>
    <mergeCell ref="B77:E77"/>
    <mergeCell ref="A35:G35"/>
    <mergeCell ref="A36:G36"/>
    <mergeCell ref="B43:E43"/>
    <mergeCell ref="B47:E47"/>
    <mergeCell ref="B52:E52"/>
    <mergeCell ref="A55:F55"/>
    <mergeCell ref="A17:F17"/>
    <mergeCell ref="A20:G20"/>
    <mergeCell ref="A21:G21"/>
    <mergeCell ref="B27:E27"/>
    <mergeCell ref="A31:F31"/>
    <mergeCell ref="A32:F32"/>
    <mergeCell ref="A2:G2"/>
    <mergeCell ref="A4:G4"/>
    <mergeCell ref="A5:G5"/>
    <mergeCell ref="B11:E11"/>
    <mergeCell ref="A15:F15"/>
    <mergeCell ref="A16:F16"/>
  </mergeCells>
  <pageMargins left="0.7" right="0.7" top="0.75" bottom="0.75" header="0.3" footer="0.3"/>
  <pageSetup orientation="portrait"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17"/>
  <sheetViews>
    <sheetView view="pageBreakPreview" topLeftCell="A75" zoomScaleNormal="85" zoomScaleSheetLayoutView="100" workbookViewId="0">
      <selection activeCell="G34" sqref="G34"/>
    </sheetView>
  </sheetViews>
  <sheetFormatPr defaultColWidth="9.21875" defaultRowHeight="15.6" x14ac:dyDescent="0.25"/>
  <cols>
    <col min="1" max="1" width="11" style="60" customWidth="1"/>
    <col min="2" max="2" width="50.109375" style="61" customWidth="1"/>
    <col min="3" max="3" width="17.77734375" style="62" bestFit="1" customWidth="1"/>
    <col min="4" max="6" width="22.44140625" style="62" customWidth="1"/>
    <col min="7" max="7" width="22.44140625" style="275" customWidth="1"/>
    <col min="8" max="10" width="15" style="43" bestFit="1" customWidth="1"/>
    <col min="11" max="11" width="13.88671875" style="43" bestFit="1" customWidth="1"/>
    <col min="12" max="12" width="15" style="43" bestFit="1" customWidth="1"/>
    <col min="13" max="13" width="29.77734375" style="43" customWidth="1"/>
    <col min="14" max="14" width="13.88671875" style="43" bestFit="1" customWidth="1"/>
    <col min="15" max="15" width="11" style="43" bestFit="1" customWidth="1"/>
    <col min="16" max="16384" width="9.21875" style="43"/>
  </cols>
  <sheetData>
    <row r="1" spans="1:7" ht="66.599999999999994" customHeight="1" thickBot="1" x14ac:dyDescent="0.35">
      <c r="A1" s="1502" t="s">
        <v>1033</v>
      </c>
      <c r="B1" s="1503"/>
      <c r="C1" s="1504"/>
      <c r="D1" s="228"/>
      <c r="E1" s="277"/>
      <c r="F1" s="277"/>
      <c r="G1" s="277"/>
    </row>
    <row r="2" spans="1:7" ht="16.2" customHeight="1" thickBot="1" x14ac:dyDescent="0.3">
      <c r="A2" s="1502" t="s">
        <v>486</v>
      </c>
      <c r="B2" s="1503"/>
      <c r="C2" s="1504"/>
      <c r="D2" s="229"/>
      <c r="E2" s="284"/>
      <c r="F2" s="284"/>
      <c r="G2" s="256"/>
    </row>
    <row r="3" spans="1:7" ht="18.600000000000001" customHeight="1" thickBot="1" x14ac:dyDescent="0.35">
      <c r="A3" s="40" t="s">
        <v>235</v>
      </c>
      <c r="B3" s="41" t="s">
        <v>175</v>
      </c>
      <c r="C3" s="42" t="s">
        <v>234</v>
      </c>
      <c r="D3" s="230"/>
      <c r="E3" s="230"/>
      <c r="F3" s="230"/>
      <c r="G3" s="257"/>
    </row>
    <row r="4" spans="1:7" s="28" customFormat="1" ht="13.8" x14ac:dyDescent="0.25">
      <c r="A4" s="2"/>
      <c r="B4" s="1"/>
      <c r="C4" s="241"/>
      <c r="D4" s="278"/>
      <c r="E4" s="242"/>
      <c r="F4" s="242"/>
      <c r="G4" s="258"/>
    </row>
    <row r="5" spans="1:7" x14ac:dyDescent="0.25">
      <c r="A5" s="47" t="s">
        <v>324</v>
      </c>
      <c r="B5" s="48" t="s">
        <v>8</v>
      </c>
      <c r="C5" s="49">
        <f>prelims!I120</f>
        <v>405000</v>
      </c>
      <c r="D5" s="231"/>
      <c r="E5" s="231"/>
      <c r="F5" s="231"/>
      <c r="G5" s="259"/>
    </row>
    <row r="6" spans="1:7" s="28" customFormat="1" ht="13.2" x14ac:dyDescent="0.25">
      <c r="A6" s="22"/>
      <c r="B6" s="23"/>
      <c r="C6" s="243"/>
      <c r="D6" s="244"/>
      <c r="E6" s="244"/>
      <c r="F6" s="244"/>
      <c r="G6" s="260"/>
    </row>
    <row r="7" spans="1:7" x14ac:dyDescent="0.25">
      <c r="A7" s="47" t="s">
        <v>325</v>
      </c>
      <c r="B7" s="48" t="s">
        <v>29</v>
      </c>
      <c r="C7" s="49">
        <f>summary!C20</f>
        <v>88502630</v>
      </c>
      <c r="D7" s="231"/>
      <c r="E7" s="231"/>
      <c r="F7" s="231"/>
      <c r="G7" s="259"/>
    </row>
    <row r="8" spans="1:7" s="28" customFormat="1" ht="13.2" x14ac:dyDescent="0.25">
      <c r="A8" s="22"/>
      <c r="B8" s="23"/>
      <c r="C8" s="243"/>
      <c r="D8" s="244"/>
      <c r="E8" s="244"/>
      <c r="F8" s="244"/>
      <c r="G8" s="260"/>
    </row>
    <row r="9" spans="1:7" x14ac:dyDescent="0.25">
      <c r="A9" s="47"/>
      <c r="B9" s="53" t="s">
        <v>487</v>
      </c>
      <c r="C9" s="159">
        <f>SUM(C5:C8)</f>
        <v>88907630</v>
      </c>
      <c r="D9" s="232"/>
      <c r="E9" s="232"/>
      <c r="F9" s="232"/>
      <c r="G9" s="261"/>
    </row>
    <row r="10" spans="1:7" s="28" customFormat="1" ht="13.2" x14ac:dyDescent="0.25">
      <c r="A10" s="22"/>
      <c r="B10" s="23"/>
      <c r="C10" s="243"/>
      <c r="D10" s="244"/>
      <c r="E10" s="244"/>
      <c r="F10" s="244"/>
      <c r="G10" s="260"/>
    </row>
    <row r="11" spans="1:7" x14ac:dyDescent="0.25">
      <c r="A11" s="47"/>
      <c r="B11" s="52" t="s">
        <v>30</v>
      </c>
      <c r="C11" s="49"/>
      <c r="D11" s="231"/>
      <c r="E11" s="231"/>
      <c r="F11" s="231"/>
      <c r="G11" s="259"/>
    </row>
    <row r="12" spans="1:7" s="28" customFormat="1" ht="13.2" x14ac:dyDescent="0.25">
      <c r="A12" s="22"/>
      <c r="B12" s="25"/>
      <c r="C12" s="243"/>
      <c r="D12" s="244"/>
      <c r="E12" s="244"/>
      <c r="F12" s="244"/>
      <c r="G12" s="244"/>
    </row>
    <row r="13" spans="1:7" x14ac:dyDescent="0.25">
      <c r="A13" s="47"/>
      <c r="B13" s="53" t="s">
        <v>758</v>
      </c>
      <c r="C13" s="159">
        <f>SUM(C9:C12)</f>
        <v>88907630</v>
      </c>
      <c r="D13" s="232"/>
      <c r="E13" s="232"/>
      <c r="F13" s="232"/>
      <c r="G13" s="261"/>
    </row>
    <row r="14" spans="1:7" s="28" customFormat="1" ht="13.2" x14ac:dyDescent="0.25">
      <c r="A14" s="22"/>
      <c r="B14" s="23"/>
      <c r="C14" s="243"/>
      <c r="D14" s="244"/>
      <c r="E14" s="244"/>
      <c r="F14" s="244"/>
      <c r="G14" s="260"/>
    </row>
    <row r="15" spans="1:7" x14ac:dyDescent="0.25">
      <c r="A15" s="47" t="s">
        <v>326</v>
      </c>
      <c r="B15" s="52" t="s">
        <v>31</v>
      </c>
      <c r="C15" s="49">
        <f>Ps!F14</f>
        <v>0</v>
      </c>
      <c r="D15" s="231"/>
      <c r="E15" s="231"/>
      <c r="F15" s="231"/>
      <c r="G15" s="259"/>
    </row>
    <row r="16" spans="1:7" s="28" customFormat="1" ht="13.2" x14ac:dyDescent="0.25">
      <c r="A16" s="22"/>
      <c r="B16" s="25"/>
      <c r="C16" s="243"/>
      <c r="D16" s="244"/>
      <c r="E16" s="244"/>
      <c r="F16" s="244"/>
      <c r="G16" s="260"/>
    </row>
    <row r="17" spans="1:7" x14ac:dyDescent="0.25">
      <c r="A17" s="47"/>
      <c r="B17" s="53" t="s">
        <v>757</v>
      </c>
      <c r="C17" s="159">
        <f>SUM(C13:C16)</f>
        <v>88907630</v>
      </c>
      <c r="D17" s="232"/>
      <c r="E17" s="231"/>
      <c r="F17" s="231"/>
      <c r="G17" s="259"/>
    </row>
    <row r="18" spans="1:7" s="28" customFormat="1" ht="13.2" x14ac:dyDescent="0.25">
      <c r="A18" s="22"/>
      <c r="B18" s="25"/>
      <c r="C18" s="243"/>
      <c r="D18" s="244"/>
      <c r="E18" s="244"/>
      <c r="F18" s="244"/>
      <c r="G18" s="244"/>
    </row>
    <row r="19" spans="1:7" x14ac:dyDescent="0.25">
      <c r="A19" s="47" t="s">
        <v>524</v>
      </c>
      <c r="B19" s="52" t="s">
        <v>525</v>
      </c>
      <c r="C19" s="49"/>
      <c r="D19" s="231"/>
      <c r="E19" s="231"/>
      <c r="F19" s="231"/>
      <c r="G19" s="259"/>
    </row>
    <row r="20" spans="1:7" s="28" customFormat="1" ht="13.2" x14ac:dyDescent="0.25">
      <c r="A20" s="22"/>
      <c r="B20" s="23"/>
      <c r="C20" s="243"/>
      <c r="D20" s="244"/>
      <c r="E20" s="244"/>
      <c r="F20" s="244"/>
      <c r="G20" s="260"/>
    </row>
    <row r="21" spans="1:7" x14ac:dyDescent="0.25">
      <c r="A21" s="51"/>
      <c r="B21" s="53" t="s">
        <v>549</v>
      </c>
      <c r="C21" s="54">
        <f>SUM(C17:C20)</f>
        <v>88907630</v>
      </c>
      <c r="D21" s="233"/>
      <c r="E21" s="233"/>
      <c r="F21" s="233"/>
      <c r="G21" s="262"/>
    </row>
    <row r="22" spans="1:7" s="28" customFormat="1" ht="13.2" x14ac:dyDescent="0.25">
      <c r="A22" s="24"/>
      <c r="B22" s="25"/>
      <c r="C22" s="245"/>
      <c r="D22" s="246"/>
      <c r="E22" s="246"/>
      <c r="F22" s="246"/>
      <c r="G22" s="263"/>
    </row>
    <row r="23" spans="1:7" x14ac:dyDescent="0.3">
      <c r="A23" s="55"/>
      <c r="B23" s="139" t="s">
        <v>740</v>
      </c>
      <c r="C23" s="56"/>
      <c r="D23" s="234"/>
      <c r="E23" s="234"/>
      <c r="F23" s="234"/>
      <c r="G23" s="264"/>
    </row>
    <row r="24" spans="1:7" s="28" customFormat="1" ht="13.2" x14ac:dyDescent="0.25">
      <c r="A24" s="26"/>
      <c r="B24" s="247"/>
      <c r="C24" s="248"/>
      <c r="D24" s="249"/>
      <c r="E24" s="249"/>
      <c r="F24" s="249"/>
      <c r="G24" s="265"/>
    </row>
    <row r="25" spans="1:7" ht="16.2" thickBot="1" x14ac:dyDescent="0.35">
      <c r="A25" s="57"/>
      <c r="B25" s="151" t="s">
        <v>550</v>
      </c>
      <c r="C25" s="140">
        <f>SUM(C21:C24)</f>
        <v>88907630</v>
      </c>
      <c r="D25" s="235"/>
      <c r="E25" s="235"/>
      <c r="F25" s="235"/>
      <c r="G25" s="266"/>
    </row>
    <row r="26" spans="1:7" x14ac:dyDescent="0.25">
      <c r="A26" s="1505"/>
      <c r="B26" s="1505"/>
      <c r="C26" s="1505"/>
      <c r="D26" s="189"/>
      <c r="E26" s="285"/>
      <c r="F26" s="285"/>
      <c r="G26" s="267"/>
    </row>
    <row r="27" spans="1:7" s="4" customFormat="1" ht="13.8" customHeight="1" x14ac:dyDescent="0.25">
      <c r="A27" s="1506"/>
      <c r="B27" s="1506"/>
      <c r="C27" s="1506"/>
      <c r="D27" s="251"/>
      <c r="E27" s="286"/>
      <c r="F27" s="286"/>
      <c r="G27" s="268"/>
    </row>
    <row r="28" spans="1:7" s="4" customFormat="1" ht="34.200000000000003" customHeight="1" x14ac:dyDescent="0.25">
      <c r="A28" s="1507"/>
      <c r="B28" s="1507"/>
      <c r="C28" s="1507"/>
      <c r="D28" s="252"/>
      <c r="E28" s="287"/>
      <c r="F28" s="287"/>
      <c r="G28" s="269"/>
    </row>
    <row r="29" spans="1:7" s="4" customFormat="1" ht="13.8" x14ac:dyDescent="0.25">
      <c r="A29" s="153"/>
      <c r="B29" s="153"/>
      <c r="C29" s="153"/>
      <c r="D29" s="153"/>
      <c r="E29" s="288"/>
      <c r="F29" s="288"/>
      <c r="G29" s="270"/>
    </row>
    <row r="30" spans="1:7" s="4" customFormat="1" ht="13.8" x14ac:dyDescent="0.25">
      <c r="A30" s="154"/>
      <c r="B30" s="155"/>
      <c r="C30" s="156"/>
      <c r="D30" s="156"/>
      <c r="E30" s="156"/>
      <c r="F30" s="156"/>
      <c r="G30" s="271"/>
    </row>
    <row r="31" spans="1:7" s="4" customFormat="1" ht="13.8" customHeight="1" x14ac:dyDescent="0.25">
      <c r="A31" s="1508"/>
      <c r="B31" s="1508"/>
      <c r="C31" s="1508"/>
      <c r="D31" s="157"/>
      <c r="E31" s="289"/>
      <c r="F31" s="289"/>
      <c r="G31" s="272"/>
    </row>
    <row r="32" spans="1:7" s="4" customFormat="1" ht="13.8" x14ac:dyDescent="0.25">
      <c r="A32" s="157"/>
      <c r="B32" s="157"/>
      <c r="C32" s="157"/>
      <c r="D32" s="157"/>
      <c r="E32" s="289"/>
      <c r="F32" s="289"/>
      <c r="G32" s="272"/>
    </row>
    <row r="33" spans="1:7" s="4" customFormat="1" ht="13.8" x14ac:dyDescent="0.25">
      <c r="A33" s="157"/>
      <c r="B33" s="157"/>
      <c r="C33" s="157"/>
      <c r="D33" s="157"/>
      <c r="E33" s="289"/>
      <c r="F33" s="289"/>
      <c r="G33" s="272"/>
    </row>
    <row r="34" spans="1:7" s="4" customFormat="1" ht="13.8" customHeight="1" x14ac:dyDescent="0.25">
      <c r="A34" s="1508"/>
      <c r="B34" s="1508"/>
      <c r="C34" s="1508"/>
      <c r="D34" s="157"/>
      <c r="E34" s="289"/>
      <c r="F34" s="289"/>
      <c r="G34" s="272"/>
    </row>
    <row r="35" spans="1:7" s="4" customFormat="1" ht="13.8" customHeight="1" x14ac:dyDescent="0.25">
      <c r="A35" s="1508"/>
      <c r="B35" s="1508"/>
      <c r="C35" s="1508"/>
      <c r="D35" s="157"/>
      <c r="E35" s="289"/>
      <c r="F35" s="289"/>
      <c r="G35" s="272"/>
    </row>
    <row r="36" spans="1:7" s="4" customFormat="1" ht="13.8" x14ac:dyDescent="0.25">
      <c r="A36" s="157"/>
      <c r="B36" s="157"/>
      <c r="C36" s="157"/>
      <c r="D36" s="157"/>
      <c r="E36" s="289"/>
      <c r="F36" s="289"/>
      <c r="G36" s="289"/>
    </row>
    <row r="37" spans="1:7" s="4" customFormat="1" ht="13.8" x14ac:dyDescent="0.25">
      <c r="A37" s="157"/>
      <c r="B37" s="157"/>
      <c r="C37" s="157"/>
      <c r="D37" s="157"/>
      <c r="E37" s="289"/>
      <c r="F37" s="289"/>
      <c r="G37" s="289"/>
    </row>
    <row r="38" spans="1:7" s="4" customFormat="1" ht="13.8" customHeight="1" x14ac:dyDescent="0.25">
      <c r="A38" s="1508"/>
      <c r="B38" s="1508"/>
      <c r="C38" s="1508"/>
      <c r="D38" s="157"/>
      <c r="E38" s="289"/>
      <c r="F38" s="289"/>
      <c r="G38" s="272"/>
    </row>
    <row r="39" spans="1:7" s="4" customFormat="1" ht="23.4" customHeight="1" x14ac:dyDescent="0.25">
      <c r="A39" s="1510"/>
      <c r="B39" s="1510"/>
      <c r="C39" s="1510"/>
      <c r="D39" s="239"/>
      <c r="E39" s="240"/>
      <c r="F39" s="240"/>
      <c r="G39" s="273"/>
    </row>
    <row r="40" spans="1:7" s="4" customFormat="1" ht="23.4" customHeight="1" x14ac:dyDescent="0.25">
      <c r="A40" s="1509"/>
      <c r="B40" s="1509"/>
      <c r="C40" s="1509"/>
      <c r="D40" s="153"/>
      <c r="E40" s="288"/>
      <c r="F40" s="288"/>
      <c r="G40" s="270"/>
    </row>
    <row r="41" spans="1:7" s="4" customFormat="1" ht="23.4" customHeight="1" x14ac:dyDescent="0.25">
      <c r="A41" s="1509"/>
      <c r="B41" s="1509"/>
      <c r="C41" s="1509"/>
      <c r="D41" s="153"/>
      <c r="E41" s="288"/>
      <c r="F41" s="288"/>
      <c r="G41" s="270"/>
    </row>
    <row r="42" spans="1:7" s="4" customFormat="1" ht="19.8" customHeight="1" x14ac:dyDescent="0.25">
      <c r="A42" s="153"/>
      <c r="B42" s="153"/>
      <c r="C42" s="153"/>
      <c r="D42" s="153"/>
      <c r="E42" s="288"/>
      <c r="F42" s="288"/>
      <c r="G42" s="270"/>
    </row>
    <row r="43" spans="1:7" s="4" customFormat="1" ht="13.8" x14ac:dyDescent="0.25">
      <c r="A43" s="157"/>
      <c r="B43" s="157"/>
      <c r="C43" s="157"/>
      <c r="D43" s="157"/>
      <c r="E43" s="289"/>
      <c r="F43" s="289"/>
      <c r="G43" s="272"/>
    </row>
    <row r="44" spans="1:7" s="4" customFormat="1" ht="13.8" customHeight="1" x14ac:dyDescent="0.25">
      <c r="A44" s="1508"/>
      <c r="B44" s="1508"/>
      <c r="C44" s="1508"/>
      <c r="D44" s="157"/>
      <c r="E44" s="289"/>
      <c r="F44" s="289"/>
      <c r="G44" s="272"/>
    </row>
    <row r="45" spans="1:7" s="4" customFormat="1" ht="13.8" customHeight="1" x14ac:dyDescent="0.25">
      <c r="A45" s="1508"/>
      <c r="B45" s="1508"/>
      <c r="C45" s="1508"/>
      <c r="D45" s="157"/>
      <c r="E45" s="289"/>
      <c r="F45" s="289"/>
      <c r="G45" s="272"/>
    </row>
    <row r="46" spans="1:7" s="4" customFormat="1" ht="13.8" customHeight="1" x14ac:dyDescent="0.25">
      <c r="A46" s="1508"/>
      <c r="B46" s="1508"/>
      <c r="C46" s="1508"/>
      <c r="D46" s="157"/>
      <c r="E46" s="289"/>
      <c r="F46" s="289"/>
      <c r="G46" s="272"/>
    </row>
    <row r="47" spans="1:7" s="4" customFormat="1" ht="32.4" customHeight="1" x14ac:dyDescent="0.25">
      <c r="A47" s="1509"/>
      <c r="B47" s="1509"/>
      <c r="C47" s="1509"/>
      <c r="D47" s="153"/>
      <c r="E47" s="288"/>
      <c r="F47" s="288"/>
      <c r="G47" s="270"/>
    </row>
    <row r="48" spans="1:7" s="4" customFormat="1" ht="32.4" customHeight="1" x14ac:dyDescent="0.25">
      <c r="A48" s="1509"/>
      <c r="B48" s="1509"/>
      <c r="C48" s="1509"/>
      <c r="D48" s="153"/>
      <c r="E48" s="288"/>
      <c r="F48" s="288"/>
      <c r="G48" s="270"/>
    </row>
    <row r="49" spans="1:7" s="4" customFormat="1" ht="32.4" customHeight="1" x14ac:dyDescent="0.25">
      <c r="A49" s="1509"/>
      <c r="B49" s="1509"/>
      <c r="C49" s="1509"/>
      <c r="D49" s="153"/>
      <c r="E49" s="288"/>
      <c r="F49" s="288"/>
      <c r="G49" s="270"/>
    </row>
    <row r="50" spans="1:7" s="158" customFormat="1" ht="32.4" customHeight="1" x14ac:dyDescent="0.25">
      <c r="A50" s="1510"/>
      <c r="B50" s="1510"/>
      <c r="C50" s="1510"/>
      <c r="D50" s="239"/>
      <c r="E50" s="240"/>
      <c r="F50" s="240"/>
      <c r="G50" s="273"/>
    </row>
    <row r="51" spans="1:7" s="158" customFormat="1" ht="13.8" x14ac:dyDescent="0.25">
      <c r="A51" s="239"/>
      <c r="B51" s="239"/>
      <c r="C51" s="239"/>
      <c r="D51" s="239"/>
      <c r="E51" s="240"/>
      <c r="F51" s="240"/>
      <c r="G51" s="273"/>
    </row>
    <row r="52" spans="1:7" s="158" customFormat="1" ht="13.8" x14ac:dyDescent="0.25">
      <c r="A52" s="239"/>
      <c r="B52" s="239"/>
      <c r="C52" s="240"/>
      <c r="D52" s="240"/>
      <c r="E52" s="240"/>
      <c r="F52" s="240"/>
      <c r="G52" s="273"/>
    </row>
    <row r="53" spans="1:7" s="158" customFormat="1" ht="13.8" x14ac:dyDescent="0.25">
      <c r="A53" s="239"/>
      <c r="B53" s="239"/>
      <c r="C53" s="240"/>
      <c r="D53" s="240"/>
      <c r="E53" s="240"/>
      <c r="F53" s="240"/>
      <c r="G53" s="273"/>
    </row>
    <row r="54" spans="1:7" s="158" customFormat="1" ht="13.8" x14ac:dyDescent="0.25">
      <c r="A54" s="239"/>
      <c r="B54" s="239"/>
      <c r="C54" s="240"/>
      <c r="D54" s="240"/>
      <c r="E54" s="240"/>
      <c r="F54" s="240"/>
      <c r="G54" s="273"/>
    </row>
    <row r="55" spans="1:7" s="158" customFormat="1" ht="13.8" x14ac:dyDescent="0.25">
      <c r="A55" s="239"/>
      <c r="B55" s="239"/>
      <c r="C55" s="240"/>
      <c r="D55" s="240"/>
      <c r="E55" s="240"/>
      <c r="F55" s="240"/>
      <c r="G55" s="273"/>
    </row>
    <row r="56" spans="1:7" s="158" customFormat="1" ht="13.8" x14ac:dyDescent="0.25">
      <c r="A56" s="239"/>
      <c r="B56" s="239"/>
      <c r="C56" s="240"/>
      <c r="D56" s="240"/>
      <c r="E56" s="240"/>
      <c r="F56" s="240"/>
      <c r="G56" s="273"/>
    </row>
    <row r="57" spans="1:7" s="158" customFormat="1" ht="13.8" x14ac:dyDescent="0.25">
      <c r="A57" s="239"/>
      <c r="B57" s="239"/>
      <c r="C57" s="240"/>
      <c r="D57" s="240"/>
      <c r="E57" s="240"/>
      <c r="F57" s="240"/>
      <c r="G57" s="273"/>
    </row>
    <row r="58" spans="1:7" s="158" customFormat="1" ht="13.8" x14ac:dyDescent="0.25">
      <c r="A58" s="239"/>
      <c r="B58" s="239"/>
      <c r="C58" s="240"/>
      <c r="D58" s="240"/>
      <c r="E58" s="240"/>
      <c r="F58" s="240"/>
      <c r="G58" s="273"/>
    </row>
    <row r="59" spans="1:7" s="158" customFormat="1" ht="13.8" x14ac:dyDescent="0.25">
      <c r="A59" s="239"/>
      <c r="B59" s="239"/>
      <c r="C59" s="240"/>
      <c r="D59" s="240"/>
      <c r="E59" s="240"/>
      <c r="F59" s="240"/>
      <c r="G59" s="273"/>
    </row>
    <row r="60" spans="1:7" s="158" customFormat="1" ht="13.8" x14ac:dyDescent="0.25">
      <c r="A60" s="239"/>
      <c r="B60" s="239"/>
      <c r="C60" s="240"/>
      <c r="D60" s="240"/>
      <c r="E60" s="240"/>
      <c r="F60" s="240"/>
      <c r="G60" s="273"/>
    </row>
    <row r="61" spans="1:7" s="158" customFormat="1" ht="13.8" x14ac:dyDescent="0.25">
      <c r="A61" s="239"/>
      <c r="B61" s="239"/>
      <c r="C61" s="240"/>
      <c r="D61" s="240"/>
      <c r="E61" s="240"/>
      <c r="F61" s="240"/>
      <c r="G61" s="273"/>
    </row>
    <row r="62" spans="1:7" s="158" customFormat="1" ht="13.8" x14ac:dyDescent="0.25">
      <c r="A62" s="239"/>
      <c r="B62" s="239"/>
      <c r="C62" s="240"/>
      <c r="D62" s="240"/>
      <c r="E62" s="240"/>
      <c r="F62" s="240"/>
      <c r="G62" s="273"/>
    </row>
    <row r="63" spans="1:7" s="158" customFormat="1" ht="13.8" x14ac:dyDescent="0.25">
      <c r="A63" s="239"/>
      <c r="B63" s="239"/>
      <c r="C63" s="240"/>
      <c r="D63" s="240"/>
      <c r="E63" s="240"/>
      <c r="F63" s="240"/>
      <c r="G63" s="273"/>
    </row>
    <row r="64" spans="1:7" s="158" customFormat="1" ht="13.8" x14ac:dyDescent="0.25">
      <c r="A64" s="239"/>
      <c r="B64" s="239"/>
      <c r="C64" s="240"/>
      <c r="D64" s="240"/>
      <c r="E64" s="240"/>
      <c r="F64" s="240"/>
      <c r="G64" s="273"/>
    </row>
    <row r="65" spans="1:7" s="158" customFormat="1" ht="13.8" x14ac:dyDescent="0.25">
      <c r="A65" s="239"/>
      <c r="B65" s="239"/>
      <c r="C65" s="239"/>
      <c r="D65" s="239"/>
      <c r="E65" s="240"/>
      <c r="F65" s="240"/>
      <c r="G65" s="273"/>
    </row>
    <row r="66" spans="1:7" s="158" customFormat="1" ht="13.8" x14ac:dyDescent="0.25">
      <c r="A66" s="239"/>
      <c r="B66" s="239"/>
      <c r="C66" s="239"/>
      <c r="D66" s="239"/>
      <c r="E66" s="240"/>
      <c r="F66" s="240"/>
      <c r="G66" s="273"/>
    </row>
    <row r="67" spans="1:7" s="158" customFormat="1" ht="13.8" x14ac:dyDescent="0.25">
      <c r="A67" s="239"/>
      <c r="B67" s="239"/>
      <c r="C67" s="239"/>
      <c r="D67" s="239"/>
      <c r="E67" s="240"/>
      <c r="F67" s="240"/>
      <c r="G67" s="273"/>
    </row>
    <row r="68" spans="1:7" s="158" customFormat="1" ht="13.8" x14ac:dyDescent="0.25">
      <c r="A68" s="239"/>
      <c r="B68" s="239"/>
      <c r="C68" s="239"/>
      <c r="D68" s="239"/>
      <c r="E68" s="240"/>
      <c r="F68" s="240"/>
      <c r="G68" s="273"/>
    </row>
    <row r="69" spans="1:7" s="158" customFormat="1" ht="13.8" x14ac:dyDescent="0.25">
      <c r="A69" s="239"/>
      <c r="B69" s="239"/>
      <c r="C69" s="239"/>
      <c r="D69" s="239"/>
      <c r="E69" s="240"/>
      <c r="F69" s="240"/>
      <c r="G69" s="273"/>
    </row>
    <row r="70" spans="1:7" s="158" customFormat="1" ht="14.4" thickBot="1" x14ac:dyDescent="0.3">
      <c r="A70" s="239"/>
      <c r="B70" s="239"/>
      <c r="C70" s="239"/>
      <c r="D70" s="239"/>
      <c r="E70" s="240"/>
      <c r="F70" s="240"/>
      <c r="G70" s="273"/>
    </row>
    <row r="71" spans="1:7" x14ac:dyDescent="0.3">
      <c r="A71" s="152"/>
      <c r="B71" s="152"/>
      <c r="C71" s="152"/>
      <c r="D71" s="236"/>
      <c r="E71" s="236"/>
      <c r="F71" s="236"/>
      <c r="G71" s="274"/>
    </row>
    <row r="76" spans="1:7" x14ac:dyDescent="0.25">
      <c r="B76" s="146"/>
      <c r="C76" s="147"/>
      <c r="D76" s="237"/>
      <c r="E76" s="279"/>
      <c r="F76" s="279"/>
      <c r="G76" s="276"/>
    </row>
    <row r="77" spans="1:7" x14ac:dyDescent="0.25">
      <c r="B77" s="146"/>
      <c r="C77" s="147"/>
      <c r="D77" s="237"/>
      <c r="E77" s="279"/>
      <c r="F77" s="279"/>
      <c r="G77" s="276"/>
    </row>
    <row r="78" spans="1:7" x14ac:dyDescent="0.25">
      <c r="B78" s="146"/>
      <c r="C78" s="147"/>
      <c r="D78" s="237"/>
      <c r="E78" s="279"/>
      <c r="F78" s="279"/>
      <c r="G78" s="276"/>
    </row>
    <row r="79" spans="1:7" x14ac:dyDescent="0.25">
      <c r="B79" s="146"/>
      <c r="C79" s="147"/>
      <c r="D79" s="237"/>
      <c r="E79" s="279"/>
      <c r="F79" s="279"/>
      <c r="G79" s="276"/>
    </row>
    <row r="80" spans="1:7" x14ac:dyDescent="0.25">
      <c r="B80" s="146"/>
      <c r="C80" s="147"/>
      <c r="D80" s="237"/>
      <c r="E80" s="279"/>
      <c r="F80" s="279"/>
      <c r="G80" s="276"/>
    </row>
    <row r="81" spans="2:7" x14ac:dyDescent="0.25">
      <c r="B81" s="146"/>
      <c r="C81" s="147"/>
      <c r="D81" s="237"/>
      <c r="E81" s="279"/>
      <c r="F81" s="279"/>
      <c r="G81" s="276"/>
    </row>
    <row r="117" spans="3:3" x14ac:dyDescent="0.25">
      <c r="C117" s="62">
        <f>C113/450</f>
        <v>0</v>
      </c>
    </row>
  </sheetData>
  <mergeCells count="19">
    <mergeCell ref="A47:C47"/>
    <mergeCell ref="A48:C48"/>
    <mergeCell ref="A49:C49"/>
    <mergeCell ref="A50:C50"/>
    <mergeCell ref="A2:C2"/>
    <mergeCell ref="A40:C40"/>
    <mergeCell ref="A41:C41"/>
    <mergeCell ref="A44:C44"/>
    <mergeCell ref="A45:C45"/>
    <mergeCell ref="A46:C46"/>
    <mergeCell ref="A34:C34"/>
    <mergeCell ref="A35:C35"/>
    <mergeCell ref="A38:C38"/>
    <mergeCell ref="A39:C39"/>
    <mergeCell ref="A1:C1"/>
    <mergeCell ref="A26:C26"/>
    <mergeCell ref="A27:C27"/>
    <mergeCell ref="A28:C28"/>
    <mergeCell ref="A31:C31"/>
  </mergeCells>
  <pageMargins left="1.1417322834645669" right="0.9" top="0.98425196850393704" bottom="0.23622047244094491" header="0.35433070866141736" footer="2.5590551181102366"/>
  <pageSetup paperSize="9" scale="87"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876"/>
  <sheetViews>
    <sheetView view="pageBreakPreview" zoomScaleNormal="100" zoomScaleSheetLayoutView="100" workbookViewId="0">
      <pane ySplit="1" topLeftCell="A815" activePane="bottomLeft" state="frozen"/>
      <selection pane="bottomLeft" activeCell="H821" sqref="H821"/>
    </sheetView>
  </sheetViews>
  <sheetFormatPr defaultRowHeight="13.8" x14ac:dyDescent="0.25"/>
  <cols>
    <col min="1" max="1" width="8.6640625" style="310" bestFit="1" customWidth="1"/>
    <col min="2" max="2" width="46.88671875" style="305" customWidth="1"/>
    <col min="3" max="3" width="5.33203125" style="305" bestFit="1" customWidth="1"/>
    <col min="4" max="4" width="6.6640625" style="305" bestFit="1" customWidth="1"/>
    <col min="5" max="5" width="7.33203125" style="684" bestFit="1" customWidth="1"/>
    <col min="6" max="6" width="10.5546875" style="684" bestFit="1" customWidth="1"/>
    <col min="7" max="7" width="8.88671875" style="684" bestFit="1" customWidth="1"/>
    <col min="8" max="8" width="9.88671875" style="684" bestFit="1" customWidth="1"/>
    <col min="9" max="10" width="8.44140625" style="684" bestFit="1" customWidth="1"/>
    <col min="11" max="11" width="6.21875" style="684" bestFit="1" customWidth="1"/>
    <col min="12" max="14" width="8.44140625" style="684" bestFit="1" customWidth="1"/>
    <col min="15" max="15" width="7" style="684" bestFit="1" customWidth="1"/>
    <col min="16" max="16" width="11.21875" style="305" bestFit="1" customWidth="1"/>
    <col min="17" max="17" width="14.109375" style="305" bestFit="1" customWidth="1"/>
    <col min="18" max="19" width="11.33203125" style="305" bestFit="1" customWidth="1"/>
    <col min="20" max="20" width="12.88671875" style="305" bestFit="1" customWidth="1"/>
    <col min="21" max="21" width="14.109375" style="305" bestFit="1" customWidth="1"/>
    <col min="22" max="23" width="8.88671875" style="305"/>
    <col min="24" max="24" width="13.109375" style="305" bestFit="1" customWidth="1"/>
    <col min="25" max="25" width="8.88671875" style="305"/>
    <col min="26" max="26" width="15.109375" style="305" bestFit="1" customWidth="1"/>
    <col min="27" max="28" width="11.5546875" style="305" bestFit="1" customWidth="1"/>
    <col min="29" max="262" width="8.88671875" style="305"/>
    <col min="263" max="263" width="7" style="305" bestFit="1" customWidth="1"/>
    <col min="264" max="264" width="20.5546875" style="305" bestFit="1" customWidth="1"/>
    <col min="265" max="265" width="3.44140625" style="305" customWidth="1"/>
    <col min="266" max="266" width="3.6640625" style="305" customWidth="1"/>
    <col min="267" max="267" width="5.44140625" style="305" bestFit="1" customWidth="1"/>
    <col min="268" max="268" width="9.33203125" style="305" bestFit="1" customWidth="1"/>
    <col min="269" max="269" width="7.6640625" style="305" customWidth="1"/>
    <col min="270" max="270" width="9.109375" style="305" customWidth="1"/>
    <col min="271" max="272" width="10.5546875" style="305" bestFit="1" customWidth="1"/>
    <col min="273" max="273" width="5.33203125" style="305" bestFit="1" customWidth="1"/>
    <col min="274" max="275" width="11.33203125" style="305" bestFit="1" customWidth="1"/>
    <col min="276" max="276" width="12.88671875" style="305" bestFit="1" customWidth="1"/>
    <col min="277" max="277" width="10.5546875" style="305" bestFit="1" customWidth="1"/>
    <col min="278" max="281" width="8.88671875" style="305"/>
    <col min="282" max="282" width="15.109375" style="305" bestFit="1" customWidth="1"/>
    <col min="283" max="284" width="11.5546875" style="305" bestFit="1" customWidth="1"/>
    <col min="285" max="518" width="8.88671875" style="305"/>
    <col min="519" max="519" width="7" style="305" bestFit="1" customWidth="1"/>
    <col min="520" max="520" width="20.5546875" style="305" bestFit="1" customWidth="1"/>
    <col min="521" max="521" width="3.44140625" style="305" customWidth="1"/>
    <col min="522" max="522" width="3.6640625" style="305" customWidth="1"/>
    <col min="523" max="523" width="5.44140625" style="305" bestFit="1" customWidth="1"/>
    <col min="524" max="524" width="9.33203125" style="305" bestFit="1" customWidth="1"/>
    <col min="525" max="525" width="7.6640625" style="305" customWidth="1"/>
    <col min="526" max="526" width="9.109375" style="305" customWidth="1"/>
    <col min="527" max="528" width="10.5546875" style="305" bestFit="1" customWidth="1"/>
    <col min="529" max="529" width="5.33203125" style="305" bestFit="1" customWidth="1"/>
    <col min="530" max="531" width="11.33203125" style="305" bestFit="1" customWidth="1"/>
    <col min="532" max="532" width="12.88671875" style="305" bestFit="1" customWidth="1"/>
    <col min="533" max="533" width="10.5546875" style="305" bestFit="1" customWidth="1"/>
    <col min="534" max="537" width="8.88671875" style="305"/>
    <col min="538" max="538" width="15.109375" style="305" bestFit="1" customWidth="1"/>
    <col min="539" max="540" width="11.5546875" style="305" bestFit="1" customWidth="1"/>
    <col min="541" max="774" width="8.88671875" style="305"/>
    <col min="775" max="775" width="7" style="305" bestFit="1" customWidth="1"/>
    <col min="776" max="776" width="20.5546875" style="305" bestFit="1" customWidth="1"/>
    <col min="777" max="777" width="3.44140625" style="305" customWidth="1"/>
    <col min="778" max="778" width="3.6640625" style="305" customWidth="1"/>
    <col min="779" max="779" width="5.44140625" style="305" bestFit="1" customWidth="1"/>
    <col min="780" max="780" width="9.33203125" style="305" bestFit="1" customWidth="1"/>
    <col min="781" max="781" width="7.6640625" style="305" customWidth="1"/>
    <col min="782" max="782" width="9.109375" style="305" customWidth="1"/>
    <col min="783" max="784" width="10.5546875" style="305" bestFit="1" customWidth="1"/>
    <col min="785" max="785" width="5.33203125" style="305" bestFit="1" customWidth="1"/>
    <col min="786" max="787" width="11.33203125" style="305" bestFit="1" customWidth="1"/>
    <col min="788" max="788" width="12.88671875" style="305" bestFit="1" customWidth="1"/>
    <col min="789" max="789" width="10.5546875" style="305" bestFit="1" customWidth="1"/>
    <col min="790" max="793" width="8.88671875" style="305"/>
    <col min="794" max="794" width="15.109375" style="305" bestFit="1" customWidth="1"/>
    <col min="795" max="796" width="11.5546875" style="305" bestFit="1" customWidth="1"/>
    <col min="797" max="1030" width="8.88671875" style="305"/>
    <col min="1031" max="1031" width="7" style="305" bestFit="1" customWidth="1"/>
    <col min="1032" max="1032" width="20.5546875" style="305" bestFit="1" customWidth="1"/>
    <col min="1033" max="1033" width="3.44140625" style="305" customWidth="1"/>
    <col min="1034" max="1034" width="3.6640625" style="305" customWidth="1"/>
    <col min="1035" max="1035" width="5.44140625" style="305" bestFit="1" customWidth="1"/>
    <col min="1036" max="1036" width="9.33203125" style="305" bestFit="1" customWidth="1"/>
    <col min="1037" max="1037" width="7.6640625" style="305" customWidth="1"/>
    <col min="1038" max="1038" width="9.109375" style="305" customWidth="1"/>
    <col min="1039" max="1040" width="10.5546875" style="305" bestFit="1" customWidth="1"/>
    <col min="1041" max="1041" width="5.33203125" style="305" bestFit="1" customWidth="1"/>
    <col min="1042" max="1043" width="11.33203125" style="305" bestFit="1" customWidth="1"/>
    <col min="1044" max="1044" width="12.88671875" style="305" bestFit="1" customWidth="1"/>
    <col min="1045" max="1045" width="10.5546875" style="305" bestFit="1" customWidth="1"/>
    <col min="1046" max="1049" width="8.88671875" style="305"/>
    <col min="1050" max="1050" width="15.109375" style="305" bestFit="1" customWidth="1"/>
    <col min="1051" max="1052" width="11.5546875" style="305" bestFit="1" customWidth="1"/>
    <col min="1053" max="1286" width="8.88671875" style="305"/>
    <col min="1287" max="1287" width="7" style="305" bestFit="1" customWidth="1"/>
    <col min="1288" max="1288" width="20.5546875" style="305" bestFit="1" customWidth="1"/>
    <col min="1289" max="1289" width="3.44140625" style="305" customWidth="1"/>
    <col min="1290" max="1290" width="3.6640625" style="305" customWidth="1"/>
    <col min="1291" max="1291" width="5.44140625" style="305" bestFit="1" customWidth="1"/>
    <col min="1292" max="1292" width="9.33203125" style="305" bestFit="1" customWidth="1"/>
    <col min="1293" max="1293" width="7.6640625" style="305" customWidth="1"/>
    <col min="1294" max="1294" width="9.109375" style="305" customWidth="1"/>
    <col min="1295" max="1296" width="10.5546875" style="305" bestFit="1" customWidth="1"/>
    <col min="1297" max="1297" width="5.33203125" style="305" bestFit="1" customWidth="1"/>
    <col min="1298" max="1299" width="11.33203125" style="305" bestFit="1" customWidth="1"/>
    <col min="1300" max="1300" width="12.88671875" style="305" bestFit="1" customWidth="1"/>
    <col min="1301" max="1301" width="10.5546875" style="305" bestFit="1" customWidth="1"/>
    <col min="1302" max="1305" width="8.88671875" style="305"/>
    <col min="1306" max="1306" width="15.109375" style="305" bestFit="1" customWidth="1"/>
    <col min="1307" max="1308" width="11.5546875" style="305" bestFit="1" customWidth="1"/>
    <col min="1309" max="1542" width="8.88671875" style="305"/>
    <col min="1543" max="1543" width="7" style="305" bestFit="1" customWidth="1"/>
    <col min="1544" max="1544" width="20.5546875" style="305" bestFit="1" customWidth="1"/>
    <col min="1545" max="1545" width="3.44140625" style="305" customWidth="1"/>
    <col min="1546" max="1546" width="3.6640625" style="305" customWidth="1"/>
    <col min="1547" max="1547" width="5.44140625" style="305" bestFit="1" customWidth="1"/>
    <col min="1548" max="1548" width="9.33203125" style="305" bestFit="1" customWidth="1"/>
    <col min="1549" max="1549" width="7.6640625" style="305" customWidth="1"/>
    <col min="1550" max="1550" width="9.109375" style="305" customWidth="1"/>
    <col min="1551" max="1552" width="10.5546875" style="305" bestFit="1" customWidth="1"/>
    <col min="1553" max="1553" width="5.33203125" style="305" bestFit="1" customWidth="1"/>
    <col min="1554" max="1555" width="11.33203125" style="305" bestFit="1" customWidth="1"/>
    <col min="1556" max="1556" width="12.88671875" style="305" bestFit="1" customWidth="1"/>
    <col min="1557" max="1557" width="10.5546875" style="305" bestFit="1" customWidth="1"/>
    <col min="1558" max="1561" width="8.88671875" style="305"/>
    <col min="1562" max="1562" width="15.109375" style="305" bestFit="1" customWidth="1"/>
    <col min="1563" max="1564" width="11.5546875" style="305" bestFit="1" customWidth="1"/>
    <col min="1565" max="1798" width="8.88671875" style="305"/>
    <col min="1799" max="1799" width="7" style="305" bestFit="1" customWidth="1"/>
    <col min="1800" max="1800" width="20.5546875" style="305" bestFit="1" customWidth="1"/>
    <col min="1801" max="1801" width="3.44140625" style="305" customWidth="1"/>
    <col min="1802" max="1802" width="3.6640625" style="305" customWidth="1"/>
    <col min="1803" max="1803" width="5.44140625" style="305" bestFit="1" customWidth="1"/>
    <col min="1804" max="1804" width="9.33203125" style="305" bestFit="1" customWidth="1"/>
    <col min="1805" max="1805" width="7.6640625" style="305" customWidth="1"/>
    <col min="1806" max="1806" width="9.109375" style="305" customWidth="1"/>
    <col min="1807" max="1808" width="10.5546875" style="305" bestFit="1" customWidth="1"/>
    <col min="1809" max="1809" width="5.33203125" style="305" bestFit="1" customWidth="1"/>
    <col min="1810" max="1811" width="11.33203125" style="305" bestFit="1" customWidth="1"/>
    <col min="1812" max="1812" width="12.88671875" style="305" bestFit="1" customWidth="1"/>
    <col min="1813" max="1813" width="10.5546875" style="305" bestFit="1" customWidth="1"/>
    <col min="1814" max="1817" width="8.88671875" style="305"/>
    <col min="1818" max="1818" width="15.109375" style="305" bestFit="1" customWidth="1"/>
    <col min="1819" max="1820" width="11.5546875" style="305" bestFit="1" customWidth="1"/>
    <col min="1821" max="2054" width="8.88671875" style="305"/>
    <col min="2055" max="2055" width="7" style="305" bestFit="1" customWidth="1"/>
    <col min="2056" max="2056" width="20.5546875" style="305" bestFit="1" customWidth="1"/>
    <col min="2057" max="2057" width="3.44140625" style="305" customWidth="1"/>
    <col min="2058" max="2058" width="3.6640625" style="305" customWidth="1"/>
    <col min="2059" max="2059" width="5.44140625" style="305" bestFit="1" customWidth="1"/>
    <col min="2060" max="2060" width="9.33203125" style="305" bestFit="1" customWidth="1"/>
    <col min="2061" max="2061" width="7.6640625" style="305" customWidth="1"/>
    <col min="2062" max="2062" width="9.109375" style="305" customWidth="1"/>
    <col min="2063" max="2064" width="10.5546875" style="305" bestFit="1" customWidth="1"/>
    <col min="2065" max="2065" width="5.33203125" style="305" bestFit="1" customWidth="1"/>
    <col min="2066" max="2067" width="11.33203125" style="305" bestFit="1" customWidth="1"/>
    <col min="2068" max="2068" width="12.88671875" style="305" bestFit="1" customWidth="1"/>
    <col min="2069" max="2069" width="10.5546875" style="305" bestFit="1" customWidth="1"/>
    <col min="2070" max="2073" width="8.88671875" style="305"/>
    <col min="2074" max="2074" width="15.109375" style="305" bestFit="1" customWidth="1"/>
    <col min="2075" max="2076" width="11.5546875" style="305" bestFit="1" customWidth="1"/>
    <col min="2077" max="2310" width="8.88671875" style="305"/>
    <col min="2311" max="2311" width="7" style="305" bestFit="1" customWidth="1"/>
    <col min="2312" max="2312" width="20.5546875" style="305" bestFit="1" customWidth="1"/>
    <col min="2313" max="2313" width="3.44140625" style="305" customWidth="1"/>
    <col min="2314" max="2314" width="3.6640625" style="305" customWidth="1"/>
    <col min="2315" max="2315" width="5.44140625" style="305" bestFit="1" customWidth="1"/>
    <col min="2316" max="2316" width="9.33203125" style="305" bestFit="1" customWidth="1"/>
    <col min="2317" max="2317" width="7.6640625" style="305" customWidth="1"/>
    <col min="2318" max="2318" width="9.109375" style="305" customWidth="1"/>
    <col min="2319" max="2320" width="10.5546875" style="305" bestFit="1" customWidth="1"/>
    <col min="2321" max="2321" width="5.33203125" style="305" bestFit="1" customWidth="1"/>
    <col min="2322" max="2323" width="11.33203125" style="305" bestFit="1" customWidth="1"/>
    <col min="2324" max="2324" width="12.88671875" style="305" bestFit="1" customWidth="1"/>
    <col min="2325" max="2325" width="10.5546875" style="305" bestFit="1" customWidth="1"/>
    <col min="2326" max="2329" width="8.88671875" style="305"/>
    <col min="2330" max="2330" width="15.109375" style="305" bestFit="1" customWidth="1"/>
    <col min="2331" max="2332" width="11.5546875" style="305" bestFit="1" customWidth="1"/>
    <col min="2333" max="2566" width="8.88671875" style="305"/>
    <col min="2567" max="2567" width="7" style="305" bestFit="1" customWidth="1"/>
    <col min="2568" max="2568" width="20.5546875" style="305" bestFit="1" customWidth="1"/>
    <col min="2569" max="2569" width="3.44140625" style="305" customWidth="1"/>
    <col min="2570" max="2570" width="3.6640625" style="305" customWidth="1"/>
    <col min="2571" max="2571" width="5.44140625" style="305" bestFit="1" customWidth="1"/>
    <col min="2572" max="2572" width="9.33203125" style="305" bestFit="1" customWidth="1"/>
    <col min="2573" max="2573" width="7.6640625" style="305" customWidth="1"/>
    <col min="2574" max="2574" width="9.109375" style="305" customWidth="1"/>
    <col min="2575" max="2576" width="10.5546875" style="305" bestFit="1" customWidth="1"/>
    <col min="2577" max="2577" width="5.33203125" style="305" bestFit="1" customWidth="1"/>
    <col min="2578" max="2579" width="11.33203125" style="305" bestFit="1" customWidth="1"/>
    <col min="2580" max="2580" width="12.88671875" style="305" bestFit="1" customWidth="1"/>
    <col min="2581" max="2581" width="10.5546875" style="305" bestFit="1" customWidth="1"/>
    <col min="2582" max="2585" width="8.88671875" style="305"/>
    <col min="2586" max="2586" width="15.109375" style="305" bestFit="1" customWidth="1"/>
    <col min="2587" max="2588" width="11.5546875" style="305" bestFit="1" customWidth="1"/>
    <col min="2589" max="2822" width="8.88671875" style="305"/>
    <col min="2823" max="2823" width="7" style="305" bestFit="1" customWidth="1"/>
    <col min="2824" max="2824" width="20.5546875" style="305" bestFit="1" customWidth="1"/>
    <col min="2825" max="2825" width="3.44140625" style="305" customWidth="1"/>
    <col min="2826" max="2826" width="3.6640625" style="305" customWidth="1"/>
    <col min="2827" max="2827" width="5.44140625" style="305" bestFit="1" customWidth="1"/>
    <col min="2828" max="2828" width="9.33203125" style="305" bestFit="1" customWidth="1"/>
    <col min="2829" max="2829" width="7.6640625" style="305" customWidth="1"/>
    <col min="2830" max="2830" width="9.109375" style="305" customWidth="1"/>
    <col min="2831" max="2832" width="10.5546875" style="305" bestFit="1" customWidth="1"/>
    <col min="2833" max="2833" width="5.33203125" style="305" bestFit="1" customWidth="1"/>
    <col min="2834" max="2835" width="11.33203125" style="305" bestFit="1" customWidth="1"/>
    <col min="2836" max="2836" width="12.88671875" style="305" bestFit="1" customWidth="1"/>
    <col min="2837" max="2837" width="10.5546875" style="305" bestFit="1" customWidth="1"/>
    <col min="2838" max="2841" width="8.88671875" style="305"/>
    <col min="2842" max="2842" width="15.109375" style="305" bestFit="1" customWidth="1"/>
    <col min="2843" max="2844" width="11.5546875" style="305" bestFit="1" customWidth="1"/>
    <col min="2845" max="3078" width="8.88671875" style="305"/>
    <col min="3079" max="3079" width="7" style="305" bestFit="1" customWidth="1"/>
    <col min="3080" max="3080" width="20.5546875" style="305" bestFit="1" customWidth="1"/>
    <col min="3081" max="3081" width="3.44140625" style="305" customWidth="1"/>
    <col min="3082" max="3082" width="3.6640625" style="305" customWidth="1"/>
    <col min="3083" max="3083" width="5.44140625" style="305" bestFit="1" customWidth="1"/>
    <col min="3084" max="3084" width="9.33203125" style="305" bestFit="1" customWidth="1"/>
    <col min="3085" max="3085" width="7.6640625" style="305" customWidth="1"/>
    <col min="3086" max="3086" width="9.109375" style="305" customWidth="1"/>
    <col min="3087" max="3088" width="10.5546875" style="305" bestFit="1" customWidth="1"/>
    <col min="3089" max="3089" width="5.33203125" style="305" bestFit="1" customWidth="1"/>
    <col min="3090" max="3091" width="11.33203125" style="305" bestFit="1" customWidth="1"/>
    <col min="3092" max="3092" width="12.88671875" style="305" bestFit="1" customWidth="1"/>
    <col min="3093" max="3093" width="10.5546875" style="305" bestFit="1" customWidth="1"/>
    <col min="3094" max="3097" width="8.88671875" style="305"/>
    <col min="3098" max="3098" width="15.109375" style="305" bestFit="1" customWidth="1"/>
    <col min="3099" max="3100" width="11.5546875" style="305" bestFit="1" customWidth="1"/>
    <col min="3101" max="3334" width="8.88671875" style="305"/>
    <col min="3335" max="3335" width="7" style="305" bestFit="1" customWidth="1"/>
    <col min="3336" max="3336" width="20.5546875" style="305" bestFit="1" customWidth="1"/>
    <col min="3337" max="3337" width="3.44140625" style="305" customWidth="1"/>
    <col min="3338" max="3338" width="3.6640625" style="305" customWidth="1"/>
    <col min="3339" max="3339" width="5.44140625" style="305" bestFit="1" customWidth="1"/>
    <col min="3340" max="3340" width="9.33203125" style="305" bestFit="1" customWidth="1"/>
    <col min="3341" max="3341" width="7.6640625" style="305" customWidth="1"/>
    <col min="3342" max="3342" width="9.109375" style="305" customWidth="1"/>
    <col min="3343" max="3344" width="10.5546875" style="305" bestFit="1" customWidth="1"/>
    <col min="3345" max="3345" width="5.33203125" style="305" bestFit="1" customWidth="1"/>
    <col min="3346" max="3347" width="11.33203125" style="305" bestFit="1" customWidth="1"/>
    <col min="3348" max="3348" width="12.88671875" style="305" bestFit="1" customWidth="1"/>
    <col min="3349" max="3349" width="10.5546875" style="305" bestFit="1" customWidth="1"/>
    <col min="3350" max="3353" width="8.88671875" style="305"/>
    <col min="3354" max="3354" width="15.109375" style="305" bestFit="1" customWidth="1"/>
    <col min="3355" max="3356" width="11.5546875" style="305" bestFit="1" customWidth="1"/>
    <col min="3357" max="3590" width="8.88671875" style="305"/>
    <col min="3591" max="3591" width="7" style="305" bestFit="1" customWidth="1"/>
    <col min="3592" max="3592" width="20.5546875" style="305" bestFit="1" customWidth="1"/>
    <col min="3593" max="3593" width="3.44140625" style="305" customWidth="1"/>
    <col min="3594" max="3594" width="3.6640625" style="305" customWidth="1"/>
    <col min="3595" max="3595" width="5.44140625" style="305" bestFit="1" customWidth="1"/>
    <col min="3596" max="3596" width="9.33203125" style="305" bestFit="1" customWidth="1"/>
    <col min="3597" max="3597" width="7.6640625" style="305" customWidth="1"/>
    <col min="3598" max="3598" width="9.109375" style="305" customWidth="1"/>
    <col min="3599" max="3600" width="10.5546875" style="305" bestFit="1" customWidth="1"/>
    <col min="3601" max="3601" width="5.33203125" style="305" bestFit="1" customWidth="1"/>
    <col min="3602" max="3603" width="11.33203125" style="305" bestFit="1" customWidth="1"/>
    <col min="3604" max="3604" width="12.88671875" style="305" bestFit="1" customWidth="1"/>
    <col min="3605" max="3605" width="10.5546875" style="305" bestFit="1" customWidth="1"/>
    <col min="3606" max="3609" width="8.88671875" style="305"/>
    <col min="3610" max="3610" width="15.109375" style="305" bestFit="1" customWidth="1"/>
    <col min="3611" max="3612" width="11.5546875" style="305" bestFit="1" customWidth="1"/>
    <col min="3613" max="3846" width="8.88671875" style="305"/>
    <col min="3847" max="3847" width="7" style="305" bestFit="1" customWidth="1"/>
    <col min="3848" max="3848" width="20.5546875" style="305" bestFit="1" customWidth="1"/>
    <col min="3849" max="3849" width="3.44140625" style="305" customWidth="1"/>
    <col min="3850" max="3850" width="3.6640625" style="305" customWidth="1"/>
    <col min="3851" max="3851" width="5.44140625" style="305" bestFit="1" customWidth="1"/>
    <col min="3852" max="3852" width="9.33203125" style="305" bestFit="1" customWidth="1"/>
    <col min="3853" max="3853" width="7.6640625" style="305" customWidth="1"/>
    <col min="3854" max="3854" width="9.109375" style="305" customWidth="1"/>
    <col min="3855" max="3856" width="10.5546875" style="305" bestFit="1" customWidth="1"/>
    <col min="3857" max="3857" width="5.33203125" style="305" bestFit="1" customWidth="1"/>
    <col min="3858" max="3859" width="11.33203125" style="305" bestFit="1" customWidth="1"/>
    <col min="3860" max="3860" width="12.88671875" style="305" bestFit="1" customWidth="1"/>
    <col min="3861" max="3861" width="10.5546875" style="305" bestFit="1" customWidth="1"/>
    <col min="3862" max="3865" width="8.88671875" style="305"/>
    <col min="3866" max="3866" width="15.109375" style="305" bestFit="1" customWidth="1"/>
    <col min="3867" max="3868" width="11.5546875" style="305" bestFit="1" customWidth="1"/>
    <col min="3869" max="4102" width="8.88671875" style="305"/>
    <col min="4103" max="4103" width="7" style="305" bestFit="1" customWidth="1"/>
    <col min="4104" max="4104" width="20.5546875" style="305" bestFit="1" customWidth="1"/>
    <col min="4105" max="4105" width="3.44140625" style="305" customWidth="1"/>
    <col min="4106" max="4106" width="3.6640625" style="305" customWidth="1"/>
    <col min="4107" max="4107" width="5.44140625" style="305" bestFit="1" customWidth="1"/>
    <col min="4108" max="4108" width="9.33203125" style="305" bestFit="1" customWidth="1"/>
    <col min="4109" max="4109" width="7.6640625" style="305" customWidth="1"/>
    <col min="4110" max="4110" width="9.109375" style="305" customWidth="1"/>
    <col min="4111" max="4112" width="10.5546875" style="305" bestFit="1" customWidth="1"/>
    <col min="4113" max="4113" width="5.33203125" style="305" bestFit="1" customWidth="1"/>
    <col min="4114" max="4115" width="11.33203125" style="305" bestFit="1" customWidth="1"/>
    <col min="4116" max="4116" width="12.88671875" style="305" bestFit="1" customWidth="1"/>
    <col min="4117" max="4117" width="10.5546875" style="305" bestFit="1" customWidth="1"/>
    <col min="4118" max="4121" width="8.88671875" style="305"/>
    <col min="4122" max="4122" width="15.109375" style="305" bestFit="1" customWidth="1"/>
    <col min="4123" max="4124" width="11.5546875" style="305" bestFit="1" customWidth="1"/>
    <col min="4125" max="4358" width="8.88671875" style="305"/>
    <col min="4359" max="4359" width="7" style="305" bestFit="1" customWidth="1"/>
    <col min="4360" max="4360" width="20.5546875" style="305" bestFit="1" customWidth="1"/>
    <col min="4361" max="4361" width="3.44140625" style="305" customWidth="1"/>
    <col min="4362" max="4362" width="3.6640625" style="305" customWidth="1"/>
    <col min="4363" max="4363" width="5.44140625" style="305" bestFit="1" customWidth="1"/>
    <col min="4364" max="4364" width="9.33203125" style="305" bestFit="1" customWidth="1"/>
    <col min="4365" max="4365" width="7.6640625" style="305" customWidth="1"/>
    <col min="4366" max="4366" width="9.109375" style="305" customWidth="1"/>
    <col min="4367" max="4368" width="10.5546875" style="305" bestFit="1" customWidth="1"/>
    <col min="4369" max="4369" width="5.33203125" style="305" bestFit="1" customWidth="1"/>
    <col min="4370" max="4371" width="11.33203125" style="305" bestFit="1" customWidth="1"/>
    <col min="4372" max="4372" width="12.88671875" style="305" bestFit="1" customWidth="1"/>
    <col min="4373" max="4373" width="10.5546875" style="305" bestFit="1" customWidth="1"/>
    <col min="4374" max="4377" width="8.88671875" style="305"/>
    <col min="4378" max="4378" width="15.109375" style="305" bestFit="1" customWidth="1"/>
    <col min="4379" max="4380" width="11.5546875" style="305" bestFit="1" customWidth="1"/>
    <col min="4381" max="4614" width="8.88671875" style="305"/>
    <col min="4615" max="4615" width="7" style="305" bestFit="1" customWidth="1"/>
    <col min="4616" max="4616" width="20.5546875" style="305" bestFit="1" customWidth="1"/>
    <col min="4617" max="4617" width="3.44140625" style="305" customWidth="1"/>
    <col min="4618" max="4618" width="3.6640625" style="305" customWidth="1"/>
    <col min="4619" max="4619" width="5.44140625" style="305" bestFit="1" customWidth="1"/>
    <col min="4620" max="4620" width="9.33203125" style="305" bestFit="1" customWidth="1"/>
    <col min="4621" max="4621" width="7.6640625" style="305" customWidth="1"/>
    <col min="4622" max="4622" width="9.109375" style="305" customWidth="1"/>
    <col min="4623" max="4624" width="10.5546875" style="305" bestFit="1" customWidth="1"/>
    <col min="4625" max="4625" width="5.33203125" style="305" bestFit="1" customWidth="1"/>
    <col min="4626" max="4627" width="11.33203125" style="305" bestFit="1" customWidth="1"/>
    <col min="4628" max="4628" width="12.88671875" style="305" bestFit="1" customWidth="1"/>
    <col min="4629" max="4629" width="10.5546875" style="305" bestFit="1" customWidth="1"/>
    <col min="4630" max="4633" width="8.88671875" style="305"/>
    <col min="4634" max="4634" width="15.109375" style="305" bestFit="1" customWidth="1"/>
    <col min="4635" max="4636" width="11.5546875" style="305" bestFit="1" customWidth="1"/>
    <col min="4637" max="4870" width="8.88671875" style="305"/>
    <col min="4871" max="4871" width="7" style="305" bestFit="1" customWidth="1"/>
    <col min="4872" max="4872" width="20.5546875" style="305" bestFit="1" customWidth="1"/>
    <col min="4873" max="4873" width="3.44140625" style="305" customWidth="1"/>
    <col min="4874" max="4874" width="3.6640625" style="305" customWidth="1"/>
    <col min="4875" max="4875" width="5.44140625" style="305" bestFit="1" customWidth="1"/>
    <col min="4876" max="4876" width="9.33203125" style="305" bestFit="1" customWidth="1"/>
    <col min="4877" max="4877" width="7.6640625" style="305" customWidth="1"/>
    <col min="4878" max="4878" width="9.109375" style="305" customWidth="1"/>
    <col min="4879" max="4880" width="10.5546875" style="305" bestFit="1" customWidth="1"/>
    <col min="4881" max="4881" width="5.33203125" style="305" bestFit="1" customWidth="1"/>
    <col min="4882" max="4883" width="11.33203125" style="305" bestFit="1" customWidth="1"/>
    <col min="4884" max="4884" width="12.88671875" style="305" bestFit="1" customWidth="1"/>
    <col min="4885" max="4885" width="10.5546875" style="305" bestFit="1" customWidth="1"/>
    <col min="4886" max="4889" width="8.88671875" style="305"/>
    <col min="4890" max="4890" width="15.109375" style="305" bestFit="1" customWidth="1"/>
    <col min="4891" max="4892" width="11.5546875" style="305" bestFit="1" customWidth="1"/>
    <col min="4893" max="5126" width="8.88671875" style="305"/>
    <col min="5127" max="5127" width="7" style="305" bestFit="1" customWidth="1"/>
    <col min="5128" max="5128" width="20.5546875" style="305" bestFit="1" customWidth="1"/>
    <col min="5129" max="5129" width="3.44140625" style="305" customWidth="1"/>
    <col min="5130" max="5130" width="3.6640625" style="305" customWidth="1"/>
    <col min="5131" max="5131" width="5.44140625" style="305" bestFit="1" customWidth="1"/>
    <col min="5132" max="5132" width="9.33203125" style="305" bestFit="1" customWidth="1"/>
    <col min="5133" max="5133" width="7.6640625" style="305" customWidth="1"/>
    <col min="5134" max="5134" width="9.109375" style="305" customWidth="1"/>
    <col min="5135" max="5136" width="10.5546875" style="305" bestFit="1" customWidth="1"/>
    <col min="5137" max="5137" width="5.33203125" style="305" bestFit="1" customWidth="1"/>
    <col min="5138" max="5139" width="11.33203125" style="305" bestFit="1" customWidth="1"/>
    <col min="5140" max="5140" width="12.88671875" style="305" bestFit="1" customWidth="1"/>
    <col min="5141" max="5141" width="10.5546875" style="305" bestFit="1" customWidth="1"/>
    <col min="5142" max="5145" width="8.88671875" style="305"/>
    <col min="5146" max="5146" width="15.109375" style="305" bestFit="1" customWidth="1"/>
    <col min="5147" max="5148" width="11.5546875" style="305" bestFit="1" customWidth="1"/>
    <col min="5149" max="5382" width="8.88671875" style="305"/>
    <col min="5383" max="5383" width="7" style="305" bestFit="1" customWidth="1"/>
    <col min="5384" max="5384" width="20.5546875" style="305" bestFit="1" customWidth="1"/>
    <col min="5385" max="5385" width="3.44140625" style="305" customWidth="1"/>
    <col min="5386" max="5386" width="3.6640625" style="305" customWidth="1"/>
    <col min="5387" max="5387" width="5.44140625" style="305" bestFit="1" customWidth="1"/>
    <col min="5388" max="5388" width="9.33203125" style="305" bestFit="1" customWidth="1"/>
    <col min="5389" max="5389" width="7.6640625" style="305" customWidth="1"/>
    <col min="5390" max="5390" width="9.109375" style="305" customWidth="1"/>
    <col min="5391" max="5392" width="10.5546875" style="305" bestFit="1" customWidth="1"/>
    <col min="5393" max="5393" width="5.33203125" style="305" bestFit="1" customWidth="1"/>
    <col min="5394" max="5395" width="11.33203125" style="305" bestFit="1" customWidth="1"/>
    <col min="5396" max="5396" width="12.88671875" style="305" bestFit="1" customWidth="1"/>
    <col min="5397" max="5397" width="10.5546875" style="305" bestFit="1" customWidth="1"/>
    <col min="5398" max="5401" width="8.88671875" style="305"/>
    <col min="5402" max="5402" width="15.109375" style="305" bestFit="1" customWidth="1"/>
    <col min="5403" max="5404" width="11.5546875" style="305" bestFit="1" customWidth="1"/>
    <col min="5405" max="5638" width="8.88671875" style="305"/>
    <col min="5639" max="5639" width="7" style="305" bestFit="1" customWidth="1"/>
    <col min="5640" max="5640" width="20.5546875" style="305" bestFit="1" customWidth="1"/>
    <col min="5641" max="5641" width="3.44140625" style="305" customWidth="1"/>
    <col min="5642" max="5642" width="3.6640625" style="305" customWidth="1"/>
    <col min="5643" max="5643" width="5.44140625" style="305" bestFit="1" customWidth="1"/>
    <col min="5644" max="5644" width="9.33203125" style="305" bestFit="1" customWidth="1"/>
    <col min="5645" max="5645" width="7.6640625" style="305" customWidth="1"/>
    <col min="5646" max="5646" width="9.109375" style="305" customWidth="1"/>
    <col min="5647" max="5648" width="10.5546875" style="305" bestFit="1" customWidth="1"/>
    <col min="5649" max="5649" width="5.33203125" style="305" bestFit="1" customWidth="1"/>
    <col min="5650" max="5651" width="11.33203125" style="305" bestFit="1" customWidth="1"/>
    <col min="5652" max="5652" width="12.88671875" style="305" bestFit="1" customWidth="1"/>
    <col min="5653" max="5653" width="10.5546875" style="305" bestFit="1" customWidth="1"/>
    <col min="5654" max="5657" width="8.88671875" style="305"/>
    <col min="5658" max="5658" width="15.109375" style="305" bestFit="1" customWidth="1"/>
    <col min="5659" max="5660" width="11.5546875" style="305" bestFit="1" customWidth="1"/>
    <col min="5661" max="5894" width="8.88671875" style="305"/>
    <col min="5895" max="5895" width="7" style="305" bestFit="1" customWidth="1"/>
    <col min="5896" max="5896" width="20.5546875" style="305" bestFit="1" customWidth="1"/>
    <col min="5897" max="5897" width="3.44140625" style="305" customWidth="1"/>
    <col min="5898" max="5898" width="3.6640625" style="305" customWidth="1"/>
    <col min="5899" max="5899" width="5.44140625" style="305" bestFit="1" customWidth="1"/>
    <col min="5900" max="5900" width="9.33203125" style="305" bestFit="1" customWidth="1"/>
    <col min="5901" max="5901" width="7.6640625" style="305" customWidth="1"/>
    <col min="5902" max="5902" width="9.109375" style="305" customWidth="1"/>
    <col min="5903" max="5904" width="10.5546875" style="305" bestFit="1" customWidth="1"/>
    <col min="5905" max="5905" width="5.33203125" style="305" bestFit="1" customWidth="1"/>
    <col min="5906" max="5907" width="11.33203125" style="305" bestFit="1" customWidth="1"/>
    <col min="5908" max="5908" width="12.88671875" style="305" bestFit="1" customWidth="1"/>
    <col min="5909" max="5909" width="10.5546875" style="305" bestFit="1" customWidth="1"/>
    <col min="5910" max="5913" width="8.88671875" style="305"/>
    <col min="5914" max="5914" width="15.109375" style="305" bestFit="1" customWidth="1"/>
    <col min="5915" max="5916" width="11.5546875" style="305" bestFit="1" customWidth="1"/>
    <col min="5917" max="6150" width="8.88671875" style="305"/>
    <col min="6151" max="6151" width="7" style="305" bestFit="1" customWidth="1"/>
    <col min="6152" max="6152" width="20.5546875" style="305" bestFit="1" customWidth="1"/>
    <col min="6153" max="6153" width="3.44140625" style="305" customWidth="1"/>
    <col min="6154" max="6154" width="3.6640625" style="305" customWidth="1"/>
    <col min="6155" max="6155" width="5.44140625" style="305" bestFit="1" customWidth="1"/>
    <col min="6156" max="6156" width="9.33203125" style="305" bestFit="1" customWidth="1"/>
    <col min="6157" max="6157" width="7.6640625" style="305" customWidth="1"/>
    <col min="6158" max="6158" width="9.109375" style="305" customWidth="1"/>
    <col min="6159" max="6160" width="10.5546875" style="305" bestFit="1" customWidth="1"/>
    <col min="6161" max="6161" width="5.33203125" style="305" bestFit="1" customWidth="1"/>
    <col min="6162" max="6163" width="11.33203125" style="305" bestFit="1" customWidth="1"/>
    <col min="6164" max="6164" width="12.88671875" style="305" bestFit="1" customWidth="1"/>
    <col min="6165" max="6165" width="10.5546875" style="305" bestFit="1" customWidth="1"/>
    <col min="6166" max="6169" width="8.88671875" style="305"/>
    <col min="6170" max="6170" width="15.109375" style="305" bestFit="1" customWidth="1"/>
    <col min="6171" max="6172" width="11.5546875" style="305" bestFit="1" customWidth="1"/>
    <col min="6173" max="6406" width="8.88671875" style="305"/>
    <col min="6407" max="6407" width="7" style="305" bestFit="1" customWidth="1"/>
    <col min="6408" max="6408" width="20.5546875" style="305" bestFit="1" customWidth="1"/>
    <col min="6409" max="6409" width="3.44140625" style="305" customWidth="1"/>
    <col min="6410" max="6410" width="3.6640625" style="305" customWidth="1"/>
    <col min="6411" max="6411" width="5.44140625" style="305" bestFit="1" customWidth="1"/>
    <col min="6412" max="6412" width="9.33203125" style="305" bestFit="1" customWidth="1"/>
    <col min="6413" max="6413" width="7.6640625" style="305" customWidth="1"/>
    <col min="6414" max="6414" width="9.109375" style="305" customWidth="1"/>
    <col min="6415" max="6416" width="10.5546875" style="305" bestFit="1" customWidth="1"/>
    <col min="6417" max="6417" width="5.33203125" style="305" bestFit="1" customWidth="1"/>
    <col min="6418" max="6419" width="11.33203125" style="305" bestFit="1" customWidth="1"/>
    <col min="6420" max="6420" width="12.88671875" style="305" bestFit="1" customWidth="1"/>
    <col min="6421" max="6421" width="10.5546875" style="305" bestFit="1" customWidth="1"/>
    <col min="6422" max="6425" width="8.88671875" style="305"/>
    <col min="6426" max="6426" width="15.109375" style="305" bestFit="1" customWidth="1"/>
    <col min="6427" max="6428" width="11.5546875" style="305" bestFit="1" customWidth="1"/>
    <col min="6429" max="6662" width="8.88671875" style="305"/>
    <col min="6663" max="6663" width="7" style="305" bestFit="1" customWidth="1"/>
    <col min="6664" max="6664" width="20.5546875" style="305" bestFit="1" customWidth="1"/>
    <col min="6665" max="6665" width="3.44140625" style="305" customWidth="1"/>
    <col min="6666" max="6666" width="3.6640625" style="305" customWidth="1"/>
    <col min="6667" max="6667" width="5.44140625" style="305" bestFit="1" customWidth="1"/>
    <col min="6668" max="6668" width="9.33203125" style="305" bestFit="1" customWidth="1"/>
    <col min="6669" max="6669" width="7.6640625" style="305" customWidth="1"/>
    <col min="6670" max="6670" width="9.109375" style="305" customWidth="1"/>
    <col min="6671" max="6672" width="10.5546875" style="305" bestFit="1" customWidth="1"/>
    <col min="6673" max="6673" width="5.33203125" style="305" bestFit="1" customWidth="1"/>
    <col min="6674" max="6675" width="11.33203125" style="305" bestFit="1" customWidth="1"/>
    <col min="6676" max="6676" width="12.88671875" style="305" bestFit="1" customWidth="1"/>
    <col min="6677" max="6677" width="10.5546875" style="305" bestFit="1" customWidth="1"/>
    <col min="6678" max="6681" width="8.88671875" style="305"/>
    <col min="6682" max="6682" width="15.109375" style="305" bestFit="1" customWidth="1"/>
    <col min="6683" max="6684" width="11.5546875" style="305" bestFit="1" customWidth="1"/>
    <col min="6685" max="6918" width="8.88671875" style="305"/>
    <col min="6919" max="6919" width="7" style="305" bestFit="1" customWidth="1"/>
    <col min="6920" max="6920" width="20.5546875" style="305" bestFit="1" customWidth="1"/>
    <col min="6921" max="6921" width="3.44140625" style="305" customWidth="1"/>
    <col min="6922" max="6922" width="3.6640625" style="305" customWidth="1"/>
    <col min="6923" max="6923" width="5.44140625" style="305" bestFit="1" customWidth="1"/>
    <col min="6924" max="6924" width="9.33203125" style="305" bestFit="1" customWidth="1"/>
    <col min="6925" max="6925" width="7.6640625" style="305" customWidth="1"/>
    <col min="6926" max="6926" width="9.109375" style="305" customWidth="1"/>
    <col min="6927" max="6928" width="10.5546875" style="305" bestFit="1" customWidth="1"/>
    <col min="6929" max="6929" width="5.33203125" style="305" bestFit="1" customWidth="1"/>
    <col min="6930" max="6931" width="11.33203125" style="305" bestFit="1" customWidth="1"/>
    <col min="6932" max="6932" width="12.88671875" style="305" bestFit="1" customWidth="1"/>
    <col min="6933" max="6933" width="10.5546875" style="305" bestFit="1" customWidth="1"/>
    <col min="6934" max="6937" width="8.88671875" style="305"/>
    <col min="6938" max="6938" width="15.109375" style="305" bestFit="1" customWidth="1"/>
    <col min="6939" max="6940" width="11.5546875" style="305" bestFit="1" customWidth="1"/>
    <col min="6941" max="7174" width="8.88671875" style="305"/>
    <col min="7175" max="7175" width="7" style="305" bestFit="1" customWidth="1"/>
    <col min="7176" max="7176" width="20.5546875" style="305" bestFit="1" customWidth="1"/>
    <col min="7177" max="7177" width="3.44140625" style="305" customWidth="1"/>
    <col min="7178" max="7178" width="3.6640625" style="305" customWidth="1"/>
    <col min="7179" max="7179" width="5.44140625" style="305" bestFit="1" customWidth="1"/>
    <col min="7180" max="7180" width="9.33203125" style="305" bestFit="1" customWidth="1"/>
    <col min="7181" max="7181" width="7.6640625" style="305" customWidth="1"/>
    <col min="7182" max="7182" width="9.109375" style="305" customWidth="1"/>
    <col min="7183" max="7184" width="10.5546875" style="305" bestFit="1" customWidth="1"/>
    <col min="7185" max="7185" width="5.33203125" style="305" bestFit="1" customWidth="1"/>
    <col min="7186" max="7187" width="11.33203125" style="305" bestFit="1" customWidth="1"/>
    <col min="7188" max="7188" width="12.88671875" style="305" bestFit="1" customWidth="1"/>
    <col min="7189" max="7189" width="10.5546875" style="305" bestFit="1" customWidth="1"/>
    <col min="7190" max="7193" width="8.88671875" style="305"/>
    <col min="7194" max="7194" width="15.109375" style="305" bestFit="1" customWidth="1"/>
    <col min="7195" max="7196" width="11.5546875" style="305" bestFit="1" customWidth="1"/>
    <col min="7197" max="7430" width="8.88671875" style="305"/>
    <col min="7431" max="7431" width="7" style="305" bestFit="1" customWidth="1"/>
    <col min="7432" max="7432" width="20.5546875" style="305" bestFit="1" customWidth="1"/>
    <col min="7433" max="7433" width="3.44140625" style="305" customWidth="1"/>
    <col min="7434" max="7434" width="3.6640625" style="305" customWidth="1"/>
    <col min="7435" max="7435" width="5.44140625" style="305" bestFit="1" customWidth="1"/>
    <col min="7436" max="7436" width="9.33203125" style="305" bestFit="1" customWidth="1"/>
    <col min="7437" max="7437" width="7.6640625" style="305" customWidth="1"/>
    <col min="7438" max="7438" width="9.109375" style="305" customWidth="1"/>
    <col min="7439" max="7440" width="10.5546875" style="305" bestFit="1" customWidth="1"/>
    <col min="7441" max="7441" width="5.33203125" style="305" bestFit="1" customWidth="1"/>
    <col min="7442" max="7443" width="11.33203125" style="305" bestFit="1" customWidth="1"/>
    <col min="7444" max="7444" width="12.88671875" style="305" bestFit="1" customWidth="1"/>
    <col min="7445" max="7445" width="10.5546875" style="305" bestFit="1" customWidth="1"/>
    <col min="7446" max="7449" width="8.88671875" style="305"/>
    <col min="7450" max="7450" width="15.109375" style="305" bestFit="1" customWidth="1"/>
    <col min="7451" max="7452" width="11.5546875" style="305" bestFit="1" customWidth="1"/>
    <col min="7453" max="7686" width="8.88671875" style="305"/>
    <col min="7687" max="7687" width="7" style="305" bestFit="1" customWidth="1"/>
    <col min="7688" max="7688" width="20.5546875" style="305" bestFit="1" customWidth="1"/>
    <col min="7689" max="7689" width="3.44140625" style="305" customWidth="1"/>
    <col min="7690" max="7690" width="3.6640625" style="305" customWidth="1"/>
    <col min="7691" max="7691" width="5.44140625" style="305" bestFit="1" customWidth="1"/>
    <col min="7692" max="7692" width="9.33203125" style="305" bestFit="1" customWidth="1"/>
    <col min="7693" max="7693" width="7.6640625" style="305" customWidth="1"/>
    <col min="7694" max="7694" width="9.109375" style="305" customWidth="1"/>
    <col min="7695" max="7696" width="10.5546875" style="305" bestFit="1" customWidth="1"/>
    <col min="7697" max="7697" width="5.33203125" style="305" bestFit="1" customWidth="1"/>
    <col min="7698" max="7699" width="11.33203125" style="305" bestFit="1" customWidth="1"/>
    <col min="7700" max="7700" width="12.88671875" style="305" bestFit="1" customWidth="1"/>
    <col min="7701" max="7701" width="10.5546875" style="305" bestFit="1" customWidth="1"/>
    <col min="7702" max="7705" width="8.88671875" style="305"/>
    <col min="7706" max="7706" width="15.109375" style="305" bestFit="1" customWidth="1"/>
    <col min="7707" max="7708" width="11.5546875" style="305" bestFit="1" customWidth="1"/>
    <col min="7709" max="7942" width="8.88671875" style="305"/>
    <col min="7943" max="7943" width="7" style="305" bestFit="1" customWidth="1"/>
    <col min="7944" max="7944" width="20.5546875" style="305" bestFit="1" customWidth="1"/>
    <col min="7945" max="7945" width="3.44140625" style="305" customWidth="1"/>
    <col min="7946" max="7946" width="3.6640625" style="305" customWidth="1"/>
    <col min="7947" max="7947" width="5.44140625" style="305" bestFit="1" customWidth="1"/>
    <col min="7948" max="7948" width="9.33203125" style="305" bestFit="1" customWidth="1"/>
    <col min="7949" max="7949" width="7.6640625" style="305" customWidth="1"/>
    <col min="7950" max="7950" width="9.109375" style="305" customWidth="1"/>
    <col min="7951" max="7952" width="10.5546875" style="305" bestFit="1" customWidth="1"/>
    <col min="7953" max="7953" width="5.33203125" style="305" bestFit="1" customWidth="1"/>
    <col min="7954" max="7955" width="11.33203125" style="305" bestFit="1" customWidth="1"/>
    <col min="7956" max="7956" width="12.88671875" style="305" bestFit="1" customWidth="1"/>
    <col min="7957" max="7957" width="10.5546875" style="305" bestFit="1" customWidth="1"/>
    <col min="7958" max="7961" width="8.88671875" style="305"/>
    <col min="7962" max="7962" width="15.109375" style="305" bestFit="1" customWidth="1"/>
    <col min="7963" max="7964" width="11.5546875" style="305" bestFit="1" customWidth="1"/>
    <col min="7965" max="8198" width="8.88671875" style="305"/>
    <col min="8199" max="8199" width="7" style="305" bestFit="1" customWidth="1"/>
    <col min="8200" max="8200" width="20.5546875" style="305" bestFit="1" customWidth="1"/>
    <col min="8201" max="8201" width="3.44140625" style="305" customWidth="1"/>
    <col min="8202" max="8202" width="3.6640625" style="305" customWidth="1"/>
    <col min="8203" max="8203" width="5.44140625" style="305" bestFit="1" customWidth="1"/>
    <col min="8204" max="8204" width="9.33203125" style="305" bestFit="1" customWidth="1"/>
    <col min="8205" max="8205" width="7.6640625" style="305" customWidth="1"/>
    <col min="8206" max="8206" width="9.109375" style="305" customWidth="1"/>
    <col min="8207" max="8208" width="10.5546875" style="305" bestFit="1" customWidth="1"/>
    <col min="8209" max="8209" width="5.33203125" style="305" bestFit="1" customWidth="1"/>
    <col min="8210" max="8211" width="11.33203125" style="305" bestFit="1" customWidth="1"/>
    <col min="8212" max="8212" width="12.88671875" style="305" bestFit="1" customWidth="1"/>
    <col min="8213" max="8213" width="10.5546875" style="305" bestFit="1" customWidth="1"/>
    <col min="8214" max="8217" width="8.88671875" style="305"/>
    <col min="8218" max="8218" width="15.109375" style="305" bestFit="1" customWidth="1"/>
    <col min="8219" max="8220" width="11.5546875" style="305" bestFit="1" customWidth="1"/>
    <col min="8221" max="8454" width="8.88671875" style="305"/>
    <col min="8455" max="8455" width="7" style="305" bestFit="1" customWidth="1"/>
    <col min="8456" max="8456" width="20.5546875" style="305" bestFit="1" customWidth="1"/>
    <col min="8457" max="8457" width="3.44140625" style="305" customWidth="1"/>
    <col min="8458" max="8458" width="3.6640625" style="305" customWidth="1"/>
    <col min="8459" max="8459" width="5.44140625" style="305" bestFit="1" customWidth="1"/>
    <col min="8460" max="8460" width="9.33203125" style="305" bestFit="1" customWidth="1"/>
    <col min="8461" max="8461" width="7.6640625" style="305" customWidth="1"/>
    <col min="8462" max="8462" width="9.109375" style="305" customWidth="1"/>
    <col min="8463" max="8464" width="10.5546875" style="305" bestFit="1" customWidth="1"/>
    <col min="8465" max="8465" width="5.33203125" style="305" bestFit="1" customWidth="1"/>
    <col min="8466" max="8467" width="11.33203125" style="305" bestFit="1" customWidth="1"/>
    <col min="8468" max="8468" width="12.88671875" style="305" bestFit="1" customWidth="1"/>
    <col min="8469" max="8469" width="10.5546875" style="305" bestFit="1" customWidth="1"/>
    <col min="8470" max="8473" width="8.88671875" style="305"/>
    <col min="8474" max="8474" width="15.109375" style="305" bestFit="1" customWidth="1"/>
    <col min="8475" max="8476" width="11.5546875" style="305" bestFit="1" customWidth="1"/>
    <col min="8477" max="8710" width="8.88671875" style="305"/>
    <col min="8711" max="8711" width="7" style="305" bestFit="1" customWidth="1"/>
    <col min="8712" max="8712" width="20.5546875" style="305" bestFit="1" customWidth="1"/>
    <col min="8713" max="8713" width="3.44140625" style="305" customWidth="1"/>
    <col min="8714" max="8714" width="3.6640625" style="305" customWidth="1"/>
    <col min="8715" max="8715" width="5.44140625" style="305" bestFit="1" customWidth="1"/>
    <col min="8716" max="8716" width="9.33203125" style="305" bestFit="1" customWidth="1"/>
    <col min="8717" max="8717" width="7.6640625" style="305" customWidth="1"/>
    <col min="8718" max="8718" width="9.109375" style="305" customWidth="1"/>
    <col min="8719" max="8720" width="10.5546875" style="305" bestFit="1" customWidth="1"/>
    <col min="8721" max="8721" width="5.33203125" style="305" bestFit="1" customWidth="1"/>
    <col min="8722" max="8723" width="11.33203125" style="305" bestFit="1" customWidth="1"/>
    <col min="8724" max="8724" width="12.88671875" style="305" bestFit="1" customWidth="1"/>
    <col min="8725" max="8725" width="10.5546875" style="305" bestFit="1" customWidth="1"/>
    <col min="8726" max="8729" width="8.88671875" style="305"/>
    <col min="8730" max="8730" width="15.109375" style="305" bestFit="1" customWidth="1"/>
    <col min="8731" max="8732" width="11.5546875" style="305" bestFit="1" customWidth="1"/>
    <col min="8733" max="8966" width="8.88671875" style="305"/>
    <col min="8967" max="8967" width="7" style="305" bestFit="1" customWidth="1"/>
    <col min="8968" max="8968" width="20.5546875" style="305" bestFit="1" customWidth="1"/>
    <col min="8969" max="8969" width="3.44140625" style="305" customWidth="1"/>
    <col min="8970" max="8970" width="3.6640625" style="305" customWidth="1"/>
    <col min="8971" max="8971" width="5.44140625" style="305" bestFit="1" customWidth="1"/>
    <col min="8972" max="8972" width="9.33203125" style="305" bestFit="1" customWidth="1"/>
    <col min="8973" max="8973" width="7.6640625" style="305" customWidth="1"/>
    <col min="8974" max="8974" width="9.109375" style="305" customWidth="1"/>
    <col min="8975" max="8976" width="10.5546875" style="305" bestFit="1" customWidth="1"/>
    <col min="8977" max="8977" width="5.33203125" style="305" bestFit="1" customWidth="1"/>
    <col min="8978" max="8979" width="11.33203125" style="305" bestFit="1" customWidth="1"/>
    <col min="8980" max="8980" width="12.88671875" style="305" bestFit="1" customWidth="1"/>
    <col min="8981" max="8981" width="10.5546875" style="305" bestFit="1" customWidth="1"/>
    <col min="8982" max="8985" width="8.88671875" style="305"/>
    <col min="8986" max="8986" width="15.109375" style="305" bestFit="1" customWidth="1"/>
    <col min="8987" max="8988" width="11.5546875" style="305" bestFit="1" customWidth="1"/>
    <col min="8989" max="9222" width="8.88671875" style="305"/>
    <col min="9223" max="9223" width="7" style="305" bestFit="1" customWidth="1"/>
    <col min="9224" max="9224" width="20.5546875" style="305" bestFit="1" customWidth="1"/>
    <col min="9225" max="9225" width="3.44140625" style="305" customWidth="1"/>
    <col min="9226" max="9226" width="3.6640625" style="305" customWidth="1"/>
    <col min="9227" max="9227" width="5.44140625" style="305" bestFit="1" customWidth="1"/>
    <col min="9228" max="9228" width="9.33203125" style="305" bestFit="1" customWidth="1"/>
    <col min="9229" max="9229" width="7.6640625" style="305" customWidth="1"/>
    <col min="9230" max="9230" width="9.109375" style="305" customWidth="1"/>
    <col min="9231" max="9232" width="10.5546875" style="305" bestFit="1" customWidth="1"/>
    <col min="9233" max="9233" width="5.33203125" style="305" bestFit="1" customWidth="1"/>
    <col min="9234" max="9235" width="11.33203125" style="305" bestFit="1" customWidth="1"/>
    <col min="9236" max="9236" width="12.88671875" style="305" bestFit="1" customWidth="1"/>
    <col min="9237" max="9237" width="10.5546875" style="305" bestFit="1" customWidth="1"/>
    <col min="9238" max="9241" width="8.88671875" style="305"/>
    <col min="9242" max="9242" width="15.109375" style="305" bestFit="1" customWidth="1"/>
    <col min="9243" max="9244" width="11.5546875" style="305" bestFit="1" customWidth="1"/>
    <col min="9245" max="9478" width="8.88671875" style="305"/>
    <col min="9479" max="9479" width="7" style="305" bestFit="1" customWidth="1"/>
    <col min="9480" max="9480" width="20.5546875" style="305" bestFit="1" customWidth="1"/>
    <col min="9481" max="9481" width="3.44140625" style="305" customWidth="1"/>
    <col min="9482" max="9482" width="3.6640625" style="305" customWidth="1"/>
    <col min="9483" max="9483" width="5.44140625" style="305" bestFit="1" customWidth="1"/>
    <col min="9484" max="9484" width="9.33203125" style="305" bestFit="1" customWidth="1"/>
    <col min="9485" max="9485" width="7.6640625" style="305" customWidth="1"/>
    <col min="9486" max="9486" width="9.109375" style="305" customWidth="1"/>
    <col min="9487" max="9488" width="10.5546875" style="305" bestFit="1" customWidth="1"/>
    <col min="9489" max="9489" width="5.33203125" style="305" bestFit="1" customWidth="1"/>
    <col min="9490" max="9491" width="11.33203125" style="305" bestFit="1" customWidth="1"/>
    <col min="9492" max="9492" width="12.88671875" style="305" bestFit="1" customWidth="1"/>
    <col min="9493" max="9493" width="10.5546875" style="305" bestFit="1" customWidth="1"/>
    <col min="9494" max="9497" width="8.88671875" style="305"/>
    <col min="9498" max="9498" width="15.109375" style="305" bestFit="1" customWidth="1"/>
    <col min="9499" max="9500" width="11.5546875" style="305" bestFit="1" customWidth="1"/>
    <col min="9501" max="9734" width="8.88671875" style="305"/>
    <col min="9735" max="9735" width="7" style="305" bestFit="1" customWidth="1"/>
    <col min="9736" max="9736" width="20.5546875" style="305" bestFit="1" customWidth="1"/>
    <col min="9737" max="9737" width="3.44140625" style="305" customWidth="1"/>
    <col min="9738" max="9738" width="3.6640625" style="305" customWidth="1"/>
    <col min="9739" max="9739" width="5.44140625" style="305" bestFit="1" customWidth="1"/>
    <col min="9740" max="9740" width="9.33203125" style="305" bestFit="1" customWidth="1"/>
    <col min="9741" max="9741" width="7.6640625" style="305" customWidth="1"/>
    <col min="9742" max="9742" width="9.109375" style="305" customWidth="1"/>
    <col min="9743" max="9744" width="10.5546875" style="305" bestFit="1" customWidth="1"/>
    <col min="9745" max="9745" width="5.33203125" style="305" bestFit="1" customWidth="1"/>
    <col min="9746" max="9747" width="11.33203125" style="305" bestFit="1" customWidth="1"/>
    <col min="9748" max="9748" width="12.88671875" style="305" bestFit="1" customWidth="1"/>
    <col min="9749" max="9749" width="10.5546875" style="305" bestFit="1" customWidth="1"/>
    <col min="9750" max="9753" width="8.88671875" style="305"/>
    <col min="9754" max="9754" width="15.109375" style="305" bestFit="1" customWidth="1"/>
    <col min="9755" max="9756" width="11.5546875" style="305" bestFit="1" customWidth="1"/>
    <col min="9757" max="9990" width="8.88671875" style="305"/>
    <col min="9991" max="9991" width="7" style="305" bestFit="1" customWidth="1"/>
    <col min="9992" max="9992" width="20.5546875" style="305" bestFit="1" customWidth="1"/>
    <col min="9993" max="9993" width="3.44140625" style="305" customWidth="1"/>
    <col min="9994" max="9994" width="3.6640625" style="305" customWidth="1"/>
    <col min="9995" max="9995" width="5.44140625" style="305" bestFit="1" customWidth="1"/>
    <col min="9996" max="9996" width="9.33203125" style="305" bestFit="1" customWidth="1"/>
    <col min="9997" max="9997" width="7.6640625" style="305" customWidth="1"/>
    <col min="9998" max="9998" width="9.109375" style="305" customWidth="1"/>
    <col min="9999" max="10000" width="10.5546875" style="305" bestFit="1" customWidth="1"/>
    <col min="10001" max="10001" width="5.33203125" style="305" bestFit="1" customWidth="1"/>
    <col min="10002" max="10003" width="11.33203125" style="305" bestFit="1" customWidth="1"/>
    <col min="10004" max="10004" width="12.88671875" style="305" bestFit="1" customWidth="1"/>
    <col min="10005" max="10005" width="10.5546875" style="305" bestFit="1" customWidth="1"/>
    <col min="10006" max="10009" width="8.88671875" style="305"/>
    <col min="10010" max="10010" width="15.109375" style="305" bestFit="1" customWidth="1"/>
    <col min="10011" max="10012" width="11.5546875" style="305" bestFit="1" customWidth="1"/>
    <col min="10013" max="10246" width="8.88671875" style="305"/>
    <col min="10247" max="10247" width="7" style="305" bestFit="1" customWidth="1"/>
    <col min="10248" max="10248" width="20.5546875" style="305" bestFit="1" customWidth="1"/>
    <col min="10249" max="10249" width="3.44140625" style="305" customWidth="1"/>
    <col min="10250" max="10250" width="3.6640625" style="305" customWidth="1"/>
    <col min="10251" max="10251" width="5.44140625" style="305" bestFit="1" customWidth="1"/>
    <col min="10252" max="10252" width="9.33203125" style="305" bestFit="1" customWidth="1"/>
    <col min="10253" max="10253" width="7.6640625" style="305" customWidth="1"/>
    <col min="10254" max="10254" width="9.109375" style="305" customWidth="1"/>
    <col min="10255" max="10256" width="10.5546875" style="305" bestFit="1" customWidth="1"/>
    <col min="10257" max="10257" width="5.33203125" style="305" bestFit="1" customWidth="1"/>
    <col min="10258" max="10259" width="11.33203125" style="305" bestFit="1" customWidth="1"/>
    <col min="10260" max="10260" width="12.88671875" style="305" bestFit="1" customWidth="1"/>
    <col min="10261" max="10261" width="10.5546875" style="305" bestFit="1" customWidth="1"/>
    <col min="10262" max="10265" width="8.88671875" style="305"/>
    <col min="10266" max="10266" width="15.109375" style="305" bestFit="1" customWidth="1"/>
    <col min="10267" max="10268" width="11.5546875" style="305" bestFit="1" customWidth="1"/>
    <col min="10269" max="10502" width="8.88671875" style="305"/>
    <col min="10503" max="10503" width="7" style="305" bestFit="1" customWidth="1"/>
    <col min="10504" max="10504" width="20.5546875" style="305" bestFit="1" customWidth="1"/>
    <col min="10505" max="10505" width="3.44140625" style="305" customWidth="1"/>
    <col min="10506" max="10506" width="3.6640625" style="305" customWidth="1"/>
    <col min="10507" max="10507" width="5.44140625" style="305" bestFit="1" customWidth="1"/>
    <col min="10508" max="10508" width="9.33203125" style="305" bestFit="1" customWidth="1"/>
    <col min="10509" max="10509" width="7.6640625" style="305" customWidth="1"/>
    <col min="10510" max="10510" width="9.109375" style="305" customWidth="1"/>
    <col min="10511" max="10512" width="10.5546875" style="305" bestFit="1" customWidth="1"/>
    <col min="10513" max="10513" width="5.33203125" style="305" bestFit="1" customWidth="1"/>
    <col min="10514" max="10515" width="11.33203125" style="305" bestFit="1" customWidth="1"/>
    <col min="10516" max="10516" width="12.88671875" style="305" bestFit="1" customWidth="1"/>
    <col min="10517" max="10517" width="10.5546875" style="305" bestFit="1" customWidth="1"/>
    <col min="10518" max="10521" width="8.88671875" style="305"/>
    <col min="10522" max="10522" width="15.109375" style="305" bestFit="1" customWidth="1"/>
    <col min="10523" max="10524" width="11.5546875" style="305" bestFit="1" customWidth="1"/>
    <col min="10525" max="10758" width="8.88671875" style="305"/>
    <col min="10759" max="10759" width="7" style="305" bestFit="1" customWidth="1"/>
    <col min="10760" max="10760" width="20.5546875" style="305" bestFit="1" customWidth="1"/>
    <col min="10761" max="10761" width="3.44140625" style="305" customWidth="1"/>
    <col min="10762" max="10762" width="3.6640625" style="305" customWidth="1"/>
    <col min="10763" max="10763" width="5.44140625" style="305" bestFit="1" customWidth="1"/>
    <col min="10764" max="10764" width="9.33203125" style="305" bestFit="1" customWidth="1"/>
    <col min="10765" max="10765" width="7.6640625" style="305" customWidth="1"/>
    <col min="10766" max="10766" width="9.109375" style="305" customWidth="1"/>
    <col min="10767" max="10768" width="10.5546875" style="305" bestFit="1" customWidth="1"/>
    <col min="10769" max="10769" width="5.33203125" style="305" bestFit="1" customWidth="1"/>
    <col min="10770" max="10771" width="11.33203125" style="305" bestFit="1" customWidth="1"/>
    <col min="10772" max="10772" width="12.88671875" style="305" bestFit="1" customWidth="1"/>
    <col min="10773" max="10773" width="10.5546875" style="305" bestFit="1" customWidth="1"/>
    <col min="10774" max="10777" width="8.88671875" style="305"/>
    <col min="10778" max="10778" width="15.109375" style="305" bestFit="1" customWidth="1"/>
    <col min="10779" max="10780" width="11.5546875" style="305" bestFit="1" customWidth="1"/>
    <col min="10781" max="11014" width="8.88671875" style="305"/>
    <col min="11015" max="11015" width="7" style="305" bestFit="1" customWidth="1"/>
    <col min="11016" max="11016" width="20.5546875" style="305" bestFit="1" customWidth="1"/>
    <col min="11017" max="11017" width="3.44140625" style="305" customWidth="1"/>
    <col min="11018" max="11018" width="3.6640625" style="305" customWidth="1"/>
    <col min="11019" max="11019" width="5.44140625" style="305" bestFit="1" customWidth="1"/>
    <col min="11020" max="11020" width="9.33203125" style="305" bestFit="1" customWidth="1"/>
    <col min="11021" max="11021" width="7.6640625" style="305" customWidth="1"/>
    <col min="11022" max="11022" width="9.109375" style="305" customWidth="1"/>
    <col min="11023" max="11024" width="10.5546875" style="305" bestFit="1" customWidth="1"/>
    <col min="11025" max="11025" width="5.33203125" style="305" bestFit="1" customWidth="1"/>
    <col min="11026" max="11027" width="11.33203125" style="305" bestFit="1" customWidth="1"/>
    <col min="11028" max="11028" width="12.88671875" style="305" bestFit="1" customWidth="1"/>
    <col min="11029" max="11029" width="10.5546875" style="305" bestFit="1" customWidth="1"/>
    <col min="11030" max="11033" width="8.88671875" style="305"/>
    <col min="11034" max="11034" width="15.109375" style="305" bestFit="1" customWidth="1"/>
    <col min="11035" max="11036" width="11.5546875" style="305" bestFit="1" customWidth="1"/>
    <col min="11037" max="11270" width="8.88671875" style="305"/>
    <col min="11271" max="11271" width="7" style="305" bestFit="1" customWidth="1"/>
    <col min="11272" max="11272" width="20.5546875" style="305" bestFit="1" customWidth="1"/>
    <col min="11273" max="11273" width="3.44140625" style="305" customWidth="1"/>
    <col min="11274" max="11274" width="3.6640625" style="305" customWidth="1"/>
    <col min="11275" max="11275" width="5.44140625" style="305" bestFit="1" customWidth="1"/>
    <col min="11276" max="11276" width="9.33203125" style="305" bestFit="1" customWidth="1"/>
    <col min="11277" max="11277" width="7.6640625" style="305" customWidth="1"/>
    <col min="11278" max="11278" width="9.109375" style="305" customWidth="1"/>
    <col min="11279" max="11280" width="10.5546875" style="305" bestFit="1" customWidth="1"/>
    <col min="11281" max="11281" width="5.33203125" style="305" bestFit="1" customWidth="1"/>
    <col min="11282" max="11283" width="11.33203125" style="305" bestFit="1" customWidth="1"/>
    <col min="11284" max="11284" width="12.88671875" style="305" bestFit="1" customWidth="1"/>
    <col min="11285" max="11285" width="10.5546875" style="305" bestFit="1" customWidth="1"/>
    <col min="11286" max="11289" width="8.88671875" style="305"/>
    <col min="11290" max="11290" width="15.109375" style="305" bestFit="1" customWidth="1"/>
    <col min="11291" max="11292" width="11.5546875" style="305" bestFit="1" customWidth="1"/>
    <col min="11293" max="11526" width="8.88671875" style="305"/>
    <col min="11527" max="11527" width="7" style="305" bestFit="1" customWidth="1"/>
    <col min="11528" max="11528" width="20.5546875" style="305" bestFit="1" customWidth="1"/>
    <col min="11529" max="11529" width="3.44140625" style="305" customWidth="1"/>
    <col min="11530" max="11530" width="3.6640625" style="305" customWidth="1"/>
    <col min="11531" max="11531" width="5.44140625" style="305" bestFit="1" customWidth="1"/>
    <col min="11532" max="11532" width="9.33203125" style="305" bestFit="1" customWidth="1"/>
    <col min="11533" max="11533" width="7.6640625" style="305" customWidth="1"/>
    <col min="11534" max="11534" width="9.109375" style="305" customWidth="1"/>
    <col min="11535" max="11536" width="10.5546875" style="305" bestFit="1" customWidth="1"/>
    <col min="11537" max="11537" width="5.33203125" style="305" bestFit="1" customWidth="1"/>
    <col min="11538" max="11539" width="11.33203125" style="305" bestFit="1" customWidth="1"/>
    <col min="11540" max="11540" width="12.88671875" style="305" bestFit="1" customWidth="1"/>
    <col min="11541" max="11541" width="10.5546875" style="305" bestFit="1" customWidth="1"/>
    <col min="11542" max="11545" width="8.88671875" style="305"/>
    <col min="11546" max="11546" width="15.109375" style="305" bestFit="1" customWidth="1"/>
    <col min="11547" max="11548" width="11.5546875" style="305" bestFit="1" customWidth="1"/>
    <col min="11549" max="11782" width="8.88671875" style="305"/>
    <col min="11783" max="11783" width="7" style="305" bestFit="1" customWidth="1"/>
    <col min="11784" max="11784" width="20.5546875" style="305" bestFit="1" customWidth="1"/>
    <col min="11785" max="11785" width="3.44140625" style="305" customWidth="1"/>
    <col min="11786" max="11786" width="3.6640625" style="305" customWidth="1"/>
    <col min="11787" max="11787" width="5.44140625" style="305" bestFit="1" customWidth="1"/>
    <col min="11788" max="11788" width="9.33203125" style="305" bestFit="1" customWidth="1"/>
    <col min="11789" max="11789" width="7.6640625" style="305" customWidth="1"/>
    <col min="11790" max="11790" width="9.109375" style="305" customWidth="1"/>
    <col min="11791" max="11792" width="10.5546875" style="305" bestFit="1" customWidth="1"/>
    <col min="11793" max="11793" width="5.33203125" style="305" bestFit="1" customWidth="1"/>
    <col min="11794" max="11795" width="11.33203125" style="305" bestFit="1" customWidth="1"/>
    <col min="11796" max="11796" width="12.88671875" style="305" bestFit="1" customWidth="1"/>
    <col min="11797" max="11797" width="10.5546875" style="305" bestFit="1" customWidth="1"/>
    <col min="11798" max="11801" width="8.88671875" style="305"/>
    <col min="11802" max="11802" width="15.109375" style="305" bestFit="1" customWidth="1"/>
    <col min="11803" max="11804" width="11.5546875" style="305" bestFit="1" customWidth="1"/>
    <col min="11805" max="12038" width="8.88671875" style="305"/>
    <col min="12039" max="12039" width="7" style="305" bestFit="1" customWidth="1"/>
    <col min="12040" max="12040" width="20.5546875" style="305" bestFit="1" customWidth="1"/>
    <col min="12041" max="12041" width="3.44140625" style="305" customWidth="1"/>
    <col min="12042" max="12042" width="3.6640625" style="305" customWidth="1"/>
    <col min="12043" max="12043" width="5.44140625" style="305" bestFit="1" customWidth="1"/>
    <col min="12044" max="12044" width="9.33203125" style="305" bestFit="1" customWidth="1"/>
    <col min="12045" max="12045" width="7.6640625" style="305" customWidth="1"/>
    <col min="12046" max="12046" width="9.109375" style="305" customWidth="1"/>
    <col min="12047" max="12048" width="10.5546875" style="305" bestFit="1" customWidth="1"/>
    <col min="12049" max="12049" width="5.33203125" style="305" bestFit="1" customWidth="1"/>
    <col min="12050" max="12051" width="11.33203125" style="305" bestFit="1" customWidth="1"/>
    <col min="12052" max="12052" width="12.88671875" style="305" bestFit="1" customWidth="1"/>
    <col min="12053" max="12053" width="10.5546875" style="305" bestFit="1" customWidth="1"/>
    <col min="12054" max="12057" width="8.88671875" style="305"/>
    <col min="12058" max="12058" width="15.109375" style="305" bestFit="1" customWidth="1"/>
    <col min="12059" max="12060" width="11.5546875" style="305" bestFit="1" customWidth="1"/>
    <col min="12061" max="12294" width="8.88671875" style="305"/>
    <col min="12295" max="12295" width="7" style="305" bestFit="1" customWidth="1"/>
    <col min="12296" max="12296" width="20.5546875" style="305" bestFit="1" customWidth="1"/>
    <col min="12297" max="12297" width="3.44140625" style="305" customWidth="1"/>
    <col min="12298" max="12298" width="3.6640625" style="305" customWidth="1"/>
    <col min="12299" max="12299" width="5.44140625" style="305" bestFit="1" customWidth="1"/>
    <col min="12300" max="12300" width="9.33203125" style="305" bestFit="1" customWidth="1"/>
    <col min="12301" max="12301" width="7.6640625" style="305" customWidth="1"/>
    <col min="12302" max="12302" width="9.109375" style="305" customWidth="1"/>
    <col min="12303" max="12304" width="10.5546875" style="305" bestFit="1" customWidth="1"/>
    <col min="12305" max="12305" width="5.33203125" style="305" bestFit="1" customWidth="1"/>
    <col min="12306" max="12307" width="11.33203125" style="305" bestFit="1" customWidth="1"/>
    <col min="12308" max="12308" width="12.88671875" style="305" bestFit="1" customWidth="1"/>
    <col min="12309" max="12309" width="10.5546875" style="305" bestFit="1" customWidth="1"/>
    <col min="12310" max="12313" width="8.88671875" style="305"/>
    <col min="12314" max="12314" width="15.109375" style="305" bestFit="1" customWidth="1"/>
    <col min="12315" max="12316" width="11.5546875" style="305" bestFit="1" customWidth="1"/>
    <col min="12317" max="12550" width="8.88671875" style="305"/>
    <col min="12551" max="12551" width="7" style="305" bestFit="1" customWidth="1"/>
    <col min="12552" max="12552" width="20.5546875" style="305" bestFit="1" customWidth="1"/>
    <col min="12553" max="12553" width="3.44140625" style="305" customWidth="1"/>
    <col min="12554" max="12554" width="3.6640625" style="305" customWidth="1"/>
    <col min="12555" max="12555" width="5.44140625" style="305" bestFit="1" customWidth="1"/>
    <col min="12556" max="12556" width="9.33203125" style="305" bestFit="1" customWidth="1"/>
    <col min="12557" max="12557" width="7.6640625" style="305" customWidth="1"/>
    <col min="12558" max="12558" width="9.109375" style="305" customWidth="1"/>
    <col min="12559" max="12560" width="10.5546875" style="305" bestFit="1" customWidth="1"/>
    <col min="12561" max="12561" width="5.33203125" style="305" bestFit="1" customWidth="1"/>
    <col min="12562" max="12563" width="11.33203125" style="305" bestFit="1" customWidth="1"/>
    <col min="12564" max="12564" width="12.88671875" style="305" bestFit="1" customWidth="1"/>
    <col min="12565" max="12565" width="10.5546875" style="305" bestFit="1" customWidth="1"/>
    <col min="12566" max="12569" width="8.88671875" style="305"/>
    <col min="12570" max="12570" width="15.109375" style="305" bestFit="1" customWidth="1"/>
    <col min="12571" max="12572" width="11.5546875" style="305" bestFit="1" customWidth="1"/>
    <col min="12573" max="12806" width="8.88671875" style="305"/>
    <col min="12807" max="12807" width="7" style="305" bestFit="1" customWidth="1"/>
    <col min="12808" max="12808" width="20.5546875" style="305" bestFit="1" customWidth="1"/>
    <col min="12809" max="12809" width="3.44140625" style="305" customWidth="1"/>
    <col min="12810" max="12810" width="3.6640625" style="305" customWidth="1"/>
    <col min="12811" max="12811" width="5.44140625" style="305" bestFit="1" customWidth="1"/>
    <col min="12812" max="12812" width="9.33203125" style="305" bestFit="1" customWidth="1"/>
    <col min="12813" max="12813" width="7.6640625" style="305" customWidth="1"/>
    <col min="12814" max="12814" width="9.109375" style="305" customWidth="1"/>
    <col min="12815" max="12816" width="10.5546875" style="305" bestFit="1" customWidth="1"/>
    <col min="12817" max="12817" width="5.33203125" style="305" bestFit="1" customWidth="1"/>
    <col min="12818" max="12819" width="11.33203125" style="305" bestFit="1" customWidth="1"/>
    <col min="12820" max="12820" width="12.88671875" style="305" bestFit="1" customWidth="1"/>
    <col min="12821" max="12821" width="10.5546875" style="305" bestFit="1" customWidth="1"/>
    <col min="12822" max="12825" width="8.88671875" style="305"/>
    <col min="12826" max="12826" width="15.109375" style="305" bestFit="1" customWidth="1"/>
    <col min="12827" max="12828" width="11.5546875" style="305" bestFit="1" customWidth="1"/>
    <col min="12829" max="13062" width="8.88671875" style="305"/>
    <col min="13063" max="13063" width="7" style="305" bestFit="1" customWidth="1"/>
    <col min="13064" max="13064" width="20.5546875" style="305" bestFit="1" customWidth="1"/>
    <col min="13065" max="13065" width="3.44140625" style="305" customWidth="1"/>
    <col min="13066" max="13066" width="3.6640625" style="305" customWidth="1"/>
    <col min="13067" max="13067" width="5.44140625" style="305" bestFit="1" customWidth="1"/>
    <col min="13068" max="13068" width="9.33203125" style="305" bestFit="1" customWidth="1"/>
    <col min="13069" max="13069" width="7.6640625" style="305" customWidth="1"/>
    <col min="13070" max="13070" width="9.109375" style="305" customWidth="1"/>
    <col min="13071" max="13072" width="10.5546875" style="305" bestFit="1" customWidth="1"/>
    <col min="13073" max="13073" width="5.33203125" style="305" bestFit="1" customWidth="1"/>
    <col min="13074" max="13075" width="11.33203125" style="305" bestFit="1" customWidth="1"/>
    <col min="13076" max="13076" width="12.88671875" style="305" bestFit="1" customWidth="1"/>
    <col min="13077" max="13077" width="10.5546875" style="305" bestFit="1" customWidth="1"/>
    <col min="13078" max="13081" width="8.88671875" style="305"/>
    <col min="13082" max="13082" width="15.109375" style="305" bestFit="1" customWidth="1"/>
    <col min="13083" max="13084" width="11.5546875" style="305" bestFit="1" customWidth="1"/>
    <col min="13085" max="13318" width="8.88671875" style="305"/>
    <col min="13319" max="13319" width="7" style="305" bestFit="1" customWidth="1"/>
    <col min="13320" max="13320" width="20.5546875" style="305" bestFit="1" customWidth="1"/>
    <col min="13321" max="13321" width="3.44140625" style="305" customWidth="1"/>
    <col min="13322" max="13322" width="3.6640625" style="305" customWidth="1"/>
    <col min="13323" max="13323" width="5.44140625" style="305" bestFit="1" customWidth="1"/>
    <col min="13324" max="13324" width="9.33203125" style="305" bestFit="1" customWidth="1"/>
    <col min="13325" max="13325" width="7.6640625" style="305" customWidth="1"/>
    <col min="13326" max="13326" width="9.109375" style="305" customWidth="1"/>
    <col min="13327" max="13328" width="10.5546875" style="305" bestFit="1" customWidth="1"/>
    <col min="13329" max="13329" width="5.33203125" style="305" bestFit="1" customWidth="1"/>
    <col min="13330" max="13331" width="11.33203125" style="305" bestFit="1" customWidth="1"/>
    <col min="13332" max="13332" width="12.88671875" style="305" bestFit="1" customWidth="1"/>
    <col min="13333" max="13333" width="10.5546875" style="305" bestFit="1" customWidth="1"/>
    <col min="13334" max="13337" width="8.88671875" style="305"/>
    <col min="13338" max="13338" width="15.109375" style="305" bestFit="1" customWidth="1"/>
    <col min="13339" max="13340" width="11.5546875" style="305" bestFit="1" customWidth="1"/>
    <col min="13341" max="13574" width="8.88671875" style="305"/>
    <col min="13575" max="13575" width="7" style="305" bestFit="1" customWidth="1"/>
    <col min="13576" max="13576" width="20.5546875" style="305" bestFit="1" customWidth="1"/>
    <col min="13577" max="13577" width="3.44140625" style="305" customWidth="1"/>
    <col min="13578" max="13578" width="3.6640625" style="305" customWidth="1"/>
    <col min="13579" max="13579" width="5.44140625" style="305" bestFit="1" customWidth="1"/>
    <col min="13580" max="13580" width="9.33203125" style="305" bestFit="1" customWidth="1"/>
    <col min="13581" max="13581" width="7.6640625" style="305" customWidth="1"/>
    <col min="13582" max="13582" width="9.109375" style="305" customWidth="1"/>
    <col min="13583" max="13584" width="10.5546875" style="305" bestFit="1" customWidth="1"/>
    <col min="13585" max="13585" width="5.33203125" style="305" bestFit="1" customWidth="1"/>
    <col min="13586" max="13587" width="11.33203125" style="305" bestFit="1" customWidth="1"/>
    <col min="13588" max="13588" width="12.88671875" style="305" bestFit="1" customWidth="1"/>
    <col min="13589" max="13589" width="10.5546875" style="305" bestFit="1" customWidth="1"/>
    <col min="13590" max="13593" width="8.88671875" style="305"/>
    <col min="13594" max="13594" width="15.109375" style="305" bestFit="1" customWidth="1"/>
    <col min="13595" max="13596" width="11.5546875" style="305" bestFit="1" customWidth="1"/>
    <col min="13597" max="13830" width="8.88671875" style="305"/>
    <col min="13831" max="13831" width="7" style="305" bestFit="1" customWidth="1"/>
    <col min="13832" max="13832" width="20.5546875" style="305" bestFit="1" customWidth="1"/>
    <col min="13833" max="13833" width="3.44140625" style="305" customWidth="1"/>
    <col min="13834" max="13834" width="3.6640625" style="305" customWidth="1"/>
    <col min="13835" max="13835" width="5.44140625" style="305" bestFit="1" customWidth="1"/>
    <col min="13836" max="13836" width="9.33203125" style="305" bestFit="1" customWidth="1"/>
    <col min="13837" max="13837" width="7.6640625" style="305" customWidth="1"/>
    <col min="13838" max="13838" width="9.109375" style="305" customWidth="1"/>
    <col min="13839" max="13840" width="10.5546875" style="305" bestFit="1" customWidth="1"/>
    <col min="13841" max="13841" width="5.33203125" style="305" bestFit="1" customWidth="1"/>
    <col min="13842" max="13843" width="11.33203125" style="305" bestFit="1" customWidth="1"/>
    <col min="13844" max="13844" width="12.88671875" style="305" bestFit="1" customWidth="1"/>
    <col min="13845" max="13845" width="10.5546875" style="305" bestFit="1" customWidth="1"/>
    <col min="13846" max="13849" width="8.88671875" style="305"/>
    <col min="13850" max="13850" width="15.109375" style="305" bestFit="1" customWidth="1"/>
    <col min="13851" max="13852" width="11.5546875" style="305" bestFit="1" customWidth="1"/>
    <col min="13853" max="14086" width="8.88671875" style="305"/>
    <col min="14087" max="14087" width="7" style="305" bestFit="1" customWidth="1"/>
    <col min="14088" max="14088" width="20.5546875" style="305" bestFit="1" customWidth="1"/>
    <col min="14089" max="14089" width="3.44140625" style="305" customWidth="1"/>
    <col min="14090" max="14090" width="3.6640625" style="305" customWidth="1"/>
    <col min="14091" max="14091" width="5.44140625" style="305" bestFit="1" customWidth="1"/>
    <col min="14092" max="14092" width="9.33203125" style="305" bestFit="1" customWidth="1"/>
    <col min="14093" max="14093" width="7.6640625" style="305" customWidth="1"/>
    <col min="14094" max="14094" width="9.109375" style="305" customWidth="1"/>
    <col min="14095" max="14096" width="10.5546875" style="305" bestFit="1" customWidth="1"/>
    <col min="14097" max="14097" width="5.33203125" style="305" bestFit="1" customWidth="1"/>
    <col min="14098" max="14099" width="11.33203125" style="305" bestFit="1" customWidth="1"/>
    <col min="14100" max="14100" width="12.88671875" style="305" bestFit="1" customWidth="1"/>
    <col min="14101" max="14101" width="10.5546875" style="305" bestFit="1" customWidth="1"/>
    <col min="14102" max="14105" width="8.88671875" style="305"/>
    <col min="14106" max="14106" width="15.109375" style="305" bestFit="1" customWidth="1"/>
    <col min="14107" max="14108" width="11.5546875" style="305" bestFit="1" customWidth="1"/>
    <col min="14109" max="14342" width="8.88671875" style="305"/>
    <col min="14343" max="14343" width="7" style="305" bestFit="1" customWidth="1"/>
    <col min="14344" max="14344" width="20.5546875" style="305" bestFit="1" customWidth="1"/>
    <col min="14345" max="14345" width="3.44140625" style="305" customWidth="1"/>
    <col min="14346" max="14346" width="3.6640625" style="305" customWidth="1"/>
    <col min="14347" max="14347" width="5.44140625" style="305" bestFit="1" customWidth="1"/>
    <col min="14348" max="14348" width="9.33203125" style="305" bestFit="1" customWidth="1"/>
    <col min="14349" max="14349" width="7.6640625" style="305" customWidth="1"/>
    <col min="14350" max="14350" width="9.109375" style="305" customWidth="1"/>
    <col min="14351" max="14352" width="10.5546875" style="305" bestFit="1" customWidth="1"/>
    <col min="14353" max="14353" width="5.33203125" style="305" bestFit="1" customWidth="1"/>
    <col min="14354" max="14355" width="11.33203125" style="305" bestFit="1" customWidth="1"/>
    <col min="14356" max="14356" width="12.88671875" style="305" bestFit="1" customWidth="1"/>
    <col min="14357" max="14357" width="10.5546875" style="305" bestFit="1" customWidth="1"/>
    <col min="14358" max="14361" width="8.88671875" style="305"/>
    <col min="14362" max="14362" width="15.109375" style="305" bestFit="1" customWidth="1"/>
    <col min="14363" max="14364" width="11.5546875" style="305" bestFit="1" customWidth="1"/>
    <col min="14365" max="14598" width="8.88671875" style="305"/>
    <col min="14599" max="14599" width="7" style="305" bestFit="1" customWidth="1"/>
    <col min="14600" max="14600" width="20.5546875" style="305" bestFit="1" customWidth="1"/>
    <col min="14601" max="14601" width="3.44140625" style="305" customWidth="1"/>
    <col min="14602" max="14602" width="3.6640625" style="305" customWidth="1"/>
    <col min="14603" max="14603" width="5.44140625" style="305" bestFit="1" customWidth="1"/>
    <col min="14604" max="14604" width="9.33203125" style="305" bestFit="1" customWidth="1"/>
    <col min="14605" max="14605" width="7.6640625" style="305" customWidth="1"/>
    <col min="14606" max="14606" width="9.109375" style="305" customWidth="1"/>
    <col min="14607" max="14608" width="10.5546875" style="305" bestFit="1" customWidth="1"/>
    <col min="14609" max="14609" width="5.33203125" style="305" bestFit="1" customWidth="1"/>
    <col min="14610" max="14611" width="11.33203125" style="305" bestFit="1" customWidth="1"/>
    <col min="14612" max="14612" width="12.88671875" style="305" bestFit="1" customWidth="1"/>
    <col min="14613" max="14613" width="10.5546875" style="305" bestFit="1" customWidth="1"/>
    <col min="14614" max="14617" width="8.88671875" style="305"/>
    <col min="14618" max="14618" width="15.109375" style="305" bestFit="1" customWidth="1"/>
    <col min="14619" max="14620" width="11.5546875" style="305" bestFit="1" customWidth="1"/>
    <col min="14621" max="14854" width="8.88671875" style="305"/>
    <col min="14855" max="14855" width="7" style="305" bestFit="1" customWidth="1"/>
    <col min="14856" max="14856" width="20.5546875" style="305" bestFit="1" customWidth="1"/>
    <col min="14857" max="14857" width="3.44140625" style="305" customWidth="1"/>
    <col min="14858" max="14858" width="3.6640625" style="305" customWidth="1"/>
    <col min="14859" max="14859" width="5.44140625" style="305" bestFit="1" customWidth="1"/>
    <col min="14860" max="14860" width="9.33203125" style="305" bestFit="1" customWidth="1"/>
    <col min="14861" max="14861" width="7.6640625" style="305" customWidth="1"/>
    <col min="14862" max="14862" width="9.109375" style="305" customWidth="1"/>
    <col min="14863" max="14864" width="10.5546875" style="305" bestFit="1" customWidth="1"/>
    <col min="14865" max="14865" width="5.33203125" style="305" bestFit="1" customWidth="1"/>
    <col min="14866" max="14867" width="11.33203125" style="305" bestFit="1" customWidth="1"/>
    <col min="14868" max="14868" width="12.88671875" style="305" bestFit="1" customWidth="1"/>
    <col min="14869" max="14869" width="10.5546875" style="305" bestFit="1" customWidth="1"/>
    <col min="14870" max="14873" width="8.88671875" style="305"/>
    <col min="14874" max="14874" width="15.109375" style="305" bestFit="1" customWidth="1"/>
    <col min="14875" max="14876" width="11.5546875" style="305" bestFit="1" customWidth="1"/>
    <col min="14877" max="15110" width="8.88671875" style="305"/>
    <col min="15111" max="15111" width="7" style="305" bestFit="1" customWidth="1"/>
    <col min="15112" max="15112" width="20.5546875" style="305" bestFit="1" customWidth="1"/>
    <col min="15113" max="15113" width="3.44140625" style="305" customWidth="1"/>
    <col min="15114" max="15114" width="3.6640625" style="305" customWidth="1"/>
    <col min="15115" max="15115" width="5.44140625" style="305" bestFit="1" customWidth="1"/>
    <col min="15116" max="15116" width="9.33203125" style="305" bestFit="1" customWidth="1"/>
    <col min="15117" max="15117" width="7.6640625" style="305" customWidth="1"/>
    <col min="15118" max="15118" width="9.109375" style="305" customWidth="1"/>
    <col min="15119" max="15120" width="10.5546875" style="305" bestFit="1" customWidth="1"/>
    <col min="15121" max="15121" width="5.33203125" style="305" bestFit="1" customWidth="1"/>
    <col min="15122" max="15123" width="11.33203125" style="305" bestFit="1" customWidth="1"/>
    <col min="15124" max="15124" width="12.88671875" style="305" bestFit="1" customWidth="1"/>
    <col min="15125" max="15125" width="10.5546875" style="305" bestFit="1" customWidth="1"/>
    <col min="15126" max="15129" width="8.88671875" style="305"/>
    <col min="15130" max="15130" width="15.109375" style="305" bestFit="1" customWidth="1"/>
    <col min="15131" max="15132" width="11.5546875" style="305" bestFit="1" customWidth="1"/>
    <col min="15133" max="15366" width="8.88671875" style="305"/>
    <col min="15367" max="15367" width="7" style="305" bestFit="1" customWidth="1"/>
    <col min="15368" max="15368" width="20.5546875" style="305" bestFit="1" customWidth="1"/>
    <col min="15369" max="15369" width="3.44140625" style="305" customWidth="1"/>
    <col min="15370" max="15370" width="3.6640625" style="305" customWidth="1"/>
    <col min="15371" max="15371" width="5.44140625" style="305" bestFit="1" customWidth="1"/>
    <col min="15372" max="15372" width="9.33203125" style="305" bestFit="1" customWidth="1"/>
    <col min="15373" max="15373" width="7.6640625" style="305" customWidth="1"/>
    <col min="15374" max="15374" width="9.109375" style="305" customWidth="1"/>
    <col min="15375" max="15376" width="10.5546875" style="305" bestFit="1" customWidth="1"/>
    <col min="15377" max="15377" width="5.33203125" style="305" bestFit="1" customWidth="1"/>
    <col min="15378" max="15379" width="11.33203125" style="305" bestFit="1" customWidth="1"/>
    <col min="15380" max="15380" width="12.88671875" style="305" bestFit="1" customWidth="1"/>
    <col min="15381" max="15381" width="10.5546875" style="305" bestFit="1" customWidth="1"/>
    <col min="15382" max="15385" width="8.88671875" style="305"/>
    <col min="15386" max="15386" width="15.109375" style="305" bestFit="1" customWidth="1"/>
    <col min="15387" max="15388" width="11.5546875" style="305" bestFit="1" customWidth="1"/>
    <col min="15389" max="15622" width="8.88671875" style="305"/>
    <col min="15623" max="15623" width="7" style="305" bestFit="1" customWidth="1"/>
    <col min="15624" max="15624" width="20.5546875" style="305" bestFit="1" customWidth="1"/>
    <col min="15625" max="15625" width="3.44140625" style="305" customWidth="1"/>
    <col min="15626" max="15626" width="3.6640625" style="305" customWidth="1"/>
    <col min="15627" max="15627" width="5.44140625" style="305" bestFit="1" customWidth="1"/>
    <col min="15628" max="15628" width="9.33203125" style="305" bestFit="1" customWidth="1"/>
    <col min="15629" max="15629" width="7.6640625" style="305" customWidth="1"/>
    <col min="15630" max="15630" width="9.109375" style="305" customWidth="1"/>
    <col min="15631" max="15632" width="10.5546875" style="305" bestFit="1" customWidth="1"/>
    <col min="15633" max="15633" width="5.33203125" style="305" bestFit="1" customWidth="1"/>
    <col min="15634" max="15635" width="11.33203125" style="305" bestFit="1" customWidth="1"/>
    <col min="15636" max="15636" width="12.88671875" style="305" bestFit="1" customWidth="1"/>
    <col min="15637" max="15637" width="10.5546875" style="305" bestFit="1" customWidth="1"/>
    <col min="15638" max="15641" width="8.88671875" style="305"/>
    <col min="15642" max="15642" width="15.109375" style="305" bestFit="1" customWidth="1"/>
    <col min="15643" max="15644" width="11.5546875" style="305" bestFit="1" customWidth="1"/>
    <col min="15645" max="15878" width="8.88671875" style="305"/>
    <col min="15879" max="15879" width="7" style="305" bestFit="1" customWidth="1"/>
    <col min="15880" max="15880" width="20.5546875" style="305" bestFit="1" customWidth="1"/>
    <col min="15881" max="15881" width="3.44140625" style="305" customWidth="1"/>
    <col min="15882" max="15882" width="3.6640625" style="305" customWidth="1"/>
    <col min="15883" max="15883" width="5.44140625" style="305" bestFit="1" customWidth="1"/>
    <col min="15884" max="15884" width="9.33203125" style="305" bestFit="1" customWidth="1"/>
    <col min="15885" max="15885" width="7.6640625" style="305" customWidth="1"/>
    <col min="15886" max="15886" width="9.109375" style="305" customWidth="1"/>
    <col min="15887" max="15888" width="10.5546875" style="305" bestFit="1" customWidth="1"/>
    <col min="15889" max="15889" width="5.33203125" style="305" bestFit="1" customWidth="1"/>
    <col min="15890" max="15891" width="11.33203125" style="305" bestFit="1" customWidth="1"/>
    <col min="15892" max="15892" width="12.88671875" style="305" bestFit="1" customWidth="1"/>
    <col min="15893" max="15893" width="10.5546875" style="305" bestFit="1" customWidth="1"/>
    <col min="15894" max="15897" width="8.88671875" style="305"/>
    <col min="15898" max="15898" width="15.109375" style="305" bestFit="1" customWidth="1"/>
    <col min="15899" max="15900" width="11.5546875" style="305" bestFit="1" customWidth="1"/>
    <col min="15901" max="16134" width="8.88671875" style="305"/>
    <col min="16135" max="16135" width="7" style="305" bestFit="1" customWidth="1"/>
    <col min="16136" max="16136" width="20.5546875" style="305" bestFit="1" customWidth="1"/>
    <col min="16137" max="16137" width="3.44140625" style="305" customWidth="1"/>
    <col min="16138" max="16138" width="3.6640625" style="305" customWidth="1"/>
    <col min="16139" max="16139" width="5.44140625" style="305" bestFit="1" customWidth="1"/>
    <col min="16140" max="16140" width="9.33203125" style="305" bestFit="1" customWidth="1"/>
    <col min="16141" max="16141" width="7.6640625" style="305" customWidth="1"/>
    <col min="16142" max="16142" width="9.109375" style="305" customWidth="1"/>
    <col min="16143" max="16144" width="10.5546875" style="305" bestFit="1" customWidth="1"/>
    <col min="16145" max="16145" width="5.33203125" style="305" bestFit="1" customWidth="1"/>
    <col min="16146" max="16147" width="11.33203125" style="305" bestFit="1" customWidth="1"/>
    <col min="16148" max="16148" width="12.88671875" style="305" bestFit="1" customWidth="1"/>
    <col min="16149" max="16149" width="10.5546875" style="305" bestFit="1" customWidth="1"/>
    <col min="16150" max="16153" width="8.88671875" style="305"/>
    <col min="16154" max="16154" width="15.109375" style="305" bestFit="1" customWidth="1"/>
    <col min="16155" max="16156" width="11.5546875" style="305" bestFit="1" customWidth="1"/>
    <col min="16157" max="16384" width="8.88671875" style="305"/>
  </cols>
  <sheetData>
    <row r="1" spans="1:22" ht="14.4" thickBot="1" x14ac:dyDescent="0.3">
      <c r="A1" s="303" t="s">
        <v>174</v>
      </c>
      <c r="B1" s="304" t="s">
        <v>175</v>
      </c>
      <c r="C1" s="1511" t="s">
        <v>176</v>
      </c>
      <c r="D1" s="1511"/>
      <c r="E1" s="1511"/>
      <c r="F1" s="671" t="s">
        <v>177</v>
      </c>
      <c r="G1" s="671" t="s">
        <v>178</v>
      </c>
      <c r="H1" s="671" t="s">
        <v>179</v>
      </c>
      <c r="I1" s="671" t="s">
        <v>180</v>
      </c>
      <c r="J1" s="671" t="s">
        <v>181</v>
      </c>
      <c r="K1" s="672"/>
      <c r="L1" s="672"/>
      <c r="M1" s="673"/>
      <c r="N1" s="674"/>
      <c r="O1" s="675" t="s">
        <v>182</v>
      </c>
    </row>
    <row r="2" spans="1:22" ht="14.4" thickBot="1" x14ac:dyDescent="0.3">
      <c r="A2" s="306"/>
      <c r="B2" s="308"/>
      <c r="C2" s="308"/>
      <c r="D2" s="308"/>
      <c r="E2" s="664"/>
      <c r="F2" s="664"/>
      <c r="G2" s="676"/>
      <c r="H2" s="676"/>
      <c r="I2" s="676"/>
      <c r="J2" s="676"/>
      <c r="K2" s="672">
        <v>1.05</v>
      </c>
      <c r="L2" s="672"/>
      <c r="M2" s="673"/>
      <c r="N2" s="677"/>
      <c r="O2" s="676"/>
    </row>
    <row r="3" spans="1:22" s="667" customFormat="1" ht="28.8" thickTop="1" thickBot="1" x14ac:dyDescent="0.3">
      <c r="A3" s="665" t="str">
        <f>exca!A10</f>
        <v>B 01</v>
      </c>
      <c r="B3" s="666" t="str">
        <f>exca!B10</f>
        <v>Clearing site vegetation manually including removal of bushes, shurb removing rubbish.</v>
      </c>
      <c r="C3" s="668"/>
      <c r="D3" s="668"/>
      <c r="E3" s="678"/>
      <c r="F3" s="678"/>
      <c r="G3" s="678"/>
      <c r="H3" s="678"/>
      <c r="I3" s="678">
        <v>252.28083699999999</v>
      </c>
      <c r="J3" s="678">
        <f>I3</f>
        <v>252.28083699999999</v>
      </c>
      <c r="K3" s="679">
        <f>$K$2</f>
        <v>1.05</v>
      </c>
      <c r="L3" s="679">
        <f t="shared" ref="L3" si="0">K3*J3</f>
        <v>264.89487885</v>
      </c>
      <c r="M3" s="680">
        <f t="shared" ref="M3" si="1">ROUND(L3,1)</f>
        <v>264.89999999999998</v>
      </c>
      <c r="N3" s="681">
        <f t="shared" ref="N3" si="2">ROUNDUP(M3,0)</f>
        <v>265</v>
      </c>
      <c r="O3" s="678" t="s">
        <v>183</v>
      </c>
      <c r="P3" s="667">
        <v>1.1000000000000001</v>
      </c>
    </row>
    <row r="4" spans="1:22" ht="15" thickTop="1" thickBot="1" x14ac:dyDescent="0.3">
      <c r="A4" s="307"/>
      <c r="B4" s="308"/>
      <c r="C4" s="308"/>
      <c r="D4" s="308"/>
      <c r="E4" s="664"/>
      <c r="F4" s="664"/>
      <c r="G4" s="664"/>
      <c r="H4" s="664"/>
      <c r="I4" s="664"/>
      <c r="J4" s="664"/>
      <c r="K4" s="682"/>
      <c r="L4" s="682"/>
      <c r="M4" s="673"/>
      <c r="N4" s="683"/>
      <c r="O4" s="664"/>
    </row>
    <row r="5" spans="1:22" s="667" customFormat="1" ht="15" thickTop="1" thickBot="1" x14ac:dyDescent="0.3">
      <c r="A5" s="665"/>
      <c r="B5" s="669"/>
      <c r="C5" s="668"/>
      <c r="D5" s="668"/>
      <c r="E5" s="678"/>
      <c r="F5" s="678"/>
      <c r="G5" s="678"/>
      <c r="H5" s="678"/>
      <c r="I5" s="678"/>
      <c r="J5" s="678"/>
      <c r="K5" s="679"/>
      <c r="L5" s="679"/>
      <c r="M5" s="680"/>
      <c r="N5" s="681"/>
      <c r="O5" s="678"/>
      <c r="R5" s="670"/>
      <c r="S5" s="670"/>
      <c r="T5" s="670"/>
      <c r="U5" s="670"/>
      <c r="V5" s="670"/>
    </row>
    <row r="6" spans="1:22" ht="15" thickTop="1" thickBot="1" x14ac:dyDescent="0.3">
      <c r="A6" s="307" t="str">
        <f>masnry!A3</f>
        <v>F</v>
      </c>
      <c r="B6" s="663" t="str">
        <f>masnry!B2</f>
        <v>F - MASONRY WORKS</v>
      </c>
      <c r="C6" s="308"/>
      <c r="D6" s="308"/>
      <c r="E6" s="664"/>
      <c r="F6" s="664"/>
      <c r="G6" s="664"/>
      <c r="H6" s="664"/>
      <c r="I6" s="664"/>
      <c r="J6" s="664"/>
      <c r="K6" s="682"/>
      <c r="L6" s="682"/>
      <c r="M6" s="673"/>
      <c r="N6" s="683"/>
      <c r="O6" s="664"/>
      <c r="R6" s="309"/>
      <c r="S6" s="309"/>
      <c r="T6" s="309"/>
      <c r="U6" s="309"/>
      <c r="V6" s="309"/>
    </row>
    <row r="7" spans="1:22" s="667" customFormat="1" ht="15" thickTop="1" thickBot="1" x14ac:dyDescent="0.3">
      <c r="A7" s="665"/>
      <c r="B7" s="669"/>
      <c r="C7" s="668"/>
      <c r="D7" s="668"/>
      <c r="E7" s="678"/>
      <c r="F7" s="678"/>
      <c r="G7" s="678"/>
      <c r="H7" s="678"/>
      <c r="I7" s="678"/>
      <c r="J7" s="678"/>
      <c r="K7" s="679"/>
      <c r="L7" s="679"/>
      <c r="M7" s="680"/>
      <c r="N7" s="681"/>
      <c r="O7" s="678"/>
      <c r="P7" s="719"/>
      <c r="R7" s="670"/>
      <c r="S7" s="670"/>
      <c r="T7" s="670"/>
      <c r="U7" s="670"/>
      <c r="V7" s="670"/>
    </row>
    <row r="8" spans="1:22" ht="28.8" thickTop="1" thickBot="1" x14ac:dyDescent="0.3">
      <c r="A8" s="307">
        <f>masnry!A11</f>
        <v>1.01</v>
      </c>
      <c r="B8" s="721" t="str">
        <f>masnry!B11</f>
        <v>Brick work in cement and sand 1:5 in super Structure in ground floor.  ( 9" thick brick work)</v>
      </c>
      <c r="C8" s="308"/>
      <c r="D8" s="308"/>
      <c r="E8" s="664">
        <v>1</v>
      </c>
      <c r="F8" s="664">
        <v>11.9</v>
      </c>
      <c r="G8" s="664"/>
      <c r="H8" s="678">
        <v>3.95</v>
      </c>
      <c r="I8" s="678">
        <f>H8*F8*E8</f>
        <v>47.005000000000003</v>
      </c>
      <c r="J8" s="664"/>
      <c r="K8" s="682"/>
      <c r="L8" s="682"/>
      <c r="M8" s="673"/>
      <c r="N8" s="683"/>
      <c r="O8" s="664"/>
      <c r="P8" s="719"/>
      <c r="Q8" s="659"/>
      <c r="R8" s="309"/>
      <c r="S8" s="309"/>
      <c r="T8" s="309"/>
      <c r="U8" s="309"/>
      <c r="V8" s="309"/>
    </row>
    <row r="9" spans="1:22" ht="15" thickTop="1" thickBot="1" x14ac:dyDescent="0.3">
      <c r="A9" s="307"/>
      <c r="B9" s="308"/>
      <c r="C9" s="308"/>
      <c r="D9" s="668" t="s">
        <v>774</v>
      </c>
      <c r="E9" s="664">
        <v>-1</v>
      </c>
      <c r="F9" s="664">
        <v>3.7</v>
      </c>
      <c r="G9" s="664"/>
      <c r="H9" s="678">
        <v>3</v>
      </c>
      <c r="I9" s="678">
        <f t="shared" ref="I9:I46" si="3">H9*F9*E9</f>
        <v>-11.100000000000001</v>
      </c>
      <c r="J9" s="664"/>
      <c r="K9" s="682"/>
      <c r="L9" s="682"/>
      <c r="M9" s="673"/>
      <c r="N9" s="683"/>
      <c r="O9" s="664"/>
      <c r="P9" s="719"/>
      <c r="Q9" s="659"/>
      <c r="R9" s="309"/>
      <c r="S9" s="309"/>
      <c r="T9" s="309"/>
      <c r="U9" s="309"/>
      <c r="V9" s="309"/>
    </row>
    <row r="10" spans="1:22" ht="15" thickTop="1" thickBot="1" x14ac:dyDescent="0.3">
      <c r="A10" s="307"/>
      <c r="B10" s="308"/>
      <c r="C10" s="308"/>
      <c r="D10" s="308" t="s">
        <v>777</v>
      </c>
      <c r="E10" s="664">
        <v>-1</v>
      </c>
      <c r="F10" s="664">
        <v>1.2</v>
      </c>
      <c r="G10" s="664"/>
      <c r="H10" s="678">
        <v>3</v>
      </c>
      <c r="I10" s="678">
        <f t="shared" si="3"/>
        <v>-3.5999999999999996</v>
      </c>
      <c r="J10" s="664"/>
      <c r="K10" s="682"/>
      <c r="L10" s="682"/>
      <c r="M10" s="673"/>
      <c r="N10" s="683"/>
      <c r="O10" s="664"/>
      <c r="P10" s="719"/>
      <c r="R10" s="309"/>
      <c r="S10" s="309"/>
      <c r="T10" s="309"/>
      <c r="U10" s="309"/>
      <c r="V10" s="309"/>
    </row>
    <row r="11" spans="1:22" ht="15" thickTop="1" thickBot="1" x14ac:dyDescent="0.3">
      <c r="A11" s="307"/>
      <c r="B11" s="308"/>
      <c r="C11" s="308"/>
      <c r="D11" s="668" t="s">
        <v>813</v>
      </c>
      <c r="E11" s="664">
        <v>-1</v>
      </c>
      <c r="F11" s="664">
        <v>3</v>
      </c>
      <c r="G11" s="664"/>
      <c r="H11" s="678">
        <v>3</v>
      </c>
      <c r="I11" s="678">
        <f t="shared" si="3"/>
        <v>-9</v>
      </c>
      <c r="J11" s="664"/>
      <c r="K11" s="682"/>
      <c r="L11" s="682"/>
      <c r="M11" s="673"/>
      <c r="N11" s="683"/>
      <c r="O11" s="664"/>
      <c r="P11" s="719"/>
      <c r="R11" s="309"/>
      <c r="S11" s="309"/>
      <c r="T11" s="309"/>
      <c r="U11" s="309"/>
      <c r="V11" s="309"/>
    </row>
    <row r="12" spans="1:22" ht="15" thickTop="1" thickBot="1" x14ac:dyDescent="0.3">
      <c r="A12" s="307"/>
      <c r="B12" s="308"/>
      <c r="C12" s="308"/>
      <c r="D12" s="308"/>
      <c r="E12" s="664">
        <v>1</v>
      </c>
      <c r="F12" s="664">
        <v>3.95</v>
      </c>
      <c r="G12" s="664"/>
      <c r="H12" s="678">
        <v>3.95</v>
      </c>
      <c r="I12" s="678">
        <f t="shared" si="3"/>
        <v>15.602500000000001</v>
      </c>
      <c r="J12" s="664"/>
      <c r="K12" s="682"/>
      <c r="L12" s="682"/>
      <c r="M12" s="673"/>
      <c r="N12" s="683"/>
      <c r="O12" s="664"/>
      <c r="P12" s="719"/>
      <c r="R12" s="309"/>
      <c r="S12" s="309"/>
      <c r="T12" s="309"/>
      <c r="U12" s="309"/>
      <c r="V12" s="309"/>
    </row>
    <row r="13" spans="1:22" ht="15" thickTop="1" thickBot="1" x14ac:dyDescent="0.3">
      <c r="A13" s="307"/>
      <c r="B13" s="308"/>
      <c r="C13" s="308"/>
      <c r="D13" s="668"/>
      <c r="E13" s="664">
        <v>1</v>
      </c>
      <c r="F13" s="664">
        <v>3.1150000000000002</v>
      </c>
      <c r="G13" s="664"/>
      <c r="H13" s="678">
        <v>3.95</v>
      </c>
      <c r="I13" s="678">
        <f t="shared" si="3"/>
        <v>12.304250000000001</v>
      </c>
      <c r="J13" s="664"/>
      <c r="K13" s="682"/>
      <c r="L13" s="682"/>
      <c r="M13" s="673"/>
      <c r="N13" s="683"/>
      <c r="O13" s="664"/>
      <c r="P13" s="719"/>
      <c r="R13" s="309"/>
      <c r="S13" s="309"/>
      <c r="T13" s="309"/>
      <c r="U13" s="309"/>
      <c r="V13" s="309"/>
    </row>
    <row r="14" spans="1:22" ht="15" thickTop="1" thickBot="1" x14ac:dyDescent="0.3">
      <c r="A14" s="307"/>
      <c r="B14" s="308"/>
      <c r="C14" s="308"/>
      <c r="D14" s="668" t="s">
        <v>812</v>
      </c>
      <c r="E14" s="664">
        <v>-1</v>
      </c>
      <c r="F14" s="664">
        <v>1.425</v>
      </c>
      <c r="G14" s="664"/>
      <c r="H14" s="664">
        <v>1.5</v>
      </c>
      <c r="I14" s="678">
        <f t="shared" si="3"/>
        <v>-2.1375000000000002</v>
      </c>
      <c r="J14" s="664"/>
      <c r="K14" s="682"/>
      <c r="L14" s="682"/>
      <c r="M14" s="673"/>
      <c r="N14" s="683"/>
      <c r="O14" s="664"/>
      <c r="P14" s="719"/>
      <c r="R14" s="309"/>
      <c r="S14" s="309"/>
      <c r="T14" s="309"/>
      <c r="U14" s="309"/>
      <c r="V14" s="309"/>
    </row>
    <row r="15" spans="1:22" ht="15" thickTop="1" thickBot="1" x14ac:dyDescent="0.3">
      <c r="A15" s="307"/>
      <c r="B15" s="308"/>
      <c r="C15" s="308"/>
      <c r="D15" s="308" t="s">
        <v>812</v>
      </c>
      <c r="E15" s="664">
        <v>-1</v>
      </c>
      <c r="F15" s="664">
        <v>1.425</v>
      </c>
      <c r="G15" s="664"/>
      <c r="H15" s="664">
        <v>1.5</v>
      </c>
      <c r="I15" s="678">
        <f t="shared" si="3"/>
        <v>-2.1375000000000002</v>
      </c>
      <c r="J15" s="664"/>
      <c r="K15" s="679"/>
      <c r="L15" s="679"/>
      <c r="M15" s="680"/>
      <c r="N15" s="681"/>
      <c r="O15" s="678"/>
      <c r="P15" s="719"/>
      <c r="Q15" s="659"/>
      <c r="R15" s="309"/>
      <c r="S15" s="309"/>
      <c r="T15" s="309"/>
      <c r="U15" s="309"/>
      <c r="V15" s="309"/>
    </row>
    <row r="16" spans="1:22" ht="15" thickTop="1" thickBot="1" x14ac:dyDescent="0.3">
      <c r="A16" s="307"/>
      <c r="B16" s="308"/>
      <c r="C16" s="308"/>
      <c r="D16" s="308"/>
      <c r="E16" s="664">
        <v>1</v>
      </c>
      <c r="F16" s="664">
        <v>3.92</v>
      </c>
      <c r="G16" s="664"/>
      <c r="H16" s="678">
        <v>3.95</v>
      </c>
      <c r="I16" s="678">
        <f t="shared" si="3"/>
        <v>15.484</v>
      </c>
      <c r="J16" s="664"/>
      <c r="K16" s="682"/>
      <c r="L16" s="682"/>
      <c r="M16" s="673"/>
      <c r="N16" s="683"/>
      <c r="O16" s="664"/>
      <c r="R16" s="309"/>
      <c r="S16" s="309"/>
      <c r="T16" s="309"/>
      <c r="U16" s="309"/>
      <c r="V16" s="309"/>
    </row>
    <row r="17" spans="1:22" ht="15" thickTop="1" thickBot="1" x14ac:dyDescent="0.3">
      <c r="A17" s="307"/>
      <c r="B17" s="308"/>
      <c r="C17" s="308"/>
      <c r="D17" s="308"/>
      <c r="E17" s="664">
        <v>1</v>
      </c>
      <c r="F17" s="664">
        <v>9.8000000000000007</v>
      </c>
      <c r="G17" s="664"/>
      <c r="H17" s="678">
        <v>3.95</v>
      </c>
      <c r="I17" s="678">
        <f t="shared" si="3"/>
        <v>38.710000000000008</v>
      </c>
      <c r="J17" s="664"/>
      <c r="K17" s="682"/>
      <c r="L17" s="682"/>
      <c r="M17" s="673"/>
      <c r="N17" s="683"/>
      <c r="O17" s="664"/>
      <c r="R17" s="309"/>
      <c r="S17" s="309"/>
      <c r="T17" s="309"/>
      <c r="U17" s="309"/>
      <c r="V17" s="309"/>
    </row>
    <row r="18" spans="1:22" ht="15" thickTop="1" thickBot="1" x14ac:dyDescent="0.3">
      <c r="A18" s="307"/>
      <c r="B18" s="308"/>
      <c r="C18" s="308"/>
      <c r="D18" s="308" t="s">
        <v>814</v>
      </c>
      <c r="E18" s="664">
        <v>-1</v>
      </c>
      <c r="F18" s="664">
        <v>3.0760000000000001</v>
      </c>
      <c r="G18" s="664"/>
      <c r="H18" s="664">
        <v>3</v>
      </c>
      <c r="I18" s="678">
        <f t="shared" si="3"/>
        <v>-9.2279999999999998</v>
      </c>
      <c r="J18" s="664"/>
      <c r="K18" s="682"/>
      <c r="L18" s="682"/>
      <c r="M18" s="673"/>
      <c r="N18" s="683"/>
      <c r="O18" s="664"/>
      <c r="R18" s="309"/>
      <c r="S18" s="309"/>
      <c r="T18" s="309"/>
      <c r="U18" s="309"/>
      <c r="V18" s="309"/>
    </row>
    <row r="19" spans="1:22" ht="15" thickTop="1" thickBot="1" x14ac:dyDescent="0.3">
      <c r="A19" s="307"/>
      <c r="B19" s="663"/>
      <c r="C19" s="308"/>
      <c r="D19" s="308"/>
      <c r="E19" s="664">
        <v>1</v>
      </c>
      <c r="F19" s="664">
        <v>10.8</v>
      </c>
      <c r="G19" s="664"/>
      <c r="H19" s="678">
        <v>3.95</v>
      </c>
      <c r="I19" s="678">
        <f t="shared" si="3"/>
        <v>42.660000000000004</v>
      </c>
      <c r="J19" s="664"/>
      <c r="K19" s="682"/>
      <c r="L19" s="682"/>
      <c r="M19" s="673"/>
      <c r="N19" s="683"/>
      <c r="O19" s="664"/>
      <c r="R19" s="309"/>
      <c r="S19" s="309"/>
      <c r="T19" s="309"/>
      <c r="U19" s="309"/>
      <c r="V19" s="309"/>
    </row>
    <row r="20" spans="1:22" ht="15" thickTop="1" thickBot="1" x14ac:dyDescent="0.3">
      <c r="A20" s="307"/>
      <c r="B20" s="308"/>
      <c r="C20" s="308"/>
      <c r="D20" s="308" t="s">
        <v>341</v>
      </c>
      <c r="E20" s="664">
        <v>-1</v>
      </c>
      <c r="F20" s="664">
        <v>3.06</v>
      </c>
      <c r="G20" s="664"/>
      <c r="H20" s="664">
        <v>0.6</v>
      </c>
      <c r="I20" s="678">
        <f t="shared" si="3"/>
        <v>-1.8359999999999999</v>
      </c>
      <c r="J20" s="664"/>
      <c r="K20" s="682"/>
      <c r="L20" s="682"/>
      <c r="M20" s="673"/>
      <c r="N20" s="683"/>
      <c r="O20" s="664"/>
      <c r="R20" s="309"/>
      <c r="S20" s="309"/>
      <c r="T20" s="309"/>
      <c r="U20" s="309"/>
      <c r="V20" s="309"/>
    </row>
    <row r="21" spans="1:22" ht="15" thickTop="1" thickBot="1" x14ac:dyDescent="0.3">
      <c r="A21" s="307"/>
      <c r="B21" s="663"/>
      <c r="C21" s="308"/>
      <c r="D21" s="308" t="s">
        <v>768</v>
      </c>
      <c r="E21" s="664">
        <v>-1</v>
      </c>
      <c r="F21" s="664">
        <v>0.9</v>
      </c>
      <c r="G21" s="664"/>
      <c r="H21" s="664">
        <v>2.8</v>
      </c>
      <c r="I21" s="678">
        <f t="shared" si="3"/>
        <v>-2.52</v>
      </c>
      <c r="J21" s="664"/>
      <c r="K21" s="682"/>
      <c r="L21" s="682"/>
      <c r="M21" s="673"/>
      <c r="N21" s="683"/>
      <c r="O21" s="664"/>
      <c r="R21" s="309"/>
      <c r="S21" s="309"/>
      <c r="T21" s="309"/>
      <c r="U21" s="309"/>
      <c r="V21" s="309"/>
    </row>
    <row r="22" spans="1:22" ht="15" thickTop="1" thickBot="1" x14ac:dyDescent="0.3">
      <c r="A22" s="307"/>
      <c r="B22" s="308"/>
      <c r="C22" s="308"/>
      <c r="D22" s="308"/>
      <c r="E22" s="664">
        <v>1</v>
      </c>
      <c r="F22" s="664">
        <v>16.329999999999998</v>
      </c>
      <c r="G22" s="664"/>
      <c r="H22" s="678">
        <v>3.95</v>
      </c>
      <c r="I22" s="678">
        <f t="shared" si="3"/>
        <v>64.503500000000003</v>
      </c>
      <c r="J22" s="664"/>
      <c r="K22" s="682"/>
      <c r="L22" s="682"/>
      <c r="M22" s="673"/>
      <c r="N22" s="683"/>
      <c r="O22" s="664"/>
      <c r="R22" s="309"/>
      <c r="S22" s="309"/>
      <c r="T22" s="309"/>
      <c r="U22" s="309"/>
      <c r="V22" s="309"/>
    </row>
    <row r="23" spans="1:22" s="667" customFormat="1" ht="15" thickTop="1" thickBot="1" x14ac:dyDescent="0.3">
      <c r="A23" s="665"/>
      <c r="B23" s="669"/>
      <c r="C23" s="668"/>
      <c r="D23" s="668" t="s">
        <v>815</v>
      </c>
      <c r="E23" s="664">
        <v>-1</v>
      </c>
      <c r="F23" s="678">
        <v>2.1</v>
      </c>
      <c r="G23" s="678"/>
      <c r="H23" s="678">
        <v>3</v>
      </c>
      <c r="I23" s="678">
        <f t="shared" si="3"/>
        <v>-6.3000000000000007</v>
      </c>
      <c r="J23" s="678"/>
      <c r="K23" s="679"/>
      <c r="L23" s="679"/>
      <c r="M23" s="680"/>
      <c r="N23" s="681"/>
      <c r="O23" s="678"/>
      <c r="R23" s="670"/>
      <c r="S23" s="670"/>
      <c r="T23" s="670"/>
      <c r="U23" s="670"/>
      <c r="V23" s="670"/>
    </row>
    <row r="24" spans="1:22" ht="15" thickTop="1" thickBot="1" x14ac:dyDescent="0.3">
      <c r="A24" s="307"/>
      <c r="B24" s="308"/>
      <c r="C24" s="308"/>
      <c r="D24" s="308" t="s">
        <v>816</v>
      </c>
      <c r="E24" s="664">
        <v>-1</v>
      </c>
      <c r="F24" s="664">
        <v>2.1</v>
      </c>
      <c r="G24" s="664"/>
      <c r="H24" s="678">
        <v>3</v>
      </c>
      <c r="I24" s="678">
        <f t="shared" si="3"/>
        <v>-6.3000000000000007</v>
      </c>
      <c r="J24" s="664"/>
      <c r="K24" s="682"/>
      <c r="L24" s="682"/>
      <c r="M24" s="673"/>
      <c r="N24" s="683"/>
      <c r="O24" s="664"/>
      <c r="R24" s="309"/>
      <c r="S24" s="309"/>
      <c r="T24" s="309"/>
      <c r="U24" s="309"/>
      <c r="V24" s="309"/>
    </row>
    <row r="25" spans="1:22" ht="15" thickTop="1" thickBot="1" x14ac:dyDescent="0.3">
      <c r="A25" s="307"/>
      <c r="B25" s="308"/>
      <c r="C25" s="308"/>
      <c r="D25" s="668" t="s">
        <v>817</v>
      </c>
      <c r="E25" s="664">
        <v>-1</v>
      </c>
      <c r="F25" s="664">
        <v>2</v>
      </c>
      <c r="G25" s="664"/>
      <c r="H25" s="678">
        <v>3</v>
      </c>
      <c r="I25" s="678">
        <f t="shared" si="3"/>
        <v>-6</v>
      </c>
      <c r="J25" s="664"/>
      <c r="K25" s="682"/>
      <c r="L25" s="682"/>
      <c r="M25" s="673"/>
      <c r="N25" s="683"/>
      <c r="O25" s="664"/>
      <c r="R25" s="309"/>
      <c r="S25" s="309"/>
      <c r="T25" s="309"/>
      <c r="U25" s="309"/>
      <c r="V25" s="309"/>
    </row>
    <row r="26" spans="1:22" ht="15" thickTop="1" thickBot="1" x14ac:dyDescent="0.3">
      <c r="A26" s="307"/>
      <c r="B26" s="308"/>
      <c r="C26" s="308"/>
      <c r="D26" s="308"/>
      <c r="E26" s="664">
        <v>1</v>
      </c>
      <c r="F26" s="664">
        <v>8.1999999999999993</v>
      </c>
      <c r="G26" s="664"/>
      <c r="H26" s="678">
        <v>3.95</v>
      </c>
      <c r="I26" s="678">
        <f t="shared" si="3"/>
        <v>32.39</v>
      </c>
      <c r="J26" s="664"/>
      <c r="K26" s="682"/>
      <c r="L26" s="682"/>
      <c r="M26" s="673"/>
      <c r="N26" s="683"/>
      <c r="O26" s="664"/>
      <c r="R26" s="309"/>
      <c r="S26" s="309"/>
      <c r="T26" s="309"/>
      <c r="U26" s="309"/>
      <c r="V26" s="309"/>
    </row>
    <row r="27" spans="1:22" ht="15" thickTop="1" thickBot="1" x14ac:dyDescent="0.3">
      <c r="A27" s="307"/>
      <c r="B27" s="308"/>
      <c r="C27" s="308"/>
      <c r="D27" s="668" t="s">
        <v>767</v>
      </c>
      <c r="E27" s="664">
        <v>-1</v>
      </c>
      <c r="F27" s="664">
        <v>1.2</v>
      </c>
      <c r="G27" s="664"/>
      <c r="H27" s="678">
        <v>3.6</v>
      </c>
      <c r="I27" s="678">
        <f t="shared" si="3"/>
        <v>-4.32</v>
      </c>
      <c r="J27" s="664"/>
      <c r="K27" s="682"/>
      <c r="L27" s="682"/>
      <c r="M27" s="673"/>
      <c r="N27" s="683"/>
      <c r="O27" s="664"/>
      <c r="R27" s="309"/>
      <c r="S27" s="309"/>
      <c r="T27" s="309"/>
      <c r="U27" s="309"/>
      <c r="V27" s="309"/>
    </row>
    <row r="28" spans="1:22" ht="15" thickTop="1" thickBot="1" x14ac:dyDescent="0.3">
      <c r="A28" s="307"/>
      <c r="B28" s="308"/>
      <c r="C28" s="308"/>
      <c r="D28" s="308" t="s">
        <v>818</v>
      </c>
      <c r="E28" s="664">
        <v>-1</v>
      </c>
      <c r="F28" s="664">
        <v>3.7</v>
      </c>
      <c r="G28" s="664"/>
      <c r="H28" s="678">
        <v>3</v>
      </c>
      <c r="I28" s="678">
        <f t="shared" si="3"/>
        <v>-11.100000000000001</v>
      </c>
      <c r="J28" s="664"/>
      <c r="K28" s="682"/>
      <c r="L28" s="682"/>
      <c r="M28" s="673"/>
      <c r="N28" s="683"/>
      <c r="O28" s="664"/>
      <c r="R28" s="309"/>
      <c r="S28" s="309"/>
      <c r="T28" s="309"/>
      <c r="U28" s="309"/>
      <c r="V28" s="309"/>
    </row>
    <row r="29" spans="1:22" ht="15" thickTop="1" thickBot="1" x14ac:dyDescent="0.3">
      <c r="A29" s="307"/>
      <c r="B29" s="308"/>
      <c r="C29" s="308"/>
      <c r="D29" s="668" t="s">
        <v>819</v>
      </c>
      <c r="E29" s="664">
        <v>-1</v>
      </c>
      <c r="F29" s="664">
        <v>1</v>
      </c>
      <c r="G29" s="664"/>
      <c r="H29" s="678">
        <v>3</v>
      </c>
      <c r="I29" s="678">
        <f t="shared" si="3"/>
        <v>-3</v>
      </c>
      <c r="J29" s="664"/>
      <c r="K29" s="682"/>
      <c r="L29" s="682"/>
      <c r="M29" s="673"/>
      <c r="N29" s="683"/>
      <c r="O29" s="664"/>
      <c r="R29" s="309"/>
      <c r="S29" s="309"/>
      <c r="T29" s="309"/>
      <c r="U29" s="309"/>
      <c r="V29" s="309"/>
    </row>
    <row r="30" spans="1:22" ht="15" thickTop="1" thickBot="1" x14ac:dyDescent="0.3">
      <c r="A30" s="307"/>
      <c r="B30" s="308"/>
      <c r="C30" s="308"/>
      <c r="D30" s="308"/>
      <c r="E30" s="664">
        <v>1</v>
      </c>
      <c r="F30" s="664">
        <v>5.125</v>
      </c>
      <c r="G30" s="664"/>
      <c r="H30" s="678">
        <v>3.95</v>
      </c>
      <c r="I30" s="678">
        <f t="shared" si="3"/>
        <v>20.243750000000002</v>
      </c>
      <c r="J30" s="664">
        <f>SUM(I8:I30)</f>
        <v>210.32400000000001</v>
      </c>
      <c r="K30" s="679">
        <f>$K$2</f>
        <v>1.05</v>
      </c>
      <c r="L30" s="679">
        <f t="shared" ref="L30" si="4">K30*J30</f>
        <v>220.84020000000001</v>
      </c>
      <c r="M30" s="680">
        <f t="shared" ref="M30" si="5">ROUND(L30,1)</f>
        <v>220.8</v>
      </c>
      <c r="N30" s="681">
        <f t="shared" ref="N30" si="6">ROUNDUP(M30,0)</f>
        <v>221</v>
      </c>
      <c r="O30" s="678" t="s">
        <v>183</v>
      </c>
      <c r="R30" s="309"/>
      <c r="S30" s="309"/>
      <c r="T30" s="309"/>
      <c r="U30" s="309"/>
      <c r="V30" s="309"/>
    </row>
    <row r="31" spans="1:22" ht="15" thickTop="1" thickBot="1" x14ac:dyDescent="0.3">
      <c r="A31" s="307"/>
      <c r="B31" s="308"/>
      <c r="C31" s="308"/>
      <c r="D31" s="308"/>
      <c r="E31" s="664"/>
      <c r="F31" s="664"/>
      <c r="G31" s="664"/>
      <c r="H31" s="678"/>
      <c r="I31" s="678"/>
      <c r="J31" s="664"/>
      <c r="K31" s="679"/>
      <c r="L31" s="679"/>
      <c r="M31" s="680"/>
      <c r="N31" s="681"/>
      <c r="O31" s="678"/>
      <c r="R31" s="309"/>
      <c r="S31" s="309"/>
      <c r="T31" s="309"/>
      <c r="U31" s="309"/>
      <c r="V31" s="309"/>
    </row>
    <row r="32" spans="1:22" ht="28.8" thickTop="1" thickBot="1" x14ac:dyDescent="0.3">
      <c r="A32" s="307">
        <f>masnry!A13</f>
        <v>1.02</v>
      </c>
      <c r="B32" s="721" t="str">
        <f>masnry!B13</f>
        <v>Brick work in cement and sand 1:5 in First floor level.(9" thick brick work)</v>
      </c>
      <c r="C32" s="308"/>
      <c r="D32" s="308"/>
      <c r="E32" s="664">
        <v>1</v>
      </c>
      <c r="F32" s="664">
        <v>13.295</v>
      </c>
      <c r="G32" s="664"/>
      <c r="H32" s="678">
        <v>3.45</v>
      </c>
      <c r="I32" s="678">
        <f t="shared" si="3"/>
        <v>45.867750000000001</v>
      </c>
      <c r="J32" s="664"/>
      <c r="K32" s="679"/>
      <c r="L32" s="679"/>
      <c r="M32" s="680"/>
      <c r="N32" s="681"/>
      <c r="O32" s="678"/>
      <c r="R32" s="309"/>
      <c r="S32" s="309"/>
      <c r="T32" s="309"/>
      <c r="U32" s="309"/>
      <c r="V32" s="309"/>
    </row>
    <row r="33" spans="1:22" ht="15" thickTop="1" thickBot="1" x14ac:dyDescent="0.3">
      <c r="A33" s="307"/>
      <c r="B33" s="308"/>
      <c r="C33" s="308"/>
      <c r="D33" s="308" t="s">
        <v>814</v>
      </c>
      <c r="E33" s="664">
        <v>-1</v>
      </c>
      <c r="F33" s="664">
        <v>3.0750000000000002</v>
      </c>
      <c r="G33" s="664"/>
      <c r="H33" s="678">
        <v>3</v>
      </c>
      <c r="I33" s="678">
        <f t="shared" si="3"/>
        <v>-9.2250000000000014</v>
      </c>
      <c r="J33" s="664"/>
      <c r="K33" s="679"/>
      <c r="L33" s="679"/>
      <c r="M33" s="680"/>
      <c r="N33" s="681"/>
      <c r="O33" s="678"/>
      <c r="R33" s="309"/>
      <c r="S33" s="309"/>
      <c r="T33" s="309"/>
      <c r="U33" s="309"/>
      <c r="V33" s="309"/>
    </row>
    <row r="34" spans="1:22" ht="15" thickTop="1" thickBot="1" x14ac:dyDescent="0.3">
      <c r="A34" s="307"/>
      <c r="B34" s="308"/>
      <c r="C34" s="308"/>
      <c r="D34" s="308"/>
      <c r="E34" s="664">
        <v>1</v>
      </c>
      <c r="F34" s="664">
        <v>3.45</v>
      </c>
      <c r="G34" s="664"/>
      <c r="H34" s="678">
        <v>3.45</v>
      </c>
      <c r="I34" s="678">
        <f t="shared" si="3"/>
        <v>11.902500000000002</v>
      </c>
      <c r="J34" s="664"/>
      <c r="K34" s="679"/>
      <c r="L34" s="679"/>
      <c r="M34" s="680"/>
      <c r="N34" s="681"/>
      <c r="O34" s="678"/>
      <c r="R34" s="309"/>
      <c r="S34" s="309"/>
      <c r="T34" s="309"/>
      <c r="U34" s="309"/>
      <c r="V34" s="309"/>
    </row>
    <row r="35" spans="1:22" ht="15" thickTop="1" thickBot="1" x14ac:dyDescent="0.3">
      <c r="A35" s="307"/>
      <c r="B35" s="308"/>
      <c r="C35" s="308"/>
      <c r="D35" s="308"/>
      <c r="E35" s="664">
        <v>1</v>
      </c>
      <c r="F35" s="664">
        <v>22.18</v>
      </c>
      <c r="G35" s="664"/>
      <c r="H35" s="678">
        <v>3.45</v>
      </c>
      <c r="I35" s="678">
        <f t="shared" si="3"/>
        <v>76.521000000000001</v>
      </c>
      <c r="J35" s="664"/>
      <c r="K35" s="679"/>
      <c r="L35" s="679"/>
      <c r="M35" s="680"/>
      <c r="N35" s="681"/>
      <c r="O35" s="678"/>
      <c r="R35" s="309"/>
      <c r="S35" s="309"/>
      <c r="T35" s="309"/>
      <c r="U35" s="309"/>
      <c r="V35" s="309"/>
    </row>
    <row r="36" spans="1:22" ht="15" thickTop="1" thickBot="1" x14ac:dyDescent="0.3">
      <c r="A36" s="307"/>
      <c r="B36" s="308"/>
      <c r="C36" s="308"/>
      <c r="D36" s="308" t="s">
        <v>811</v>
      </c>
      <c r="E36" s="664">
        <v>-1</v>
      </c>
      <c r="F36" s="664">
        <v>1.05</v>
      </c>
      <c r="G36" s="664"/>
      <c r="H36" s="678">
        <v>3</v>
      </c>
      <c r="I36" s="678">
        <f t="shared" si="3"/>
        <v>-3.1500000000000004</v>
      </c>
      <c r="J36" s="664"/>
      <c r="K36" s="679"/>
      <c r="L36" s="679"/>
      <c r="M36" s="680"/>
      <c r="N36" s="681"/>
      <c r="O36" s="678"/>
      <c r="R36" s="309"/>
      <c r="S36" s="309"/>
      <c r="T36" s="309"/>
      <c r="U36" s="309"/>
      <c r="V36" s="309"/>
    </row>
    <row r="37" spans="1:22" ht="15" thickTop="1" thickBot="1" x14ac:dyDescent="0.3">
      <c r="A37" s="307"/>
      <c r="B37" s="308"/>
      <c r="C37" s="308"/>
      <c r="D37" s="308" t="s">
        <v>814</v>
      </c>
      <c r="E37" s="664">
        <v>-2</v>
      </c>
      <c r="F37" s="664">
        <v>3.0750000000000002</v>
      </c>
      <c r="G37" s="664"/>
      <c r="H37" s="678">
        <v>3</v>
      </c>
      <c r="I37" s="678">
        <f t="shared" si="3"/>
        <v>-18.450000000000003</v>
      </c>
      <c r="J37" s="664"/>
      <c r="K37" s="679"/>
      <c r="L37" s="679"/>
      <c r="M37" s="680"/>
      <c r="N37" s="681"/>
      <c r="O37" s="678"/>
      <c r="R37" s="309"/>
      <c r="S37" s="309"/>
      <c r="T37" s="309"/>
      <c r="U37" s="309"/>
      <c r="V37" s="309"/>
    </row>
    <row r="38" spans="1:22" ht="15" thickTop="1" thickBot="1" x14ac:dyDescent="0.3">
      <c r="A38" s="307"/>
      <c r="B38" s="308"/>
      <c r="C38" s="308"/>
      <c r="D38" s="308"/>
      <c r="E38" s="664">
        <v>1</v>
      </c>
      <c r="F38" s="664">
        <v>0.9</v>
      </c>
      <c r="G38" s="664"/>
      <c r="H38" s="678">
        <v>3.45</v>
      </c>
      <c r="I38" s="678">
        <f t="shared" si="3"/>
        <v>3.1050000000000004</v>
      </c>
      <c r="J38" s="664"/>
      <c r="K38" s="679"/>
      <c r="L38" s="679"/>
      <c r="M38" s="680"/>
      <c r="N38" s="681"/>
      <c r="O38" s="678"/>
      <c r="R38" s="309"/>
      <c r="S38" s="309"/>
      <c r="T38" s="309"/>
      <c r="U38" s="309"/>
      <c r="V38" s="309"/>
    </row>
    <row r="39" spans="1:22" ht="15" thickTop="1" thickBot="1" x14ac:dyDescent="0.3">
      <c r="A39" s="307"/>
      <c r="B39" s="308"/>
      <c r="C39" s="308"/>
      <c r="D39" s="308" t="s">
        <v>772</v>
      </c>
      <c r="E39" s="664">
        <v>-1</v>
      </c>
      <c r="F39" s="664">
        <v>0.9</v>
      </c>
      <c r="G39" s="664"/>
      <c r="H39" s="678">
        <v>2.1</v>
      </c>
      <c r="I39" s="678">
        <f t="shared" si="3"/>
        <v>-1.8900000000000001</v>
      </c>
      <c r="J39" s="664"/>
      <c r="K39" s="679"/>
      <c r="L39" s="679"/>
      <c r="M39" s="680"/>
      <c r="N39" s="681"/>
      <c r="O39" s="678"/>
      <c r="R39" s="309"/>
      <c r="S39" s="309"/>
      <c r="T39" s="309"/>
      <c r="U39" s="309"/>
      <c r="V39" s="309"/>
    </row>
    <row r="40" spans="1:22" ht="15" thickTop="1" thickBot="1" x14ac:dyDescent="0.3">
      <c r="A40" s="307"/>
      <c r="B40" s="308"/>
      <c r="C40" s="308"/>
      <c r="D40" s="308"/>
      <c r="E40" s="664">
        <v>1</v>
      </c>
      <c r="F40" s="664">
        <v>21.5</v>
      </c>
      <c r="G40" s="664"/>
      <c r="H40" s="678">
        <v>3.45</v>
      </c>
      <c r="I40" s="678">
        <f t="shared" si="3"/>
        <v>74.174999999999997</v>
      </c>
      <c r="J40" s="664"/>
      <c r="K40" s="679"/>
      <c r="L40" s="679"/>
      <c r="M40" s="680"/>
      <c r="N40" s="681"/>
      <c r="O40" s="678"/>
      <c r="R40" s="309"/>
      <c r="S40" s="309"/>
      <c r="T40" s="309"/>
      <c r="U40" s="309"/>
      <c r="V40" s="309"/>
    </row>
    <row r="41" spans="1:22" ht="15" thickTop="1" thickBot="1" x14ac:dyDescent="0.3">
      <c r="A41" s="307"/>
      <c r="B41" s="308"/>
      <c r="C41" s="308"/>
      <c r="D41" s="308" t="s">
        <v>772</v>
      </c>
      <c r="E41" s="664">
        <v>-1</v>
      </c>
      <c r="F41" s="664">
        <v>0.9</v>
      </c>
      <c r="G41" s="664"/>
      <c r="H41" s="678">
        <v>2.1</v>
      </c>
      <c r="I41" s="678">
        <f t="shared" si="3"/>
        <v>-1.8900000000000001</v>
      </c>
      <c r="J41" s="664"/>
      <c r="K41" s="679"/>
      <c r="L41" s="679"/>
      <c r="M41" s="680"/>
      <c r="N41" s="681"/>
      <c r="O41" s="678"/>
      <c r="R41" s="309"/>
      <c r="S41" s="309"/>
      <c r="T41" s="309"/>
      <c r="U41" s="309"/>
      <c r="V41" s="309"/>
    </row>
    <row r="42" spans="1:22" ht="15" thickTop="1" thickBot="1" x14ac:dyDescent="0.3">
      <c r="A42" s="307"/>
      <c r="B42" s="308"/>
      <c r="C42" s="308"/>
      <c r="D42" s="308" t="s">
        <v>817</v>
      </c>
      <c r="E42" s="664">
        <v>-1</v>
      </c>
      <c r="F42" s="664">
        <v>2</v>
      </c>
      <c r="G42" s="664"/>
      <c r="H42" s="678">
        <v>3</v>
      </c>
      <c r="I42" s="678">
        <f t="shared" si="3"/>
        <v>-6</v>
      </c>
      <c r="J42" s="664"/>
      <c r="K42" s="679"/>
      <c r="L42" s="679"/>
      <c r="M42" s="680"/>
      <c r="N42" s="681"/>
      <c r="O42" s="678"/>
      <c r="R42" s="309"/>
      <c r="S42" s="309"/>
      <c r="T42" s="309"/>
      <c r="U42" s="309"/>
      <c r="V42" s="309"/>
    </row>
    <row r="43" spans="1:22" ht="15" thickTop="1" thickBot="1" x14ac:dyDescent="0.3">
      <c r="A43" s="307"/>
      <c r="B43" s="308"/>
      <c r="C43" s="308"/>
      <c r="D43" s="308"/>
      <c r="E43" s="664">
        <v>1</v>
      </c>
      <c r="F43" s="664">
        <v>12.45</v>
      </c>
      <c r="G43" s="664"/>
      <c r="H43" s="678">
        <v>3.45</v>
      </c>
      <c r="I43" s="678">
        <f t="shared" si="3"/>
        <v>42.952500000000001</v>
      </c>
      <c r="J43" s="664"/>
      <c r="K43" s="679"/>
      <c r="L43" s="679"/>
      <c r="M43" s="680"/>
      <c r="N43" s="681"/>
      <c r="O43" s="678"/>
      <c r="R43" s="309"/>
      <c r="S43" s="309"/>
      <c r="T43" s="309"/>
      <c r="U43" s="309"/>
      <c r="V43" s="309"/>
    </row>
    <row r="44" spans="1:22" ht="15" thickTop="1" thickBot="1" x14ac:dyDescent="0.3">
      <c r="A44" s="307"/>
      <c r="B44" s="308"/>
      <c r="C44" s="308"/>
      <c r="D44" s="308" t="s">
        <v>826</v>
      </c>
      <c r="E44" s="664">
        <v>-1</v>
      </c>
      <c r="F44" s="664">
        <v>3.75</v>
      </c>
      <c r="G44" s="664"/>
      <c r="H44" s="678">
        <v>3</v>
      </c>
      <c r="I44" s="678">
        <f t="shared" si="3"/>
        <v>-11.25</v>
      </c>
      <c r="J44" s="664"/>
      <c r="K44" s="679"/>
      <c r="L44" s="679"/>
      <c r="M44" s="680"/>
      <c r="N44" s="681"/>
      <c r="O44" s="678"/>
      <c r="R44" s="309"/>
      <c r="S44" s="309"/>
      <c r="T44" s="309"/>
      <c r="U44" s="309"/>
      <c r="V44" s="309"/>
    </row>
    <row r="45" spans="1:22" ht="15" thickTop="1" thickBot="1" x14ac:dyDescent="0.3">
      <c r="A45" s="307"/>
      <c r="B45" s="308"/>
      <c r="C45" s="308"/>
      <c r="D45" s="308"/>
      <c r="E45" s="664">
        <v>1</v>
      </c>
      <c r="F45" s="664">
        <v>6.5</v>
      </c>
      <c r="G45" s="664"/>
      <c r="H45" s="678">
        <v>3.45</v>
      </c>
      <c r="I45" s="678">
        <f t="shared" si="3"/>
        <v>22.425000000000001</v>
      </c>
      <c r="J45" s="664"/>
      <c r="K45" s="679"/>
      <c r="L45" s="679"/>
      <c r="M45" s="680"/>
      <c r="N45" s="681"/>
      <c r="O45" s="678"/>
      <c r="R45" s="309"/>
      <c r="S45" s="309"/>
      <c r="T45" s="309"/>
      <c r="U45" s="309"/>
      <c r="V45" s="309"/>
    </row>
    <row r="46" spans="1:22" ht="15" thickTop="1" thickBot="1" x14ac:dyDescent="0.3">
      <c r="A46" s="307"/>
      <c r="B46" s="308"/>
      <c r="C46" s="308"/>
      <c r="D46" s="308" t="s">
        <v>814</v>
      </c>
      <c r="E46" s="664">
        <v>-1</v>
      </c>
      <c r="F46" s="664">
        <v>3.0750000000000002</v>
      </c>
      <c r="G46" s="664"/>
      <c r="H46" s="678">
        <v>3</v>
      </c>
      <c r="I46" s="678">
        <f t="shared" si="3"/>
        <v>-9.2250000000000014</v>
      </c>
      <c r="J46" s="664">
        <f>SUM(I32:I46)</f>
        <v>215.86875000000001</v>
      </c>
      <c r="K46" s="679">
        <f>$K$2</f>
        <v>1.05</v>
      </c>
      <c r="L46" s="679">
        <f t="shared" ref="L46" si="7">K46*J46</f>
        <v>226.66218750000002</v>
      </c>
      <c r="M46" s="680">
        <f t="shared" ref="M46" si="8">ROUND(L46,1)</f>
        <v>226.7</v>
      </c>
      <c r="N46" s="681">
        <f t="shared" ref="N46" si="9">ROUNDUP(M46,0)</f>
        <v>227</v>
      </c>
      <c r="O46" s="678" t="s">
        <v>183</v>
      </c>
      <c r="R46" s="309"/>
      <c r="S46" s="309"/>
      <c r="T46" s="309"/>
      <c r="U46" s="309"/>
      <c r="V46" s="309"/>
    </row>
    <row r="47" spans="1:22" ht="15" thickTop="1" thickBot="1" x14ac:dyDescent="0.3">
      <c r="A47" s="307"/>
      <c r="B47" s="308"/>
      <c r="C47" s="308"/>
      <c r="D47" s="308"/>
      <c r="E47" s="664"/>
      <c r="F47" s="664"/>
      <c r="G47" s="664"/>
      <c r="H47" s="678"/>
      <c r="I47" s="678"/>
      <c r="J47" s="664"/>
      <c r="K47" s="679"/>
      <c r="L47" s="679"/>
      <c r="M47" s="680"/>
      <c r="N47" s="681"/>
      <c r="O47" s="678"/>
      <c r="R47" s="309"/>
      <c r="S47" s="309"/>
      <c r="T47" s="309"/>
      <c r="U47" s="309"/>
      <c r="V47" s="309"/>
    </row>
    <row r="48" spans="1:22" ht="28.8" thickTop="1" thickBot="1" x14ac:dyDescent="0.3">
      <c r="A48" s="307">
        <f>masnry!A15</f>
        <v>1.03</v>
      </c>
      <c r="B48" s="721" t="str">
        <f>masnry!B15</f>
        <v>Brick work in cement and sand 1:5 in Roof floor level.(9" thick brick work)</v>
      </c>
      <c r="C48" s="308"/>
      <c r="D48" s="308"/>
      <c r="E48" s="664">
        <v>1</v>
      </c>
      <c r="F48" s="664">
        <v>18.82</v>
      </c>
      <c r="G48" s="664"/>
      <c r="H48" s="678">
        <v>3.45</v>
      </c>
      <c r="I48" s="678">
        <f t="shared" ref="I48:I53" si="10">H48*F48*E48</f>
        <v>64.929000000000002</v>
      </c>
      <c r="J48" s="664"/>
      <c r="K48" s="679"/>
      <c r="L48" s="679"/>
      <c r="M48" s="680"/>
      <c r="N48" s="681"/>
      <c r="O48" s="678"/>
      <c r="R48" s="309"/>
      <c r="S48" s="309"/>
      <c r="T48" s="309"/>
      <c r="U48" s="309"/>
      <c r="V48" s="309"/>
    </row>
    <row r="49" spans="1:22" ht="15" thickTop="1" thickBot="1" x14ac:dyDescent="0.3">
      <c r="A49" s="307"/>
      <c r="B49" s="308"/>
      <c r="C49" s="308"/>
      <c r="D49" s="308" t="s">
        <v>828</v>
      </c>
      <c r="E49" s="664">
        <v>-1</v>
      </c>
      <c r="F49" s="664">
        <v>1.32</v>
      </c>
      <c r="G49" s="664"/>
      <c r="H49" s="678">
        <v>3</v>
      </c>
      <c r="I49" s="678">
        <f t="shared" si="10"/>
        <v>-3.96</v>
      </c>
      <c r="J49" s="664"/>
      <c r="K49" s="679"/>
      <c r="L49" s="679"/>
      <c r="M49" s="680"/>
      <c r="N49" s="681"/>
      <c r="O49" s="678"/>
      <c r="R49" s="309"/>
      <c r="S49" s="309"/>
      <c r="T49" s="309"/>
      <c r="U49" s="309"/>
      <c r="V49" s="309"/>
    </row>
    <row r="50" spans="1:22" ht="15" thickTop="1" thickBot="1" x14ac:dyDescent="0.3">
      <c r="A50" s="307"/>
      <c r="B50" s="308"/>
      <c r="C50" s="308"/>
      <c r="D50" s="308" t="s">
        <v>826</v>
      </c>
      <c r="E50" s="664">
        <v>-3</v>
      </c>
      <c r="F50" s="664">
        <v>3.75</v>
      </c>
      <c r="G50" s="664"/>
      <c r="H50" s="678">
        <v>3</v>
      </c>
      <c r="I50" s="678">
        <f t="shared" si="10"/>
        <v>-33.75</v>
      </c>
      <c r="J50" s="664"/>
      <c r="K50" s="679"/>
      <c r="L50" s="679"/>
      <c r="M50" s="680"/>
      <c r="N50" s="681"/>
      <c r="O50" s="678"/>
      <c r="R50" s="309"/>
      <c r="S50" s="309"/>
      <c r="T50" s="309"/>
      <c r="U50" s="309"/>
      <c r="V50" s="309"/>
    </row>
    <row r="51" spans="1:22" ht="15" thickTop="1" thickBot="1" x14ac:dyDescent="0.3">
      <c r="A51" s="307"/>
      <c r="B51" s="308"/>
      <c r="C51" s="308"/>
      <c r="D51" s="308"/>
      <c r="E51" s="664">
        <v>1</v>
      </c>
      <c r="F51" s="664">
        <v>1.89</v>
      </c>
      <c r="G51" s="664"/>
      <c r="H51" s="678">
        <v>3.45</v>
      </c>
      <c r="I51" s="678">
        <f t="shared" si="10"/>
        <v>6.5205000000000002</v>
      </c>
      <c r="J51" s="664"/>
      <c r="K51" s="679"/>
      <c r="L51" s="679"/>
      <c r="M51" s="680"/>
      <c r="N51" s="681"/>
      <c r="O51" s="678"/>
      <c r="R51" s="309"/>
      <c r="S51" s="309"/>
      <c r="T51" s="309"/>
      <c r="U51" s="309"/>
      <c r="V51" s="309"/>
    </row>
    <row r="52" spans="1:22" ht="15" thickTop="1" thickBot="1" x14ac:dyDescent="0.3">
      <c r="A52" s="307"/>
      <c r="B52" s="308"/>
      <c r="C52" s="308"/>
      <c r="D52" s="308"/>
      <c r="E52" s="664">
        <v>1</v>
      </c>
      <c r="F52" s="664">
        <v>4.1900000000000004</v>
      </c>
      <c r="G52" s="664"/>
      <c r="H52" s="678">
        <v>3.45</v>
      </c>
      <c r="I52" s="678">
        <f t="shared" si="10"/>
        <v>14.455500000000002</v>
      </c>
      <c r="J52" s="664"/>
      <c r="K52" s="679"/>
      <c r="L52" s="679"/>
      <c r="M52" s="680"/>
      <c r="N52" s="681"/>
      <c r="O52" s="678"/>
      <c r="R52" s="309"/>
      <c r="S52" s="309"/>
      <c r="T52" s="309"/>
      <c r="U52" s="309"/>
      <c r="V52" s="309"/>
    </row>
    <row r="53" spans="1:22" ht="15" thickTop="1" thickBot="1" x14ac:dyDescent="0.3">
      <c r="A53" s="307"/>
      <c r="B53" s="308"/>
      <c r="C53" s="308"/>
      <c r="D53" s="308"/>
      <c r="E53" s="664">
        <v>1</v>
      </c>
      <c r="F53" s="664">
        <v>2.0499999999999998</v>
      </c>
      <c r="G53" s="664"/>
      <c r="H53" s="678">
        <v>3.45</v>
      </c>
      <c r="I53" s="678">
        <f t="shared" si="10"/>
        <v>7.0724999999999998</v>
      </c>
      <c r="J53" s="664">
        <f>SUM(I48:I53)</f>
        <v>55.267499999999998</v>
      </c>
      <c r="K53" s="679">
        <f>$K$2</f>
        <v>1.05</v>
      </c>
      <c r="L53" s="679">
        <f t="shared" ref="L53" si="11">K53*J53</f>
        <v>58.030875000000002</v>
      </c>
      <c r="M53" s="680">
        <f t="shared" ref="M53" si="12">ROUND(L53,1)</f>
        <v>58</v>
      </c>
      <c r="N53" s="681">
        <f t="shared" ref="N53" si="13">ROUNDUP(M53,0)</f>
        <v>58</v>
      </c>
      <c r="O53" s="678" t="s">
        <v>183</v>
      </c>
      <c r="R53" s="309"/>
      <c r="S53" s="309"/>
      <c r="T53" s="309"/>
      <c r="U53" s="309"/>
      <c r="V53" s="309"/>
    </row>
    <row r="54" spans="1:22" ht="15" thickTop="1" thickBot="1" x14ac:dyDescent="0.3">
      <c r="A54" s="307"/>
      <c r="B54" s="308"/>
      <c r="C54" s="308"/>
      <c r="D54" s="308"/>
      <c r="E54" s="664"/>
      <c r="F54" s="664"/>
      <c r="G54" s="664"/>
      <c r="H54" s="678"/>
      <c r="I54" s="678"/>
      <c r="J54" s="664"/>
      <c r="K54" s="682"/>
      <c r="L54" s="682"/>
      <c r="M54" s="673"/>
      <c r="N54" s="683"/>
      <c r="O54" s="664"/>
      <c r="R54" s="309"/>
      <c r="S54" s="309"/>
      <c r="T54" s="309"/>
      <c r="U54" s="309"/>
      <c r="V54" s="309"/>
    </row>
    <row r="55" spans="1:22" ht="28.8" thickTop="1" thickBot="1" x14ac:dyDescent="0.3">
      <c r="A55" s="307">
        <f>masnry!A18</f>
        <v>1.04</v>
      </c>
      <c r="B55" s="721" t="str">
        <f>masnry!B18</f>
        <v>Brick work in cement and sand 1:5 in super Structure in ground floor.  ( 6" thick brick work)</v>
      </c>
      <c r="C55" s="308"/>
      <c r="D55" s="308"/>
      <c r="E55" s="664">
        <v>1</v>
      </c>
      <c r="F55" s="664">
        <v>3.1150000000000002</v>
      </c>
      <c r="G55" s="664"/>
      <c r="H55" s="678">
        <v>3.95</v>
      </c>
      <c r="I55" s="678">
        <f t="shared" ref="I55:I85" si="14">H55*F55*E55</f>
        <v>12.304250000000001</v>
      </c>
      <c r="J55" s="664"/>
      <c r="K55" s="682"/>
      <c r="L55" s="682"/>
      <c r="M55" s="673"/>
      <c r="N55" s="683"/>
      <c r="O55" s="664"/>
      <c r="R55" s="309"/>
      <c r="S55" s="309"/>
      <c r="T55" s="309"/>
      <c r="U55" s="309"/>
      <c r="V55" s="309"/>
    </row>
    <row r="56" spans="1:22" ht="15" thickTop="1" thickBot="1" x14ac:dyDescent="0.3">
      <c r="A56" s="307"/>
      <c r="B56" s="308"/>
      <c r="C56" s="308"/>
      <c r="D56" s="308"/>
      <c r="E56" s="664">
        <v>1</v>
      </c>
      <c r="F56" s="664">
        <v>5.41</v>
      </c>
      <c r="G56" s="664"/>
      <c r="H56" s="678">
        <v>3.95</v>
      </c>
      <c r="I56" s="678">
        <f t="shared" si="14"/>
        <v>21.369500000000002</v>
      </c>
      <c r="J56" s="664"/>
      <c r="K56" s="682"/>
      <c r="L56" s="682"/>
      <c r="M56" s="673"/>
      <c r="N56" s="683"/>
      <c r="O56" s="664"/>
      <c r="R56" s="309"/>
      <c r="S56" s="309"/>
      <c r="T56" s="309"/>
      <c r="U56" s="309"/>
      <c r="V56" s="309"/>
    </row>
    <row r="57" spans="1:22" ht="15" thickTop="1" thickBot="1" x14ac:dyDescent="0.3">
      <c r="A57" s="307"/>
      <c r="B57" s="308"/>
      <c r="C57" s="308"/>
      <c r="D57" s="308"/>
      <c r="E57" s="664">
        <v>1</v>
      </c>
      <c r="F57" s="664">
        <v>3.15</v>
      </c>
      <c r="G57" s="664"/>
      <c r="H57" s="678">
        <v>3.95</v>
      </c>
      <c r="I57" s="678">
        <f t="shared" si="14"/>
        <v>12.442500000000001</v>
      </c>
      <c r="J57" s="664"/>
      <c r="K57" s="682"/>
      <c r="L57" s="682"/>
      <c r="M57" s="673"/>
      <c r="N57" s="683"/>
      <c r="O57" s="664"/>
      <c r="R57" s="309"/>
      <c r="S57" s="309"/>
      <c r="T57" s="309"/>
      <c r="U57" s="309"/>
      <c r="V57" s="309"/>
    </row>
    <row r="58" spans="1:22" ht="15" thickTop="1" thickBot="1" x14ac:dyDescent="0.3">
      <c r="A58" s="307"/>
      <c r="B58" s="308"/>
      <c r="C58" s="308"/>
      <c r="D58" s="308" t="s">
        <v>773</v>
      </c>
      <c r="E58" s="664">
        <v>-2</v>
      </c>
      <c r="F58" s="664">
        <v>0.75</v>
      </c>
      <c r="G58" s="664"/>
      <c r="H58" s="678">
        <v>2.1</v>
      </c>
      <c r="I58" s="678">
        <f t="shared" si="14"/>
        <v>-3.1500000000000004</v>
      </c>
      <c r="J58" s="664"/>
      <c r="K58" s="682"/>
      <c r="L58" s="682"/>
      <c r="M58" s="673"/>
      <c r="N58" s="683"/>
      <c r="O58" s="664"/>
      <c r="R58" s="309"/>
      <c r="S58" s="309"/>
      <c r="T58" s="309"/>
      <c r="U58" s="309"/>
      <c r="V58" s="309"/>
    </row>
    <row r="59" spans="1:22" ht="15" thickTop="1" thickBot="1" x14ac:dyDescent="0.3">
      <c r="A59" s="307"/>
      <c r="B59" s="308"/>
      <c r="C59" s="308"/>
      <c r="D59" s="308"/>
      <c r="E59" s="664">
        <v>1</v>
      </c>
      <c r="F59" s="664">
        <v>1.65</v>
      </c>
      <c r="G59" s="664"/>
      <c r="H59" s="678">
        <v>3.95</v>
      </c>
      <c r="I59" s="678">
        <f t="shared" si="14"/>
        <v>6.5175000000000001</v>
      </c>
      <c r="J59" s="664"/>
      <c r="K59" s="682"/>
      <c r="L59" s="682"/>
      <c r="M59" s="673"/>
      <c r="N59" s="683"/>
      <c r="O59" s="664"/>
      <c r="R59" s="309"/>
      <c r="S59" s="309"/>
      <c r="T59" s="309"/>
      <c r="U59" s="309"/>
      <c r="V59" s="309"/>
    </row>
    <row r="60" spans="1:22" ht="15" thickTop="1" thickBot="1" x14ac:dyDescent="0.3">
      <c r="A60" s="307"/>
      <c r="B60" s="308"/>
      <c r="C60" s="308"/>
      <c r="D60" s="308"/>
      <c r="E60" s="664">
        <v>1</v>
      </c>
      <c r="F60" s="664">
        <v>0.9</v>
      </c>
      <c r="G60" s="664"/>
      <c r="H60" s="678">
        <v>3.95</v>
      </c>
      <c r="I60" s="678">
        <f t="shared" si="14"/>
        <v>3.5550000000000002</v>
      </c>
      <c r="J60" s="664"/>
      <c r="K60" s="682"/>
      <c r="L60" s="682"/>
      <c r="M60" s="673"/>
      <c r="N60" s="683"/>
      <c r="O60" s="664"/>
      <c r="R60" s="309"/>
      <c r="S60" s="309"/>
      <c r="T60" s="309"/>
      <c r="U60" s="309"/>
      <c r="V60" s="309"/>
    </row>
    <row r="61" spans="1:22" ht="15" thickTop="1" thickBot="1" x14ac:dyDescent="0.3">
      <c r="A61" s="307"/>
      <c r="B61" s="308"/>
      <c r="C61" s="308"/>
      <c r="D61" s="308" t="s">
        <v>772</v>
      </c>
      <c r="E61" s="664">
        <v>-1</v>
      </c>
      <c r="F61" s="664">
        <v>0.9</v>
      </c>
      <c r="G61" s="664"/>
      <c r="H61" s="678">
        <v>2.1</v>
      </c>
      <c r="I61" s="678">
        <f t="shared" si="14"/>
        <v>-1.8900000000000001</v>
      </c>
      <c r="J61" s="664"/>
      <c r="K61" s="682"/>
      <c r="L61" s="682"/>
      <c r="M61" s="673"/>
      <c r="N61" s="683"/>
      <c r="O61" s="664"/>
      <c r="R61" s="309"/>
      <c r="S61" s="309"/>
      <c r="T61" s="309"/>
      <c r="U61" s="309"/>
      <c r="V61" s="309"/>
    </row>
    <row r="62" spans="1:22" ht="15" thickTop="1" thickBot="1" x14ac:dyDescent="0.3">
      <c r="A62" s="307"/>
      <c r="B62" s="308"/>
      <c r="C62" s="308"/>
      <c r="D62" s="308"/>
      <c r="E62" s="664">
        <v>1</v>
      </c>
      <c r="F62" s="664">
        <v>2.97</v>
      </c>
      <c r="G62" s="664"/>
      <c r="H62" s="678">
        <v>3.95</v>
      </c>
      <c r="I62" s="678">
        <f t="shared" si="14"/>
        <v>11.7315</v>
      </c>
      <c r="J62" s="664"/>
      <c r="K62" s="682"/>
      <c r="L62" s="682"/>
      <c r="M62" s="673"/>
      <c r="N62" s="683"/>
      <c r="O62" s="664"/>
      <c r="R62" s="309"/>
      <c r="S62" s="309"/>
      <c r="T62" s="309"/>
      <c r="U62" s="309"/>
      <c r="V62" s="309"/>
    </row>
    <row r="63" spans="1:22" ht="15" thickTop="1" thickBot="1" x14ac:dyDescent="0.3">
      <c r="A63" s="307"/>
      <c r="B63" s="308"/>
      <c r="C63" s="308"/>
      <c r="D63" s="308" t="s">
        <v>824</v>
      </c>
      <c r="E63" s="664">
        <v>-1</v>
      </c>
      <c r="F63" s="664">
        <v>2.0750000000000002</v>
      </c>
      <c r="G63" s="664"/>
      <c r="H63" s="678">
        <v>3</v>
      </c>
      <c r="I63" s="678">
        <f t="shared" si="14"/>
        <v>-6.2250000000000005</v>
      </c>
      <c r="J63" s="664"/>
      <c r="K63" s="682"/>
      <c r="L63" s="682"/>
      <c r="M63" s="673"/>
      <c r="N63" s="683"/>
      <c r="O63" s="664"/>
      <c r="R63" s="309"/>
      <c r="S63" s="309"/>
      <c r="T63" s="309"/>
      <c r="U63" s="309"/>
      <c r="V63" s="309"/>
    </row>
    <row r="64" spans="1:22" ht="15" thickTop="1" thickBot="1" x14ac:dyDescent="0.3">
      <c r="A64" s="307"/>
      <c r="B64" s="308"/>
      <c r="C64" s="308"/>
      <c r="D64" s="308" t="s">
        <v>184</v>
      </c>
      <c r="E64" s="664">
        <v>-1</v>
      </c>
      <c r="F64" s="664">
        <v>0.9</v>
      </c>
      <c r="G64" s="664"/>
      <c r="H64" s="678">
        <v>3</v>
      </c>
      <c r="I64" s="678">
        <f t="shared" si="14"/>
        <v>-2.7</v>
      </c>
      <c r="J64" s="664"/>
      <c r="K64" s="682"/>
      <c r="L64" s="682"/>
      <c r="M64" s="673"/>
      <c r="N64" s="683"/>
      <c r="O64" s="664"/>
      <c r="R64" s="309"/>
      <c r="S64" s="309"/>
      <c r="T64" s="309"/>
      <c r="U64" s="309"/>
      <c r="V64" s="309"/>
    </row>
    <row r="65" spans="1:22" ht="15" thickTop="1" thickBot="1" x14ac:dyDescent="0.3">
      <c r="A65" s="307"/>
      <c r="B65" s="308"/>
      <c r="C65" s="308"/>
      <c r="D65" s="308"/>
      <c r="E65" s="664">
        <v>1</v>
      </c>
      <c r="F65" s="664">
        <v>3.1150000000000002</v>
      </c>
      <c r="G65" s="664"/>
      <c r="H65" s="678">
        <v>3.95</v>
      </c>
      <c r="I65" s="678">
        <f t="shared" si="14"/>
        <v>12.304250000000001</v>
      </c>
      <c r="J65" s="664">
        <f>SUM(I55:I65)</f>
        <v>66.259500000000003</v>
      </c>
      <c r="K65" s="679">
        <f>$K$2</f>
        <v>1.05</v>
      </c>
      <c r="L65" s="679">
        <f t="shared" ref="L65" si="15">K65*J65</f>
        <v>69.572475000000011</v>
      </c>
      <c r="M65" s="680">
        <f t="shared" ref="M65" si="16">ROUND(L65,1)</f>
        <v>69.599999999999994</v>
      </c>
      <c r="N65" s="681">
        <f t="shared" ref="N65" si="17">ROUNDUP(M65,0)</f>
        <v>70</v>
      </c>
      <c r="O65" s="678" t="s">
        <v>183</v>
      </c>
      <c r="R65" s="309"/>
      <c r="S65" s="309"/>
      <c r="T65" s="309"/>
      <c r="U65" s="309"/>
      <c r="V65" s="309"/>
    </row>
    <row r="66" spans="1:22" ht="15" thickTop="1" thickBot="1" x14ac:dyDescent="0.3">
      <c r="A66" s="307"/>
      <c r="B66" s="308"/>
      <c r="C66" s="308"/>
      <c r="D66" s="308"/>
      <c r="E66" s="664"/>
      <c r="F66" s="664"/>
      <c r="G66" s="664"/>
      <c r="H66" s="678"/>
      <c r="I66" s="678"/>
      <c r="J66" s="664"/>
      <c r="K66" s="679"/>
      <c r="L66" s="679"/>
      <c r="M66" s="680"/>
      <c r="N66" s="681"/>
      <c r="O66" s="678"/>
      <c r="R66" s="309"/>
      <c r="S66" s="309"/>
      <c r="T66" s="309"/>
      <c r="U66" s="309"/>
      <c r="V66" s="309"/>
    </row>
    <row r="67" spans="1:22" ht="28.8" thickTop="1" thickBot="1" x14ac:dyDescent="0.3">
      <c r="A67" s="307">
        <f>masnry!A20</f>
        <v>1.05</v>
      </c>
      <c r="B67" s="721" t="str">
        <f>masnry!B20</f>
        <v>Brick work in cement and sand 1:5 in super Structure in First floor level. ( 6" thick brick work)</v>
      </c>
      <c r="C67" s="308"/>
      <c r="D67" s="308"/>
      <c r="E67" s="664">
        <v>1</v>
      </c>
      <c r="F67" s="664">
        <v>13.425000000000001</v>
      </c>
      <c r="G67" s="664"/>
      <c r="H67" s="678">
        <v>3.45</v>
      </c>
      <c r="I67" s="678">
        <f t="shared" si="14"/>
        <v>46.316250000000004</v>
      </c>
      <c r="J67" s="664"/>
      <c r="K67" s="679"/>
      <c r="L67" s="679"/>
      <c r="M67" s="680"/>
      <c r="N67" s="681"/>
      <c r="O67" s="678"/>
      <c r="R67" s="309"/>
      <c r="S67" s="309"/>
      <c r="T67" s="309"/>
      <c r="U67" s="309"/>
      <c r="V67" s="309"/>
    </row>
    <row r="68" spans="1:22" ht="15" thickTop="1" thickBot="1" x14ac:dyDescent="0.3">
      <c r="A68" s="307"/>
      <c r="B68" s="308"/>
      <c r="C68" s="308"/>
      <c r="D68" s="308" t="s">
        <v>810</v>
      </c>
      <c r="E68" s="664">
        <v>-1</v>
      </c>
      <c r="F68" s="664">
        <v>1.1000000000000001</v>
      </c>
      <c r="G68" s="664"/>
      <c r="H68" s="678">
        <v>1.5</v>
      </c>
      <c r="I68" s="678">
        <f t="shared" si="14"/>
        <v>-1.6500000000000001</v>
      </c>
      <c r="J68" s="664"/>
      <c r="K68" s="679"/>
      <c r="L68" s="679"/>
      <c r="M68" s="680"/>
      <c r="N68" s="681"/>
      <c r="O68" s="678"/>
      <c r="R68" s="309"/>
      <c r="S68" s="309"/>
      <c r="T68" s="309"/>
      <c r="U68" s="309"/>
      <c r="V68" s="309"/>
    </row>
    <row r="69" spans="1:22" ht="15" thickTop="1" thickBot="1" x14ac:dyDescent="0.3">
      <c r="A69" s="307"/>
      <c r="B69" s="308"/>
      <c r="C69" s="308"/>
      <c r="D69" s="308"/>
      <c r="E69" s="664">
        <v>1</v>
      </c>
      <c r="F69" s="664">
        <v>2.35</v>
      </c>
      <c r="G69" s="664"/>
      <c r="H69" s="678">
        <v>3.45</v>
      </c>
      <c r="I69" s="678">
        <f t="shared" si="14"/>
        <v>8.1074999999999999</v>
      </c>
      <c r="J69" s="664"/>
      <c r="K69" s="679"/>
      <c r="L69" s="679"/>
      <c r="M69" s="680"/>
      <c r="N69" s="681"/>
      <c r="O69" s="678"/>
      <c r="R69" s="309"/>
      <c r="S69" s="309"/>
      <c r="T69" s="309"/>
      <c r="U69" s="309"/>
      <c r="V69" s="309"/>
    </row>
    <row r="70" spans="1:22" ht="15" thickTop="1" thickBot="1" x14ac:dyDescent="0.3">
      <c r="A70" s="307"/>
      <c r="B70" s="308"/>
      <c r="C70" s="308"/>
      <c r="D70" s="308"/>
      <c r="E70" s="664">
        <v>1</v>
      </c>
      <c r="F70" s="664">
        <v>4.05</v>
      </c>
      <c r="G70" s="664"/>
      <c r="H70" s="678">
        <v>3.45</v>
      </c>
      <c r="I70" s="678">
        <f t="shared" si="14"/>
        <v>13.9725</v>
      </c>
      <c r="J70" s="664"/>
      <c r="K70" s="679"/>
      <c r="L70" s="679"/>
      <c r="M70" s="680"/>
      <c r="N70" s="681"/>
      <c r="O70" s="678"/>
      <c r="R70" s="309"/>
      <c r="S70" s="309"/>
      <c r="T70" s="309"/>
      <c r="U70" s="309"/>
      <c r="V70" s="309"/>
    </row>
    <row r="71" spans="1:22" ht="15" thickTop="1" thickBot="1" x14ac:dyDescent="0.3">
      <c r="A71" s="307"/>
      <c r="B71" s="308"/>
      <c r="C71" s="308"/>
      <c r="D71" s="308"/>
      <c r="E71" s="664">
        <v>1</v>
      </c>
      <c r="F71" s="664">
        <v>5.2</v>
      </c>
      <c r="G71" s="664"/>
      <c r="H71" s="678">
        <v>3.45</v>
      </c>
      <c r="I71" s="678">
        <f t="shared" si="14"/>
        <v>17.940000000000001</v>
      </c>
      <c r="J71" s="664"/>
      <c r="K71" s="679"/>
      <c r="L71" s="679"/>
      <c r="M71" s="680"/>
      <c r="N71" s="681"/>
      <c r="O71" s="678"/>
      <c r="R71" s="309"/>
      <c r="S71" s="309"/>
      <c r="T71" s="309"/>
      <c r="U71" s="309"/>
      <c r="V71" s="309"/>
    </row>
    <row r="72" spans="1:22" ht="15" thickTop="1" thickBot="1" x14ac:dyDescent="0.3">
      <c r="A72" s="307"/>
      <c r="B72" s="308"/>
      <c r="C72" s="308"/>
      <c r="D72" s="308"/>
      <c r="E72" s="664">
        <v>1</v>
      </c>
      <c r="F72" s="664">
        <v>3.15</v>
      </c>
      <c r="G72" s="664"/>
      <c r="H72" s="678">
        <v>3.45</v>
      </c>
      <c r="I72" s="678">
        <f t="shared" si="14"/>
        <v>10.8675</v>
      </c>
      <c r="J72" s="664"/>
      <c r="K72" s="679"/>
      <c r="L72" s="679"/>
      <c r="M72" s="680"/>
      <c r="N72" s="681"/>
      <c r="O72" s="678"/>
      <c r="R72" s="309"/>
      <c r="S72" s="309"/>
      <c r="T72" s="309"/>
      <c r="U72" s="309"/>
      <c r="V72" s="309"/>
    </row>
    <row r="73" spans="1:22" ht="15" thickTop="1" thickBot="1" x14ac:dyDescent="0.3">
      <c r="A73" s="307"/>
      <c r="B73" s="308"/>
      <c r="C73" s="308"/>
      <c r="D73" s="308" t="s">
        <v>773</v>
      </c>
      <c r="E73" s="664">
        <v>-2</v>
      </c>
      <c r="F73" s="664">
        <v>0.75</v>
      </c>
      <c r="G73" s="664"/>
      <c r="H73" s="678">
        <v>2.1</v>
      </c>
      <c r="I73" s="678">
        <f t="shared" si="14"/>
        <v>-3.1500000000000004</v>
      </c>
      <c r="J73" s="664"/>
      <c r="K73" s="679"/>
      <c r="L73" s="679"/>
      <c r="M73" s="680"/>
      <c r="N73" s="681"/>
      <c r="O73" s="678"/>
      <c r="R73" s="309"/>
      <c r="S73" s="309"/>
      <c r="T73" s="309"/>
      <c r="U73" s="309"/>
      <c r="V73" s="309"/>
    </row>
    <row r="74" spans="1:22" ht="15" thickTop="1" thickBot="1" x14ac:dyDescent="0.3">
      <c r="A74" s="307"/>
      <c r="B74" s="308"/>
      <c r="C74" s="308"/>
      <c r="D74" s="308"/>
      <c r="E74" s="664">
        <v>1</v>
      </c>
      <c r="F74" s="664">
        <v>1.65</v>
      </c>
      <c r="G74" s="664"/>
      <c r="H74" s="678">
        <v>3.45</v>
      </c>
      <c r="I74" s="678">
        <f t="shared" si="14"/>
        <v>5.6924999999999999</v>
      </c>
      <c r="J74" s="664"/>
      <c r="K74" s="679"/>
      <c r="L74" s="679"/>
      <c r="M74" s="680"/>
      <c r="N74" s="681"/>
      <c r="O74" s="678"/>
      <c r="R74" s="309"/>
      <c r="S74" s="309"/>
      <c r="T74" s="309"/>
      <c r="U74" s="309"/>
      <c r="V74" s="309"/>
    </row>
    <row r="75" spans="1:22" ht="15" thickTop="1" thickBot="1" x14ac:dyDescent="0.3">
      <c r="A75" s="307"/>
      <c r="B75" s="308"/>
      <c r="C75" s="308"/>
      <c r="D75" s="308"/>
      <c r="E75" s="664">
        <v>1</v>
      </c>
      <c r="F75" s="664">
        <v>4.75</v>
      </c>
      <c r="G75" s="664"/>
      <c r="H75" s="678">
        <v>3.45</v>
      </c>
      <c r="I75" s="678">
        <f t="shared" si="14"/>
        <v>16.387499999999999</v>
      </c>
      <c r="J75" s="664"/>
      <c r="K75" s="679"/>
      <c r="L75" s="679"/>
      <c r="M75" s="680"/>
      <c r="N75" s="681"/>
      <c r="O75" s="678"/>
      <c r="R75" s="309"/>
      <c r="S75" s="309"/>
      <c r="T75" s="309"/>
      <c r="U75" s="309"/>
      <c r="V75" s="309"/>
    </row>
    <row r="76" spans="1:22" ht="15" thickTop="1" thickBot="1" x14ac:dyDescent="0.3">
      <c r="A76" s="307"/>
      <c r="B76" s="308"/>
      <c r="C76" s="308"/>
      <c r="D76" s="308" t="s">
        <v>772</v>
      </c>
      <c r="E76" s="664">
        <v>-1</v>
      </c>
      <c r="F76" s="664">
        <v>0.9</v>
      </c>
      <c r="G76" s="664"/>
      <c r="H76" s="678">
        <v>2.1</v>
      </c>
      <c r="I76" s="678">
        <f t="shared" si="14"/>
        <v>-1.8900000000000001</v>
      </c>
      <c r="J76" s="664">
        <f>SUM(I67:I76)</f>
        <v>112.59375</v>
      </c>
      <c r="K76" s="679">
        <f>$K$2</f>
        <v>1.05</v>
      </c>
      <c r="L76" s="679">
        <f t="shared" ref="L76" si="18">K76*J76</f>
        <v>118.2234375</v>
      </c>
      <c r="M76" s="680">
        <f t="shared" ref="M76" si="19">ROUND(L76,1)</f>
        <v>118.2</v>
      </c>
      <c r="N76" s="681">
        <f t="shared" ref="N76" si="20">ROUNDUP(M76,0)</f>
        <v>119</v>
      </c>
      <c r="O76" s="678" t="s">
        <v>183</v>
      </c>
      <c r="R76" s="309"/>
      <c r="S76" s="309"/>
      <c r="T76" s="309"/>
      <c r="U76" s="309"/>
      <c r="V76" s="309"/>
    </row>
    <row r="77" spans="1:22" ht="15" thickTop="1" thickBot="1" x14ac:dyDescent="0.3">
      <c r="A77" s="307"/>
      <c r="B77" s="308"/>
      <c r="C77" s="308"/>
      <c r="D77" s="308"/>
      <c r="E77" s="664"/>
      <c r="F77" s="664"/>
      <c r="G77" s="664"/>
      <c r="H77" s="678"/>
      <c r="I77" s="678"/>
      <c r="J77" s="664"/>
      <c r="K77" s="679"/>
      <c r="L77" s="679"/>
      <c r="M77" s="680"/>
      <c r="N77" s="681"/>
      <c r="O77" s="678"/>
      <c r="R77" s="309"/>
      <c r="S77" s="309"/>
      <c r="T77" s="309"/>
      <c r="U77" s="309"/>
      <c r="V77" s="309"/>
    </row>
    <row r="78" spans="1:22" ht="28.8" thickTop="1" thickBot="1" x14ac:dyDescent="0.3">
      <c r="A78" s="307">
        <f>masnry!A22</f>
        <v>1.06</v>
      </c>
      <c r="B78" s="721" t="str">
        <f>masnry!B22</f>
        <v>Brick work in cement and sand 1:5 in Roof floor level.(6" thick brick work)</v>
      </c>
      <c r="C78" s="308"/>
      <c r="D78" s="308"/>
      <c r="E78" s="664">
        <v>1</v>
      </c>
      <c r="F78" s="664">
        <v>6.3</v>
      </c>
      <c r="G78" s="664"/>
      <c r="H78" s="678">
        <v>3.45</v>
      </c>
      <c r="I78" s="678">
        <f t="shared" si="14"/>
        <v>21.734999999999999</v>
      </c>
      <c r="J78" s="664"/>
      <c r="K78" s="679"/>
      <c r="L78" s="679"/>
      <c r="M78" s="680"/>
      <c r="N78" s="681"/>
      <c r="O78" s="678"/>
      <c r="R78" s="309"/>
      <c r="S78" s="309"/>
      <c r="T78" s="309"/>
      <c r="U78" s="309"/>
      <c r="V78" s="309"/>
    </row>
    <row r="79" spans="1:22" ht="15" thickTop="1" thickBot="1" x14ac:dyDescent="0.3">
      <c r="A79" s="307"/>
      <c r="B79" s="308"/>
      <c r="C79" s="308"/>
      <c r="D79" s="308" t="s">
        <v>814</v>
      </c>
      <c r="E79" s="664">
        <v>-1</v>
      </c>
      <c r="F79" s="664">
        <v>3.0750000000000002</v>
      </c>
      <c r="G79" s="664"/>
      <c r="H79" s="678">
        <v>3</v>
      </c>
      <c r="I79" s="678">
        <f t="shared" si="14"/>
        <v>-9.2250000000000014</v>
      </c>
      <c r="J79" s="664"/>
      <c r="K79" s="679"/>
      <c r="L79" s="679"/>
      <c r="M79" s="680"/>
      <c r="N79" s="681"/>
      <c r="O79" s="678"/>
      <c r="R79" s="309"/>
      <c r="S79" s="309"/>
      <c r="T79" s="309"/>
      <c r="U79" s="309"/>
      <c r="V79" s="309"/>
    </row>
    <row r="80" spans="1:22" ht="15" thickTop="1" thickBot="1" x14ac:dyDescent="0.3">
      <c r="A80" s="307"/>
      <c r="B80" s="308"/>
      <c r="C80" s="308"/>
      <c r="D80" s="308"/>
      <c r="E80" s="664">
        <v>1</v>
      </c>
      <c r="F80" s="664">
        <v>6.09</v>
      </c>
      <c r="G80" s="664"/>
      <c r="H80" s="678">
        <v>3.45</v>
      </c>
      <c r="I80" s="678">
        <f t="shared" si="14"/>
        <v>21.0105</v>
      </c>
      <c r="J80" s="664"/>
      <c r="K80" s="679"/>
      <c r="L80" s="679"/>
      <c r="M80" s="680"/>
      <c r="N80" s="681"/>
      <c r="O80" s="678"/>
      <c r="R80" s="309"/>
      <c r="S80" s="309"/>
      <c r="T80" s="309"/>
      <c r="U80" s="309"/>
      <c r="V80" s="309"/>
    </row>
    <row r="81" spans="1:22" ht="15" thickTop="1" thickBot="1" x14ac:dyDescent="0.3">
      <c r="A81" s="307"/>
      <c r="B81" s="308"/>
      <c r="C81" s="308"/>
      <c r="D81" s="308" t="s">
        <v>810</v>
      </c>
      <c r="E81" s="664">
        <v>-1</v>
      </c>
      <c r="F81" s="664">
        <v>1.1000000000000001</v>
      </c>
      <c r="G81" s="664"/>
      <c r="H81" s="678">
        <v>1.5</v>
      </c>
      <c r="I81" s="678">
        <f t="shared" si="14"/>
        <v>-1.6500000000000001</v>
      </c>
      <c r="J81" s="664"/>
      <c r="K81" s="679"/>
      <c r="L81" s="679"/>
      <c r="M81" s="680"/>
      <c r="N81" s="681"/>
      <c r="O81" s="678"/>
      <c r="R81" s="309"/>
      <c r="S81" s="309"/>
      <c r="T81" s="309"/>
      <c r="U81" s="309"/>
      <c r="V81" s="309"/>
    </row>
    <row r="82" spans="1:22" ht="15" thickTop="1" thickBot="1" x14ac:dyDescent="0.3">
      <c r="A82" s="307"/>
      <c r="B82" s="308"/>
      <c r="C82" s="308"/>
      <c r="D82" s="308"/>
      <c r="E82" s="664">
        <v>1</v>
      </c>
      <c r="F82" s="664">
        <v>3.625</v>
      </c>
      <c r="G82" s="664"/>
      <c r="H82" s="678">
        <v>3.45</v>
      </c>
      <c r="I82" s="678">
        <f t="shared" si="14"/>
        <v>12.506250000000001</v>
      </c>
      <c r="J82" s="664"/>
      <c r="K82" s="679"/>
      <c r="L82" s="679"/>
      <c r="M82" s="680"/>
      <c r="N82" s="681"/>
      <c r="O82" s="678"/>
      <c r="R82" s="309"/>
      <c r="S82" s="309"/>
      <c r="T82" s="309"/>
      <c r="U82" s="309"/>
      <c r="V82" s="309"/>
    </row>
    <row r="83" spans="1:22" ht="15" thickTop="1" thickBot="1" x14ac:dyDescent="0.3">
      <c r="A83" s="307"/>
      <c r="B83" s="308"/>
      <c r="C83" s="308"/>
      <c r="D83" s="308" t="s">
        <v>773</v>
      </c>
      <c r="E83" s="664">
        <v>-1</v>
      </c>
      <c r="F83" s="664">
        <v>0.75</v>
      </c>
      <c r="G83" s="664"/>
      <c r="H83" s="678">
        <v>2.1</v>
      </c>
      <c r="I83" s="678">
        <f t="shared" si="14"/>
        <v>-1.5750000000000002</v>
      </c>
      <c r="J83" s="664"/>
      <c r="K83" s="679"/>
      <c r="L83" s="679"/>
      <c r="M83" s="680"/>
      <c r="N83" s="681"/>
      <c r="O83" s="678"/>
      <c r="R83" s="309"/>
      <c r="S83" s="309"/>
      <c r="T83" s="309"/>
      <c r="U83" s="309"/>
      <c r="V83" s="309"/>
    </row>
    <row r="84" spans="1:22" ht="15" thickTop="1" thickBot="1" x14ac:dyDescent="0.3">
      <c r="A84" s="307"/>
      <c r="B84" s="308"/>
      <c r="C84" s="308"/>
      <c r="D84" s="308"/>
      <c r="E84" s="664">
        <v>1</v>
      </c>
      <c r="F84" s="664">
        <v>12.4</v>
      </c>
      <c r="G84" s="664"/>
      <c r="H84" s="678">
        <v>3.45</v>
      </c>
      <c r="I84" s="678">
        <f t="shared" si="14"/>
        <v>42.78</v>
      </c>
      <c r="J84" s="664"/>
      <c r="K84" s="679"/>
      <c r="L84" s="679"/>
      <c r="M84" s="680"/>
      <c r="N84" s="681"/>
      <c r="O84" s="678"/>
      <c r="R84" s="309"/>
      <c r="S84" s="309"/>
      <c r="T84" s="309"/>
      <c r="U84" s="309"/>
      <c r="V84" s="309"/>
    </row>
    <row r="85" spans="1:22" ht="15" thickTop="1" thickBot="1" x14ac:dyDescent="0.3">
      <c r="A85" s="307"/>
      <c r="B85" s="308"/>
      <c r="C85" s="308"/>
      <c r="D85" s="308" t="s">
        <v>829</v>
      </c>
      <c r="E85" s="664">
        <v>-1</v>
      </c>
      <c r="F85" s="664">
        <v>6.44</v>
      </c>
      <c r="G85" s="664"/>
      <c r="H85" s="678">
        <v>3</v>
      </c>
      <c r="I85" s="678">
        <f t="shared" si="14"/>
        <v>-19.32</v>
      </c>
      <c r="J85" s="664">
        <f>SUM(I78:I85)</f>
        <v>66.261750000000006</v>
      </c>
      <c r="K85" s="679">
        <f>$K$2</f>
        <v>1.05</v>
      </c>
      <c r="L85" s="679">
        <f t="shared" ref="L85" si="21">K85*J85</f>
        <v>69.574837500000015</v>
      </c>
      <c r="M85" s="680">
        <f t="shared" ref="M85" si="22">ROUND(L85,1)</f>
        <v>69.599999999999994</v>
      </c>
      <c r="N85" s="681">
        <f t="shared" ref="N85" si="23">ROUNDUP(M85,0)</f>
        <v>70</v>
      </c>
      <c r="O85" s="678" t="s">
        <v>183</v>
      </c>
      <c r="R85" s="309"/>
      <c r="S85" s="309"/>
      <c r="T85" s="309"/>
      <c r="U85" s="309"/>
      <c r="V85" s="309"/>
    </row>
    <row r="86" spans="1:22" ht="15" thickTop="1" thickBot="1" x14ac:dyDescent="0.3">
      <c r="A86" s="307"/>
      <c r="B86" s="308"/>
      <c r="C86" s="308"/>
      <c r="D86" s="308"/>
      <c r="E86" s="664"/>
      <c r="F86" s="664"/>
      <c r="G86" s="664"/>
      <c r="H86" s="678"/>
      <c r="I86" s="678"/>
      <c r="J86" s="664"/>
      <c r="K86" s="682"/>
      <c r="L86" s="682"/>
      <c r="M86" s="673"/>
      <c r="N86" s="683"/>
      <c r="O86" s="664"/>
      <c r="R86" s="309"/>
      <c r="S86" s="309"/>
      <c r="T86" s="309"/>
      <c r="U86" s="309"/>
      <c r="V86" s="309"/>
    </row>
    <row r="87" spans="1:22" ht="28.8" thickTop="1" thickBot="1" x14ac:dyDescent="0.3">
      <c r="A87" s="307">
        <f>masnry!A25</f>
        <v>1.07</v>
      </c>
      <c r="B87" s="721" t="str">
        <f>masnry!B25</f>
        <v>Brick work in cement and sand 1:5 in super Structure in ground floor.  ( 4" thick brick work)</v>
      </c>
      <c r="C87" s="308"/>
      <c r="D87" s="668"/>
      <c r="E87" s="664">
        <v>1</v>
      </c>
      <c r="F87" s="664">
        <v>3.8250000000000002</v>
      </c>
      <c r="G87" s="664"/>
      <c r="H87" s="678">
        <v>3.95</v>
      </c>
      <c r="I87" s="678">
        <f t="shared" ref="I87:I95" si="24">H87*F87*E87</f>
        <v>15.108750000000001</v>
      </c>
      <c r="J87" s="664"/>
      <c r="K87" s="682"/>
      <c r="L87" s="682"/>
      <c r="M87" s="673"/>
      <c r="N87" s="683"/>
      <c r="O87" s="664"/>
      <c r="R87" s="309"/>
      <c r="S87" s="309"/>
      <c r="T87" s="309"/>
      <c r="U87" s="309"/>
      <c r="V87" s="309"/>
    </row>
    <row r="88" spans="1:22" ht="15" thickTop="1" thickBot="1" x14ac:dyDescent="0.3">
      <c r="A88" s="307"/>
      <c r="B88" s="308"/>
      <c r="C88" s="308"/>
      <c r="D88" s="308" t="s">
        <v>773</v>
      </c>
      <c r="E88" s="664">
        <v>-1</v>
      </c>
      <c r="F88" s="664">
        <v>0.75</v>
      </c>
      <c r="G88" s="664"/>
      <c r="H88" s="678">
        <v>2.1</v>
      </c>
      <c r="I88" s="678">
        <f t="shared" si="24"/>
        <v>-1.5750000000000002</v>
      </c>
      <c r="J88" s="664"/>
      <c r="K88" s="682"/>
      <c r="L88" s="682"/>
      <c r="M88" s="673"/>
      <c r="N88" s="683"/>
      <c r="O88" s="664"/>
      <c r="R88" s="309"/>
      <c r="S88" s="309"/>
      <c r="T88" s="309"/>
      <c r="U88" s="309"/>
      <c r="V88" s="309"/>
    </row>
    <row r="89" spans="1:22" ht="15" thickTop="1" thickBot="1" x14ac:dyDescent="0.3">
      <c r="A89" s="307"/>
      <c r="B89" s="308"/>
      <c r="C89" s="308"/>
      <c r="D89" s="668" t="s">
        <v>810</v>
      </c>
      <c r="E89" s="664">
        <v>-1</v>
      </c>
      <c r="F89" s="664">
        <v>1.1000000000000001</v>
      </c>
      <c r="G89" s="664"/>
      <c r="H89" s="678">
        <v>1.6</v>
      </c>
      <c r="I89" s="678">
        <f t="shared" si="24"/>
        <v>-1.7600000000000002</v>
      </c>
      <c r="J89" s="664"/>
      <c r="K89" s="682"/>
      <c r="L89" s="682"/>
      <c r="M89" s="673"/>
      <c r="N89" s="683"/>
      <c r="O89" s="664"/>
      <c r="R89" s="309"/>
      <c r="S89" s="309"/>
      <c r="T89" s="309"/>
      <c r="U89" s="309"/>
      <c r="V89" s="309"/>
    </row>
    <row r="90" spans="1:22" ht="15" thickTop="1" thickBot="1" x14ac:dyDescent="0.3">
      <c r="A90" s="307"/>
      <c r="B90" s="308"/>
      <c r="C90" s="308"/>
      <c r="D90" s="308"/>
      <c r="E90" s="664">
        <v>1</v>
      </c>
      <c r="F90" s="664">
        <v>6</v>
      </c>
      <c r="G90" s="664"/>
      <c r="H90" s="678">
        <v>3.95</v>
      </c>
      <c r="I90" s="678">
        <f t="shared" si="24"/>
        <v>23.700000000000003</v>
      </c>
      <c r="J90" s="664"/>
      <c r="K90" s="682"/>
      <c r="L90" s="682"/>
      <c r="M90" s="673"/>
      <c r="N90" s="683"/>
      <c r="O90" s="664"/>
      <c r="R90" s="309"/>
      <c r="S90" s="309"/>
      <c r="T90" s="309"/>
      <c r="U90" s="309"/>
      <c r="V90" s="309"/>
    </row>
    <row r="91" spans="1:22" ht="15" thickTop="1" thickBot="1" x14ac:dyDescent="0.3">
      <c r="A91" s="307"/>
      <c r="B91" s="308"/>
      <c r="C91" s="308"/>
      <c r="D91" s="668" t="s">
        <v>772</v>
      </c>
      <c r="E91" s="664">
        <v>-1</v>
      </c>
      <c r="F91" s="664">
        <v>0.9</v>
      </c>
      <c r="G91" s="664"/>
      <c r="H91" s="664">
        <v>2.1</v>
      </c>
      <c r="I91" s="678">
        <f t="shared" si="24"/>
        <v>-1.8900000000000001</v>
      </c>
      <c r="J91" s="664"/>
      <c r="K91" s="682"/>
      <c r="L91" s="682"/>
      <c r="M91" s="673"/>
      <c r="N91" s="683"/>
      <c r="O91" s="664"/>
      <c r="R91" s="309"/>
      <c r="S91" s="309"/>
      <c r="T91" s="309"/>
      <c r="U91" s="309"/>
      <c r="V91" s="309"/>
    </row>
    <row r="92" spans="1:22" ht="15" thickTop="1" thickBot="1" x14ac:dyDescent="0.3">
      <c r="A92" s="307"/>
      <c r="B92" s="308"/>
      <c r="C92" s="308"/>
      <c r="D92" s="308"/>
      <c r="E92" s="664">
        <v>1</v>
      </c>
      <c r="F92" s="664">
        <v>2.9350000000000001</v>
      </c>
      <c r="G92" s="664"/>
      <c r="H92" s="678">
        <v>3.95</v>
      </c>
      <c r="I92" s="678">
        <f t="shared" si="24"/>
        <v>11.593250000000001</v>
      </c>
      <c r="J92" s="664"/>
      <c r="K92" s="682"/>
      <c r="L92" s="682"/>
      <c r="M92" s="673"/>
      <c r="N92" s="683"/>
      <c r="O92" s="664"/>
      <c r="Q92" s="309"/>
      <c r="R92" s="309"/>
      <c r="S92" s="309"/>
      <c r="T92" s="309"/>
      <c r="U92" s="309"/>
      <c r="V92" s="309"/>
    </row>
    <row r="93" spans="1:22" ht="15" thickTop="1" thickBot="1" x14ac:dyDescent="0.3">
      <c r="A93" s="307"/>
      <c r="B93" s="308"/>
      <c r="C93" s="308"/>
      <c r="D93" s="308"/>
      <c r="E93" s="664">
        <v>1</v>
      </c>
      <c r="F93" s="664">
        <v>6.05</v>
      </c>
      <c r="G93" s="664"/>
      <c r="H93" s="678">
        <v>3.95</v>
      </c>
      <c r="I93" s="678">
        <f t="shared" si="24"/>
        <v>23.897500000000001</v>
      </c>
      <c r="J93" s="664"/>
      <c r="K93" s="682"/>
      <c r="L93" s="682"/>
      <c r="M93" s="673"/>
      <c r="N93" s="683"/>
      <c r="O93" s="664"/>
      <c r="Q93" s="309"/>
      <c r="R93" s="309"/>
      <c r="S93" s="309"/>
      <c r="T93" s="309"/>
      <c r="U93" s="309"/>
      <c r="V93" s="309"/>
    </row>
    <row r="94" spans="1:22" ht="15" thickTop="1" thickBot="1" x14ac:dyDescent="0.3">
      <c r="A94" s="307"/>
      <c r="B94" s="308"/>
      <c r="C94" s="308"/>
      <c r="D94" s="308" t="s">
        <v>821</v>
      </c>
      <c r="E94" s="664">
        <v>-1</v>
      </c>
      <c r="F94" s="664">
        <v>0.9</v>
      </c>
      <c r="G94" s="664"/>
      <c r="H94" s="664">
        <v>3</v>
      </c>
      <c r="I94" s="678">
        <f t="shared" si="24"/>
        <v>-2.7</v>
      </c>
      <c r="J94" s="664"/>
      <c r="K94" s="682"/>
      <c r="L94" s="682"/>
      <c r="M94" s="673"/>
      <c r="N94" s="683"/>
      <c r="O94" s="664"/>
      <c r="R94" s="309"/>
      <c r="S94" s="309"/>
      <c r="T94" s="309"/>
      <c r="U94" s="309"/>
      <c r="V94" s="309"/>
    </row>
    <row r="95" spans="1:22" ht="15" thickTop="1" thickBot="1" x14ac:dyDescent="0.3">
      <c r="A95" s="307"/>
      <c r="B95" s="308"/>
      <c r="C95" s="308"/>
      <c r="D95" s="308" t="s">
        <v>811</v>
      </c>
      <c r="E95" s="664">
        <v>-1</v>
      </c>
      <c r="F95" s="664">
        <v>1.05</v>
      </c>
      <c r="G95" s="664"/>
      <c r="H95" s="664">
        <v>2</v>
      </c>
      <c r="I95" s="678">
        <f t="shared" si="24"/>
        <v>-2.1</v>
      </c>
      <c r="J95" s="664">
        <f>SUM(I87:I95)</f>
        <v>64.274500000000003</v>
      </c>
      <c r="K95" s="679">
        <f>$K$2</f>
        <v>1.05</v>
      </c>
      <c r="L95" s="679">
        <f t="shared" ref="L95" si="25">K95*J95</f>
        <v>67.488225</v>
      </c>
      <c r="M95" s="680">
        <f t="shared" ref="M95" si="26">ROUND(L95,1)</f>
        <v>67.5</v>
      </c>
      <c r="N95" s="681">
        <f t="shared" ref="N95" si="27">ROUNDUP(M95,0)</f>
        <v>68</v>
      </c>
      <c r="O95" s="678" t="s">
        <v>183</v>
      </c>
      <c r="R95" s="309"/>
      <c r="S95" s="309"/>
      <c r="T95" s="309"/>
      <c r="U95" s="309"/>
      <c r="V95" s="309"/>
    </row>
    <row r="96" spans="1:22" ht="15" thickTop="1" thickBot="1" x14ac:dyDescent="0.3">
      <c r="A96" s="307"/>
      <c r="B96" s="308"/>
      <c r="C96" s="308"/>
      <c r="D96" s="308"/>
      <c r="E96" s="664"/>
      <c r="F96" s="664"/>
      <c r="G96" s="664"/>
      <c r="H96" s="664"/>
      <c r="I96" s="678"/>
      <c r="J96" s="664"/>
      <c r="K96" s="682"/>
      <c r="L96" s="682"/>
      <c r="M96" s="673"/>
      <c r="N96" s="683"/>
      <c r="O96" s="664"/>
      <c r="R96" s="309"/>
      <c r="S96" s="309"/>
      <c r="T96" s="309"/>
      <c r="U96" s="309"/>
      <c r="V96" s="309"/>
    </row>
    <row r="97" spans="1:22" ht="15" thickTop="1" thickBot="1" x14ac:dyDescent="0.3">
      <c r="A97" s="307"/>
      <c r="B97" s="308"/>
      <c r="C97" s="308"/>
      <c r="D97" s="308"/>
      <c r="E97" s="664"/>
      <c r="F97" s="664"/>
      <c r="G97" s="664"/>
      <c r="H97" s="664"/>
      <c r="I97" s="678"/>
      <c r="J97" s="664"/>
      <c r="K97" s="682"/>
      <c r="L97" s="682"/>
      <c r="M97" s="673"/>
      <c r="N97" s="683"/>
      <c r="O97" s="664"/>
      <c r="R97" s="309"/>
      <c r="S97" s="309"/>
      <c r="T97" s="309"/>
      <c r="U97" s="309"/>
      <c r="V97" s="309"/>
    </row>
    <row r="98" spans="1:22" ht="28.8" thickTop="1" thickBot="1" x14ac:dyDescent="0.3">
      <c r="A98" s="307" t="str">
        <f>floring!A6</f>
        <v>J 02</v>
      </c>
      <c r="B98" s="721" t="str">
        <f>floring!B6</f>
        <v>Gauge 750 polythene damp proof membrane with 6" laps laid under floors.</v>
      </c>
      <c r="C98" s="308"/>
      <c r="D98" s="308"/>
      <c r="E98" s="664"/>
      <c r="F98" s="664"/>
      <c r="G98" s="664"/>
      <c r="H98" s="664"/>
      <c r="I98" s="678">
        <f>I3</f>
        <v>252.28083699999999</v>
      </c>
      <c r="J98" s="678">
        <f>I98</f>
        <v>252.28083699999999</v>
      </c>
      <c r="K98" s="679">
        <f>$K$2</f>
        <v>1.05</v>
      </c>
      <c r="L98" s="679">
        <f t="shared" ref="L98" si="28">K98*J98</f>
        <v>264.89487885</v>
      </c>
      <c r="M98" s="680">
        <f t="shared" ref="M98" si="29">ROUND(L98,1)</f>
        <v>264.89999999999998</v>
      </c>
      <c r="N98" s="681">
        <f t="shared" ref="N98" si="30">ROUNDUP(M98,0)</f>
        <v>265</v>
      </c>
      <c r="O98" s="678" t="s">
        <v>183</v>
      </c>
      <c r="Q98" s="659"/>
      <c r="R98" s="309"/>
      <c r="S98" s="309"/>
      <c r="T98" s="309"/>
      <c r="U98" s="309"/>
      <c r="V98" s="309"/>
    </row>
    <row r="99" spans="1:22" ht="15" thickTop="1" thickBot="1" x14ac:dyDescent="0.3">
      <c r="A99" s="307"/>
      <c r="B99" s="308"/>
      <c r="C99" s="308"/>
      <c r="D99" s="308"/>
      <c r="E99" s="664"/>
      <c r="F99" s="664"/>
      <c r="G99" s="664"/>
      <c r="H99" s="664"/>
      <c r="I99" s="678"/>
      <c r="J99" s="664"/>
      <c r="K99" s="682"/>
      <c r="L99" s="682"/>
      <c r="M99" s="673"/>
      <c r="N99" s="683"/>
      <c r="O99" s="664"/>
      <c r="Q99" s="659"/>
      <c r="R99" s="309"/>
      <c r="S99" s="309"/>
      <c r="T99" s="309"/>
      <c r="U99" s="309"/>
      <c r="V99" s="309"/>
    </row>
    <row r="100" spans="1:22" s="728" customFormat="1" ht="15" thickTop="1" thickBot="1" x14ac:dyDescent="0.3">
      <c r="A100" s="722" t="s">
        <v>159</v>
      </c>
      <c r="B100" s="723" t="str">
        <f>waterprof!B2</f>
        <v>E - WATER PROOFING WORK</v>
      </c>
      <c r="C100" s="724"/>
      <c r="D100" s="724"/>
      <c r="E100" s="710"/>
      <c r="F100" s="710"/>
      <c r="G100" s="710"/>
      <c r="H100" s="710"/>
      <c r="I100" s="711"/>
      <c r="J100" s="710"/>
      <c r="K100" s="725"/>
      <c r="L100" s="725"/>
      <c r="M100" s="726"/>
      <c r="N100" s="727"/>
      <c r="O100" s="710"/>
      <c r="Q100" s="729"/>
      <c r="R100" s="729"/>
      <c r="S100" s="729"/>
      <c r="T100" s="729"/>
      <c r="U100" s="729"/>
      <c r="V100" s="729"/>
    </row>
    <row r="101" spans="1:22" ht="15" thickTop="1" thickBot="1" x14ac:dyDescent="0.3">
      <c r="A101" s="307"/>
      <c r="B101" s="308"/>
      <c r="C101" s="308"/>
      <c r="D101" s="308"/>
      <c r="E101" s="664"/>
      <c r="F101" s="664"/>
      <c r="G101" s="664"/>
      <c r="H101" s="664"/>
      <c r="I101" s="678"/>
      <c r="J101" s="664"/>
      <c r="K101" s="682"/>
      <c r="L101" s="682"/>
      <c r="M101" s="673"/>
      <c r="N101" s="683"/>
      <c r="O101" s="664"/>
      <c r="R101" s="309"/>
      <c r="S101" s="309"/>
      <c r="T101" s="309"/>
      <c r="U101" s="309"/>
      <c r="V101" s="309"/>
    </row>
    <row r="102" spans="1:22" ht="15" thickTop="1" thickBot="1" x14ac:dyDescent="0.3">
      <c r="A102" s="307" t="str">
        <f>waterprof!A19</f>
        <v>E. 01</v>
      </c>
      <c r="B102" s="663" t="s">
        <v>830</v>
      </c>
      <c r="C102" s="308"/>
      <c r="D102" s="308"/>
      <c r="E102" s="664">
        <v>2</v>
      </c>
      <c r="F102" s="664">
        <v>7.7249999999999996</v>
      </c>
      <c r="G102" s="664"/>
      <c r="H102" s="664">
        <v>1.5</v>
      </c>
      <c r="I102" s="678">
        <f t="shared" ref="I102:I103" si="31">H102*F102*E102</f>
        <v>23.174999999999997</v>
      </c>
      <c r="J102" s="664"/>
      <c r="K102" s="682"/>
      <c r="L102" s="682"/>
      <c r="M102" s="673"/>
      <c r="N102" s="683"/>
      <c r="O102" s="664"/>
      <c r="R102" s="309"/>
      <c r="S102" s="309"/>
      <c r="T102" s="309"/>
      <c r="U102" s="309"/>
      <c r="V102" s="309"/>
    </row>
    <row r="103" spans="1:22" ht="15" thickTop="1" thickBot="1" x14ac:dyDescent="0.3">
      <c r="A103" s="307"/>
      <c r="B103" s="663" t="str">
        <f>waterprof!B21</f>
        <v>Ground Floor</v>
      </c>
      <c r="C103" s="308"/>
      <c r="D103" s="308"/>
      <c r="E103" s="664">
        <v>1</v>
      </c>
      <c r="F103" s="664">
        <v>4.2750000000000004</v>
      </c>
      <c r="G103" s="664"/>
      <c r="H103" s="664">
        <v>1.5</v>
      </c>
      <c r="I103" s="678">
        <f t="shared" si="31"/>
        <v>6.4125000000000005</v>
      </c>
      <c r="J103" s="664">
        <f>SUM(I102:I103)</f>
        <v>29.587499999999999</v>
      </c>
      <c r="K103" s="679">
        <f>$K$2</f>
        <v>1.05</v>
      </c>
      <c r="L103" s="679">
        <f t="shared" ref="L103" si="32">K103*J103</f>
        <v>31.066875</v>
      </c>
      <c r="M103" s="680">
        <f t="shared" ref="M103" si="33">ROUND(L103,1)</f>
        <v>31.1</v>
      </c>
      <c r="N103" s="681">
        <f t="shared" ref="N103" si="34">ROUNDUP(M103,0)</f>
        <v>32</v>
      </c>
      <c r="O103" s="678" t="s">
        <v>183</v>
      </c>
      <c r="R103" s="309"/>
      <c r="S103" s="309"/>
      <c r="T103" s="309"/>
      <c r="U103" s="309"/>
      <c r="V103" s="309"/>
    </row>
    <row r="104" spans="1:22" ht="15" thickTop="1" thickBot="1" x14ac:dyDescent="0.3">
      <c r="A104" s="307"/>
      <c r="B104" s="308"/>
      <c r="C104" s="308"/>
      <c r="D104" s="308"/>
      <c r="E104" s="664"/>
      <c r="F104" s="664"/>
      <c r="G104" s="664"/>
      <c r="H104" s="664"/>
      <c r="I104" s="678"/>
      <c r="J104" s="664"/>
      <c r="K104" s="682"/>
      <c r="L104" s="682"/>
      <c r="M104" s="673"/>
      <c r="N104" s="683"/>
      <c r="O104" s="664"/>
      <c r="R104" s="309"/>
      <c r="S104" s="309"/>
      <c r="T104" s="309"/>
      <c r="U104" s="309"/>
      <c r="V104" s="309"/>
    </row>
    <row r="105" spans="1:22" ht="15" thickTop="1" thickBot="1" x14ac:dyDescent="0.3">
      <c r="A105" s="307"/>
      <c r="B105" s="663" t="str">
        <f>waterprof!B22</f>
        <v>First Floor</v>
      </c>
      <c r="C105" s="308"/>
      <c r="D105" s="308"/>
      <c r="E105" s="664">
        <v>2</v>
      </c>
      <c r="F105" s="664">
        <v>7.69</v>
      </c>
      <c r="G105" s="664"/>
      <c r="H105" s="664">
        <v>1.5</v>
      </c>
      <c r="I105" s="678">
        <f t="shared" ref="I105:I112" si="35">H105*F105*E105</f>
        <v>23.07</v>
      </c>
      <c r="J105" s="664"/>
      <c r="K105" s="682"/>
      <c r="L105" s="682"/>
      <c r="M105" s="673"/>
      <c r="N105" s="683"/>
      <c r="O105" s="664"/>
      <c r="R105" s="309"/>
      <c r="S105" s="309"/>
      <c r="T105" s="309"/>
      <c r="U105" s="309"/>
      <c r="V105" s="309"/>
    </row>
    <row r="106" spans="1:22" ht="15" thickTop="1" thickBot="1" x14ac:dyDescent="0.3">
      <c r="A106" s="307"/>
      <c r="B106" s="308"/>
      <c r="C106" s="308"/>
      <c r="D106" s="308"/>
      <c r="E106" s="664">
        <v>1</v>
      </c>
      <c r="F106" s="664">
        <v>8.5</v>
      </c>
      <c r="G106" s="664"/>
      <c r="H106" s="664">
        <v>1.5</v>
      </c>
      <c r="I106" s="678">
        <f t="shared" si="35"/>
        <v>12.75</v>
      </c>
      <c r="J106" s="664">
        <f>SUM(I105:I106)</f>
        <v>35.82</v>
      </c>
      <c r="K106" s="679">
        <f>$K$2</f>
        <v>1.05</v>
      </c>
      <c r="L106" s="679">
        <f t="shared" ref="L106" si="36">K106*J106</f>
        <v>37.611000000000004</v>
      </c>
      <c r="M106" s="680">
        <f t="shared" ref="M106" si="37">ROUND(L106,1)</f>
        <v>37.6</v>
      </c>
      <c r="N106" s="681">
        <f t="shared" ref="N106" si="38">ROUNDUP(M106,0)</f>
        <v>38</v>
      </c>
      <c r="O106" s="678" t="s">
        <v>183</v>
      </c>
      <c r="R106" s="309"/>
      <c r="S106" s="309"/>
      <c r="T106" s="309"/>
      <c r="U106" s="309"/>
      <c r="V106" s="309"/>
    </row>
    <row r="107" spans="1:22" ht="15" thickTop="1" thickBot="1" x14ac:dyDescent="0.3">
      <c r="A107" s="307"/>
      <c r="B107" s="308"/>
      <c r="C107" s="308"/>
      <c r="D107" s="308"/>
      <c r="E107" s="664"/>
      <c r="F107" s="664"/>
      <c r="G107" s="664"/>
      <c r="H107" s="664"/>
      <c r="I107" s="678"/>
      <c r="J107" s="664"/>
      <c r="K107" s="682"/>
      <c r="L107" s="682"/>
      <c r="M107" s="673"/>
      <c r="N107" s="683"/>
      <c r="O107" s="664"/>
      <c r="R107" s="309"/>
      <c r="S107" s="309"/>
      <c r="T107" s="309"/>
      <c r="U107" s="309"/>
      <c r="V107" s="309"/>
    </row>
    <row r="108" spans="1:22" ht="15" thickTop="1" thickBot="1" x14ac:dyDescent="0.3">
      <c r="A108" s="307"/>
      <c r="B108" s="663" t="str">
        <f>waterprof!B23</f>
        <v>Roof top  Floor</v>
      </c>
      <c r="C108" s="308"/>
      <c r="D108" s="308"/>
      <c r="E108" s="664">
        <v>1</v>
      </c>
      <c r="F108" s="664">
        <v>4.3</v>
      </c>
      <c r="G108" s="664"/>
      <c r="H108" s="664">
        <v>1.5</v>
      </c>
      <c r="I108" s="678">
        <f t="shared" si="35"/>
        <v>6.4499999999999993</v>
      </c>
      <c r="J108" s="664"/>
      <c r="K108" s="682"/>
      <c r="L108" s="682"/>
      <c r="M108" s="673"/>
      <c r="N108" s="683"/>
      <c r="O108" s="664"/>
      <c r="R108" s="309"/>
      <c r="S108" s="309"/>
      <c r="T108" s="309"/>
      <c r="U108" s="309"/>
      <c r="V108" s="309"/>
    </row>
    <row r="109" spans="1:22" ht="15" thickTop="1" thickBot="1" x14ac:dyDescent="0.3">
      <c r="A109" s="307"/>
      <c r="B109" s="308"/>
      <c r="C109" s="308"/>
      <c r="D109" s="308"/>
      <c r="E109" s="664">
        <v>1</v>
      </c>
      <c r="F109" s="664">
        <v>0.8</v>
      </c>
      <c r="G109" s="664"/>
      <c r="H109" s="664">
        <v>1.5</v>
      </c>
      <c r="I109" s="678">
        <f t="shared" si="35"/>
        <v>1.2000000000000002</v>
      </c>
      <c r="J109" s="664"/>
      <c r="K109" s="682"/>
      <c r="L109" s="682"/>
      <c r="M109" s="673"/>
      <c r="N109" s="683"/>
      <c r="O109" s="664"/>
      <c r="R109" s="309"/>
      <c r="S109" s="309"/>
      <c r="T109" s="309"/>
      <c r="U109" s="309"/>
      <c r="V109" s="309"/>
    </row>
    <row r="110" spans="1:22" ht="15" thickTop="1" thickBot="1" x14ac:dyDescent="0.3">
      <c r="A110" s="307"/>
      <c r="B110" s="308"/>
      <c r="C110" s="308"/>
      <c r="D110" s="308"/>
      <c r="E110" s="664">
        <v>1</v>
      </c>
      <c r="F110" s="664">
        <v>5.3</v>
      </c>
      <c r="G110" s="664"/>
      <c r="H110" s="664">
        <v>1.5</v>
      </c>
      <c r="I110" s="678">
        <f t="shared" si="35"/>
        <v>7.9499999999999993</v>
      </c>
      <c r="J110" s="664"/>
      <c r="K110" s="682"/>
      <c r="L110" s="682"/>
      <c r="M110" s="673"/>
      <c r="N110" s="683"/>
      <c r="O110" s="664"/>
      <c r="R110" s="309"/>
      <c r="S110" s="309"/>
      <c r="T110" s="309"/>
      <c r="U110" s="309"/>
      <c r="V110" s="309"/>
    </row>
    <row r="111" spans="1:22" ht="15" thickTop="1" thickBot="1" x14ac:dyDescent="0.3">
      <c r="A111" s="307"/>
      <c r="B111" s="308"/>
      <c r="C111" s="308"/>
      <c r="D111" s="308"/>
      <c r="E111" s="664">
        <v>1</v>
      </c>
      <c r="F111" s="664">
        <v>6.2</v>
      </c>
      <c r="G111" s="664"/>
      <c r="H111" s="664">
        <v>1.5</v>
      </c>
      <c r="I111" s="678">
        <f t="shared" si="35"/>
        <v>9.3000000000000007</v>
      </c>
      <c r="J111" s="664"/>
      <c r="K111" s="682"/>
      <c r="L111" s="682"/>
      <c r="M111" s="673"/>
      <c r="N111" s="683"/>
      <c r="O111" s="664"/>
      <c r="R111" s="309"/>
      <c r="S111" s="309"/>
      <c r="T111" s="309"/>
      <c r="U111" s="309"/>
      <c r="V111" s="309"/>
    </row>
    <row r="112" spans="1:22" ht="15" thickTop="1" thickBot="1" x14ac:dyDescent="0.3">
      <c r="A112" s="307"/>
      <c r="B112" s="308"/>
      <c r="C112" s="308"/>
      <c r="D112" s="308"/>
      <c r="E112" s="664">
        <v>1</v>
      </c>
      <c r="F112" s="664">
        <v>9.1999999999999993</v>
      </c>
      <c r="G112" s="664"/>
      <c r="H112" s="664">
        <v>1.5</v>
      </c>
      <c r="I112" s="678">
        <f t="shared" si="35"/>
        <v>13.799999999999999</v>
      </c>
      <c r="J112" s="664">
        <f>SUM(I111:I112)</f>
        <v>23.1</v>
      </c>
      <c r="K112" s="679">
        <f>$K$2</f>
        <v>1.05</v>
      </c>
      <c r="L112" s="679">
        <f t="shared" ref="L112" si="39">K112*J112</f>
        <v>24.255000000000003</v>
      </c>
      <c r="M112" s="680">
        <f t="shared" ref="M112" si="40">ROUND(L112,1)</f>
        <v>24.3</v>
      </c>
      <c r="N112" s="681">
        <f t="shared" ref="N112" si="41">ROUNDUP(M112,0)</f>
        <v>25</v>
      </c>
      <c r="O112" s="678" t="s">
        <v>183</v>
      </c>
      <c r="R112" s="309"/>
      <c r="S112" s="309"/>
      <c r="T112" s="309"/>
      <c r="U112" s="309"/>
      <c r="V112" s="309"/>
    </row>
    <row r="113" spans="1:22" ht="15" thickTop="1" thickBot="1" x14ac:dyDescent="0.3">
      <c r="A113" s="307" t="str">
        <f>waterprof!A26</f>
        <v>E. 02</v>
      </c>
      <c r="B113" s="308" t="s">
        <v>831</v>
      </c>
      <c r="C113" s="308"/>
      <c r="D113" s="308"/>
      <c r="E113" s="664"/>
      <c r="F113" s="664"/>
      <c r="G113" s="664"/>
      <c r="H113" s="664"/>
      <c r="I113" s="678"/>
      <c r="J113" s="664"/>
      <c r="K113" s="682"/>
      <c r="L113" s="682"/>
      <c r="M113" s="673"/>
      <c r="N113" s="683"/>
      <c r="O113" s="664"/>
      <c r="R113" s="309"/>
      <c r="S113" s="309"/>
      <c r="T113" s="309"/>
      <c r="U113" s="309"/>
      <c r="V113" s="309"/>
    </row>
    <row r="114" spans="1:22" ht="15" thickTop="1" thickBot="1" x14ac:dyDescent="0.3">
      <c r="A114" s="307"/>
      <c r="B114" s="308"/>
      <c r="C114" s="308"/>
      <c r="D114" s="308"/>
      <c r="E114" s="664"/>
      <c r="F114" s="664"/>
      <c r="G114" s="664"/>
      <c r="H114" s="664"/>
      <c r="I114" s="678"/>
      <c r="J114" s="664"/>
      <c r="K114" s="682"/>
      <c r="L114" s="682"/>
      <c r="M114" s="673"/>
      <c r="N114" s="683"/>
      <c r="O114" s="664"/>
      <c r="R114" s="309"/>
      <c r="S114" s="309"/>
      <c r="T114" s="309"/>
      <c r="U114" s="309"/>
      <c r="V114" s="309"/>
    </row>
    <row r="115" spans="1:22" ht="15" thickTop="1" thickBot="1" x14ac:dyDescent="0.3">
      <c r="A115" s="307"/>
      <c r="B115" s="663" t="str">
        <f>B103</f>
        <v>Ground Floor</v>
      </c>
      <c r="C115" s="308"/>
      <c r="D115" s="308"/>
      <c r="E115" s="664">
        <v>1</v>
      </c>
      <c r="F115" s="664">
        <v>1.5763370000000001</v>
      </c>
      <c r="G115" s="664"/>
      <c r="H115" s="664">
        <v>1</v>
      </c>
      <c r="I115" s="678">
        <f t="shared" ref="I115:I116" si="42">H115*F115*E115</f>
        <v>1.5763370000000001</v>
      </c>
      <c r="J115" s="664"/>
      <c r="K115" s="682"/>
      <c r="L115" s="682"/>
      <c r="M115" s="673"/>
      <c r="N115" s="683"/>
      <c r="O115" s="664"/>
      <c r="R115" s="309"/>
      <c r="S115" s="309"/>
      <c r="T115" s="309"/>
      <c r="U115" s="309"/>
      <c r="V115" s="309"/>
    </row>
    <row r="116" spans="1:22" ht="15" thickTop="1" thickBot="1" x14ac:dyDescent="0.3">
      <c r="A116" s="307"/>
      <c r="B116" s="308"/>
      <c r="C116" s="308"/>
      <c r="D116" s="308"/>
      <c r="E116" s="664">
        <v>1</v>
      </c>
      <c r="F116" s="664">
        <v>8.7584309999999999</v>
      </c>
      <c r="G116" s="664"/>
      <c r="H116" s="664">
        <v>1</v>
      </c>
      <c r="I116" s="678">
        <f t="shared" si="42"/>
        <v>8.7584309999999999</v>
      </c>
      <c r="J116" s="664">
        <f>SUM(I115:I116)</f>
        <v>10.334768</v>
      </c>
      <c r="K116" s="679">
        <f>$K$2</f>
        <v>1.05</v>
      </c>
      <c r="L116" s="679">
        <f t="shared" ref="L116" si="43">K116*J116</f>
        <v>10.851506400000002</v>
      </c>
      <c r="M116" s="680">
        <f t="shared" ref="M116" si="44">ROUND(L116,1)</f>
        <v>10.9</v>
      </c>
      <c r="N116" s="681">
        <f t="shared" ref="N116" si="45">ROUNDUP(M116,0)</f>
        <v>11</v>
      </c>
      <c r="O116" s="678" t="s">
        <v>183</v>
      </c>
      <c r="R116" s="309"/>
      <c r="S116" s="309"/>
      <c r="T116" s="309"/>
      <c r="U116" s="309"/>
      <c r="V116" s="309"/>
    </row>
    <row r="117" spans="1:22" ht="15" thickTop="1" thickBot="1" x14ac:dyDescent="0.3">
      <c r="A117" s="307"/>
      <c r="B117" s="308"/>
      <c r="C117" s="308"/>
      <c r="D117" s="308"/>
      <c r="E117" s="664"/>
      <c r="F117" s="664"/>
      <c r="G117" s="664"/>
      <c r="H117" s="664"/>
      <c r="I117" s="664"/>
      <c r="J117" s="664"/>
      <c r="K117" s="682"/>
      <c r="L117" s="682"/>
      <c r="M117" s="673"/>
      <c r="N117" s="683"/>
      <c r="O117" s="664"/>
      <c r="R117" s="309"/>
      <c r="S117" s="309"/>
      <c r="T117" s="309"/>
      <c r="U117" s="309"/>
      <c r="V117" s="309"/>
    </row>
    <row r="118" spans="1:22" ht="15" thickTop="1" thickBot="1" x14ac:dyDescent="0.3">
      <c r="A118" s="307"/>
      <c r="B118" s="663" t="str">
        <f>B105</f>
        <v>First Floor</v>
      </c>
      <c r="C118" s="308"/>
      <c r="D118" s="668"/>
      <c r="E118" s="664">
        <v>1</v>
      </c>
      <c r="F118" s="664">
        <v>8.7317199999999993</v>
      </c>
      <c r="G118" s="664"/>
      <c r="H118" s="664">
        <v>1</v>
      </c>
      <c r="I118" s="678">
        <f t="shared" ref="I118:I123" si="46">H118*F118*E118</f>
        <v>8.7317199999999993</v>
      </c>
      <c r="J118" s="664"/>
      <c r="K118" s="682"/>
      <c r="L118" s="682"/>
      <c r="M118" s="673"/>
      <c r="N118" s="683"/>
      <c r="O118" s="664"/>
      <c r="R118" s="309"/>
      <c r="S118" s="309"/>
      <c r="T118" s="309"/>
      <c r="U118" s="309"/>
      <c r="V118" s="309"/>
    </row>
    <row r="119" spans="1:22" ht="15" thickTop="1" thickBot="1" x14ac:dyDescent="0.3">
      <c r="A119" s="307"/>
      <c r="B119" s="308"/>
      <c r="C119" s="308"/>
      <c r="D119" s="308"/>
      <c r="E119" s="664">
        <v>1</v>
      </c>
      <c r="F119" s="664">
        <v>5.2686080000000004</v>
      </c>
      <c r="G119" s="664"/>
      <c r="H119" s="664">
        <v>1</v>
      </c>
      <c r="I119" s="678">
        <f t="shared" si="46"/>
        <v>5.2686080000000004</v>
      </c>
      <c r="J119" s="664"/>
      <c r="K119" s="682"/>
      <c r="L119" s="682"/>
      <c r="M119" s="673"/>
      <c r="N119" s="683"/>
      <c r="O119" s="664"/>
      <c r="R119" s="309"/>
      <c r="S119" s="309"/>
      <c r="T119" s="309"/>
      <c r="U119" s="309"/>
      <c r="V119" s="309"/>
    </row>
    <row r="120" spans="1:22" ht="15" thickTop="1" thickBot="1" x14ac:dyDescent="0.3">
      <c r="A120" s="307"/>
      <c r="B120" s="308"/>
      <c r="C120" s="308"/>
      <c r="D120" s="668"/>
      <c r="E120" s="664">
        <v>1</v>
      </c>
      <c r="F120" s="664">
        <v>11.623768</v>
      </c>
      <c r="G120" s="664"/>
      <c r="H120" s="664">
        <v>1</v>
      </c>
      <c r="I120" s="678">
        <f t="shared" si="46"/>
        <v>11.623768</v>
      </c>
      <c r="J120" s="664"/>
      <c r="K120" s="682"/>
      <c r="L120" s="682"/>
      <c r="M120" s="673"/>
      <c r="N120" s="683"/>
      <c r="O120" s="664"/>
      <c r="R120" s="309"/>
      <c r="S120" s="309"/>
      <c r="T120" s="309"/>
      <c r="U120" s="309"/>
      <c r="V120" s="309"/>
    </row>
    <row r="121" spans="1:22" ht="15" thickTop="1" thickBot="1" x14ac:dyDescent="0.3">
      <c r="A121" s="307"/>
      <c r="B121" s="308"/>
      <c r="C121" s="308"/>
      <c r="D121" s="308"/>
      <c r="E121" s="664">
        <v>1</v>
      </c>
      <c r="F121" s="664">
        <v>19.440403</v>
      </c>
      <c r="G121" s="664"/>
      <c r="H121" s="664">
        <v>1</v>
      </c>
      <c r="I121" s="678">
        <f t="shared" si="46"/>
        <v>19.440403</v>
      </c>
      <c r="J121" s="664"/>
      <c r="K121" s="682"/>
      <c r="L121" s="682"/>
      <c r="M121" s="673"/>
      <c r="N121" s="683"/>
      <c r="O121" s="664"/>
      <c r="R121" s="309"/>
      <c r="S121" s="309"/>
      <c r="T121" s="309"/>
      <c r="U121" s="309"/>
      <c r="V121" s="309"/>
    </row>
    <row r="122" spans="1:22" ht="15" thickTop="1" thickBot="1" x14ac:dyDescent="0.3">
      <c r="A122" s="307"/>
      <c r="B122" s="308"/>
      <c r="C122" s="308"/>
      <c r="D122" s="668"/>
      <c r="E122" s="664">
        <v>1</v>
      </c>
      <c r="F122" s="664">
        <v>9.5058699999999998</v>
      </c>
      <c r="G122" s="664"/>
      <c r="H122" s="664">
        <v>1</v>
      </c>
      <c r="I122" s="678">
        <f t="shared" si="46"/>
        <v>9.5058699999999998</v>
      </c>
      <c r="J122" s="664"/>
      <c r="K122" s="682"/>
      <c r="L122" s="682"/>
      <c r="M122" s="673"/>
      <c r="N122" s="683"/>
      <c r="O122" s="664"/>
      <c r="R122" s="309"/>
      <c r="S122" s="309"/>
      <c r="T122" s="309"/>
      <c r="U122" s="309"/>
      <c r="V122" s="309"/>
    </row>
    <row r="123" spans="1:22" ht="15" thickTop="1" thickBot="1" x14ac:dyDescent="0.3">
      <c r="A123" s="307"/>
      <c r="B123" s="308"/>
      <c r="C123" s="308"/>
      <c r="D123" s="308"/>
      <c r="E123" s="664">
        <v>1</v>
      </c>
      <c r="F123" s="664">
        <v>4.5849120000000001</v>
      </c>
      <c r="G123" s="664"/>
      <c r="H123" s="664">
        <v>1</v>
      </c>
      <c r="I123" s="678">
        <f t="shared" si="46"/>
        <v>4.5849120000000001</v>
      </c>
      <c r="J123" s="664">
        <f>SUM(I118:I123)</f>
        <v>59.155281000000002</v>
      </c>
      <c r="K123" s="679">
        <f>$K$2</f>
        <v>1.05</v>
      </c>
      <c r="L123" s="679">
        <f t="shared" ref="L123" si="47">K123*J123</f>
        <v>62.113045050000004</v>
      </c>
      <c r="M123" s="680">
        <f t="shared" ref="M123" si="48">ROUND(L123,1)</f>
        <v>62.1</v>
      </c>
      <c r="N123" s="681">
        <f t="shared" ref="N123" si="49">ROUNDUP(M123,0)</f>
        <v>63</v>
      </c>
      <c r="O123" s="678" t="s">
        <v>183</v>
      </c>
      <c r="R123" s="309"/>
      <c r="S123" s="309"/>
      <c r="T123" s="309"/>
      <c r="U123" s="309"/>
      <c r="V123" s="309"/>
    </row>
    <row r="124" spans="1:22" ht="15" thickTop="1" thickBot="1" x14ac:dyDescent="0.3">
      <c r="A124" s="307"/>
      <c r="B124" s="308"/>
      <c r="C124" s="308"/>
      <c r="D124" s="668"/>
      <c r="E124" s="664"/>
      <c r="F124" s="664"/>
      <c r="G124" s="664"/>
      <c r="H124" s="664"/>
      <c r="I124" s="664"/>
      <c r="J124" s="664"/>
      <c r="K124" s="682"/>
      <c r="L124" s="682"/>
      <c r="M124" s="673"/>
      <c r="N124" s="683"/>
      <c r="O124" s="664"/>
      <c r="R124" s="309"/>
      <c r="S124" s="309"/>
      <c r="T124" s="309"/>
      <c r="U124" s="309"/>
      <c r="V124" s="309"/>
    </row>
    <row r="125" spans="1:22" ht="15" thickTop="1" thickBot="1" x14ac:dyDescent="0.3">
      <c r="A125" s="307"/>
      <c r="B125" s="663" t="str">
        <f>B108</f>
        <v>Roof top  Floor</v>
      </c>
      <c r="C125" s="308"/>
      <c r="D125" s="308"/>
      <c r="E125" s="664">
        <v>1</v>
      </c>
      <c r="F125" s="664">
        <v>37.048673000000001</v>
      </c>
      <c r="G125" s="664"/>
      <c r="H125" s="664">
        <v>1</v>
      </c>
      <c r="I125" s="678">
        <f t="shared" ref="I125:I127" si="50">H125*F125*E125</f>
        <v>37.048673000000001</v>
      </c>
      <c r="J125" s="664"/>
      <c r="K125" s="682"/>
      <c r="L125" s="682"/>
      <c r="M125" s="673"/>
      <c r="N125" s="683"/>
      <c r="O125" s="664"/>
      <c r="R125" s="309"/>
      <c r="S125" s="309"/>
      <c r="T125" s="309"/>
      <c r="U125" s="309"/>
      <c r="V125" s="309"/>
    </row>
    <row r="126" spans="1:22" ht="15" thickTop="1" thickBot="1" x14ac:dyDescent="0.3">
      <c r="A126" s="307"/>
      <c r="B126" s="308"/>
      <c r="C126" s="308"/>
      <c r="D126" s="668"/>
      <c r="E126" s="664">
        <v>1</v>
      </c>
      <c r="F126" s="664">
        <v>61.392190999999997</v>
      </c>
      <c r="G126" s="664"/>
      <c r="H126" s="664">
        <v>1</v>
      </c>
      <c r="I126" s="678">
        <f t="shared" si="50"/>
        <v>61.392190999999997</v>
      </c>
      <c r="J126" s="664"/>
      <c r="K126" s="682"/>
      <c r="L126" s="682"/>
      <c r="M126" s="673"/>
      <c r="N126" s="683"/>
      <c r="O126" s="664"/>
      <c r="R126" s="309"/>
      <c r="S126" s="309"/>
      <c r="T126" s="309"/>
      <c r="U126" s="309"/>
      <c r="V126" s="309"/>
    </row>
    <row r="127" spans="1:22" ht="15" thickTop="1" thickBot="1" x14ac:dyDescent="0.3">
      <c r="A127" s="307"/>
      <c r="B127" s="308"/>
      <c r="C127" s="308"/>
      <c r="D127" s="308"/>
      <c r="E127" s="664">
        <v>1</v>
      </c>
      <c r="F127" s="664">
        <v>2.793174</v>
      </c>
      <c r="G127" s="664"/>
      <c r="H127" s="664">
        <v>1</v>
      </c>
      <c r="I127" s="678">
        <f t="shared" si="50"/>
        <v>2.793174</v>
      </c>
      <c r="J127" s="664">
        <f>SUM(I125:I127)</f>
        <v>101.234038</v>
      </c>
      <c r="K127" s="679">
        <f>$K$2</f>
        <v>1.05</v>
      </c>
      <c r="L127" s="679">
        <f t="shared" ref="L127" si="51">K127*J127</f>
        <v>106.2957399</v>
      </c>
      <c r="M127" s="680">
        <f t="shared" ref="M127" si="52">ROUND(L127,1)</f>
        <v>106.3</v>
      </c>
      <c r="N127" s="681">
        <f t="shared" ref="N127" si="53">ROUNDUP(M127,0)</f>
        <v>107</v>
      </c>
      <c r="O127" s="678" t="s">
        <v>183</v>
      </c>
      <c r="R127" s="309"/>
      <c r="S127" s="309"/>
      <c r="T127" s="309"/>
      <c r="U127" s="309"/>
      <c r="V127" s="309"/>
    </row>
    <row r="128" spans="1:22" ht="15" thickTop="1" thickBot="1" x14ac:dyDescent="0.3">
      <c r="A128" s="307"/>
      <c r="B128" s="308"/>
      <c r="C128" s="308"/>
      <c r="D128" s="308"/>
      <c r="E128" s="664"/>
      <c r="F128" s="664"/>
      <c r="G128" s="664"/>
      <c r="H128" s="664"/>
      <c r="I128" s="664"/>
      <c r="J128" s="664"/>
      <c r="K128" s="682"/>
      <c r="L128" s="682"/>
      <c r="M128" s="673"/>
      <c r="N128" s="683"/>
      <c r="O128" s="664"/>
      <c r="R128" s="309"/>
      <c r="S128" s="309"/>
      <c r="T128" s="309"/>
      <c r="U128" s="309"/>
      <c r="V128" s="309"/>
    </row>
    <row r="129" spans="1:22" ht="15" thickTop="1" thickBot="1" x14ac:dyDescent="0.3">
      <c r="A129" s="307"/>
      <c r="B129" s="723" t="str">
        <f>plastering!B8</f>
        <v>External Plaster</v>
      </c>
      <c r="C129" s="308"/>
      <c r="D129" s="308"/>
      <c r="E129" s="664"/>
      <c r="F129" s="664"/>
      <c r="G129" s="664"/>
      <c r="H129" s="664"/>
      <c r="I129" s="664"/>
      <c r="J129" s="664"/>
      <c r="K129" s="682"/>
      <c r="L129" s="682"/>
      <c r="M129" s="673"/>
      <c r="N129" s="683"/>
      <c r="O129" s="664"/>
      <c r="R129" s="309"/>
      <c r="S129" s="309"/>
      <c r="T129" s="309"/>
      <c r="U129" s="309"/>
      <c r="V129" s="309"/>
    </row>
    <row r="130" spans="1:22" ht="15" thickTop="1" thickBot="1" x14ac:dyDescent="0.3">
      <c r="A130" s="307" t="str">
        <f>plastering!A10</f>
        <v>K1.1</v>
      </c>
      <c r="B130" s="663" t="str">
        <f>plastering!B10</f>
        <v>In Ground floor</v>
      </c>
      <c r="C130" s="308"/>
      <c r="D130" s="308"/>
      <c r="E130" s="664">
        <v>1</v>
      </c>
      <c r="F130" s="664">
        <v>75.784999999999997</v>
      </c>
      <c r="G130" s="664"/>
      <c r="H130" s="664">
        <v>3.45</v>
      </c>
      <c r="I130" s="678">
        <f t="shared" ref="I130:I160" si="54">H130*F130*E130</f>
        <v>261.45825000000002</v>
      </c>
      <c r="J130" s="664"/>
      <c r="K130" s="682"/>
      <c r="L130" s="682"/>
      <c r="M130" s="673"/>
      <c r="N130" s="683"/>
      <c r="O130" s="664"/>
      <c r="R130" s="309"/>
      <c r="S130" s="309"/>
      <c r="T130" s="309"/>
      <c r="U130" s="309"/>
      <c r="V130" s="309"/>
    </row>
    <row r="131" spans="1:22" ht="15" thickTop="1" thickBot="1" x14ac:dyDescent="0.3">
      <c r="A131" s="307"/>
      <c r="B131" s="308"/>
      <c r="C131" s="308"/>
      <c r="D131" s="308" t="s">
        <v>774</v>
      </c>
      <c r="E131" s="664">
        <v>-1</v>
      </c>
      <c r="F131" s="664">
        <v>3.7</v>
      </c>
      <c r="G131" s="664"/>
      <c r="H131" s="664">
        <v>3</v>
      </c>
      <c r="I131" s="678">
        <f t="shared" si="54"/>
        <v>-11.100000000000001</v>
      </c>
      <c r="J131" s="664"/>
      <c r="K131" s="682"/>
      <c r="L131" s="682"/>
      <c r="M131" s="673"/>
      <c r="N131" s="683"/>
      <c r="O131" s="664"/>
      <c r="R131" s="309"/>
      <c r="S131" s="309"/>
      <c r="T131" s="309"/>
      <c r="U131" s="309"/>
      <c r="V131" s="309"/>
    </row>
    <row r="132" spans="1:22" ht="15" thickTop="1" thickBot="1" x14ac:dyDescent="0.3">
      <c r="A132" s="307"/>
      <c r="B132" s="308"/>
      <c r="C132" s="308"/>
      <c r="D132" s="308" t="s">
        <v>184</v>
      </c>
      <c r="E132" s="664">
        <v>-1</v>
      </c>
      <c r="F132" s="664">
        <v>0.9</v>
      </c>
      <c r="G132" s="664"/>
      <c r="H132" s="664">
        <v>3</v>
      </c>
      <c r="I132" s="678">
        <f t="shared" si="54"/>
        <v>-2.7</v>
      </c>
      <c r="J132" s="664"/>
      <c r="K132" s="682"/>
      <c r="L132" s="682"/>
      <c r="M132" s="673"/>
      <c r="N132" s="683"/>
      <c r="O132" s="664"/>
      <c r="R132" s="309"/>
      <c r="S132" s="309"/>
      <c r="T132" s="309"/>
      <c r="U132" s="309"/>
      <c r="V132" s="309"/>
    </row>
    <row r="133" spans="1:22" ht="15" thickTop="1" thickBot="1" x14ac:dyDescent="0.3">
      <c r="A133" s="307"/>
      <c r="B133" s="308"/>
      <c r="C133" s="308"/>
      <c r="D133" s="308" t="s">
        <v>824</v>
      </c>
      <c r="E133" s="664">
        <v>-1</v>
      </c>
      <c r="F133" s="664">
        <v>2.0750000000000002</v>
      </c>
      <c r="G133" s="664"/>
      <c r="H133" s="664">
        <v>3</v>
      </c>
      <c r="I133" s="678">
        <f t="shared" si="54"/>
        <v>-6.2250000000000005</v>
      </c>
      <c r="J133" s="664"/>
      <c r="K133" s="682"/>
      <c r="L133" s="682"/>
      <c r="M133" s="673"/>
      <c r="N133" s="683"/>
      <c r="O133" s="664"/>
      <c r="R133" s="309"/>
      <c r="S133" s="309"/>
      <c r="T133" s="309"/>
      <c r="U133" s="309"/>
      <c r="V133" s="309"/>
    </row>
    <row r="134" spans="1:22" ht="15" thickTop="1" thickBot="1" x14ac:dyDescent="0.3">
      <c r="A134" s="307"/>
      <c r="B134" s="308"/>
      <c r="C134" s="308"/>
      <c r="D134" s="308" t="s">
        <v>819</v>
      </c>
      <c r="E134" s="664">
        <v>-1</v>
      </c>
      <c r="F134" s="664">
        <v>1</v>
      </c>
      <c r="G134" s="664"/>
      <c r="H134" s="664">
        <v>3</v>
      </c>
      <c r="I134" s="678">
        <f t="shared" si="54"/>
        <v>-3</v>
      </c>
      <c r="J134" s="664"/>
      <c r="K134" s="682"/>
      <c r="L134" s="682"/>
      <c r="M134" s="673"/>
      <c r="N134" s="683"/>
      <c r="O134" s="664"/>
      <c r="R134" s="309"/>
      <c r="S134" s="309"/>
      <c r="T134" s="309"/>
      <c r="U134" s="309"/>
      <c r="V134" s="309"/>
    </row>
    <row r="135" spans="1:22" ht="15" thickTop="1" thickBot="1" x14ac:dyDescent="0.3">
      <c r="A135" s="307"/>
      <c r="B135" s="308"/>
      <c r="C135" s="308"/>
      <c r="D135" s="308" t="s">
        <v>818</v>
      </c>
      <c r="E135" s="664">
        <v>-1</v>
      </c>
      <c r="F135" s="664">
        <v>3.7</v>
      </c>
      <c r="G135" s="664"/>
      <c r="H135" s="664">
        <v>3</v>
      </c>
      <c r="I135" s="678">
        <f t="shared" si="54"/>
        <v>-11.100000000000001</v>
      </c>
      <c r="J135" s="664"/>
      <c r="K135" s="682"/>
      <c r="L135" s="682"/>
      <c r="M135" s="673"/>
      <c r="N135" s="683"/>
      <c r="O135" s="664"/>
      <c r="R135" s="309"/>
      <c r="S135" s="309"/>
      <c r="T135" s="309"/>
      <c r="U135" s="309"/>
      <c r="V135" s="309"/>
    </row>
    <row r="136" spans="1:22" ht="15" thickTop="1" thickBot="1" x14ac:dyDescent="0.3">
      <c r="A136" s="307"/>
      <c r="B136" s="308"/>
      <c r="C136" s="308"/>
      <c r="D136" s="308" t="s">
        <v>767</v>
      </c>
      <c r="E136" s="664">
        <v>-1</v>
      </c>
      <c r="F136" s="664">
        <v>1.2</v>
      </c>
      <c r="G136" s="664"/>
      <c r="H136" s="664">
        <v>3</v>
      </c>
      <c r="I136" s="678">
        <f t="shared" si="54"/>
        <v>-3.5999999999999996</v>
      </c>
      <c r="J136" s="664"/>
      <c r="K136" s="682"/>
      <c r="L136" s="682"/>
      <c r="M136" s="673"/>
      <c r="N136" s="683"/>
      <c r="O136" s="664"/>
      <c r="R136" s="309"/>
      <c r="S136" s="309"/>
      <c r="T136" s="309"/>
      <c r="U136" s="309"/>
      <c r="V136" s="309"/>
    </row>
    <row r="137" spans="1:22" ht="15" thickTop="1" thickBot="1" x14ac:dyDescent="0.3">
      <c r="A137" s="307"/>
      <c r="B137" s="308"/>
      <c r="C137" s="308"/>
      <c r="D137" s="308" t="s">
        <v>817</v>
      </c>
      <c r="E137" s="664">
        <v>-1</v>
      </c>
      <c r="F137" s="664">
        <v>2</v>
      </c>
      <c r="G137" s="664"/>
      <c r="H137" s="664">
        <v>3</v>
      </c>
      <c r="I137" s="678">
        <f t="shared" si="54"/>
        <v>-6</v>
      </c>
      <c r="J137" s="664"/>
      <c r="K137" s="682"/>
      <c r="L137" s="682"/>
      <c r="M137" s="673"/>
      <c r="N137" s="683"/>
      <c r="O137" s="664"/>
      <c r="R137" s="309"/>
      <c r="S137" s="309"/>
      <c r="T137" s="309"/>
      <c r="U137" s="309"/>
      <c r="V137" s="309"/>
    </row>
    <row r="138" spans="1:22" ht="15" thickTop="1" thickBot="1" x14ac:dyDescent="0.3">
      <c r="A138" s="307"/>
      <c r="B138" s="308"/>
      <c r="C138" s="308"/>
      <c r="D138" s="308" t="s">
        <v>816</v>
      </c>
      <c r="E138" s="664">
        <v>-1</v>
      </c>
      <c r="F138" s="664">
        <v>2.1</v>
      </c>
      <c r="G138" s="664"/>
      <c r="H138" s="664">
        <v>3</v>
      </c>
      <c r="I138" s="678">
        <f t="shared" si="54"/>
        <v>-6.3000000000000007</v>
      </c>
      <c r="J138" s="664"/>
      <c r="K138" s="682"/>
      <c r="L138" s="682"/>
      <c r="M138" s="673"/>
      <c r="N138" s="683"/>
      <c r="O138" s="664"/>
      <c r="R138" s="309"/>
      <c r="S138" s="309"/>
      <c r="T138" s="309"/>
      <c r="U138" s="309"/>
      <c r="V138" s="309"/>
    </row>
    <row r="139" spans="1:22" ht="15" thickTop="1" thickBot="1" x14ac:dyDescent="0.3">
      <c r="A139" s="307"/>
      <c r="B139" s="308"/>
      <c r="C139" s="308"/>
      <c r="D139" s="308" t="s">
        <v>815</v>
      </c>
      <c r="E139" s="664">
        <v>-1</v>
      </c>
      <c r="F139" s="664">
        <v>2.1</v>
      </c>
      <c r="G139" s="664"/>
      <c r="H139" s="664">
        <v>3</v>
      </c>
      <c r="I139" s="678">
        <f t="shared" si="54"/>
        <v>-6.3000000000000007</v>
      </c>
      <c r="J139" s="664"/>
      <c r="K139" s="682"/>
      <c r="L139" s="682"/>
      <c r="M139" s="673"/>
      <c r="N139" s="683"/>
      <c r="O139" s="664"/>
      <c r="R139" s="309"/>
      <c r="S139" s="309"/>
      <c r="T139" s="309"/>
      <c r="U139" s="309"/>
      <c r="V139" s="309"/>
    </row>
    <row r="140" spans="1:22" ht="15" thickTop="1" thickBot="1" x14ac:dyDescent="0.3">
      <c r="A140" s="307"/>
      <c r="B140" s="308"/>
      <c r="C140" s="308"/>
      <c r="D140" s="308" t="s">
        <v>768</v>
      </c>
      <c r="E140" s="664">
        <v>-1</v>
      </c>
      <c r="F140" s="664">
        <v>0.9</v>
      </c>
      <c r="G140" s="664"/>
      <c r="H140" s="664">
        <v>2.6</v>
      </c>
      <c r="I140" s="678">
        <f t="shared" si="54"/>
        <v>-2.3400000000000003</v>
      </c>
      <c r="J140" s="664"/>
      <c r="K140" s="682"/>
      <c r="L140" s="682"/>
      <c r="M140" s="673"/>
      <c r="N140" s="683"/>
      <c r="O140" s="664"/>
      <c r="R140" s="309"/>
      <c r="S140" s="309"/>
      <c r="T140" s="309"/>
      <c r="U140" s="309"/>
      <c r="V140" s="309"/>
    </row>
    <row r="141" spans="1:22" ht="15" thickTop="1" thickBot="1" x14ac:dyDescent="0.3">
      <c r="A141" s="307"/>
      <c r="B141" s="308"/>
      <c r="C141" s="308"/>
      <c r="D141" s="308" t="s">
        <v>341</v>
      </c>
      <c r="E141" s="664">
        <v>-1</v>
      </c>
      <c r="F141" s="664">
        <v>3.05</v>
      </c>
      <c r="G141" s="664"/>
      <c r="H141" s="664">
        <v>0.6</v>
      </c>
      <c r="I141" s="678">
        <f t="shared" si="54"/>
        <v>-1.8299999999999998</v>
      </c>
      <c r="J141" s="664"/>
      <c r="K141" s="682"/>
      <c r="L141" s="682"/>
      <c r="M141" s="673"/>
      <c r="N141" s="683"/>
      <c r="O141" s="664"/>
      <c r="R141" s="309"/>
      <c r="S141" s="309"/>
      <c r="T141" s="309"/>
      <c r="U141" s="309"/>
      <c r="V141" s="309"/>
    </row>
    <row r="142" spans="1:22" ht="15" thickTop="1" thickBot="1" x14ac:dyDescent="0.3">
      <c r="A142" s="307"/>
      <c r="B142" s="308"/>
      <c r="C142" s="308"/>
      <c r="D142" s="308" t="s">
        <v>835</v>
      </c>
      <c r="E142" s="664">
        <v>-1</v>
      </c>
      <c r="F142" s="664">
        <v>5.7750000000000004</v>
      </c>
      <c r="G142" s="664"/>
      <c r="H142" s="664">
        <v>3</v>
      </c>
      <c r="I142" s="678">
        <f t="shared" si="54"/>
        <v>-17.325000000000003</v>
      </c>
      <c r="J142" s="664"/>
      <c r="K142" s="682"/>
      <c r="L142" s="682"/>
      <c r="M142" s="673"/>
      <c r="N142" s="683"/>
      <c r="O142" s="664"/>
      <c r="R142" s="309"/>
      <c r="S142" s="309"/>
      <c r="T142" s="309"/>
      <c r="U142" s="309"/>
      <c r="V142" s="309"/>
    </row>
    <row r="143" spans="1:22" ht="15" thickTop="1" thickBot="1" x14ac:dyDescent="0.3">
      <c r="A143" s="307"/>
      <c r="B143" s="663"/>
      <c r="C143" s="308"/>
      <c r="D143" s="308" t="s">
        <v>814</v>
      </c>
      <c r="E143" s="664">
        <v>-1</v>
      </c>
      <c r="F143" s="664">
        <v>3.0750000000000002</v>
      </c>
      <c r="G143" s="664"/>
      <c r="H143" s="664">
        <v>3</v>
      </c>
      <c r="I143" s="678">
        <f t="shared" si="54"/>
        <v>-9.2250000000000014</v>
      </c>
      <c r="J143" s="664"/>
      <c r="K143" s="682"/>
      <c r="L143" s="682"/>
      <c r="M143" s="673"/>
      <c r="N143" s="683"/>
      <c r="O143" s="664"/>
      <c r="R143" s="309"/>
      <c r="S143" s="309"/>
      <c r="T143" s="309"/>
      <c r="U143" s="309"/>
      <c r="V143" s="309"/>
    </row>
    <row r="144" spans="1:22" ht="15" thickTop="1" thickBot="1" x14ac:dyDescent="0.3">
      <c r="A144" s="307"/>
      <c r="B144" s="308"/>
      <c r="C144" s="308"/>
      <c r="D144" s="308" t="s">
        <v>810</v>
      </c>
      <c r="E144" s="664">
        <v>-1</v>
      </c>
      <c r="F144" s="664">
        <v>1.1000000000000001</v>
      </c>
      <c r="G144" s="664"/>
      <c r="H144" s="664">
        <v>1.5</v>
      </c>
      <c r="I144" s="678">
        <f t="shared" si="54"/>
        <v>-1.6500000000000001</v>
      </c>
      <c r="J144" s="664"/>
      <c r="K144" s="682"/>
      <c r="L144" s="682"/>
      <c r="M144" s="673"/>
      <c r="N144" s="683"/>
      <c r="O144" s="664"/>
      <c r="R144" s="309"/>
      <c r="S144" s="309"/>
      <c r="T144" s="309"/>
      <c r="U144" s="309"/>
      <c r="V144" s="309"/>
    </row>
    <row r="145" spans="1:22" ht="15" thickTop="1" thickBot="1" x14ac:dyDescent="0.3">
      <c r="A145" s="307"/>
      <c r="B145" s="308"/>
      <c r="C145" s="308"/>
      <c r="D145" s="308" t="s">
        <v>811</v>
      </c>
      <c r="E145" s="664">
        <v>-1</v>
      </c>
      <c r="F145" s="664">
        <v>1.05</v>
      </c>
      <c r="G145" s="664"/>
      <c r="H145" s="664">
        <v>3</v>
      </c>
      <c r="I145" s="678">
        <f t="shared" si="54"/>
        <v>-3.1500000000000004</v>
      </c>
      <c r="J145" s="664"/>
      <c r="K145" s="682"/>
      <c r="L145" s="682"/>
      <c r="M145" s="673"/>
      <c r="N145" s="683"/>
      <c r="O145" s="664"/>
      <c r="R145" s="309"/>
      <c r="S145" s="309"/>
      <c r="T145" s="309"/>
      <c r="U145" s="309"/>
      <c r="V145" s="309"/>
    </row>
    <row r="146" spans="1:22" ht="15" thickTop="1" thickBot="1" x14ac:dyDescent="0.3">
      <c r="A146" s="307"/>
      <c r="B146" s="308"/>
      <c r="C146" s="308"/>
      <c r="D146" s="308" t="s">
        <v>821</v>
      </c>
      <c r="E146" s="664">
        <v>-1</v>
      </c>
      <c r="F146" s="664">
        <v>0.9</v>
      </c>
      <c r="G146" s="664"/>
      <c r="H146" s="664">
        <v>3</v>
      </c>
      <c r="I146" s="678">
        <f t="shared" si="54"/>
        <v>-2.7</v>
      </c>
      <c r="J146" s="664"/>
      <c r="K146" s="682"/>
      <c r="L146" s="682"/>
      <c r="M146" s="673"/>
      <c r="N146" s="683"/>
      <c r="O146" s="664"/>
      <c r="R146" s="309"/>
      <c r="S146" s="309"/>
      <c r="T146" s="309"/>
      <c r="U146" s="309"/>
      <c r="V146" s="309"/>
    </row>
    <row r="147" spans="1:22" ht="15" thickTop="1" thickBot="1" x14ac:dyDescent="0.3">
      <c r="A147" s="307"/>
      <c r="B147" s="308"/>
      <c r="C147" s="308"/>
      <c r="D147" s="308" t="s">
        <v>812</v>
      </c>
      <c r="E147" s="664">
        <v>-1</v>
      </c>
      <c r="F147" s="664">
        <v>1.425</v>
      </c>
      <c r="G147" s="664"/>
      <c r="H147" s="664">
        <v>1.5</v>
      </c>
      <c r="I147" s="678">
        <f t="shared" si="54"/>
        <v>-2.1375000000000002</v>
      </c>
      <c r="J147" s="664"/>
      <c r="K147" s="682"/>
      <c r="L147" s="682"/>
      <c r="M147" s="673"/>
      <c r="N147" s="683"/>
      <c r="O147" s="664"/>
      <c r="R147" s="309"/>
      <c r="S147" s="309"/>
      <c r="T147" s="309"/>
      <c r="U147" s="309"/>
      <c r="V147" s="309"/>
    </row>
    <row r="148" spans="1:22" ht="15" thickTop="1" thickBot="1" x14ac:dyDescent="0.3">
      <c r="A148" s="307"/>
      <c r="B148" s="308"/>
      <c r="C148" s="308"/>
      <c r="D148" s="308" t="s">
        <v>812</v>
      </c>
      <c r="E148" s="664">
        <v>-1</v>
      </c>
      <c r="F148" s="664">
        <f>F147</f>
        <v>1.425</v>
      </c>
      <c r="G148" s="664"/>
      <c r="H148" s="664">
        <f>H147</f>
        <v>1.5</v>
      </c>
      <c r="I148" s="678">
        <f t="shared" si="54"/>
        <v>-2.1375000000000002</v>
      </c>
      <c r="J148" s="664"/>
      <c r="K148" s="682"/>
      <c r="L148" s="682"/>
      <c r="M148" s="673"/>
      <c r="N148" s="683"/>
      <c r="O148" s="664"/>
      <c r="R148" s="309"/>
      <c r="S148" s="309"/>
      <c r="T148" s="309"/>
      <c r="U148" s="309"/>
      <c r="V148" s="309"/>
    </row>
    <row r="149" spans="1:22" ht="15" thickTop="1" thickBot="1" x14ac:dyDescent="0.3">
      <c r="A149" s="307"/>
      <c r="B149" s="308"/>
      <c r="C149" s="308"/>
      <c r="D149" s="308" t="s">
        <v>810</v>
      </c>
      <c r="E149" s="664">
        <v>-1</v>
      </c>
      <c r="F149" s="664">
        <v>1.1000000000000001</v>
      </c>
      <c r="G149" s="664"/>
      <c r="H149" s="664">
        <v>1.5</v>
      </c>
      <c r="I149" s="678">
        <f t="shared" si="54"/>
        <v>-1.6500000000000001</v>
      </c>
      <c r="J149" s="664"/>
      <c r="K149" s="682"/>
      <c r="L149" s="682"/>
      <c r="M149" s="673"/>
      <c r="N149" s="683"/>
      <c r="O149" s="664"/>
      <c r="R149" s="309"/>
      <c r="S149" s="309"/>
      <c r="T149" s="309"/>
      <c r="U149" s="309"/>
      <c r="V149" s="309"/>
    </row>
    <row r="150" spans="1:22" ht="15" thickTop="1" thickBot="1" x14ac:dyDescent="0.3">
      <c r="A150" s="307"/>
      <c r="B150" s="308"/>
      <c r="C150" s="308"/>
      <c r="D150" s="308" t="s">
        <v>813</v>
      </c>
      <c r="E150" s="664">
        <v>-1</v>
      </c>
      <c r="F150" s="664">
        <v>3</v>
      </c>
      <c r="G150" s="664"/>
      <c r="H150" s="664">
        <v>3</v>
      </c>
      <c r="I150" s="678">
        <f t="shared" si="54"/>
        <v>-9</v>
      </c>
      <c r="J150" s="664"/>
      <c r="K150" s="682"/>
      <c r="L150" s="682"/>
      <c r="M150" s="673"/>
      <c r="N150" s="683"/>
      <c r="O150" s="664"/>
      <c r="R150" s="309"/>
      <c r="S150" s="309"/>
      <c r="T150" s="309"/>
      <c r="U150" s="309"/>
      <c r="V150" s="309"/>
    </row>
    <row r="151" spans="1:22" ht="15" thickTop="1" thickBot="1" x14ac:dyDescent="0.3">
      <c r="A151" s="307"/>
      <c r="B151" s="308"/>
      <c r="C151" s="308"/>
      <c r="D151" s="308" t="s">
        <v>777</v>
      </c>
      <c r="E151" s="664">
        <v>-1</v>
      </c>
      <c r="F151" s="664">
        <v>1.2</v>
      </c>
      <c r="G151" s="664"/>
      <c r="H151" s="664">
        <v>3</v>
      </c>
      <c r="I151" s="678">
        <f t="shared" si="54"/>
        <v>-3.5999999999999996</v>
      </c>
      <c r="J151" s="664">
        <f>SUM(I130:I151)</f>
        <v>148.38825000000006</v>
      </c>
      <c r="K151" s="679">
        <f>$K$2</f>
        <v>1.05</v>
      </c>
      <c r="L151" s="679">
        <f t="shared" ref="L151" si="55">K151*J151</f>
        <v>155.80766250000008</v>
      </c>
      <c r="M151" s="680">
        <f t="shared" ref="M151" si="56">ROUND(L151,1)</f>
        <v>155.80000000000001</v>
      </c>
      <c r="N151" s="681">
        <f t="shared" ref="N151" si="57">ROUNDUP(M151,0)</f>
        <v>156</v>
      </c>
      <c r="O151" s="678" t="s">
        <v>183</v>
      </c>
      <c r="R151" s="309"/>
      <c r="S151" s="309"/>
      <c r="T151" s="309"/>
      <c r="U151" s="309"/>
      <c r="V151" s="309"/>
    </row>
    <row r="152" spans="1:22" ht="15" thickTop="1" thickBot="1" x14ac:dyDescent="0.3">
      <c r="A152" s="307"/>
      <c r="B152" s="308"/>
      <c r="C152" s="308"/>
      <c r="D152" s="308"/>
      <c r="E152" s="664"/>
      <c r="F152" s="664">
        <f>SUM(F131:F151)</f>
        <v>42.774999999999991</v>
      </c>
      <c r="G152" s="664"/>
      <c r="H152" s="664">
        <f>SUM(H131:H151)</f>
        <v>54.2</v>
      </c>
      <c r="I152" s="678"/>
      <c r="J152" s="664"/>
      <c r="K152" s="679"/>
      <c r="L152" s="679"/>
      <c r="M152" s="680"/>
      <c r="N152" s="681"/>
      <c r="O152" s="678"/>
      <c r="R152" s="309"/>
      <c r="S152" s="309"/>
      <c r="T152" s="309"/>
      <c r="U152" s="309"/>
      <c r="V152" s="309"/>
    </row>
    <row r="153" spans="1:22" ht="15" thickTop="1" thickBot="1" x14ac:dyDescent="0.3">
      <c r="A153" s="307"/>
      <c r="B153" s="308"/>
      <c r="C153" s="308"/>
      <c r="D153" s="308"/>
      <c r="E153" s="664"/>
      <c r="F153" s="664"/>
      <c r="G153" s="664"/>
      <c r="H153" s="664">
        <f>H152+F152</f>
        <v>96.974999999999994</v>
      </c>
      <c r="I153" s="678"/>
      <c r="J153" s="664"/>
      <c r="K153" s="679"/>
      <c r="L153" s="679"/>
      <c r="M153" s="680"/>
      <c r="N153" s="681"/>
      <c r="O153" s="678"/>
      <c r="R153" s="309"/>
      <c r="S153" s="309"/>
      <c r="T153" s="309"/>
      <c r="U153" s="309"/>
      <c r="V153" s="309"/>
    </row>
    <row r="154" spans="1:22" ht="15" thickTop="1" thickBot="1" x14ac:dyDescent="0.3">
      <c r="A154" s="307"/>
      <c r="B154" s="308"/>
      <c r="C154" s="308"/>
      <c r="D154" s="308"/>
      <c r="E154" s="664"/>
      <c r="F154" s="664"/>
      <c r="G154" s="664"/>
      <c r="H154" s="664">
        <f>H153*2</f>
        <v>193.95</v>
      </c>
      <c r="I154" s="678"/>
      <c r="J154" s="664"/>
      <c r="K154" s="679"/>
      <c r="L154" s="679"/>
      <c r="M154" s="680"/>
      <c r="N154" s="681"/>
      <c r="O154" s="678"/>
      <c r="R154" s="309"/>
      <c r="S154" s="309"/>
      <c r="T154" s="309"/>
      <c r="U154" s="309"/>
      <c r="V154" s="309"/>
    </row>
    <row r="155" spans="1:22" ht="15" thickTop="1" thickBot="1" x14ac:dyDescent="0.3">
      <c r="A155" s="307"/>
      <c r="B155" s="308"/>
      <c r="C155" s="308"/>
      <c r="D155" s="308"/>
      <c r="E155" s="664"/>
      <c r="F155" s="664"/>
      <c r="G155" s="664"/>
      <c r="H155" s="664"/>
      <c r="I155" s="664"/>
      <c r="J155" s="664"/>
      <c r="K155" s="682"/>
      <c r="L155" s="682"/>
      <c r="M155" s="673"/>
      <c r="N155" s="683"/>
      <c r="O155" s="664"/>
      <c r="R155" s="309"/>
      <c r="S155" s="309"/>
      <c r="T155" s="309"/>
      <c r="U155" s="309"/>
      <c r="V155" s="309"/>
    </row>
    <row r="156" spans="1:22" s="667" customFormat="1" ht="15" thickTop="1" thickBot="1" x14ac:dyDescent="0.3">
      <c r="A156" s="665"/>
      <c r="B156" s="669" t="str">
        <f>plastering!B11</f>
        <v>In First floor</v>
      </c>
      <c r="C156" s="668"/>
      <c r="D156" s="308"/>
      <c r="E156" s="664">
        <v>1</v>
      </c>
      <c r="F156" s="664">
        <v>43.45</v>
      </c>
      <c r="G156" s="664"/>
      <c r="H156" s="664">
        <v>3.45</v>
      </c>
      <c r="I156" s="678">
        <f t="shared" si="54"/>
        <v>149.9025</v>
      </c>
      <c r="J156" s="664"/>
      <c r="K156" s="682"/>
      <c r="L156" s="682"/>
      <c r="M156" s="673"/>
      <c r="N156" s="683"/>
      <c r="O156" s="664"/>
      <c r="R156" s="670"/>
      <c r="S156" s="670"/>
      <c r="T156" s="670"/>
      <c r="U156" s="670"/>
      <c r="V156" s="670"/>
    </row>
    <row r="157" spans="1:22" s="667" customFormat="1" ht="15" thickTop="1" thickBot="1" x14ac:dyDescent="0.3">
      <c r="A157" s="665"/>
      <c r="B157" s="669"/>
      <c r="C157" s="668"/>
      <c r="D157" s="308"/>
      <c r="E157" s="664">
        <v>1</v>
      </c>
      <c r="F157" s="664">
        <v>34.1</v>
      </c>
      <c r="G157" s="664"/>
      <c r="H157" s="664">
        <v>3.45</v>
      </c>
      <c r="I157" s="678">
        <f t="shared" si="54"/>
        <v>117.64500000000001</v>
      </c>
      <c r="J157" s="664"/>
      <c r="K157" s="682"/>
      <c r="L157" s="682"/>
      <c r="M157" s="673"/>
      <c r="N157" s="683"/>
      <c r="O157" s="664"/>
      <c r="R157" s="670"/>
      <c r="S157" s="670"/>
      <c r="T157" s="670"/>
      <c r="U157" s="670"/>
      <c r="V157" s="670"/>
    </row>
    <row r="158" spans="1:22" s="667" customFormat="1" ht="15" thickTop="1" thickBot="1" x14ac:dyDescent="0.3">
      <c r="A158" s="665"/>
      <c r="B158" s="669"/>
      <c r="C158" s="668"/>
      <c r="D158" s="308" t="s">
        <v>814</v>
      </c>
      <c r="E158" s="664">
        <v>-1</v>
      </c>
      <c r="F158" s="664">
        <v>3.0750000000000002</v>
      </c>
      <c r="G158" s="664"/>
      <c r="H158" s="664">
        <v>3</v>
      </c>
      <c r="I158" s="664">
        <f t="shared" si="54"/>
        <v>-9.2250000000000014</v>
      </c>
      <c r="J158" s="664"/>
      <c r="K158" s="682"/>
      <c r="L158" s="682"/>
      <c r="M158" s="673"/>
      <c r="N158" s="683"/>
      <c r="O158" s="664"/>
      <c r="R158" s="670"/>
      <c r="S158" s="670"/>
      <c r="T158" s="670"/>
      <c r="U158" s="670"/>
      <c r="V158" s="670"/>
    </row>
    <row r="159" spans="1:22" s="667" customFormat="1" ht="15" thickTop="1" thickBot="1" x14ac:dyDescent="0.3">
      <c r="A159" s="665"/>
      <c r="B159" s="669"/>
      <c r="C159" s="668"/>
      <c r="D159" s="308" t="s">
        <v>819</v>
      </c>
      <c r="E159" s="664">
        <v>-1</v>
      </c>
      <c r="F159" s="664">
        <v>1</v>
      </c>
      <c r="G159" s="664"/>
      <c r="H159" s="664">
        <v>3</v>
      </c>
      <c r="I159" s="664">
        <f t="shared" si="54"/>
        <v>-3</v>
      </c>
      <c r="J159" s="664"/>
      <c r="K159" s="682"/>
      <c r="L159" s="682"/>
      <c r="M159" s="673"/>
      <c r="N159" s="683"/>
      <c r="O159" s="664"/>
      <c r="R159" s="670"/>
      <c r="S159" s="670"/>
      <c r="T159" s="670"/>
      <c r="U159" s="670"/>
      <c r="V159" s="670"/>
    </row>
    <row r="160" spans="1:22" s="667" customFormat="1" ht="15" thickTop="1" thickBot="1" x14ac:dyDescent="0.3">
      <c r="A160" s="665"/>
      <c r="B160" s="669"/>
      <c r="C160" s="668"/>
      <c r="D160" s="308" t="s">
        <v>818</v>
      </c>
      <c r="E160" s="664">
        <v>-1</v>
      </c>
      <c r="F160" s="664">
        <v>3.7</v>
      </c>
      <c r="G160" s="664"/>
      <c r="H160" s="664">
        <v>3</v>
      </c>
      <c r="I160" s="664">
        <f t="shared" si="54"/>
        <v>-11.100000000000001</v>
      </c>
      <c r="J160" s="664"/>
      <c r="K160" s="682"/>
      <c r="L160" s="682"/>
      <c r="M160" s="673"/>
      <c r="N160" s="683"/>
      <c r="O160" s="664"/>
      <c r="R160" s="670"/>
      <c r="S160" s="670"/>
      <c r="T160" s="670"/>
      <c r="U160" s="670"/>
      <c r="V160" s="670"/>
    </row>
    <row r="161" spans="1:22" s="667" customFormat="1" ht="15" thickTop="1" thickBot="1" x14ac:dyDescent="0.3">
      <c r="A161" s="665"/>
      <c r="B161" s="669"/>
      <c r="C161" s="668"/>
      <c r="D161" s="308" t="s">
        <v>817</v>
      </c>
      <c r="E161" s="664">
        <v>-1</v>
      </c>
      <c r="F161" s="664">
        <v>2</v>
      </c>
      <c r="G161" s="664"/>
      <c r="H161" s="664">
        <v>3</v>
      </c>
      <c r="I161" s="664">
        <f t="shared" ref="I161:I162" si="58">H161*F161*E161</f>
        <v>-6</v>
      </c>
      <c r="J161" s="664"/>
      <c r="K161" s="682"/>
      <c r="L161" s="682"/>
      <c r="M161" s="673"/>
      <c r="N161" s="683"/>
      <c r="O161" s="664"/>
      <c r="R161" s="670"/>
      <c r="S161" s="670"/>
      <c r="T161" s="670"/>
      <c r="U161" s="670"/>
      <c r="V161" s="670"/>
    </row>
    <row r="162" spans="1:22" s="667" customFormat="1" ht="15" thickTop="1" thickBot="1" x14ac:dyDescent="0.3">
      <c r="A162" s="665"/>
      <c r="B162" s="669"/>
      <c r="C162" s="668"/>
      <c r="D162" s="308" t="s">
        <v>810</v>
      </c>
      <c r="E162" s="664">
        <v>-1</v>
      </c>
      <c r="F162" s="664">
        <v>1.1000000000000001</v>
      </c>
      <c r="G162" s="664"/>
      <c r="H162" s="664">
        <v>1.5</v>
      </c>
      <c r="I162" s="664">
        <f t="shared" si="58"/>
        <v>-1.6500000000000001</v>
      </c>
      <c r="J162" s="664"/>
      <c r="K162" s="682"/>
      <c r="L162" s="682"/>
      <c r="M162" s="673"/>
      <c r="N162" s="683"/>
      <c r="O162" s="664"/>
      <c r="R162" s="670"/>
      <c r="S162" s="670"/>
      <c r="T162" s="670"/>
      <c r="U162" s="670"/>
      <c r="V162" s="670"/>
    </row>
    <row r="163" spans="1:22" s="667" customFormat="1" ht="15" thickTop="1" thickBot="1" x14ac:dyDescent="0.3">
      <c r="A163" s="665"/>
      <c r="B163" s="669"/>
      <c r="C163" s="668"/>
      <c r="D163" s="308" t="s">
        <v>817</v>
      </c>
      <c r="E163" s="664">
        <v>-1</v>
      </c>
      <c r="F163" s="664">
        <v>2</v>
      </c>
      <c r="G163" s="664"/>
      <c r="H163" s="664">
        <v>3</v>
      </c>
      <c r="I163" s="664">
        <f t="shared" ref="I163:I165" si="59">H163*F163*E163</f>
        <v>-6</v>
      </c>
      <c r="J163" s="664"/>
      <c r="K163" s="682"/>
      <c r="L163" s="682"/>
      <c r="M163" s="673"/>
      <c r="N163" s="683"/>
      <c r="O163" s="664"/>
      <c r="R163" s="670"/>
      <c r="S163" s="670"/>
      <c r="T163" s="670"/>
      <c r="U163" s="670"/>
      <c r="V163" s="670"/>
    </row>
    <row r="164" spans="1:22" s="667" customFormat="1" ht="15" thickTop="1" thickBot="1" x14ac:dyDescent="0.3">
      <c r="A164" s="665"/>
      <c r="B164" s="669"/>
      <c r="C164" s="668"/>
      <c r="D164" s="308" t="s">
        <v>836</v>
      </c>
      <c r="E164" s="664">
        <v>-1</v>
      </c>
      <c r="F164" s="664">
        <v>1.1000000000000001</v>
      </c>
      <c r="G164" s="664"/>
      <c r="H164" s="664">
        <v>3</v>
      </c>
      <c r="I164" s="664">
        <f t="shared" si="59"/>
        <v>-3.3000000000000003</v>
      </c>
      <c r="J164" s="664"/>
      <c r="K164" s="682"/>
      <c r="L164" s="682"/>
      <c r="M164" s="673"/>
      <c r="N164" s="683"/>
      <c r="O164" s="664"/>
      <c r="R164" s="670"/>
      <c r="S164" s="670"/>
      <c r="T164" s="670"/>
      <c r="U164" s="670"/>
      <c r="V164" s="670"/>
    </row>
    <row r="165" spans="1:22" s="667" customFormat="1" ht="15" thickTop="1" thickBot="1" x14ac:dyDescent="0.3">
      <c r="A165" s="665"/>
      <c r="B165" s="669"/>
      <c r="C165" s="668"/>
      <c r="D165" s="308" t="s">
        <v>811</v>
      </c>
      <c r="E165" s="664">
        <v>-1</v>
      </c>
      <c r="F165" s="664">
        <v>1.05</v>
      </c>
      <c r="G165" s="664"/>
      <c r="H165" s="664">
        <v>3</v>
      </c>
      <c r="I165" s="664">
        <f t="shared" si="59"/>
        <v>-3.1500000000000004</v>
      </c>
      <c r="J165" s="664"/>
      <c r="K165" s="682"/>
      <c r="L165" s="682"/>
      <c r="M165" s="673"/>
      <c r="N165" s="683"/>
      <c r="O165" s="664"/>
      <c r="R165" s="670"/>
      <c r="S165" s="670"/>
      <c r="T165" s="670"/>
      <c r="U165" s="670"/>
      <c r="V165" s="670"/>
    </row>
    <row r="166" spans="1:22" s="667" customFormat="1" ht="15" thickTop="1" thickBot="1" x14ac:dyDescent="0.3">
      <c r="A166" s="665"/>
      <c r="B166" s="669"/>
      <c r="C166" s="668"/>
      <c r="D166" s="308" t="s">
        <v>814</v>
      </c>
      <c r="E166" s="664">
        <v>-1</v>
      </c>
      <c r="F166" s="664">
        <v>3.0750000000000002</v>
      </c>
      <c r="G166" s="664"/>
      <c r="H166" s="664">
        <v>3</v>
      </c>
      <c r="I166" s="664">
        <f t="shared" ref="I166" si="60">H166*F166*E166</f>
        <v>-9.2250000000000014</v>
      </c>
      <c r="J166" s="664">
        <f>SUM(I156:I166)</f>
        <v>214.89749999999998</v>
      </c>
      <c r="K166" s="679">
        <f>$K$2</f>
        <v>1.05</v>
      </c>
      <c r="L166" s="679">
        <f t="shared" ref="L166" si="61">K166*J166</f>
        <v>225.64237499999999</v>
      </c>
      <c r="M166" s="680">
        <f t="shared" ref="M166" si="62">ROUND(L166,1)</f>
        <v>225.6</v>
      </c>
      <c r="N166" s="681">
        <f t="shared" ref="N166" si="63">ROUNDUP(M166,0)</f>
        <v>226</v>
      </c>
      <c r="O166" s="678" t="s">
        <v>183</v>
      </c>
      <c r="R166" s="670"/>
      <c r="S166" s="670"/>
      <c r="T166" s="670"/>
      <c r="U166" s="670"/>
      <c r="V166" s="670"/>
    </row>
    <row r="167" spans="1:22" s="667" customFormat="1" ht="15" thickTop="1" thickBot="1" x14ac:dyDescent="0.3">
      <c r="A167" s="665"/>
      <c r="B167" s="669"/>
      <c r="C167" s="668"/>
      <c r="D167" s="308"/>
      <c r="E167" s="664"/>
      <c r="F167" s="664">
        <f>SUM(F158:F166)</f>
        <v>18.100000000000001</v>
      </c>
      <c r="G167" s="664"/>
      <c r="H167" s="664">
        <f>SUM(H158:H166)</f>
        <v>25.5</v>
      </c>
      <c r="I167" s="664"/>
      <c r="J167" s="664"/>
      <c r="K167" s="679"/>
      <c r="L167" s="679"/>
      <c r="M167" s="680"/>
      <c r="N167" s="681"/>
      <c r="O167" s="678"/>
      <c r="R167" s="670"/>
      <c r="S167" s="670"/>
      <c r="T167" s="670"/>
      <c r="U167" s="670"/>
      <c r="V167" s="670"/>
    </row>
    <row r="168" spans="1:22" s="667" customFormat="1" ht="15" thickTop="1" thickBot="1" x14ac:dyDescent="0.3">
      <c r="A168" s="665"/>
      <c r="B168" s="669"/>
      <c r="C168" s="668"/>
      <c r="D168" s="308"/>
      <c r="E168" s="664"/>
      <c r="F168" s="664"/>
      <c r="G168" s="664"/>
      <c r="H168" s="664">
        <f>H167+F167</f>
        <v>43.6</v>
      </c>
      <c r="I168" s="664"/>
      <c r="J168" s="664"/>
      <c r="K168" s="679"/>
      <c r="L168" s="679"/>
      <c r="M168" s="680"/>
      <c r="N168" s="681"/>
      <c r="O168" s="678"/>
      <c r="R168" s="670"/>
      <c r="S168" s="670"/>
      <c r="T168" s="670"/>
      <c r="U168" s="670"/>
      <c r="V168" s="670"/>
    </row>
    <row r="169" spans="1:22" s="667" customFormat="1" ht="15" thickTop="1" thickBot="1" x14ac:dyDescent="0.3">
      <c r="A169" s="665"/>
      <c r="B169" s="669"/>
      <c r="C169" s="668"/>
      <c r="D169" s="308"/>
      <c r="E169" s="664"/>
      <c r="F169" s="664"/>
      <c r="G169" s="664"/>
      <c r="H169" s="664">
        <f>H168*2</f>
        <v>87.2</v>
      </c>
      <c r="I169" s="664"/>
      <c r="J169" s="664"/>
      <c r="K169" s="679"/>
      <c r="L169" s="679"/>
      <c r="M169" s="680"/>
      <c r="N169" s="681"/>
      <c r="O169" s="678"/>
      <c r="R169" s="670"/>
      <c r="S169" s="670"/>
      <c r="T169" s="670"/>
      <c r="U169" s="670"/>
      <c r="V169" s="670"/>
    </row>
    <row r="170" spans="1:22" s="667" customFormat="1" ht="15" thickTop="1" thickBot="1" x14ac:dyDescent="0.3">
      <c r="A170" s="665"/>
      <c r="B170" s="669"/>
      <c r="C170" s="668"/>
      <c r="D170" s="308"/>
      <c r="E170" s="664"/>
      <c r="F170" s="664"/>
      <c r="G170" s="664"/>
      <c r="H170" s="664"/>
      <c r="I170" s="664"/>
      <c r="J170" s="664"/>
      <c r="K170" s="679"/>
      <c r="L170" s="679"/>
      <c r="M170" s="680"/>
      <c r="N170" s="681"/>
      <c r="O170" s="678"/>
      <c r="R170" s="670"/>
      <c r="S170" s="670"/>
      <c r="T170" s="670"/>
      <c r="U170" s="670"/>
      <c r="V170" s="670"/>
    </row>
    <row r="171" spans="1:22" s="667" customFormat="1" ht="15" thickTop="1" thickBot="1" x14ac:dyDescent="0.3">
      <c r="A171" s="665"/>
      <c r="B171" s="669"/>
      <c r="C171" s="668"/>
      <c r="D171" s="308"/>
      <c r="E171" s="664"/>
      <c r="F171" s="664"/>
      <c r="G171" s="664"/>
      <c r="H171" s="664"/>
      <c r="I171" s="664"/>
      <c r="J171" s="664"/>
      <c r="K171" s="679"/>
      <c r="L171" s="679"/>
      <c r="M171" s="680"/>
      <c r="N171" s="681"/>
      <c r="O171" s="678"/>
      <c r="R171" s="670"/>
      <c r="S171" s="670"/>
      <c r="T171" s="670"/>
      <c r="U171" s="670"/>
      <c r="V171" s="670"/>
    </row>
    <row r="172" spans="1:22" s="667" customFormat="1" ht="15" thickTop="1" thickBot="1" x14ac:dyDescent="0.3">
      <c r="A172" s="665"/>
      <c r="B172" s="669"/>
      <c r="C172" s="668"/>
      <c r="D172" s="308"/>
      <c r="E172" s="664"/>
      <c r="F172" s="664"/>
      <c r="G172" s="664"/>
      <c r="H172" s="664"/>
      <c r="I172" s="664"/>
      <c r="J172" s="664"/>
      <c r="K172" s="682"/>
      <c r="L172" s="682"/>
      <c r="M172" s="673"/>
      <c r="N172" s="683"/>
      <c r="O172" s="664"/>
      <c r="R172" s="670"/>
      <c r="S172" s="670"/>
      <c r="T172" s="670"/>
      <c r="U172" s="670"/>
      <c r="V172" s="670"/>
    </row>
    <row r="173" spans="1:22" s="667" customFormat="1" ht="15" thickTop="1" thickBot="1" x14ac:dyDescent="0.3">
      <c r="A173" s="665"/>
      <c r="B173" s="669" t="str">
        <f>plastering!B12</f>
        <v>In Roof top Floor</v>
      </c>
      <c r="C173" s="668"/>
      <c r="D173" s="308"/>
      <c r="E173" s="664">
        <v>1</v>
      </c>
      <c r="F173" s="664">
        <v>58.7</v>
      </c>
      <c r="G173" s="664"/>
      <c r="H173" s="664">
        <v>3.45</v>
      </c>
      <c r="I173" s="664">
        <f t="shared" ref="I173:I180" si="64">H173*F173*E173</f>
        <v>202.51500000000001</v>
      </c>
      <c r="J173" s="664"/>
      <c r="K173" s="682"/>
      <c r="L173" s="682"/>
      <c r="M173" s="673"/>
      <c r="N173" s="683"/>
      <c r="O173" s="664"/>
      <c r="R173" s="670"/>
      <c r="S173" s="670"/>
      <c r="T173" s="670"/>
      <c r="U173" s="670"/>
      <c r="V173" s="670"/>
    </row>
    <row r="174" spans="1:22" s="667" customFormat="1" ht="15" thickTop="1" thickBot="1" x14ac:dyDescent="0.3">
      <c r="A174" s="665"/>
      <c r="B174" s="669"/>
      <c r="C174" s="668"/>
      <c r="D174" s="308" t="s">
        <v>837</v>
      </c>
      <c r="E174" s="664">
        <v>-3</v>
      </c>
      <c r="F174" s="664">
        <v>0.75</v>
      </c>
      <c r="G174" s="664"/>
      <c r="H174" s="664">
        <v>3</v>
      </c>
      <c r="I174" s="664">
        <f t="shared" si="64"/>
        <v>-6.75</v>
      </c>
      <c r="J174" s="664"/>
      <c r="K174" s="682"/>
      <c r="L174" s="682"/>
      <c r="M174" s="673"/>
      <c r="N174" s="683"/>
      <c r="O174" s="664"/>
      <c r="R174" s="670"/>
      <c r="S174" s="670"/>
      <c r="T174" s="670"/>
      <c r="U174" s="670"/>
      <c r="V174" s="670"/>
    </row>
    <row r="175" spans="1:22" s="667" customFormat="1" ht="15" thickTop="1" thickBot="1" x14ac:dyDescent="0.3">
      <c r="A175" s="665"/>
      <c r="B175" s="669"/>
      <c r="C175" s="668"/>
      <c r="D175" s="308" t="s">
        <v>829</v>
      </c>
      <c r="E175" s="664">
        <v>-1</v>
      </c>
      <c r="F175" s="664">
        <v>6.4450000000000003</v>
      </c>
      <c r="G175" s="664"/>
      <c r="H175" s="664">
        <v>3</v>
      </c>
      <c r="I175" s="664">
        <f t="shared" si="64"/>
        <v>-19.335000000000001</v>
      </c>
      <c r="J175" s="664"/>
      <c r="K175" s="682"/>
      <c r="L175" s="682"/>
      <c r="M175" s="673"/>
      <c r="N175" s="683"/>
      <c r="O175" s="664"/>
      <c r="R175" s="670"/>
      <c r="S175" s="670"/>
      <c r="T175" s="670"/>
      <c r="U175" s="670"/>
      <c r="V175" s="670"/>
    </row>
    <row r="176" spans="1:22" s="667" customFormat="1" ht="15" thickTop="1" thickBot="1" x14ac:dyDescent="0.3">
      <c r="A176" s="665"/>
      <c r="B176" s="669"/>
      <c r="C176" s="668"/>
      <c r="D176" s="308" t="s">
        <v>835</v>
      </c>
      <c r="E176" s="664">
        <v>-1</v>
      </c>
      <c r="F176" s="664">
        <v>5.7750000000000004</v>
      </c>
      <c r="G176" s="664"/>
      <c r="H176" s="664">
        <v>3</v>
      </c>
      <c r="I176" s="664">
        <f t="shared" si="64"/>
        <v>-17.325000000000003</v>
      </c>
      <c r="J176" s="664"/>
      <c r="K176" s="682"/>
      <c r="L176" s="682"/>
      <c r="M176" s="673"/>
      <c r="N176" s="683"/>
      <c r="O176" s="664"/>
      <c r="R176" s="670"/>
      <c r="S176" s="670"/>
      <c r="T176" s="670"/>
      <c r="U176" s="670"/>
      <c r="V176" s="670"/>
    </row>
    <row r="177" spans="1:22" s="667" customFormat="1" ht="15" thickTop="1" thickBot="1" x14ac:dyDescent="0.3">
      <c r="A177" s="665"/>
      <c r="B177" s="669"/>
      <c r="C177" s="668"/>
      <c r="D177" s="308" t="s">
        <v>814</v>
      </c>
      <c r="E177" s="664">
        <v>-1</v>
      </c>
      <c r="F177" s="664">
        <v>3.0750000000000002</v>
      </c>
      <c r="G177" s="664"/>
      <c r="H177" s="664">
        <v>3</v>
      </c>
      <c r="I177" s="664">
        <f t="shared" si="64"/>
        <v>-9.2250000000000014</v>
      </c>
      <c r="J177" s="664"/>
      <c r="K177" s="682"/>
      <c r="L177" s="682"/>
      <c r="M177" s="673"/>
      <c r="N177" s="683"/>
      <c r="O177" s="664"/>
      <c r="R177" s="670"/>
      <c r="S177" s="670"/>
      <c r="T177" s="670"/>
      <c r="U177" s="670"/>
      <c r="V177" s="670"/>
    </row>
    <row r="178" spans="1:22" s="667" customFormat="1" ht="15" thickTop="1" thickBot="1" x14ac:dyDescent="0.3">
      <c r="A178" s="665"/>
      <c r="B178" s="669"/>
      <c r="C178" s="668"/>
      <c r="D178" s="308" t="s">
        <v>810</v>
      </c>
      <c r="E178" s="664">
        <v>-1</v>
      </c>
      <c r="F178" s="664">
        <v>1.1000000000000001</v>
      </c>
      <c r="G178" s="664"/>
      <c r="H178" s="664">
        <v>1.5</v>
      </c>
      <c r="I178" s="664">
        <f t="shared" si="64"/>
        <v>-1.6500000000000001</v>
      </c>
      <c r="J178" s="664"/>
      <c r="K178" s="682"/>
      <c r="L178" s="682"/>
      <c r="M178" s="673"/>
      <c r="N178" s="683"/>
      <c r="O178" s="664"/>
      <c r="R178" s="670"/>
      <c r="S178" s="670"/>
      <c r="T178" s="670"/>
      <c r="U178" s="670"/>
      <c r="V178" s="670"/>
    </row>
    <row r="179" spans="1:22" ht="15" thickTop="1" thickBot="1" x14ac:dyDescent="0.3">
      <c r="A179" s="307"/>
      <c r="B179" s="308"/>
      <c r="C179" s="308"/>
      <c r="D179" s="308" t="s">
        <v>826</v>
      </c>
      <c r="E179" s="664">
        <v>-1</v>
      </c>
      <c r="F179" s="664">
        <v>3.75</v>
      </c>
      <c r="G179" s="664"/>
      <c r="H179" s="664">
        <v>3</v>
      </c>
      <c r="I179" s="664">
        <f t="shared" si="64"/>
        <v>-11.25</v>
      </c>
      <c r="J179" s="664"/>
      <c r="K179" s="682"/>
      <c r="L179" s="682"/>
      <c r="M179" s="673"/>
      <c r="N179" s="683"/>
      <c r="O179" s="664"/>
      <c r="R179" s="309"/>
      <c r="S179" s="309"/>
      <c r="T179" s="309"/>
      <c r="U179" s="309"/>
      <c r="V179" s="309"/>
    </row>
    <row r="180" spans="1:22" ht="15" thickTop="1" thickBot="1" x14ac:dyDescent="0.3">
      <c r="A180" s="307"/>
      <c r="B180" s="663"/>
      <c r="C180" s="308"/>
      <c r="D180" s="308" t="s">
        <v>838</v>
      </c>
      <c r="E180" s="664">
        <v>-1</v>
      </c>
      <c r="F180" s="664">
        <v>2.0249999999999999</v>
      </c>
      <c r="G180" s="664"/>
      <c r="H180" s="664">
        <v>3</v>
      </c>
      <c r="I180" s="664">
        <f t="shared" si="64"/>
        <v>-6.0749999999999993</v>
      </c>
      <c r="J180" s="664">
        <f>SUM(I173:I180)</f>
        <v>130.90500000000003</v>
      </c>
      <c r="K180" s="679">
        <f>$K$2</f>
        <v>1.05</v>
      </c>
      <c r="L180" s="679">
        <f t="shared" ref="L180" si="65">K180*J180</f>
        <v>137.45025000000004</v>
      </c>
      <c r="M180" s="680">
        <f t="shared" ref="M180" si="66">ROUND(L180,1)</f>
        <v>137.5</v>
      </c>
      <c r="N180" s="681">
        <f t="shared" ref="N180" si="67">ROUNDUP(M180,0)</f>
        <v>138</v>
      </c>
      <c r="O180" s="678" t="s">
        <v>183</v>
      </c>
      <c r="R180" s="309"/>
      <c r="S180" s="309"/>
      <c r="T180" s="309"/>
      <c r="U180" s="309"/>
      <c r="V180" s="309"/>
    </row>
    <row r="181" spans="1:22" ht="15" thickTop="1" thickBot="1" x14ac:dyDescent="0.3">
      <c r="A181" s="307"/>
      <c r="B181" s="308"/>
      <c r="C181" s="308"/>
      <c r="D181" s="308"/>
      <c r="E181" s="664"/>
      <c r="F181" s="664">
        <f>SUM(F174:F180)</f>
        <v>22.92</v>
      </c>
      <c r="G181" s="664"/>
      <c r="H181" s="664">
        <f>SUM(H174:H180)</f>
        <v>19.5</v>
      </c>
      <c r="I181" s="664"/>
      <c r="J181" s="664"/>
      <c r="K181" s="682"/>
      <c r="L181" s="682"/>
      <c r="M181" s="673"/>
      <c r="N181" s="683"/>
      <c r="O181" s="664"/>
      <c r="R181" s="309"/>
      <c r="S181" s="309"/>
      <c r="T181" s="309"/>
      <c r="U181" s="309"/>
      <c r="V181" s="309"/>
    </row>
    <row r="182" spans="1:22" ht="15" thickTop="1" thickBot="1" x14ac:dyDescent="0.3">
      <c r="A182" s="307"/>
      <c r="B182" s="308"/>
      <c r="C182" s="308"/>
      <c r="D182" s="308"/>
      <c r="E182" s="664"/>
      <c r="F182" s="664"/>
      <c r="G182" s="664"/>
      <c r="H182" s="664">
        <f>H181+F181</f>
        <v>42.42</v>
      </c>
      <c r="I182" s="664"/>
      <c r="J182" s="664"/>
      <c r="K182" s="682"/>
      <c r="L182" s="682"/>
      <c r="M182" s="673"/>
      <c r="N182" s="683"/>
      <c r="O182" s="664"/>
      <c r="R182" s="309"/>
      <c r="S182" s="309"/>
      <c r="T182" s="309"/>
      <c r="U182" s="309"/>
      <c r="V182" s="309"/>
    </row>
    <row r="183" spans="1:22" ht="15" thickTop="1" thickBot="1" x14ac:dyDescent="0.3">
      <c r="A183" s="307"/>
      <c r="B183" s="308"/>
      <c r="C183" s="308"/>
      <c r="D183" s="308"/>
      <c r="E183" s="664"/>
      <c r="F183" s="664"/>
      <c r="G183" s="664"/>
      <c r="H183" s="664">
        <f>H182*2</f>
        <v>84.84</v>
      </c>
      <c r="I183" s="664"/>
      <c r="J183" s="664"/>
      <c r="K183" s="682"/>
      <c r="L183" s="682"/>
      <c r="M183" s="673"/>
      <c r="N183" s="683"/>
      <c r="O183" s="664"/>
      <c r="R183" s="309"/>
      <c r="S183" s="309"/>
      <c r="T183" s="309"/>
      <c r="U183" s="309"/>
      <c r="V183" s="309"/>
    </row>
    <row r="184" spans="1:22" ht="15" thickTop="1" thickBot="1" x14ac:dyDescent="0.3">
      <c r="A184" s="307"/>
      <c r="B184" s="308"/>
      <c r="C184" s="308"/>
      <c r="D184" s="308"/>
      <c r="E184" s="664"/>
      <c r="F184" s="664"/>
      <c r="G184" s="664"/>
      <c r="H184" s="664"/>
      <c r="I184" s="664"/>
      <c r="J184" s="664"/>
      <c r="K184" s="682"/>
      <c r="L184" s="682"/>
      <c r="M184" s="673"/>
      <c r="N184" s="683"/>
      <c r="O184" s="664"/>
      <c r="R184" s="309"/>
      <c r="S184" s="309"/>
      <c r="T184" s="309"/>
      <c r="U184" s="309"/>
      <c r="V184" s="309"/>
    </row>
    <row r="185" spans="1:22" ht="15" thickTop="1" thickBot="1" x14ac:dyDescent="0.3">
      <c r="A185" s="307"/>
      <c r="B185" s="308"/>
      <c r="C185" s="308"/>
      <c r="D185" s="308"/>
      <c r="E185" s="664"/>
      <c r="F185" s="664"/>
      <c r="G185" s="664"/>
      <c r="H185" s="664"/>
      <c r="I185" s="664"/>
      <c r="J185" s="664"/>
      <c r="K185" s="682"/>
      <c r="L185" s="682"/>
      <c r="M185" s="673"/>
      <c r="N185" s="683"/>
      <c r="O185" s="664"/>
      <c r="R185" s="309"/>
      <c r="S185" s="309"/>
      <c r="T185" s="309"/>
      <c r="U185" s="309"/>
      <c r="V185" s="309"/>
    </row>
    <row r="186" spans="1:22" ht="15" thickTop="1" thickBot="1" x14ac:dyDescent="0.3">
      <c r="A186" s="307" t="str">
        <f>plastering!A22</f>
        <v>K 03</v>
      </c>
      <c r="B186" s="663" t="str">
        <f>plastering!B21</f>
        <v>Internal Plaster</v>
      </c>
      <c r="C186" s="308"/>
      <c r="D186" s="308"/>
      <c r="E186" s="664"/>
      <c r="F186" s="664"/>
      <c r="G186" s="664"/>
      <c r="H186" s="664"/>
      <c r="I186" s="664"/>
      <c r="J186" s="664"/>
      <c r="K186" s="682"/>
      <c r="L186" s="682"/>
      <c r="M186" s="673"/>
      <c r="N186" s="683"/>
      <c r="O186" s="664"/>
      <c r="R186" s="309"/>
      <c r="S186" s="309"/>
      <c r="T186" s="309"/>
      <c r="U186" s="309"/>
      <c r="V186" s="309"/>
    </row>
    <row r="187" spans="1:22" ht="15" thickTop="1" thickBot="1" x14ac:dyDescent="0.3">
      <c r="A187" s="307"/>
      <c r="B187" s="663" t="str">
        <f>B130</f>
        <v>In Ground floor</v>
      </c>
      <c r="C187" s="308"/>
      <c r="D187" s="308"/>
      <c r="E187" s="664"/>
      <c r="F187" s="664"/>
      <c r="G187" s="664"/>
      <c r="H187" s="664"/>
      <c r="I187" s="664"/>
      <c r="J187" s="664"/>
      <c r="K187" s="682"/>
      <c r="L187" s="682"/>
      <c r="M187" s="673"/>
      <c r="N187" s="683"/>
      <c r="O187" s="664"/>
      <c r="R187" s="309"/>
      <c r="S187" s="309"/>
      <c r="T187" s="309"/>
      <c r="U187" s="309"/>
      <c r="V187" s="309"/>
    </row>
    <row r="188" spans="1:22" ht="15" thickTop="1" thickBot="1" x14ac:dyDescent="0.3">
      <c r="A188" s="307"/>
      <c r="B188" s="308"/>
      <c r="C188" s="308"/>
      <c r="D188" s="308"/>
      <c r="E188" s="664"/>
      <c r="F188" s="664"/>
      <c r="G188" s="664"/>
      <c r="H188" s="664"/>
      <c r="I188" s="664"/>
      <c r="J188" s="664"/>
      <c r="K188" s="682"/>
      <c r="L188" s="682"/>
      <c r="M188" s="673"/>
      <c r="N188" s="683"/>
      <c r="O188" s="664"/>
      <c r="R188" s="309"/>
      <c r="S188" s="309"/>
      <c r="T188" s="309"/>
      <c r="U188" s="309"/>
      <c r="V188" s="309"/>
    </row>
    <row r="189" spans="1:22" ht="15" thickTop="1" thickBot="1" x14ac:dyDescent="0.3">
      <c r="A189" s="307"/>
      <c r="B189" s="308"/>
      <c r="C189" s="308"/>
      <c r="D189" s="308"/>
      <c r="E189" s="664"/>
      <c r="F189" s="664"/>
      <c r="G189" s="664"/>
      <c r="H189" s="664"/>
      <c r="I189" s="664"/>
      <c r="J189" s="664"/>
      <c r="K189" s="682"/>
      <c r="L189" s="682"/>
      <c r="M189" s="673"/>
      <c r="N189" s="683"/>
      <c r="O189" s="664"/>
      <c r="R189" s="309"/>
      <c r="S189" s="309"/>
      <c r="T189" s="309"/>
      <c r="U189" s="309"/>
      <c r="V189" s="309"/>
    </row>
    <row r="190" spans="1:22" ht="15" thickTop="1" thickBot="1" x14ac:dyDescent="0.3">
      <c r="A190" s="307"/>
      <c r="B190" s="308"/>
      <c r="C190" s="308"/>
      <c r="D190" s="308"/>
      <c r="E190" s="664"/>
      <c r="F190" s="664"/>
      <c r="G190" s="664"/>
      <c r="H190" s="664"/>
      <c r="I190" s="664"/>
      <c r="J190" s="664"/>
      <c r="K190" s="682"/>
      <c r="L190" s="682"/>
      <c r="M190" s="673"/>
      <c r="N190" s="683"/>
      <c r="O190" s="664"/>
      <c r="R190" s="309"/>
      <c r="S190" s="309"/>
      <c r="T190" s="309"/>
      <c r="U190" s="309"/>
      <c r="V190" s="309"/>
    </row>
    <row r="191" spans="1:22" ht="15" thickTop="1" thickBot="1" x14ac:dyDescent="0.3">
      <c r="A191" s="307"/>
      <c r="B191" s="308"/>
      <c r="C191" s="308"/>
      <c r="D191" s="308"/>
      <c r="E191" s="664"/>
      <c r="F191" s="664"/>
      <c r="G191" s="664"/>
      <c r="H191" s="664"/>
      <c r="I191" s="664"/>
      <c r="J191" s="664"/>
      <c r="K191" s="682"/>
      <c r="L191" s="682"/>
      <c r="M191" s="673"/>
      <c r="N191" s="683"/>
      <c r="O191" s="664"/>
      <c r="R191" s="309"/>
      <c r="S191" s="309"/>
      <c r="T191" s="309"/>
      <c r="U191" s="309"/>
      <c r="V191" s="309"/>
    </row>
    <row r="192" spans="1:22" ht="15" thickTop="1" thickBot="1" x14ac:dyDescent="0.3">
      <c r="A192" s="307"/>
      <c r="B192" s="308"/>
      <c r="C192" s="308"/>
      <c r="D192" s="308"/>
      <c r="E192" s="664"/>
      <c r="F192" s="664"/>
      <c r="G192" s="664"/>
      <c r="H192" s="664"/>
      <c r="I192" s="664"/>
      <c r="J192" s="664"/>
      <c r="K192" s="682"/>
      <c r="L192" s="682"/>
      <c r="M192" s="673"/>
      <c r="N192" s="683"/>
      <c r="O192" s="664"/>
      <c r="R192" s="309"/>
      <c r="S192" s="309"/>
      <c r="T192" s="309"/>
      <c r="U192" s="309"/>
      <c r="V192" s="309"/>
    </row>
    <row r="193" spans="1:22" ht="15" thickTop="1" thickBot="1" x14ac:dyDescent="0.3">
      <c r="A193" s="307"/>
      <c r="B193" s="308"/>
      <c r="C193" s="308"/>
      <c r="D193" s="308"/>
      <c r="E193" s="664"/>
      <c r="F193" s="664"/>
      <c r="G193" s="664"/>
      <c r="H193" s="664"/>
      <c r="I193" s="664"/>
      <c r="J193" s="664"/>
      <c r="K193" s="682"/>
      <c r="L193" s="682"/>
      <c r="M193" s="673"/>
      <c r="N193" s="683"/>
      <c r="O193" s="664"/>
      <c r="R193" s="309"/>
      <c r="S193" s="309"/>
      <c r="T193" s="309"/>
      <c r="U193" s="309"/>
      <c r="V193" s="309"/>
    </row>
    <row r="194" spans="1:22" ht="15" thickTop="1" thickBot="1" x14ac:dyDescent="0.3">
      <c r="A194" s="307"/>
      <c r="B194" s="308"/>
      <c r="C194" s="308"/>
      <c r="D194" s="308"/>
      <c r="E194" s="664"/>
      <c r="F194" s="664"/>
      <c r="G194" s="664"/>
      <c r="H194" s="664"/>
      <c r="I194" s="664"/>
      <c r="J194" s="664"/>
      <c r="K194" s="682"/>
      <c r="L194" s="682"/>
      <c r="M194" s="673"/>
      <c r="N194" s="683"/>
      <c r="O194" s="664"/>
      <c r="R194" s="309"/>
      <c r="S194" s="309"/>
      <c r="T194" s="309"/>
      <c r="U194" s="309"/>
      <c r="V194" s="309"/>
    </row>
    <row r="195" spans="1:22" ht="15" thickTop="1" thickBot="1" x14ac:dyDescent="0.3">
      <c r="A195" s="307"/>
      <c r="B195" s="308"/>
      <c r="C195" s="308"/>
      <c r="D195" s="308"/>
      <c r="E195" s="664"/>
      <c r="F195" s="664"/>
      <c r="G195" s="664"/>
      <c r="H195" s="664"/>
      <c r="I195" s="664"/>
      <c r="J195" s="664"/>
      <c r="K195" s="682"/>
      <c r="L195" s="682"/>
      <c r="M195" s="673"/>
      <c r="N195" s="683"/>
      <c r="O195" s="664"/>
      <c r="R195" s="309"/>
      <c r="S195" s="309"/>
      <c r="T195" s="309"/>
      <c r="U195" s="309"/>
      <c r="V195" s="309"/>
    </row>
    <row r="196" spans="1:22" ht="28.8" thickTop="1" thickBot="1" x14ac:dyDescent="0.3">
      <c r="A196" s="307" t="str">
        <f>exca!A10</f>
        <v>B 01</v>
      </c>
      <c r="B196" s="721" t="str">
        <f>exca!B10</f>
        <v>Clearing site vegetation manually including removal of bushes, shurb removing rubbish.</v>
      </c>
      <c r="C196" s="308"/>
      <c r="D196" s="308"/>
      <c r="E196" s="664">
        <v>1</v>
      </c>
      <c r="F196" s="664">
        <v>271.44305500000002</v>
      </c>
      <c r="G196" s="664"/>
      <c r="H196" s="664">
        <v>1</v>
      </c>
      <c r="I196" s="664">
        <f t="shared" ref="I196" si="68">H196*F196*E196</f>
        <v>271.44305500000002</v>
      </c>
      <c r="J196" s="664">
        <f>SUM(I196)</f>
        <v>271.44305500000002</v>
      </c>
      <c r="K196" s="679">
        <f>$K$2</f>
        <v>1.05</v>
      </c>
      <c r="L196" s="679">
        <f t="shared" ref="L196" si="69">K196*J196</f>
        <v>285.01520775</v>
      </c>
      <c r="M196" s="680">
        <f t="shared" ref="M196" si="70">ROUND(L196,1)</f>
        <v>285</v>
      </c>
      <c r="N196" s="681">
        <f t="shared" ref="N196" si="71">ROUNDUP(M196,0)</f>
        <v>285</v>
      </c>
      <c r="O196" s="678" t="s">
        <v>183</v>
      </c>
      <c r="R196" s="309"/>
      <c r="S196" s="309"/>
      <c r="T196" s="309"/>
      <c r="U196" s="309"/>
      <c r="V196" s="309"/>
    </row>
    <row r="197" spans="1:22" ht="15" thickTop="1" thickBot="1" x14ac:dyDescent="0.3">
      <c r="A197" s="307"/>
      <c r="B197" s="308"/>
      <c r="C197" s="308"/>
      <c r="D197" s="308"/>
      <c r="E197" s="664"/>
      <c r="F197" s="664"/>
      <c r="G197" s="664"/>
      <c r="H197" s="664"/>
      <c r="I197" s="664"/>
      <c r="J197" s="664"/>
      <c r="K197" s="682"/>
      <c r="L197" s="682"/>
      <c r="M197" s="673"/>
      <c r="N197" s="683"/>
      <c r="O197" s="664"/>
      <c r="R197" s="309"/>
      <c r="S197" s="309"/>
      <c r="T197" s="309"/>
      <c r="U197" s="309"/>
      <c r="V197" s="309"/>
    </row>
    <row r="198" spans="1:22" ht="15" thickTop="1" thickBot="1" x14ac:dyDescent="0.3">
      <c r="A198" s="307"/>
      <c r="B198" s="308"/>
      <c r="C198" s="308"/>
      <c r="D198" s="308"/>
      <c r="E198" s="664"/>
      <c r="F198" s="664"/>
      <c r="G198" s="664"/>
      <c r="H198" s="664"/>
      <c r="I198" s="664"/>
      <c r="J198" s="664"/>
      <c r="K198" s="682"/>
      <c r="L198" s="682"/>
      <c r="M198" s="673"/>
      <c r="N198" s="683"/>
      <c r="O198" s="664"/>
      <c r="R198" s="309"/>
      <c r="S198" s="309"/>
      <c r="T198" s="309"/>
      <c r="U198" s="309"/>
      <c r="V198" s="309"/>
    </row>
    <row r="199" spans="1:22" ht="70.2" thickTop="1" thickBot="1" x14ac:dyDescent="0.3">
      <c r="A199" s="307" t="str">
        <f>exca!A22</f>
        <v>B 03</v>
      </c>
      <c r="B199" s="721" t="str">
        <f>exca!B22</f>
        <v xml:space="preserve">Excavation for column, wall, staircase foundations in any material (except rock requiring blasting) up to depth (as per the drawings), part return fill in and ram and surplus depositted within site as directed.                                                                                                           </v>
      </c>
      <c r="C199" s="308"/>
      <c r="D199" s="308" t="s">
        <v>810</v>
      </c>
      <c r="E199" s="664">
        <v>1</v>
      </c>
      <c r="F199" s="664">
        <v>0.9</v>
      </c>
      <c r="G199" s="664">
        <v>0.9</v>
      </c>
      <c r="H199" s="664">
        <v>1.2</v>
      </c>
      <c r="I199" s="664">
        <f>H199*G199*F199*E199</f>
        <v>0.97200000000000009</v>
      </c>
      <c r="J199" s="664"/>
      <c r="K199" s="682"/>
      <c r="L199" s="682"/>
      <c r="M199" s="673"/>
      <c r="N199" s="683"/>
      <c r="O199" s="664"/>
      <c r="R199" s="309"/>
      <c r="S199" s="309"/>
      <c r="T199" s="309"/>
      <c r="U199" s="309"/>
      <c r="V199" s="309"/>
    </row>
    <row r="200" spans="1:22" ht="15" thickTop="1" thickBot="1" x14ac:dyDescent="0.3">
      <c r="A200" s="307"/>
      <c r="B200" s="663"/>
      <c r="C200" s="308"/>
      <c r="D200" s="308" t="s">
        <v>811</v>
      </c>
      <c r="E200" s="664">
        <v>1</v>
      </c>
      <c r="F200" s="664">
        <v>0.9</v>
      </c>
      <c r="G200" s="664">
        <v>0.9</v>
      </c>
      <c r="H200" s="664">
        <v>1.2</v>
      </c>
      <c r="I200" s="664">
        <f t="shared" ref="I200:I221" si="72">H200*G200*F200*E200</f>
        <v>0.97200000000000009</v>
      </c>
      <c r="J200" s="664"/>
      <c r="K200" s="682"/>
      <c r="L200" s="682"/>
      <c r="M200" s="673"/>
      <c r="N200" s="683"/>
      <c r="O200" s="664"/>
      <c r="R200" s="309"/>
      <c r="S200" s="309"/>
      <c r="T200" s="309"/>
      <c r="U200" s="309"/>
      <c r="V200" s="309"/>
    </row>
    <row r="201" spans="1:22" ht="15" thickTop="1" thickBot="1" x14ac:dyDescent="0.3">
      <c r="A201" s="307"/>
      <c r="B201" s="308"/>
      <c r="C201" s="308"/>
      <c r="D201" s="308" t="s">
        <v>812</v>
      </c>
      <c r="E201" s="664">
        <v>1</v>
      </c>
      <c r="F201" s="664">
        <v>0.9</v>
      </c>
      <c r="G201" s="664">
        <v>0.9</v>
      </c>
      <c r="H201" s="664">
        <v>1.2</v>
      </c>
      <c r="I201" s="664">
        <f t="shared" si="72"/>
        <v>0.97200000000000009</v>
      </c>
      <c r="J201" s="664"/>
      <c r="K201" s="682"/>
      <c r="L201" s="682"/>
      <c r="M201" s="673"/>
      <c r="N201" s="683"/>
      <c r="O201" s="664"/>
      <c r="R201" s="309"/>
      <c r="S201" s="309"/>
      <c r="T201" s="309"/>
      <c r="U201" s="309"/>
      <c r="V201" s="309"/>
    </row>
    <row r="202" spans="1:22" ht="15" thickTop="1" thickBot="1" x14ac:dyDescent="0.3">
      <c r="A202" s="307"/>
      <c r="B202" s="308"/>
      <c r="C202" s="308"/>
      <c r="D202" s="308" t="s">
        <v>850</v>
      </c>
      <c r="E202" s="664">
        <v>1</v>
      </c>
      <c r="F202" s="664">
        <v>1.2</v>
      </c>
      <c r="G202" s="664">
        <v>1.2</v>
      </c>
      <c r="H202" s="664">
        <v>1.2</v>
      </c>
      <c r="I202" s="664">
        <f t="shared" si="72"/>
        <v>1.728</v>
      </c>
      <c r="J202" s="664"/>
      <c r="K202" s="682"/>
      <c r="L202" s="682"/>
      <c r="M202" s="673"/>
      <c r="N202" s="683"/>
      <c r="O202" s="664"/>
      <c r="R202" s="309"/>
      <c r="S202" s="309"/>
      <c r="T202" s="309"/>
      <c r="U202" s="309"/>
      <c r="V202" s="309"/>
    </row>
    <row r="203" spans="1:22" ht="15" thickTop="1" thickBot="1" x14ac:dyDescent="0.3">
      <c r="A203" s="307"/>
      <c r="B203" s="308"/>
      <c r="C203" s="308"/>
      <c r="D203" s="308" t="s">
        <v>851</v>
      </c>
      <c r="E203" s="664">
        <v>1</v>
      </c>
      <c r="F203" s="664">
        <v>1.6</v>
      </c>
      <c r="G203" s="664">
        <v>1.6</v>
      </c>
      <c r="H203" s="664">
        <v>1.2</v>
      </c>
      <c r="I203" s="664">
        <f t="shared" si="72"/>
        <v>3.0720000000000001</v>
      </c>
      <c r="J203" s="664"/>
      <c r="K203" s="682"/>
      <c r="L203" s="682"/>
      <c r="M203" s="673"/>
      <c r="N203" s="683"/>
      <c r="O203" s="664"/>
      <c r="R203" s="309"/>
      <c r="S203" s="309"/>
      <c r="T203" s="309"/>
      <c r="U203" s="309"/>
      <c r="V203" s="309"/>
    </row>
    <row r="204" spans="1:22" ht="15" thickTop="1" thickBot="1" x14ac:dyDescent="0.3">
      <c r="A204" s="307"/>
      <c r="B204" s="308"/>
      <c r="C204" s="308"/>
      <c r="D204" s="308" t="s">
        <v>852</v>
      </c>
      <c r="E204" s="664">
        <v>1</v>
      </c>
      <c r="F204" s="664">
        <v>1.6</v>
      </c>
      <c r="G204" s="664">
        <v>1.6</v>
      </c>
      <c r="H204" s="664">
        <v>1.2</v>
      </c>
      <c r="I204" s="664">
        <f t="shared" si="72"/>
        <v>3.0720000000000001</v>
      </c>
      <c r="J204" s="664"/>
      <c r="K204" s="682"/>
      <c r="L204" s="682"/>
      <c r="M204" s="673"/>
      <c r="N204" s="683"/>
      <c r="O204" s="664"/>
      <c r="R204" s="309"/>
      <c r="S204" s="309"/>
      <c r="T204" s="309"/>
      <c r="U204" s="309"/>
      <c r="V204" s="309"/>
    </row>
    <row r="205" spans="1:22" ht="15" thickTop="1" thickBot="1" x14ac:dyDescent="0.3">
      <c r="A205" s="307"/>
      <c r="B205" s="308"/>
      <c r="C205" s="308"/>
      <c r="D205" s="308" t="s">
        <v>853</v>
      </c>
      <c r="E205" s="664">
        <v>1</v>
      </c>
      <c r="F205" s="664">
        <v>1.5</v>
      </c>
      <c r="G205" s="664">
        <v>1.5</v>
      </c>
      <c r="H205" s="664">
        <v>1.2</v>
      </c>
      <c r="I205" s="664">
        <f t="shared" si="72"/>
        <v>2.6999999999999997</v>
      </c>
      <c r="J205" s="664"/>
      <c r="K205" s="682"/>
      <c r="L205" s="682"/>
      <c r="M205" s="673"/>
      <c r="N205" s="683"/>
      <c r="O205" s="664"/>
      <c r="R205" s="309"/>
      <c r="S205" s="309"/>
      <c r="T205" s="309"/>
      <c r="U205" s="309"/>
      <c r="V205" s="309"/>
    </row>
    <row r="206" spans="1:22" ht="15" thickTop="1" thickBot="1" x14ac:dyDescent="0.3">
      <c r="A206" s="307"/>
      <c r="B206" s="308"/>
      <c r="C206" s="308"/>
      <c r="D206" s="308" t="s">
        <v>854</v>
      </c>
      <c r="E206" s="664">
        <v>1</v>
      </c>
      <c r="F206" s="664">
        <v>1.2</v>
      </c>
      <c r="G206" s="664">
        <v>1.2</v>
      </c>
      <c r="H206" s="664">
        <v>1.2</v>
      </c>
      <c r="I206" s="664">
        <f t="shared" si="72"/>
        <v>1.728</v>
      </c>
      <c r="J206" s="664"/>
      <c r="K206" s="682"/>
      <c r="L206" s="682"/>
      <c r="M206" s="673"/>
      <c r="N206" s="683"/>
      <c r="O206" s="664"/>
      <c r="R206" s="309"/>
      <c r="S206" s="309"/>
      <c r="T206" s="309"/>
      <c r="U206" s="309"/>
      <c r="V206" s="309"/>
    </row>
    <row r="207" spans="1:22" ht="15" thickTop="1" thickBot="1" x14ac:dyDescent="0.3">
      <c r="A207" s="307"/>
      <c r="B207" s="308"/>
      <c r="C207" s="308"/>
      <c r="D207" s="308" t="s">
        <v>855</v>
      </c>
      <c r="E207" s="664">
        <v>1</v>
      </c>
      <c r="F207" s="664">
        <v>1.8</v>
      </c>
      <c r="G207" s="664">
        <v>1.8</v>
      </c>
      <c r="H207" s="664">
        <v>1.2</v>
      </c>
      <c r="I207" s="664">
        <f t="shared" si="72"/>
        <v>3.8880000000000003</v>
      </c>
      <c r="J207" s="664"/>
      <c r="K207" s="682"/>
      <c r="L207" s="682"/>
      <c r="M207" s="673"/>
      <c r="N207" s="683"/>
      <c r="O207" s="664"/>
      <c r="R207" s="309"/>
      <c r="S207" s="309"/>
      <c r="T207" s="309"/>
      <c r="U207" s="309"/>
      <c r="V207" s="309"/>
    </row>
    <row r="208" spans="1:22" ht="15" thickTop="1" thickBot="1" x14ac:dyDescent="0.3">
      <c r="A208" s="307"/>
      <c r="B208" s="308"/>
      <c r="C208" s="308"/>
      <c r="D208" s="308" t="s">
        <v>856</v>
      </c>
      <c r="E208" s="664">
        <v>1</v>
      </c>
      <c r="F208" s="664">
        <v>1.6</v>
      </c>
      <c r="G208" s="664">
        <v>1.6</v>
      </c>
      <c r="H208" s="664">
        <v>1.2</v>
      </c>
      <c r="I208" s="664">
        <f t="shared" si="72"/>
        <v>3.0720000000000001</v>
      </c>
      <c r="J208" s="664"/>
      <c r="K208" s="682"/>
      <c r="L208" s="682"/>
      <c r="M208" s="673"/>
      <c r="N208" s="683"/>
      <c r="O208" s="664"/>
      <c r="R208" s="309"/>
      <c r="S208" s="309"/>
      <c r="T208" s="309"/>
      <c r="U208" s="309"/>
      <c r="V208" s="309"/>
    </row>
    <row r="209" spans="1:22" ht="15" thickTop="1" thickBot="1" x14ac:dyDescent="0.3">
      <c r="A209" s="307"/>
      <c r="B209" s="308"/>
      <c r="C209" s="308"/>
      <c r="D209" s="308" t="s">
        <v>857</v>
      </c>
      <c r="E209" s="664">
        <v>1</v>
      </c>
      <c r="F209" s="664">
        <v>1.6</v>
      </c>
      <c r="G209" s="664">
        <v>1.6</v>
      </c>
      <c r="H209" s="664">
        <v>1.2</v>
      </c>
      <c r="I209" s="664">
        <f t="shared" si="72"/>
        <v>3.0720000000000001</v>
      </c>
      <c r="J209" s="664"/>
      <c r="K209" s="682"/>
      <c r="L209" s="682"/>
      <c r="M209" s="673"/>
      <c r="N209" s="683"/>
      <c r="O209" s="664"/>
      <c r="R209" s="309"/>
      <c r="S209" s="309"/>
      <c r="T209" s="309"/>
      <c r="U209" s="309"/>
      <c r="V209" s="309"/>
    </row>
    <row r="210" spans="1:22" ht="15" thickTop="1" thickBot="1" x14ac:dyDescent="0.3">
      <c r="A210" s="307"/>
      <c r="B210" s="308"/>
      <c r="C210" s="308"/>
      <c r="D210" s="308" t="s">
        <v>858</v>
      </c>
      <c r="E210" s="664">
        <v>1</v>
      </c>
      <c r="F210" s="664">
        <v>1.8</v>
      </c>
      <c r="G210" s="664">
        <v>1.8</v>
      </c>
      <c r="H210" s="664">
        <v>1.2</v>
      </c>
      <c r="I210" s="664">
        <f t="shared" si="72"/>
        <v>3.8880000000000003</v>
      </c>
      <c r="J210" s="664"/>
      <c r="K210" s="682"/>
      <c r="L210" s="682"/>
      <c r="M210" s="673"/>
      <c r="N210" s="683"/>
      <c r="O210" s="664"/>
      <c r="R210" s="309"/>
      <c r="S210" s="309"/>
      <c r="T210" s="309"/>
      <c r="U210" s="309"/>
      <c r="V210" s="309"/>
    </row>
    <row r="211" spans="1:22" ht="15" thickTop="1" thickBot="1" x14ac:dyDescent="0.3">
      <c r="A211" s="307"/>
      <c r="B211" s="308"/>
      <c r="C211" s="308"/>
      <c r="D211" s="308" t="s">
        <v>859</v>
      </c>
      <c r="E211" s="664">
        <v>1</v>
      </c>
      <c r="F211" s="664">
        <v>1.2</v>
      </c>
      <c r="G211" s="664">
        <v>1.2</v>
      </c>
      <c r="H211" s="664">
        <v>1.2</v>
      </c>
      <c r="I211" s="664">
        <f t="shared" si="72"/>
        <v>1.728</v>
      </c>
      <c r="J211" s="664"/>
      <c r="K211" s="682"/>
      <c r="L211" s="682"/>
      <c r="M211" s="673"/>
      <c r="N211" s="683"/>
      <c r="O211" s="664"/>
      <c r="R211" s="309"/>
      <c r="S211" s="309"/>
      <c r="T211" s="309"/>
      <c r="U211" s="309"/>
      <c r="V211" s="309"/>
    </row>
    <row r="212" spans="1:22" ht="15" thickTop="1" thickBot="1" x14ac:dyDescent="0.3">
      <c r="A212" s="307"/>
      <c r="B212" s="308"/>
      <c r="C212" s="308"/>
      <c r="D212" s="308" t="s">
        <v>860</v>
      </c>
      <c r="E212" s="664">
        <v>1</v>
      </c>
      <c r="F212" s="664">
        <v>1</v>
      </c>
      <c r="G212" s="664">
        <v>1</v>
      </c>
      <c r="H212" s="664">
        <v>1.2</v>
      </c>
      <c r="I212" s="664">
        <f t="shared" si="72"/>
        <v>1.2</v>
      </c>
      <c r="J212" s="664"/>
      <c r="K212" s="682"/>
      <c r="L212" s="682"/>
      <c r="M212" s="673"/>
      <c r="N212" s="683"/>
      <c r="O212" s="664"/>
      <c r="R212" s="309"/>
      <c r="S212" s="309"/>
      <c r="T212" s="309"/>
      <c r="U212" s="309"/>
      <c r="V212" s="309"/>
    </row>
    <row r="213" spans="1:22" ht="15" thickTop="1" thickBot="1" x14ac:dyDescent="0.3">
      <c r="A213" s="307"/>
      <c r="B213" s="663"/>
      <c r="C213" s="308"/>
      <c r="D213" s="308" t="s">
        <v>861</v>
      </c>
      <c r="E213" s="664">
        <v>1</v>
      </c>
      <c r="F213" s="664">
        <v>1.3</v>
      </c>
      <c r="G213" s="664">
        <v>1.3</v>
      </c>
      <c r="H213" s="664">
        <v>1.2</v>
      </c>
      <c r="I213" s="664">
        <f t="shared" si="72"/>
        <v>2.028</v>
      </c>
      <c r="J213" s="664"/>
      <c r="K213" s="682"/>
      <c r="L213" s="682"/>
      <c r="M213" s="673"/>
      <c r="N213" s="683"/>
      <c r="O213" s="664"/>
      <c r="R213" s="309"/>
      <c r="S213" s="309"/>
      <c r="T213" s="309"/>
      <c r="U213" s="309"/>
      <c r="V213" s="309"/>
    </row>
    <row r="214" spans="1:22" ht="15" thickTop="1" thickBot="1" x14ac:dyDescent="0.3">
      <c r="A214" s="307"/>
      <c r="B214" s="308"/>
      <c r="C214" s="308"/>
      <c r="D214" s="308" t="s">
        <v>862</v>
      </c>
      <c r="E214" s="664">
        <v>1</v>
      </c>
      <c r="F214" s="664">
        <v>1</v>
      </c>
      <c r="G214" s="664">
        <v>1</v>
      </c>
      <c r="H214" s="664">
        <v>1.2</v>
      </c>
      <c r="I214" s="664">
        <f t="shared" si="72"/>
        <v>1.2</v>
      </c>
      <c r="J214" s="664"/>
      <c r="K214" s="682"/>
      <c r="L214" s="682"/>
      <c r="M214" s="673"/>
      <c r="N214" s="683"/>
      <c r="O214" s="664"/>
      <c r="R214" s="309"/>
      <c r="S214" s="309"/>
      <c r="T214" s="309"/>
      <c r="U214" s="309"/>
      <c r="V214" s="309"/>
    </row>
    <row r="215" spans="1:22" ht="15" thickTop="1" thickBot="1" x14ac:dyDescent="0.3">
      <c r="A215" s="307"/>
      <c r="B215" s="308"/>
      <c r="C215" s="308"/>
      <c r="D215" s="308" t="s">
        <v>863</v>
      </c>
      <c r="E215" s="664">
        <v>1</v>
      </c>
      <c r="F215" s="664">
        <v>2</v>
      </c>
      <c r="G215" s="664">
        <v>2</v>
      </c>
      <c r="H215" s="664">
        <v>1.2</v>
      </c>
      <c r="I215" s="664">
        <f t="shared" si="72"/>
        <v>4.8</v>
      </c>
      <c r="J215" s="664"/>
      <c r="K215" s="682"/>
      <c r="L215" s="682"/>
      <c r="M215" s="673"/>
      <c r="N215" s="683"/>
      <c r="O215" s="664"/>
      <c r="R215" s="309"/>
      <c r="S215" s="309"/>
      <c r="T215" s="309"/>
      <c r="U215" s="309"/>
      <c r="V215" s="309"/>
    </row>
    <row r="216" spans="1:22" ht="15" thickTop="1" thickBot="1" x14ac:dyDescent="0.3">
      <c r="A216" s="307"/>
      <c r="B216" s="308"/>
      <c r="C216" s="308"/>
      <c r="D216" s="308" t="s">
        <v>864</v>
      </c>
      <c r="E216" s="664">
        <v>1</v>
      </c>
      <c r="F216" s="664">
        <v>1.2</v>
      </c>
      <c r="G216" s="664">
        <v>1.2</v>
      </c>
      <c r="H216" s="664">
        <v>1.2</v>
      </c>
      <c r="I216" s="664">
        <f t="shared" si="72"/>
        <v>1.728</v>
      </c>
      <c r="J216" s="664"/>
      <c r="K216" s="682"/>
      <c r="L216" s="682"/>
      <c r="M216" s="673"/>
      <c r="N216" s="683"/>
      <c r="O216" s="664"/>
      <c r="R216" s="309"/>
      <c r="S216" s="309"/>
      <c r="T216" s="309"/>
      <c r="U216" s="309"/>
      <c r="V216" s="309"/>
    </row>
    <row r="217" spans="1:22" ht="15" thickTop="1" thickBot="1" x14ac:dyDescent="0.3">
      <c r="A217" s="307"/>
      <c r="B217" s="308"/>
      <c r="C217" s="308"/>
      <c r="D217" s="308" t="s">
        <v>865</v>
      </c>
      <c r="E217" s="664">
        <v>1</v>
      </c>
      <c r="F217" s="664">
        <v>1</v>
      </c>
      <c r="G217" s="664">
        <v>1</v>
      </c>
      <c r="H217" s="664">
        <v>1.2</v>
      </c>
      <c r="I217" s="664">
        <f t="shared" si="72"/>
        <v>1.2</v>
      </c>
      <c r="J217" s="664"/>
      <c r="K217" s="682"/>
      <c r="L217" s="682"/>
      <c r="M217" s="673"/>
      <c r="N217" s="683"/>
      <c r="O217" s="664"/>
      <c r="R217" s="309"/>
      <c r="S217" s="309"/>
      <c r="T217" s="309"/>
      <c r="U217" s="309"/>
      <c r="V217" s="309"/>
    </row>
    <row r="218" spans="1:22" ht="15" thickTop="1" thickBot="1" x14ac:dyDescent="0.3">
      <c r="A218" s="307"/>
      <c r="B218" s="308"/>
      <c r="C218" s="308"/>
      <c r="D218" s="308" t="s">
        <v>866</v>
      </c>
      <c r="E218" s="664">
        <v>1</v>
      </c>
      <c r="F218" s="664">
        <v>1.6</v>
      </c>
      <c r="G218" s="664">
        <v>1.6</v>
      </c>
      <c r="H218" s="664">
        <v>1.2</v>
      </c>
      <c r="I218" s="664">
        <f t="shared" si="72"/>
        <v>3.0720000000000001</v>
      </c>
      <c r="J218" s="664"/>
      <c r="K218" s="682"/>
      <c r="L218" s="682"/>
      <c r="M218" s="673"/>
      <c r="N218" s="683"/>
      <c r="O218" s="664"/>
      <c r="R218" s="309"/>
      <c r="S218" s="309"/>
      <c r="T218" s="309"/>
      <c r="U218" s="309"/>
      <c r="V218" s="309"/>
    </row>
    <row r="219" spans="1:22" ht="15" thickTop="1" thickBot="1" x14ac:dyDescent="0.3">
      <c r="A219" s="307"/>
      <c r="B219" s="308"/>
      <c r="C219" s="308"/>
      <c r="D219" s="308" t="s">
        <v>867</v>
      </c>
      <c r="E219" s="664">
        <v>1</v>
      </c>
      <c r="F219" s="664">
        <v>1.8</v>
      </c>
      <c r="G219" s="664">
        <v>1.8</v>
      </c>
      <c r="H219" s="664">
        <v>1.2</v>
      </c>
      <c r="I219" s="664">
        <f t="shared" si="72"/>
        <v>3.8880000000000003</v>
      </c>
      <c r="J219" s="664"/>
      <c r="K219" s="682"/>
      <c r="L219" s="682"/>
      <c r="M219" s="673"/>
      <c r="N219" s="683"/>
      <c r="O219" s="664"/>
      <c r="R219" s="309"/>
      <c r="S219" s="309"/>
      <c r="T219" s="309"/>
      <c r="U219" s="309"/>
      <c r="V219" s="309"/>
    </row>
    <row r="220" spans="1:22" ht="15" thickTop="1" thickBot="1" x14ac:dyDescent="0.3">
      <c r="A220" s="307"/>
      <c r="B220" s="308"/>
      <c r="C220" s="308"/>
      <c r="D220" s="308" t="s">
        <v>868</v>
      </c>
      <c r="E220" s="664">
        <v>1</v>
      </c>
      <c r="F220" s="664">
        <v>1.5</v>
      </c>
      <c r="G220" s="664">
        <v>1.5</v>
      </c>
      <c r="H220" s="664">
        <v>1.2</v>
      </c>
      <c r="I220" s="664">
        <f t="shared" si="72"/>
        <v>2.6999999999999997</v>
      </c>
      <c r="J220" s="664"/>
      <c r="K220" s="682"/>
      <c r="L220" s="682"/>
      <c r="M220" s="673"/>
      <c r="N220" s="683"/>
      <c r="O220" s="664"/>
      <c r="R220" s="309"/>
      <c r="S220" s="309"/>
      <c r="T220" s="309"/>
      <c r="U220" s="309"/>
      <c r="V220" s="309"/>
    </row>
    <row r="221" spans="1:22" ht="15" thickTop="1" thickBot="1" x14ac:dyDescent="0.3">
      <c r="A221" s="307"/>
      <c r="B221" s="308"/>
      <c r="C221" s="308"/>
      <c r="D221" s="308" t="s">
        <v>869</v>
      </c>
      <c r="E221" s="664">
        <v>1</v>
      </c>
      <c r="F221" s="664">
        <v>1</v>
      </c>
      <c r="G221" s="664">
        <v>1</v>
      </c>
      <c r="H221" s="664">
        <v>1.2</v>
      </c>
      <c r="I221" s="664">
        <f t="shared" si="72"/>
        <v>1.2</v>
      </c>
      <c r="J221" s="664">
        <f>SUM(I199:I221)</f>
        <v>53.88000000000001</v>
      </c>
      <c r="K221" s="679">
        <f>$K$2</f>
        <v>1.05</v>
      </c>
      <c r="L221" s="679">
        <f t="shared" ref="L221" si="73">K221*J221</f>
        <v>56.574000000000012</v>
      </c>
      <c r="M221" s="680">
        <f t="shared" ref="M221" si="74">ROUND(L221,1)</f>
        <v>56.6</v>
      </c>
      <c r="N221" s="681">
        <f t="shared" ref="N221" si="75">ROUNDUP(M221,0)</f>
        <v>57</v>
      </c>
      <c r="O221" s="678" t="s">
        <v>872</v>
      </c>
      <c r="R221" s="309"/>
      <c r="S221" s="309"/>
      <c r="T221" s="309"/>
      <c r="U221" s="309"/>
      <c r="V221" s="309"/>
    </row>
    <row r="222" spans="1:22" ht="15" thickTop="1" thickBot="1" x14ac:dyDescent="0.3">
      <c r="A222" s="307"/>
      <c r="B222" s="308"/>
      <c r="C222" s="308"/>
      <c r="D222" s="308"/>
      <c r="E222" s="664"/>
      <c r="F222" s="664"/>
      <c r="G222" s="664"/>
      <c r="H222" s="664"/>
      <c r="I222" s="664"/>
      <c r="J222" s="664"/>
      <c r="K222" s="682"/>
      <c r="L222" s="682"/>
      <c r="M222" s="673"/>
      <c r="N222" s="683"/>
      <c r="O222" s="664"/>
      <c r="R222" s="309"/>
      <c r="S222" s="309"/>
      <c r="T222" s="309"/>
      <c r="U222" s="309"/>
      <c r="V222" s="309"/>
    </row>
    <row r="223" spans="1:22" ht="14.4" thickTop="1" x14ac:dyDescent="0.25">
      <c r="A223" s="307"/>
      <c r="B223" s="308"/>
      <c r="C223" s="308"/>
      <c r="D223" s="308"/>
      <c r="E223" s="664"/>
      <c r="F223" s="664"/>
      <c r="G223" s="664"/>
      <c r="H223" s="664"/>
      <c r="I223" s="664"/>
      <c r="J223" s="664"/>
      <c r="K223" s="682"/>
      <c r="L223" s="682"/>
      <c r="M223" s="683"/>
      <c r="N223" s="683"/>
      <c r="O223" s="664"/>
      <c r="R223" s="309"/>
      <c r="S223" s="309"/>
      <c r="T223" s="309"/>
      <c r="U223" s="309"/>
      <c r="V223" s="309"/>
    </row>
    <row r="224" spans="1:22" x14ac:dyDescent="0.25">
      <c r="A224" s="307"/>
      <c r="B224" s="663"/>
      <c r="C224" s="308"/>
      <c r="D224" s="308" t="s">
        <v>870</v>
      </c>
      <c r="E224" s="664">
        <v>2</v>
      </c>
      <c r="F224" s="678">
        <v>5.15</v>
      </c>
      <c r="G224" s="664">
        <v>0.65</v>
      </c>
      <c r="H224" s="678">
        <v>0.7</v>
      </c>
      <c r="I224" s="664">
        <f t="shared" ref="I224:I238" si="76">H224*G224*F224*E224</f>
        <v>4.6864999999999997</v>
      </c>
      <c r="J224" s="678"/>
      <c r="K224" s="678"/>
      <c r="L224" s="678"/>
      <c r="M224" s="683"/>
      <c r="N224" s="683"/>
      <c r="O224" s="664"/>
      <c r="R224" s="309"/>
      <c r="S224" s="309"/>
      <c r="T224" s="309"/>
      <c r="U224" s="309"/>
      <c r="V224" s="309"/>
    </row>
    <row r="225" spans="1:22" x14ac:dyDescent="0.25">
      <c r="A225" s="307"/>
      <c r="B225" s="308"/>
      <c r="C225" s="308"/>
      <c r="D225" s="308"/>
      <c r="E225" s="664">
        <v>1</v>
      </c>
      <c r="F225" s="664">
        <v>1.08</v>
      </c>
      <c r="G225" s="664">
        <v>0.65</v>
      </c>
      <c r="H225" s="678">
        <v>0.7</v>
      </c>
      <c r="I225" s="664">
        <f t="shared" si="76"/>
        <v>0.4914</v>
      </c>
      <c r="J225" s="664"/>
      <c r="K225" s="682"/>
      <c r="L225" s="682"/>
      <c r="M225" s="683"/>
      <c r="N225" s="683"/>
      <c r="O225" s="664"/>
      <c r="R225" s="309"/>
      <c r="S225" s="309"/>
      <c r="T225" s="309"/>
      <c r="U225" s="309"/>
      <c r="V225" s="309"/>
    </row>
    <row r="226" spans="1:22" x14ac:dyDescent="0.25">
      <c r="A226" s="307"/>
      <c r="B226" s="663"/>
      <c r="C226" s="308"/>
      <c r="D226" s="308"/>
      <c r="E226" s="664">
        <v>1</v>
      </c>
      <c r="F226" s="678">
        <v>2.35</v>
      </c>
      <c r="G226" s="664">
        <v>0.65</v>
      </c>
      <c r="H226" s="678">
        <v>0.7</v>
      </c>
      <c r="I226" s="664">
        <f t="shared" si="76"/>
        <v>1.06925</v>
      </c>
      <c r="J226" s="678"/>
      <c r="K226" s="678"/>
      <c r="L226" s="678"/>
      <c r="M226" s="683"/>
      <c r="N226" s="683"/>
      <c r="O226" s="664"/>
      <c r="R226" s="309"/>
      <c r="S226" s="309"/>
      <c r="T226" s="309"/>
      <c r="U226" s="309"/>
      <c r="V226" s="309"/>
    </row>
    <row r="227" spans="1:22" x14ac:dyDescent="0.25">
      <c r="A227" s="307"/>
      <c r="B227" s="663"/>
      <c r="C227" s="308"/>
      <c r="D227" s="308"/>
      <c r="E227" s="664">
        <v>2</v>
      </c>
      <c r="F227" s="678">
        <v>6.05</v>
      </c>
      <c r="G227" s="664">
        <v>0.65</v>
      </c>
      <c r="H227" s="678">
        <v>0.7</v>
      </c>
      <c r="I227" s="664">
        <f t="shared" si="76"/>
        <v>5.5054999999999996</v>
      </c>
      <c r="J227" s="678"/>
      <c r="K227" s="679"/>
      <c r="L227" s="679"/>
      <c r="M227" s="683"/>
      <c r="N227" s="683"/>
      <c r="O227" s="664"/>
      <c r="R227" s="309"/>
      <c r="S227" s="309"/>
      <c r="T227" s="309"/>
      <c r="U227" s="309"/>
      <c r="V227" s="309"/>
    </row>
    <row r="228" spans="1:22" x14ac:dyDescent="0.25">
      <c r="A228" s="307"/>
      <c r="B228" s="663"/>
      <c r="C228" s="308"/>
      <c r="D228" s="308"/>
      <c r="E228" s="664">
        <v>6</v>
      </c>
      <c r="F228" s="678">
        <v>4.95</v>
      </c>
      <c r="G228" s="664">
        <v>0.65</v>
      </c>
      <c r="H228" s="678">
        <v>0.7</v>
      </c>
      <c r="I228" s="664">
        <f t="shared" si="76"/>
        <v>13.513500000000001</v>
      </c>
      <c r="J228" s="678"/>
      <c r="K228" s="679"/>
      <c r="L228" s="679"/>
      <c r="M228" s="683"/>
      <c r="N228" s="683"/>
      <c r="O228" s="664"/>
      <c r="R228" s="309"/>
      <c r="S228" s="309"/>
      <c r="T228" s="309"/>
      <c r="U228" s="309"/>
      <c r="V228" s="309"/>
    </row>
    <row r="229" spans="1:22" x14ac:dyDescent="0.25">
      <c r="A229" s="307"/>
      <c r="B229" s="663"/>
      <c r="C229" s="308"/>
      <c r="D229" s="308"/>
      <c r="E229" s="664">
        <v>4</v>
      </c>
      <c r="F229" s="678">
        <v>1.35</v>
      </c>
      <c r="G229" s="664">
        <v>0.65</v>
      </c>
      <c r="H229" s="678">
        <v>0.7</v>
      </c>
      <c r="I229" s="664">
        <f t="shared" si="76"/>
        <v>2.4569999999999999</v>
      </c>
      <c r="J229" s="678"/>
      <c r="K229" s="679"/>
      <c r="L229" s="679"/>
      <c r="M229" s="683"/>
      <c r="N229" s="683"/>
      <c r="O229" s="664"/>
      <c r="R229" s="309"/>
      <c r="S229" s="309"/>
      <c r="T229" s="309"/>
      <c r="U229" s="309"/>
      <c r="V229" s="309"/>
    </row>
    <row r="230" spans="1:22" x14ac:dyDescent="0.25">
      <c r="A230" s="307"/>
      <c r="B230" s="663"/>
      <c r="C230" s="308"/>
      <c r="D230" s="308"/>
      <c r="E230" s="664">
        <v>1</v>
      </c>
      <c r="F230" s="678">
        <v>1.42</v>
      </c>
      <c r="G230" s="664">
        <v>0.65</v>
      </c>
      <c r="H230" s="678">
        <v>0.7</v>
      </c>
      <c r="I230" s="664">
        <f t="shared" si="76"/>
        <v>0.6460999999999999</v>
      </c>
      <c r="J230" s="678"/>
      <c r="K230" s="679"/>
      <c r="L230" s="679"/>
      <c r="M230" s="683"/>
      <c r="N230" s="683"/>
      <c r="O230" s="664"/>
      <c r="R230" s="309"/>
      <c r="S230" s="309"/>
      <c r="T230" s="309"/>
      <c r="U230" s="309"/>
      <c r="V230" s="309"/>
    </row>
    <row r="231" spans="1:22" x14ac:dyDescent="0.25">
      <c r="A231" s="307"/>
      <c r="B231" s="663"/>
      <c r="C231" s="308"/>
      <c r="D231" s="308"/>
      <c r="E231" s="664">
        <v>2</v>
      </c>
      <c r="F231" s="678">
        <v>0.75</v>
      </c>
      <c r="G231" s="664">
        <v>0.65</v>
      </c>
      <c r="H231" s="678">
        <v>0.7</v>
      </c>
      <c r="I231" s="664">
        <f t="shared" si="76"/>
        <v>0.68249999999999988</v>
      </c>
      <c r="J231" s="678"/>
      <c r="K231" s="679"/>
      <c r="L231" s="679"/>
      <c r="M231" s="683"/>
      <c r="N231" s="683"/>
      <c r="O231" s="664"/>
      <c r="R231" s="309"/>
      <c r="S231" s="309"/>
      <c r="T231" s="309"/>
      <c r="U231" s="309"/>
      <c r="V231" s="309"/>
    </row>
    <row r="232" spans="1:22" x14ac:dyDescent="0.25">
      <c r="A232" s="307"/>
      <c r="B232" s="663"/>
      <c r="C232" s="308"/>
      <c r="D232" s="308"/>
      <c r="E232" s="664">
        <v>4</v>
      </c>
      <c r="F232" s="678">
        <v>13.75</v>
      </c>
      <c r="G232" s="664">
        <v>0.65</v>
      </c>
      <c r="H232" s="678">
        <v>0.7</v>
      </c>
      <c r="I232" s="664">
        <f t="shared" si="76"/>
        <v>25.024999999999999</v>
      </c>
      <c r="J232" s="678"/>
      <c r="K232" s="679"/>
      <c r="L232" s="679"/>
      <c r="M232" s="683"/>
      <c r="N232" s="683"/>
      <c r="O232" s="664"/>
      <c r="R232" s="309"/>
      <c r="S232" s="309"/>
      <c r="T232" s="309"/>
      <c r="U232" s="309"/>
      <c r="V232" s="309"/>
    </row>
    <row r="233" spans="1:22" x14ac:dyDescent="0.25">
      <c r="A233" s="307"/>
      <c r="B233" s="663"/>
      <c r="C233" s="308"/>
      <c r="D233" s="308"/>
      <c r="E233" s="664">
        <v>1</v>
      </c>
      <c r="F233" s="678">
        <v>2.8</v>
      </c>
      <c r="G233" s="664">
        <v>0.65</v>
      </c>
      <c r="H233" s="678">
        <v>0.7</v>
      </c>
      <c r="I233" s="664">
        <f t="shared" si="76"/>
        <v>1.2739999999999998</v>
      </c>
      <c r="J233" s="678"/>
      <c r="K233" s="679"/>
      <c r="L233" s="679"/>
      <c r="M233" s="683"/>
      <c r="N233" s="683"/>
      <c r="O233" s="664"/>
      <c r="R233" s="309"/>
      <c r="S233" s="309"/>
      <c r="T233" s="309"/>
      <c r="U233" s="309"/>
      <c r="V233" s="309"/>
    </row>
    <row r="234" spans="1:22" x14ac:dyDescent="0.25">
      <c r="A234" s="307"/>
      <c r="B234" s="663"/>
      <c r="C234" s="308"/>
      <c r="D234" s="308"/>
      <c r="E234" s="664">
        <v>1</v>
      </c>
      <c r="F234" s="678">
        <v>4.5570000000000004</v>
      </c>
      <c r="G234" s="664">
        <v>0.65</v>
      </c>
      <c r="H234" s="678">
        <v>0.7</v>
      </c>
      <c r="I234" s="664">
        <f t="shared" si="76"/>
        <v>2.0734349999999999</v>
      </c>
      <c r="J234" s="678"/>
      <c r="K234" s="679"/>
      <c r="L234" s="679"/>
      <c r="M234" s="683"/>
      <c r="N234" s="683"/>
      <c r="O234" s="664"/>
      <c r="R234" s="309"/>
      <c r="S234" s="309"/>
      <c r="T234" s="309"/>
      <c r="U234" s="309"/>
      <c r="V234" s="309"/>
    </row>
    <row r="235" spans="1:22" x14ac:dyDescent="0.25">
      <c r="A235" s="307"/>
      <c r="B235" s="663"/>
      <c r="C235" s="308"/>
      <c r="D235" s="308"/>
      <c r="E235" s="664">
        <v>2</v>
      </c>
      <c r="F235" s="678">
        <v>1.35</v>
      </c>
      <c r="G235" s="664">
        <v>0.65</v>
      </c>
      <c r="H235" s="678">
        <v>0.7</v>
      </c>
      <c r="I235" s="664">
        <f t="shared" si="76"/>
        <v>1.2284999999999999</v>
      </c>
      <c r="J235" s="678"/>
      <c r="K235" s="679"/>
      <c r="L235" s="679"/>
      <c r="M235" s="683"/>
      <c r="N235" s="683"/>
      <c r="O235" s="664"/>
      <c r="R235" s="309"/>
      <c r="S235" s="309"/>
      <c r="T235" s="309"/>
      <c r="U235" s="309"/>
      <c r="V235" s="309"/>
    </row>
    <row r="236" spans="1:22" x14ac:dyDescent="0.25">
      <c r="A236" s="307"/>
      <c r="B236" s="663"/>
      <c r="C236" s="308"/>
      <c r="D236" s="308"/>
      <c r="E236" s="664">
        <v>2</v>
      </c>
      <c r="F236" s="678">
        <v>1.2649999999999999</v>
      </c>
      <c r="G236" s="664">
        <v>0.65</v>
      </c>
      <c r="H236" s="678">
        <v>0.7</v>
      </c>
      <c r="I236" s="664">
        <f t="shared" si="76"/>
        <v>1.1511499999999999</v>
      </c>
      <c r="J236" s="678"/>
      <c r="K236" s="679"/>
      <c r="L236" s="679"/>
      <c r="M236" s="683"/>
      <c r="N236" s="683"/>
      <c r="O236" s="664"/>
      <c r="R236" s="309"/>
      <c r="S236" s="309"/>
      <c r="T236" s="309"/>
      <c r="U236" s="309"/>
      <c r="V236" s="309"/>
    </row>
    <row r="237" spans="1:22" x14ac:dyDescent="0.25">
      <c r="A237" s="307"/>
      <c r="B237" s="663"/>
      <c r="C237" s="308"/>
      <c r="D237" s="308"/>
      <c r="E237" s="664">
        <v>1</v>
      </c>
      <c r="F237" s="678">
        <v>2.8420000000000001</v>
      </c>
      <c r="G237" s="664">
        <v>0.65</v>
      </c>
      <c r="H237" s="678">
        <v>0.7</v>
      </c>
      <c r="I237" s="664">
        <f t="shared" si="76"/>
        <v>1.29311</v>
      </c>
      <c r="J237" s="678"/>
      <c r="K237" s="679"/>
      <c r="L237" s="679"/>
      <c r="M237" s="683"/>
      <c r="N237" s="683"/>
      <c r="O237" s="664"/>
      <c r="R237" s="309"/>
      <c r="S237" s="309"/>
      <c r="T237" s="309"/>
      <c r="U237" s="309"/>
      <c r="V237" s="309"/>
    </row>
    <row r="238" spans="1:22" ht="14.4" thickBot="1" x14ac:dyDescent="0.3">
      <c r="A238" s="307"/>
      <c r="B238" s="663"/>
      <c r="C238" s="308"/>
      <c r="D238" s="308"/>
      <c r="E238" s="664">
        <v>1</v>
      </c>
      <c r="F238" s="678">
        <v>1.4870000000000001</v>
      </c>
      <c r="G238" s="664">
        <v>0.65</v>
      </c>
      <c r="H238" s="678">
        <v>0.7</v>
      </c>
      <c r="I238" s="664">
        <f t="shared" si="76"/>
        <v>0.67658499999999999</v>
      </c>
      <c r="J238" s="664">
        <f>SUM(I224:I238)</f>
        <v>61.773530000000008</v>
      </c>
      <c r="K238" s="679">
        <f>$K$2</f>
        <v>1.05</v>
      </c>
      <c r="L238" s="679">
        <f t="shared" ref="L238" si="77">K238*J238</f>
        <v>64.862206500000013</v>
      </c>
      <c r="M238" s="680">
        <f t="shared" ref="M238" si="78">ROUND(L238,1)</f>
        <v>64.900000000000006</v>
      </c>
      <c r="N238" s="681">
        <f t="shared" ref="N238" si="79">ROUNDUP(M238,0)</f>
        <v>65</v>
      </c>
      <c r="O238" s="678" t="s">
        <v>872</v>
      </c>
      <c r="R238" s="309"/>
      <c r="S238" s="309"/>
      <c r="T238" s="309"/>
      <c r="U238" s="309"/>
      <c r="V238" s="309"/>
    </row>
    <row r="239" spans="1:22" ht="14.4" thickTop="1" x14ac:dyDescent="0.25">
      <c r="A239" s="307"/>
      <c r="B239" s="663"/>
      <c r="C239" s="308"/>
      <c r="D239" s="308"/>
      <c r="E239" s="664"/>
      <c r="F239" s="678"/>
      <c r="G239" s="664"/>
      <c r="H239" s="678"/>
      <c r="I239" s="678"/>
      <c r="J239" s="678"/>
      <c r="K239" s="679"/>
      <c r="L239" s="679"/>
      <c r="M239" s="683"/>
      <c r="N239" s="683"/>
      <c r="O239" s="664"/>
      <c r="R239" s="309"/>
      <c r="S239" s="309"/>
      <c r="T239" s="309"/>
      <c r="U239" s="309"/>
      <c r="V239" s="309"/>
    </row>
    <row r="240" spans="1:22" ht="14.4" thickBot="1" x14ac:dyDescent="0.3">
      <c r="A240" s="307"/>
      <c r="B240" s="308"/>
      <c r="C240" s="308"/>
      <c r="D240" s="308"/>
      <c r="E240" s="664"/>
      <c r="F240" s="664"/>
      <c r="G240" s="664"/>
      <c r="H240" s="664"/>
      <c r="I240" s="664"/>
      <c r="J240" s="664"/>
      <c r="K240" s="682"/>
      <c r="L240" s="682"/>
      <c r="M240" s="673"/>
      <c r="N240" s="683"/>
      <c r="O240" s="664"/>
      <c r="R240" s="309"/>
      <c r="S240" s="309"/>
      <c r="T240" s="309"/>
      <c r="U240" s="309"/>
      <c r="V240" s="309"/>
    </row>
    <row r="241" spans="1:22" ht="15" thickTop="1" thickBot="1" x14ac:dyDescent="0.3">
      <c r="A241" s="307"/>
      <c r="B241" s="663"/>
      <c r="C241" s="308"/>
      <c r="D241" s="308" t="s">
        <v>871</v>
      </c>
      <c r="E241" s="664">
        <v>1</v>
      </c>
      <c r="F241" s="664">
        <v>5.15</v>
      </c>
      <c r="G241" s="664">
        <v>0.55000000000000004</v>
      </c>
      <c r="H241" s="664">
        <v>0.8</v>
      </c>
      <c r="I241" s="664">
        <f t="shared" ref="I241:I242" si="80">H241*G241*F241*E241</f>
        <v>2.2660000000000005</v>
      </c>
      <c r="J241" s="678"/>
      <c r="K241" s="682"/>
      <c r="L241" s="682"/>
      <c r="M241" s="673"/>
      <c r="N241" s="683"/>
      <c r="O241" s="664"/>
      <c r="R241" s="309"/>
      <c r="S241" s="309"/>
      <c r="T241" s="309"/>
      <c r="U241" s="309"/>
      <c r="V241" s="309"/>
    </row>
    <row r="242" spans="1:22" ht="15" thickTop="1" thickBot="1" x14ac:dyDescent="0.3">
      <c r="A242" s="307"/>
      <c r="B242" s="308"/>
      <c r="C242" s="308"/>
      <c r="D242" s="308"/>
      <c r="E242" s="664">
        <v>1</v>
      </c>
      <c r="F242" s="664">
        <v>6.05</v>
      </c>
      <c r="G242" s="664">
        <v>0.55000000000000004</v>
      </c>
      <c r="H242" s="664">
        <v>0.8</v>
      </c>
      <c r="I242" s="664">
        <f t="shared" si="80"/>
        <v>2.6620000000000004</v>
      </c>
      <c r="J242" s="664">
        <f>SUM(I241:I242)</f>
        <v>4.9280000000000008</v>
      </c>
      <c r="K242" s="679">
        <f>$K$2</f>
        <v>1.05</v>
      </c>
      <c r="L242" s="679">
        <f t="shared" ref="L242" si="81">K242*J242</f>
        <v>5.1744000000000012</v>
      </c>
      <c r="M242" s="680">
        <f t="shared" ref="M242" si="82">ROUND(L242,1)</f>
        <v>5.2</v>
      </c>
      <c r="N242" s="681">
        <f t="shared" ref="N242" si="83">ROUNDUP(M242,0)</f>
        <v>6</v>
      </c>
      <c r="O242" s="678" t="s">
        <v>872</v>
      </c>
      <c r="R242" s="309"/>
      <c r="S242" s="309"/>
      <c r="T242" s="309"/>
      <c r="U242" s="309"/>
      <c r="V242" s="309"/>
    </row>
    <row r="243" spans="1:22" ht="15" thickTop="1" thickBot="1" x14ac:dyDescent="0.3">
      <c r="A243" s="307"/>
      <c r="B243" s="663"/>
      <c r="C243" s="308"/>
      <c r="D243" s="308"/>
      <c r="E243" s="664"/>
      <c r="F243" s="664"/>
      <c r="G243" s="664"/>
      <c r="H243" s="664"/>
      <c r="I243" s="664"/>
      <c r="J243" s="664"/>
      <c r="K243" s="682"/>
      <c r="L243" s="682"/>
      <c r="M243" s="673"/>
      <c r="N243" s="683">
        <f>SUM(N220:N242)</f>
        <v>128</v>
      </c>
      <c r="O243" s="664"/>
      <c r="R243" s="309"/>
      <c r="S243" s="309"/>
      <c r="T243" s="309"/>
      <c r="U243" s="309"/>
      <c r="V243" s="309"/>
    </row>
    <row r="244" spans="1:22" ht="56.4" thickTop="1" thickBot="1" x14ac:dyDescent="0.3">
      <c r="A244" s="307" t="str">
        <f>concrete!A25</f>
        <v>C 01</v>
      </c>
      <c r="B244" s="721" t="str">
        <f>concrete!B25</f>
        <v>Cement concrete 1:3:6 (1") laid to a thickness of 2" in wall foundations, under column/stair footings,plinth beams including placing in position,compacting and curing.</v>
      </c>
      <c r="C244" s="308"/>
      <c r="D244" s="308" t="s">
        <v>810</v>
      </c>
      <c r="E244" s="664">
        <v>1</v>
      </c>
      <c r="F244" s="664">
        <v>0.9</v>
      </c>
      <c r="G244" s="664">
        <v>0.9</v>
      </c>
      <c r="H244" s="664"/>
      <c r="I244" s="664">
        <f>G244*F244*E244</f>
        <v>0.81</v>
      </c>
      <c r="J244" s="664"/>
      <c r="K244" s="682"/>
      <c r="L244" s="682"/>
      <c r="M244" s="673"/>
      <c r="N244" s="683"/>
      <c r="O244" s="664"/>
      <c r="R244" s="309"/>
      <c r="S244" s="309"/>
      <c r="T244" s="309"/>
      <c r="U244" s="309"/>
      <c r="V244" s="309"/>
    </row>
    <row r="245" spans="1:22" ht="15" thickTop="1" thickBot="1" x14ac:dyDescent="0.3">
      <c r="A245" s="307"/>
      <c r="B245" s="308"/>
      <c r="C245" s="308"/>
      <c r="D245" s="308" t="s">
        <v>811</v>
      </c>
      <c r="E245" s="664">
        <v>1</v>
      </c>
      <c r="F245" s="664">
        <v>0.9</v>
      </c>
      <c r="G245" s="664">
        <v>0.9</v>
      </c>
      <c r="H245" s="664"/>
      <c r="I245" s="664">
        <f t="shared" ref="I245:I282" si="84">G245*F245*E245</f>
        <v>0.81</v>
      </c>
      <c r="J245" s="664"/>
      <c r="K245" s="682"/>
      <c r="L245" s="682"/>
      <c r="M245" s="673"/>
      <c r="N245" s="683"/>
      <c r="O245" s="664"/>
      <c r="R245" s="309"/>
      <c r="S245" s="309"/>
      <c r="T245" s="309"/>
      <c r="U245" s="309"/>
      <c r="V245" s="309"/>
    </row>
    <row r="246" spans="1:22" ht="15" thickTop="1" thickBot="1" x14ac:dyDescent="0.3">
      <c r="A246" s="307"/>
      <c r="B246" s="308"/>
      <c r="C246" s="308"/>
      <c r="D246" s="308" t="s">
        <v>812</v>
      </c>
      <c r="E246" s="664">
        <v>1</v>
      </c>
      <c r="F246" s="664">
        <v>0.9</v>
      </c>
      <c r="G246" s="664">
        <v>0.9</v>
      </c>
      <c r="H246" s="664"/>
      <c r="I246" s="664">
        <f t="shared" si="84"/>
        <v>0.81</v>
      </c>
      <c r="J246" s="664"/>
      <c r="K246" s="682"/>
      <c r="L246" s="682"/>
      <c r="M246" s="673"/>
      <c r="N246" s="683"/>
      <c r="O246" s="664"/>
      <c r="R246" s="309"/>
      <c r="S246" s="309"/>
      <c r="T246" s="309"/>
      <c r="U246" s="309"/>
      <c r="V246" s="309"/>
    </row>
    <row r="247" spans="1:22" ht="15" thickTop="1" thickBot="1" x14ac:dyDescent="0.3">
      <c r="A247" s="307"/>
      <c r="B247" s="308"/>
      <c r="C247" s="308"/>
      <c r="D247" s="308" t="s">
        <v>850</v>
      </c>
      <c r="E247" s="664">
        <v>1</v>
      </c>
      <c r="F247" s="664">
        <v>1.2</v>
      </c>
      <c r="G247" s="664">
        <v>1.2</v>
      </c>
      <c r="H247" s="664"/>
      <c r="I247" s="664">
        <f t="shared" si="84"/>
        <v>1.44</v>
      </c>
      <c r="J247" s="664"/>
      <c r="K247" s="682"/>
      <c r="L247" s="682"/>
      <c r="M247" s="673"/>
      <c r="N247" s="683"/>
      <c r="O247" s="664"/>
      <c r="R247" s="309"/>
      <c r="S247" s="309"/>
      <c r="T247" s="309"/>
      <c r="U247" s="309"/>
      <c r="V247" s="309"/>
    </row>
    <row r="248" spans="1:22" ht="15" thickTop="1" thickBot="1" x14ac:dyDescent="0.3">
      <c r="A248" s="307"/>
      <c r="B248" s="308"/>
      <c r="C248" s="308"/>
      <c r="D248" s="308" t="s">
        <v>851</v>
      </c>
      <c r="E248" s="664">
        <v>1</v>
      </c>
      <c r="F248" s="664">
        <v>1.6</v>
      </c>
      <c r="G248" s="664">
        <v>1.6</v>
      </c>
      <c r="H248" s="664"/>
      <c r="I248" s="664">
        <f t="shared" si="84"/>
        <v>2.5600000000000005</v>
      </c>
      <c r="J248" s="664"/>
      <c r="K248" s="682"/>
      <c r="L248" s="682"/>
      <c r="M248" s="673"/>
      <c r="N248" s="683"/>
      <c r="O248" s="664"/>
      <c r="R248" s="309"/>
      <c r="S248" s="309"/>
      <c r="T248" s="309"/>
      <c r="U248" s="309"/>
      <c r="V248" s="309"/>
    </row>
    <row r="249" spans="1:22" ht="15" thickTop="1" thickBot="1" x14ac:dyDescent="0.3">
      <c r="A249" s="307"/>
      <c r="B249" s="308"/>
      <c r="C249" s="308"/>
      <c r="D249" s="308" t="s">
        <v>852</v>
      </c>
      <c r="E249" s="664">
        <v>1</v>
      </c>
      <c r="F249" s="664">
        <v>1.6</v>
      </c>
      <c r="G249" s="664">
        <v>1.6</v>
      </c>
      <c r="H249" s="664"/>
      <c r="I249" s="664">
        <f t="shared" si="84"/>
        <v>2.5600000000000005</v>
      </c>
      <c r="J249" s="664"/>
      <c r="K249" s="682"/>
      <c r="L249" s="682"/>
      <c r="M249" s="673"/>
      <c r="N249" s="683"/>
      <c r="O249" s="664"/>
      <c r="R249" s="309"/>
      <c r="S249" s="309"/>
      <c r="T249" s="309"/>
      <c r="U249" s="309"/>
      <c r="V249" s="309"/>
    </row>
    <row r="250" spans="1:22" ht="15" thickTop="1" thickBot="1" x14ac:dyDescent="0.3">
      <c r="A250" s="307"/>
      <c r="B250" s="308"/>
      <c r="C250" s="308"/>
      <c r="D250" s="308" t="s">
        <v>853</v>
      </c>
      <c r="E250" s="664">
        <v>1</v>
      </c>
      <c r="F250" s="664">
        <v>1.5</v>
      </c>
      <c r="G250" s="664">
        <v>1.5</v>
      </c>
      <c r="H250" s="664"/>
      <c r="I250" s="664">
        <f t="shared" si="84"/>
        <v>2.25</v>
      </c>
      <c r="J250" s="664"/>
      <c r="K250" s="682"/>
      <c r="L250" s="682"/>
      <c r="M250" s="673"/>
      <c r="N250" s="683"/>
      <c r="O250" s="664"/>
      <c r="R250" s="309"/>
      <c r="S250" s="309"/>
      <c r="T250" s="309"/>
      <c r="U250" s="309"/>
      <c r="V250" s="309"/>
    </row>
    <row r="251" spans="1:22" ht="15" thickTop="1" thickBot="1" x14ac:dyDescent="0.3">
      <c r="A251" s="307"/>
      <c r="B251" s="663"/>
      <c r="C251" s="668"/>
      <c r="D251" s="308" t="s">
        <v>854</v>
      </c>
      <c r="E251" s="664">
        <v>1</v>
      </c>
      <c r="F251" s="664">
        <v>1.2</v>
      </c>
      <c r="G251" s="664">
        <v>1.2</v>
      </c>
      <c r="H251" s="664"/>
      <c r="I251" s="664">
        <f t="shared" si="84"/>
        <v>1.44</v>
      </c>
      <c r="J251" s="664"/>
      <c r="K251" s="682"/>
      <c r="L251" s="682"/>
      <c r="M251" s="673"/>
      <c r="N251" s="683"/>
      <c r="O251" s="664"/>
      <c r="R251" s="309"/>
      <c r="S251" s="309"/>
      <c r="T251" s="309"/>
      <c r="U251" s="309"/>
      <c r="V251" s="309"/>
    </row>
    <row r="252" spans="1:22" ht="15" thickTop="1" thickBot="1" x14ac:dyDescent="0.3">
      <c r="A252" s="307"/>
      <c r="B252" s="308"/>
      <c r="C252" s="308"/>
      <c r="D252" s="308" t="s">
        <v>855</v>
      </c>
      <c r="E252" s="664">
        <v>1</v>
      </c>
      <c r="F252" s="664">
        <v>1.8</v>
      </c>
      <c r="G252" s="664">
        <v>1.8</v>
      </c>
      <c r="H252" s="664"/>
      <c r="I252" s="664">
        <f t="shared" si="84"/>
        <v>3.24</v>
      </c>
      <c r="J252" s="664"/>
      <c r="K252" s="682"/>
      <c r="L252" s="682"/>
      <c r="M252" s="673"/>
      <c r="N252" s="683"/>
      <c r="O252" s="664"/>
      <c r="R252" s="309"/>
      <c r="S252" s="309"/>
      <c r="T252" s="309"/>
      <c r="U252" s="309"/>
      <c r="V252" s="309"/>
    </row>
    <row r="253" spans="1:22" ht="15" thickTop="1" thickBot="1" x14ac:dyDescent="0.3">
      <c r="A253" s="307"/>
      <c r="B253" s="308"/>
      <c r="C253" s="668"/>
      <c r="D253" s="308" t="s">
        <v>856</v>
      </c>
      <c r="E253" s="664">
        <v>1</v>
      </c>
      <c r="F253" s="664">
        <v>1.6</v>
      </c>
      <c r="G253" s="664">
        <v>1.6</v>
      </c>
      <c r="H253" s="664"/>
      <c r="I253" s="664">
        <f t="shared" si="84"/>
        <v>2.5600000000000005</v>
      </c>
      <c r="J253" s="664"/>
      <c r="K253" s="682"/>
      <c r="L253" s="682"/>
      <c r="M253" s="673"/>
      <c r="N253" s="683"/>
      <c r="O253" s="664"/>
      <c r="R253" s="309"/>
      <c r="S253" s="309"/>
      <c r="T253" s="309"/>
      <c r="U253" s="309"/>
      <c r="V253" s="309"/>
    </row>
    <row r="254" spans="1:22" ht="15" thickTop="1" thickBot="1" x14ac:dyDescent="0.3">
      <c r="A254" s="307"/>
      <c r="B254" s="308"/>
      <c r="C254" s="308"/>
      <c r="D254" s="308" t="s">
        <v>857</v>
      </c>
      <c r="E254" s="664">
        <v>1</v>
      </c>
      <c r="F254" s="664">
        <v>1.6</v>
      </c>
      <c r="G254" s="664">
        <v>1.6</v>
      </c>
      <c r="H254" s="664"/>
      <c r="I254" s="664">
        <f t="shared" si="84"/>
        <v>2.5600000000000005</v>
      </c>
      <c r="J254" s="664"/>
      <c r="K254" s="682"/>
      <c r="L254" s="682"/>
      <c r="M254" s="673"/>
      <c r="N254" s="683"/>
      <c r="O254" s="664"/>
      <c r="R254" s="309"/>
      <c r="S254" s="309"/>
      <c r="T254" s="309"/>
      <c r="U254" s="309"/>
      <c r="V254" s="309"/>
    </row>
    <row r="255" spans="1:22" ht="15" thickTop="1" thickBot="1" x14ac:dyDescent="0.3">
      <c r="A255" s="307"/>
      <c r="B255" s="308"/>
      <c r="C255" s="668"/>
      <c r="D255" s="308" t="s">
        <v>858</v>
      </c>
      <c r="E255" s="664">
        <v>1</v>
      </c>
      <c r="F255" s="664">
        <v>1.8</v>
      </c>
      <c r="G255" s="664">
        <v>1.8</v>
      </c>
      <c r="H255" s="664"/>
      <c r="I255" s="664">
        <f t="shared" si="84"/>
        <v>3.24</v>
      </c>
      <c r="J255" s="664"/>
      <c r="K255" s="682"/>
      <c r="L255" s="682"/>
      <c r="M255" s="673"/>
      <c r="N255" s="683"/>
      <c r="O255" s="664"/>
      <c r="R255" s="309"/>
      <c r="S255" s="309"/>
      <c r="T255" s="309"/>
      <c r="U255" s="309"/>
      <c r="V255" s="309"/>
    </row>
    <row r="256" spans="1:22" ht="15" thickTop="1" thickBot="1" x14ac:dyDescent="0.3">
      <c r="A256" s="307"/>
      <c r="B256" s="308"/>
      <c r="C256" s="308"/>
      <c r="D256" s="308" t="s">
        <v>859</v>
      </c>
      <c r="E256" s="664">
        <v>1</v>
      </c>
      <c r="F256" s="664">
        <v>1.2</v>
      </c>
      <c r="G256" s="664">
        <v>1.2</v>
      </c>
      <c r="H256" s="664"/>
      <c r="I256" s="664">
        <f t="shared" si="84"/>
        <v>1.44</v>
      </c>
      <c r="J256" s="664"/>
      <c r="K256" s="682"/>
      <c r="L256" s="682"/>
      <c r="M256" s="673"/>
      <c r="N256" s="683"/>
      <c r="O256" s="664"/>
      <c r="R256" s="309"/>
      <c r="S256" s="309"/>
      <c r="T256" s="309"/>
      <c r="U256" s="309"/>
      <c r="V256" s="309"/>
    </row>
    <row r="257" spans="1:22" ht="15" thickTop="1" thickBot="1" x14ac:dyDescent="0.3">
      <c r="A257" s="307"/>
      <c r="B257" s="308"/>
      <c r="C257" s="668"/>
      <c r="D257" s="308" t="s">
        <v>860</v>
      </c>
      <c r="E257" s="664">
        <v>1</v>
      </c>
      <c r="F257" s="664">
        <v>1</v>
      </c>
      <c r="G257" s="664">
        <v>1</v>
      </c>
      <c r="H257" s="664"/>
      <c r="I257" s="664">
        <f t="shared" si="84"/>
        <v>1</v>
      </c>
      <c r="J257" s="664"/>
      <c r="K257" s="682"/>
      <c r="L257" s="682"/>
      <c r="M257" s="673"/>
      <c r="N257" s="683"/>
      <c r="O257" s="664"/>
      <c r="R257" s="309"/>
      <c r="S257" s="309"/>
      <c r="T257" s="309"/>
      <c r="U257" s="309"/>
      <c r="V257" s="309"/>
    </row>
    <row r="258" spans="1:22" ht="15" thickTop="1" thickBot="1" x14ac:dyDescent="0.3">
      <c r="A258" s="307"/>
      <c r="B258" s="308"/>
      <c r="C258" s="308"/>
      <c r="D258" s="308" t="s">
        <v>861</v>
      </c>
      <c r="E258" s="664">
        <v>1</v>
      </c>
      <c r="F258" s="664">
        <v>1.3</v>
      </c>
      <c r="G258" s="664">
        <v>1.3</v>
      </c>
      <c r="H258" s="664"/>
      <c r="I258" s="664">
        <f t="shared" si="84"/>
        <v>1.6900000000000002</v>
      </c>
      <c r="J258" s="664"/>
      <c r="K258" s="682"/>
      <c r="L258" s="682"/>
      <c r="M258" s="673"/>
      <c r="N258" s="683"/>
      <c r="O258" s="664"/>
      <c r="R258" s="309"/>
      <c r="S258" s="309"/>
      <c r="T258" s="309"/>
      <c r="U258" s="309"/>
      <c r="V258" s="309"/>
    </row>
    <row r="259" spans="1:22" ht="15" thickTop="1" thickBot="1" x14ac:dyDescent="0.3">
      <c r="A259" s="307"/>
      <c r="B259" s="308"/>
      <c r="C259" s="668"/>
      <c r="D259" s="308" t="s">
        <v>862</v>
      </c>
      <c r="E259" s="664">
        <v>1</v>
      </c>
      <c r="F259" s="664">
        <v>1</v>
      </c>
      <c r="G259" s="664">
        <v>1</v>
      </c>
      <c r="H259" s="664"/>
      <c r="I259" s="664">
        <f t="shared" si="84"/>
        <v>1</v>
      </c>
      <c r="J259" s="664"/>
      <c r="K259" s="682"/>
      <c r="L259" s="682"/>
      <c r="M259" s="673"/>
      <c r="N259" s="683"/>
      <c r="O259" s="664"/>
      <c r="R259" s="309"/>
      <c r="S259" s="309"/>
      <c r="T259" s="309"/>
      <c r="U259" s="309"/>
      <c r="V259" s="309"/>
    </row>
    <row r="260" spans="1:22" ht="15" thickTop="1" thickBot="1" x14ac:dyDescent="0.3">
      <c r="A260" s="307"/>
      <c r="B260" s="308"/>
      <c r="C260" s="308"/>
      <c r="D260" s="308" t="s">
        <v>863</v>
      </c>
      <c r="E260" s="664">
        <v>1</v>
      </c>
      <c r="F260" s="664">
        <v>2</v>
      </c>
      <c r="G260" s="664">
        <v>2</v>
      </c>
      <c r="H260" s="664"/>
      <c r="I260" s="664">
        <f t="shared" si="84"/>
        <v>4</v>
      </c>
      <c r="J260" s="664"/>
      <c r="K260" s="682"/>
      <c r="L260" s="682"/>
      <c r="M260" s="673"/>
      <c r="N260" s="683"/>
      <c r="O260" s="664"/>
      <c r="R260" s="309"/>
      <c r="S260" s="309"/>
      <c r="T260" s="309"/>
      <c r="U260" s="309"/>
      <c r="V260" s="309"/>
    </row>
    <row r="261" spans="1:22" ht="15" thickTop="1" thickBot="1" x14ac:dyDescent="0.3">
      <c r="A261" s="307"/>
      <c r="B261" s="308"/>
      <c r="C261" s="668"/>
      <c r="D261" s="308" t="s">
        <v>864</v>
      </c>
      <c r="E261" s="664">
        <v>1</v>
      </c>
      <c r="F261" s="664">
        <v>1.2</v>
      </c>
      <c r="G261" s="664">
        <v>1.2</v>
      </c>
      <c r="H261" s="664"/>
      <c r="I261" s="664">
        <f t="shared" si="84"/>
        <v>1.44</v>
      </c>
      <c r="J261" s="664"/>
      <c r="K261" s="682"/>
      <c r="L261" s="682"/>
      <c r="M261" s="673"/>
      <c r="N261" s="683"/>
      <c r="O261" s="664"/>
      <c r="R261" s="309"/>
      <c r="S261" s="309"/>
      <c r="T261" s="309"/>
      <c r="U261" s="309"/>
      <c r="V261" s="309"/>
    </row>
    <row r="262" spans="1:22" ht="15" thickTop="1" thickBot="1" x14ac:dyDescent="0.3">
      <c r="A262" s="307"/>
      <c r="B262" s="308"/>
      <c r="C262" s="308"/>
      <c r="D262" s="308" t="s">
        <v>865</v>
      </c>
      <c r="E262" s="664">
        <v>1</v>
      </c>
      <c r="F262" s="664">
        <v>1</v>
      </c>
      <c r="G262" s="664">
        <v>1</v>
      </c>
      <c r="H262" s="664"/>
      <c r="I262" s="664">
        <f t="shared" si="84"/>
        <v>1</v>
      </c>
      <c r="J262" s="664"/>
      <c r="K262" s="682"/>
      <c r="L262" s="682"/>
      <c r="M262" s="673"/>
      <c r="N262" s="683"/>
      <c r="O262" s="664"/>
      <c r="R262" s="309"/>
      <c r="S262" s="309"/>
      <c r="T262" s="309"/>
      <c r="U262" s="309"/>
      <c r="V262" s="309"/>
    </row>
    <row r="263" spans="1:22" ht="15" thickTop="1" thickBot="1" x14ac:dyDescent="0.3">
      <c r="A263" s="307"/>
      <c r="B263" s="308"/>
      <c r="C263" s="308"/>
      <c r="D263" s="308" t="s">
        <v>866</v>
      </c>
      <c r="E263" s="664">
        <v>1</v>
      </c>
      <c r="F263" s="664">
        <v>1.6</v>
      </c>
      <c r="G263" s="664">
        <v>1.6</v>
      </c>
      <c r="H263" s="664"/>
      <c r="I263" s="664">
        <f t="shared" si="84"/>
        <v>2.5600000000000005</v>
      </c>
      <c r="J263" s="664"/>
      <c r="K263" s="682"/>
      <c r="L263" s="682"/>
      <c r="M263" s="673"/>
      <c r="N263" s="683"/>
      <c r="O263" s="664"/>
      <c r="R263" s="309"/>
      <c r="S263" s="309"/>
      <c r="T263" s="309"/>
      <c r="U263" s="309"/>
      <c r="V263" s="309"/>
    </row>
    <row r="264" spans="1:22" ht="15" thickTop="1" thickBot="1" x14ac:dyDescent="0.3">
      <c r="A264" s="307"/>
      <c r="B264" s="663"/>
      <c r="C264" s="308"/>
      <c r="D264" s="308" t="s">
        <v>867</v>
      </c>
      <c r="E264" s="664">
        <v>1</v>
      </c>
      <c r="F264" s="664">
        <v>1.8</v>
      </c>
      <c r="G264" s="664">
        <v>1.8</v>
      </c>
      <c r="H264" s="664"/>
      <c r="I264" s="664">
        <f t="shared" si="84"/>
        <v>3.24</v>
      </c>
      <c r="J264" s="664"/>
      <c r="K264" s="682"/>
      <c r="L264" s="682"/>
      <c r="M264" s="673"/>
      <c r="N264" s="683"/>
      <c r="O264" s="664"/>
      <c r="R264" s="309"/>
      <c r="S264" s="309"/>
      <c r="T264" s="309"/>
      <c r="U264" s="309"/>
      <c r="V264" s="309"/>
    </row>
    <row r="265" spans="1:22" ht="15" thickTop="1" thickBot="1" x14ac:dyDescent="0.3">
      <c r="A265" s="307"/>
      <c r="B265" s="663"/>
      <c r="C265" s="308"/>
      <c r="D265" s="308" t="s">
        <v>868</v>
      </c>
      <c r="E265" s="664">
        <v>1</v>
      </c>
      <c r="F265" s="664">
        <v>1.5</v>
      </c>
      <c r="G265" s="664">
        <v>1.5</v>
      </c>
      <c r="H265" s="664"/>
      <c r="I265" s="664">
        <f t="shared" si="84"/>
        <v>2.25</v>
      </c>
      <c r="J265" s="664"/>
      <c r="K265" s="682"/>
      <c r="L265" s="682"/>
      <c r="M265" s="673"/>
      <c r="N265" s="683"/>
      <c r="O265" s="664"/>
      <c r="R265" s="309"/>
      <c r="S265" s="309"/>
      <c r="T265" s="309"/>
      <c r="U265" s="309"/>
      <c r="V265" s="309"/>
    </row>
    <row r="266" spans="1:22" ht="15" thickTop="1" thickBot="1" x14ac:dyDescent="0.3">
      <c r="A266" s="307"/>
      <c r="B266" s="308"/>
      <c r="C266" s="308"/>
      <c r="D266" s="308" t="s">
        <v>869</v>
      </c>
      <c r="E266" s="664">
        <v>1</v>
      </c>
      <c r="F266" s="664">
        <v>1</v>
      </c>
      <c r="G266" s="664">
        <v>1</v>
      </c>
      <c r="H266" s="664"/>
      <c r="I266" s="664">
        <f t="shared" si="84"/>
        <v>1</v>
      </c>
      <c r="J266" s="664"/>
      <c r="K266" s="682"/>
      <c r="L266" s="682"/>
      <c r="M266" s="673"/>
      <c r="N266" s="683"/>
      <c r="O266" s="664"/>
      <c r="R266" s="309"/>
      <c r="S266" s="309"/>
      <c r="T266" s="309"/>
      <c r="U266" s="309"/>
      <c r="V266" s="309"/>
    </row>
    <row r="267" spans="1:22" ht="15" thickTop="1" thickBot="1" x14ac:dyDescent="0.3">
      <c r="A267" s="307"/>
      <c r="B267" s="308"/>
      <c r="C267" s="308"/>
      <c r="D267" s="668"/>
      <c r="E267" s="664"/>
      <c r="F267" s="664"/>
      <c r="G267" s="664"/>
      <c r="H267" s="664"/>
      <c r="I267" s="664"/>
      <c r="J267" s="664"/>
      <c r="K267" s="682"/>
      <c r="L267" s="682"/>
      <c r="M267" s="673"/>
      <c r="N267" s="683"/>
      <c r="O267" s="664"/>
      <c r="R267" s="309"/>
      <c r="S267" s="309"/>
      <c r="T267" s="309"/>
      <c r="U267" s="309"/>
      <c r="V267" s="309"/>
    </row>
    <row r="268" spans="1:22" ht="15" thickTop="1" thickBot="1" x14ac:dyDescent="0.3">
      <c r="A268" s="307"/>
      <c r="B268" s="308"/>
      <c r="C268" s="308"/>
      <c r="D268" s="308" t="s">
        <v>870</v>
      </c>
      <c r="E268" s="664">
        <v>2</v>
      </c>
      <c r="F268" s="678">
        <v>5.15</v>
      </c>
      <c r="G268" s="664">
        <v>0.65</v>
      </c>
      <c r="H268" s="678"/>
      <c r="I268" s="664">
        <f t="shared" si="84"/>
        <v>6.6950000000000003</v>
      </c>
      <c r="J268" s="664"/>
      <c r="K268" s="682"/>
      <c r="L268" s="682"/>
      <c r="M268" s="673"/>
      <c r="N268" s="683"/>
      <c r="O268" s="664"/>
      <c r="R268" s="309"/>
      <c r="S268" s="309"/>
      <c r="T268" s="309"/>
      <c r="U268" s="309"/>
      <c r="V268" s="309"/>
    </row>
    <row r="269" spans="1:22" ht="15" thickTop="1" thickBot="1" x14ac:dyDescent="0.3">
      <c r="A269" s="307"/>
      <c r="B269" s="308"/>
      <c r="C269" s="308"/>
      <c r="D269" s="308"/>
      <c r="E269" s="664">
        <v>1</v>
      </c>
      <c r="F269" s="664">
        <v>1.08</v>
      </c>
      <c r="G269" s="664">
        <v>0.65</v>
      </c>
      <c r="H269" s="678"/>
      <c r="I269" s="664">
        <f t="shared" si="84"/>
        <v>0.70200000000000007</v>
      </c>
      <c r="J269" s="664"/>
      <c r="K269" s="682"/>
      <c r="L269" s="682"/>
      <c r="M269" s="673"/>
      <c r="N269" s="683"/>
      <c r="O269" s="664"/>
      <c r="R269" s="309"/>
      <c r="S269" s="309"/>
      <c r="T269" s="309"/>
      <c r="U269" s="309"/>
      <c r="V269" s="309"/>
    </row>
    <row r="270" spans="1:22" ht="15" thickTop="1" thickBot="1" x14ac:dyDescent="0.3">
      <c r="A270" s="307"/>
      <c r="B270" s="308"/>
      <c r="C270" s="308"/>
      <c r="D270" s="308"/>
      <c r="E270" s="664">
        <v>1</v>
      </c>
      <c r="F270" s="678">
        <v>2.35</v>
      </c>
      <c r="G270" s="664">
        <v>0.65</v>
      </c>
      <c r="H270" s="678"/>
      <c r="I270" s="664">
        <f t="shared" si="84"/>
        <v>1.5275000000000001</v>
      </c>
      <c r="J270" s="664"/>
      <c r="K270" s="682"/>
      <c r="L270" s="682"/>
      <c r="M270" s="673"/>
      <c r="N270" s="683"/>
      <c r="O270" s="664"/>
      <c r="R270" s="309"/>
      <c r="S270" s="309"/>
      <c r="T270" s="309"/>
      <c r="U270" s="309"/>
      <c r="V270" s="309"/>
    </row>
    <row r="271" spans="1:22" ht="15" thickTop="1" thickBot="1" x14ac:dyDescent="0.3">
      <c r="A271" s="307"/>
      <c r="B271" s="308"/>
      <c r="C271" s="308"/>
      <c r="D271" s="308"/>
      <c r="E271" s="664">
        <v>2</v>
      </c>
      <c r="F271" s="678">
        <v>6.05</v>
      </c>
      <c r="G271" s="664">
        <v>0.65</v>
      </c>
      <c r="H271" s="678"/>
      <c r="I271" s="664">
        <f t="shared" si="84"/>
        <v>7.8650000000000002</v>
      </c>
      <c r="J271" s="664"/>
      <c r="K271" s="682"/>
      <c r="L271" s="682"/>
      <c r="M271" s="673"/>
      <c r="N271" s="683"/>
      <c r="O271" s="664"/>
      <c r="R271" s="309"/>
      <c r="S271" s="309"/>
      <c r="T271" s="309"/>
      <c r="U271" s="309"/>
      <c r="V271" s="309"/>
    </row>
    <row r="272" spans="1:22" ht="15" thickTop="1" thickBot="1" x14ac:dyDescent="0.3">
      <c r="A272" s="307"/>
      <c r="B272" s="308"/>
      <c r="C272" s="308"/>
      <c r="D272" s="308"/>
      <c r="E272" s="664">
        <v>6</v>
      </c>
      <c r="F272" s="678">
        <v>4.95</v>
      </c>
      <c r="G272" s="664">
        <v>0.65</v>
      </c>
      <c r="H272" s="678"/>
      <c r="I272" s="664">
        <f t="shared" si="84"/>
        <v>19.305</v>
      </c>
      <c r="J272" s="664"/>
      <c r="K272" s="682"/>
      <c r="L272" s="682"/>
      <c r="M272" s="673"/>
      <c r="N272" s="683"/>
      <c r="O272" s="664"/>
      <c r="R272" s="309"/>
      <c r="S272" s="309"/>
      <c r="T272" s="309"/>
      <c r="U272" s="309"/>
      <c r="V272" s="309"/>
    </row>
    <row r="273" spans="1:22" ht="15" thickTop="1" thickBot="1" x14ac:dyDescent="0.3">
      <c r="A273" s="307"/>
      <c r="B273" s="308"/>
      <c r="C273" s="308"/>
      <c r="D273" s="308"/>
      <c r="E273" s="664">
        <v>4</v>
      </c>
      <c r="F273" s="678">
        <v>1.35</v>
      </c>
      <c r="G273" s="664">
        <v>0.65</v>
      </c>
      <c r="H273" s="678"/>
      <c r="I273" s="664">
        <f t="shared" si="84"/>
        <v>3.5100000000000002</v>
      </c>
      <c r="J273" s="664"/>
      <c r="K273" s="682"/>
      <c r="L273" s="682"/>
      <c r="M273" s="673"/>
      <c r="N273" s="683"/>
      <c r="O273" s="664"/>
      <c r="R273" s="309"/>
      <c r="S273" s="309"/>
      <c r="T273" s="309"/>
      <c r="U273" s="309"/>
      <c r="V273" s="309"/>
    </row>
    <row r="274" spans="1:22" ht="15" thickTop="1" thickBot="1" x14ac:dyDescent="0.3">
      <c r="A274" s="307"/>
      <c r="B274" s="308"/>
      <c r="C274" s="308"/>
      <c r="D274" s="308"/>
      <c r="E274" s="664">
        <v>1</v>
      </c>
      <c r="F274" s="678">
        <v>1.42</v>
      </c>
      <c r="G274" s="664">
        <v>0.65</v>
      </c>
      <c r="H274" s="678"/>
      <c r="I274" s="664">
        <f t="shared" si="84"/>
        <v>0.92299999999999993</v>
      </c>
      <c r="J274" s="664"/>
      <c r="K274" s="682"/>
      <c r="L274" s="682"/>
      <c r="M274" s="673"/>
      <c r="N274" s="683"/>
      <c r="O274" s="664"/>
      <c r="R274" s="309"/>
      <c r="S274" s="309"/>
      <c r="T274" s="309"/>
      <c r="U274" s="309"/>
      <c r="V274" s="309"/>
    </row>
    <row r="275" spans="1:22" ht="15" thickTop="1" thickBot="1" x14ac:dyDescent="0.3">
      <c r="A275" s="307"/>
      <c r="B275" s="308"/>
      <c r="C275" s="308"/>
      <c r="D275" s="308"/>
      <c r="E275" s="664">
        <v>2</v>
      </c>
      <c r="F275" s="678">
        <v>0.75</v>
      </c>
      <c r="G275" s="664">
        <v>0.65</v>
      </c>
      <c r="H275" s="678"/>
      <c r="I275" s="664">
        <f t="shared" si="84"/>
        <v>0.97500000000000009</v>
      </c>
      <c r="J275" s="664"/>
      <c r="K275" s="682"/>
      <c r="L275" s="682"/>
      <c r="M275" s="673"/>
      <c r="N275" s="683"/>
      <c r="O275" s="664"/>
      <c r="R275" s="309"/>
      <c r="S275" s="309"/>
      <c r="T275" s="309"/>
      <c r="U275" s="309"/>
      <c r="V275" s="309"/>
    </row>
    <row r="276" spans="1:22" ht="15" thickTop="1" thickBot="1" x14ac:dyDescent="0.3">
      <c r="A276" s="307"/>
      <c r="B276" s="308"/>
      <c r="C276" s="308"/>
      <c r="D276" s="308"/>
      <c r="E276" s="664">
        <v>4</v>
      </c>
      <c r="F276" s="678">
        <v>13.75</v>
      </c>
      <c r="G276" s="664">
        <v>0.65</v>
      </c>
      <c r="H276" s="678"/>
      <c r="I276" s="664">
        <f t="shared" si="84"/>
        <v>35.75</v>
      </c>
      <c r="J276" s="664"/>
      <c r="K276" s="682"/>
      <c r="L276" s="682"/>
      <c r="M276" s="673"/>
      <c r="N276" s="683"/>
      <c r="O276" s="664"/>
      <c r="R276" s="309"/>
      <c r="S276" s="309"/>
      <c r="T276" s="309"/>
      <c r="U276" s="309"/>
      <c r="V276" s="309"/>
    </row>
    <row r="277" spans="1:22" ht="15" thickTop="1" thickBot="1" x14ac:dyDescent="0.3">
      <c r="A277" s="307"/>
      <c r="B277" s="308"/>
      <c r="C277" s="308"/>
      <c r="D277" s="308"/>
      <c r="E277" s="664">
        <v>1</v>
      </c>
      <c r="F277" s="678">
        <v>2.8</v>
      </c>
      <c r="G277" s="664">
        <v>0.65</v>
      </c>
      <c r="H277" s="678"/>
      <c r="I277" s="664">
        <f t="shared" si="84"/>
        <v>1.8199999999999998</v>
      </c>
      <c r="J277" s="664"/>
      <c r="K277" s="682"/>
      <c r="L277" s="682"/>
      <c r="M277" s="673"/>
      <c r="N277" s="683"/>
      <c r="O277" s="664"/>
      <c r="R277" s="309"/>
      <c r="S277" s="309"/>
      <c r="T277" s="309"/>
      <c r="U277" s="309"/>
      <c r="V277" s="309"/>
    </row>
    <row r="278" spans="1:22" ht="15" thickTop="1" thickBot="1" x14ac:dyDescent="0.3">
      <c r="A278" s="307"/>
      <c r="B278" s="308"/>
      <c r="C278" s="308"/>
      <c r="D278" s="308"/>
      <c r="E278" s="664">
        <v>1</v>
      </c>
      <c r="F278" s="678">
        <v>4.5570000000000004</v>
      </c>
      <c r="G278" s="664">
        <v>0.65</v>
      </c>
      <c r="H278" s="678"/>
      <c r="I278" s="664">
        <f t="shared" si="84"/>
        <v>2.9620500000000005</v>
      </c>
      <c r="J278" s="664"/>
      <c r="K278" s="682"/>
      <c r="L278" s="682"/>
      <c r="M278" s="673"/>
      <c r="N278" s="683"/>
      <c r="O278" s="664"/>
      <c r="R278" s="309"/>
      <c r="S278" s="309"/>
      <c r="T278" s="309"/>
      <c r="U278" s="309"/>
      <c r="V278" s="309"/>
    </row>
    <row r="279" spans="1:22" ht="15" thickTop="1" thickBot="1" x14ac:dyDescent="0.3">
      <c r="A279" s="307"/>
      <c r="B279" s="308"/>
      <c r="C279" s="308"/>
      <c r="D279" s="308"/>
      <c r="E279" s="664">
        <v>2</v>
      </c>
      <c r="F279" s="678">
        <v>1.35</v>
      </c>
      <c r="G279" s="664">
        <v>0.65</v>
      </c>
      <c r="H279" s="678"/>
      <c r="I279" s="664">
        <f t="shared" si="84"/>
        <v>1.7550000000000001</v>
      </c>
      <c r="J279" s="664"/>
      <c r="K279" s="682"/>
      <c r="L279" s="682"/>
      <c r="M279" s="673"/>
      <c r="N279" s="683"/>
      <c r="O279" s="664"/>
      <c r="R279" s="309"/>
      <c r="S279" s="309"/>
      <c r="T279" s="309"/>
      <c r="U279" s="309"/>
      <c r="V279" s="309"/>
    </row>
    <row r="280" spans="1:22" ht="15" thickTop="1" thickBot="1" x14ac:dyDescent="0.3">
      <c r="A280" s="307"/>
      <c r="B280" s="308"/>
      <c r="C280" s="308"/>
      <c r="D280" s="308"/>
      <c r="E280" s="664">
        <v>2</v>
      </c>
      <c r="F280" s="678">
        <v>1.2649999999999999</v>
      </c>
      <c r="G280" s="664">
        <v>0.65</v>
      </c>
      <c r="H280" s="678"/>
      <c r="I280" s="664">
        <f t="shared" si="84"/>
        <v>1.6444999999999999</v>
      </c>
      <c r="J280" s="664"/>
      <c r="K280" s="682"/>
      <c r="L280" s="682"/>
      <c r="M280" s="673"/>
      <c r="N280" s="683"/>
      <c r="O280" s="664"/>
      <c r="R280" s="309"/>
      <c r="S280" s="309"/>
      <c r="T280" s="309"/>
      <c r="U280" s="309"/>
      <c r="V280" s="309"/>
    </row>
    <row r="281" spans="1:22" ht="15" thickTop="1" thickBot="1" x14ac:dyDescent="0.3">
      <c r="A281" s="307"/>
      <c r="B281" s="308"/>
      <c r="C281" s="308"/>
      <c r="D281" s="308"/>
      <c r="E281" s="664">
        <v>1</v>
      </c>
      <c r="F281" s="678">
        <v>2.8420000000000001</v>
      </c>
      <c r="G281" s="664">
        <v>0.65</v>
      </c>
      <c r="H281" s="678"/>
      <c r="I281" s="664">
        <f t="shared" si="84"/>
        <v>1.8473000000000002</v>
      </c>
      <c r="J281" s="664"/>
      <c r="K281" s="682"/>
      <c r="L281" s="682"/>
      <c r="M281" s="673"/>
      <c r="N281" s="683"/>
      <c r="O281" s="664"/>
      <c r="R281" s="309"/>
      <c r="S281" s="309"/>
      <c r="T281" s="309"/>
      <c r="U281" s="309"/>
      <c r="V281" s="309"/>
    </row>
    <row r="282" spans="1:22" ht="15" thickTop="1" thickBot="1" x14ac:dyDescent="0.3">
      <c r="A282" s="307"/>
      <c r="B282" s="308"/>
      <c r="C282" s="308"/>
      <c r="D282" s="308"/>
      <c r="E282" s="664">
        <v>1</v>
      </c>
      <c r="F282" s="678">
        <v>1.4870000000000001</v>
      </c>
      <c r="G282" s="664">
        <v>0.65</v>
      </c>
      <c r="H282" s="678"/>
      <c r="I282" s="664">
        <f t="shared" si="84"/>
        <v>0.96655000000000013</v>
      </c>
      <c r="J282" s="664"/>
      <c r="K282" s="682"/>
      <c r="L282" s="682"/>
      <c r="M282" s="673"/>
      <c r="N282" s="683"/>
      <c r="O282" s="664"/>
      <c r="R282" s="309"/>
      <c r="S282" s="309"/>
      <c r="T282" s="309"/>
      <c r="U282" s="309"/>
      <c r="V282" s="309"/>
    </row>
    <row r="283" spans="1:22" ht="15" thickTop="1" thickBot="1" x14ac:dyDescent="0.3">
      <c r="A283" s="307"/>
      <c r="B283" s="308"/>
      <c r="C283" s="308"/>
      <c r="D283" s="308"/>
      <c r="E283" s="664"/>
      <c r="F283" s="678"/>
      <c r="G283" s="664"/>
      <c r="H283" s="678"/>
      <c r="I283" s="678"/>
      <c r="J283" s="664"/>
      <c r="K283" s="682"/>
      <c r="L283" s="682"/>
      <c r="M283" s="673"/>
      <c r="N283" s="683"/>
      <c r="O283" s="664"/>
      <c r="R283" s="309"/>
      <c r="S283" s="309"/>
      <c r="T283" s="309"/>
      <c r="U283" s="309"/>
      <c r="V283" s="309"/>
    </row>
    <row r="284" spans="1:22" ht="15" thickTop="1" thickBot="1" x14ac:dyDescent="0.3">
      <c r="A284" s="307"/>
      <c r="B284" s="308"/>
      <c r="C284" s="308"/>
      <c r="D284" s="308"/>
      <c r="E284" s="664"/>
      <c r="F284" s="664"/>
      <c r="G284" s="664"/>
      <c r="H284" s="664"/>
      <c r="I284" s="664"/>
      <c r="J284" s="664"/>
      <c r="K284" s="682"/>
      <c r="L284" s="682"/>
      <c r="M284" s="673"/>
      <c r="N284" s="683"/>
      <c r="O284" s="664"/>
      <c r="R284" s="309"/>
      <c r="S284" s="309"/>
      <c r="T284" s="309"/>
      <c r="U284" s="309"/>
      <c r="V284" s="309"/>
    </row>
    <row r="285" spans="1:22" ht="15" thickTop="1" thickBot="1" x14ac:dyDescent="0.3">
      <c r="A285" s="307"/>
      <c r="B285" s="308"/>
      <c r="C285" s="308"/>
      <c r="D285" s="308" t="s">
        <v>871</v>
      </c>
      <c r="E285" s="664">
        <v>1</v>
      </c>
      <c r="F285" s="664">
        <v>5.15</v>
      </c>
      <c r="G285" s="664">
        <v>0.55000000000000004</v>
      </c>
      <c r="H285" s="664"/>
      <c r="I285" s="664">
        <f t="shared" ref="I285:I286" si="85">G285*F285*E285</f>
        <v>2.8325000000000005</v>
      </c>
      <c r="J285" s="664"/>
      <c r="K285" s="682"/>
      <c r="L285" s="682"/>
      <c r="M285" s="673"/>
      <c r="N285" s="683"/>
      <c r="O285" s="664"/>
      <c r="R285" s="309"/>
      <c r="S285" s="309"/>
      <c r="T285" s="309"/>
      <c r="U285" s="309"/>
      <c r="V285" s="309"/>
    </row>
    <row r="286" spans="1:22" ht="15" thickTop="1" thickBot="1" x14ac:dyDescent="0.3">
      <c r="A286" s="307"/>
      <c r="B286" s="308"/>
      <c r="C286" s="308"/>
      <c r="D286" s="308"/>
      <c r="E286" s="664">
        <v>1</v>
      </c>
      <c r="F286" s="664">
        <v>6.05</v>
      </c>
      <c r="G286" s="664">
        <v>0.55000000000000004</v>
      </c>
      <c r="H286" s="664"/>
      <c r="I286" s="664">
        <f t="shared" si="85"/>
        <v>3.3275000000000001</v>
      </c>
      <c r="J286" s="664">
        <f>SUM(I244:I286)</f>
        <v>139.30790000000002</v>
      </c>
      <c r="K286" s="679">
        <f>$K$2</f>
        <v>1.05</v>
      </c>
      <c r="L286" s="679">
        <f t="shared" ref="L286" si="86">K286*J286</f>
        <v>146.27329500000002</v>
      </c>
      <c r="M286" s="680">
        <f t="shared" ref="M286" si="87">ROUND(L286,1)</f>
        <v>146.30000000000001</v>
      </c>
      <c r="N286" s="681">
        <f t="shared" ref="N286" si="88">ROUNDUP(M286,0)</f>
        <v>147</v>
      </c>
      <c r="O286" s="678" t="s">
        <v>183</v>
      </c>
      <c r="R286" s="309"/>
      <c r="S286" s="309"/>
      <c r="T286" s="309"/>
      <c r="U286" s="309"/>
      <c r="V286" s="309"/>
    </row>
    <row r="287" spans="1:22" ht="15" thickTop="1" thickBot="1" x14ac:dyDescent="0.3">
      <c r="A287" s="307"/>
      <c r="B287" s="308"/>
      <c r="C287" s="308"/>
      <c r="D287" s="668"/>
      <c r="E287" s="664"/>
      <c r="F287" s="664"/>
      <c r="G287" s="664"/>
      <c r="H287" s="664"/>
      <c r="I287" s="664"/>
      <c r="J287" s="664"/>
      <c r="K287" s="682"/>
      <c r="L287" s="682"/>
      <c r="M287" s="673"/>
      <c r="N287" s="683"/>
      <c r="O287" s="664"/>
      <c r="R287" s="309"/>
      <c r="S287" s="309"/>
      <c r="T287" s="309"/>
      <c r="U287" s="309"/>
      <c r="V287" s="309"/>
    </row>
    <row r="288" spans="1:22" ht="70.2" thickTop="1" thickBot="1" x14ac:dyDescent="0.3">
      <c r="A288" s="307" t="str">
        <f>concrete!A74</f>
        <v>C2.1</v>
      </c>
      <c r="B288" s="721" t="str">
        <f>concrete!B73</f>
        <v xml:space="preserve">Volume Batched Grade 25 concrete prepared at site using mixer and vibrator in ground  floor.Rate shall include  the cost of curing continously for 7 days. Upto DPC
</v>
      </c>
      <c r="C288" s="308"/>
      <c r="D288" s="308" t="s">
        <v>810</v>
      </c>
      <c r="E288" s="664">
        <v>1</v>
      </c>
      <c r="F288" s="664">
        <v>0.9</v>
      </c>
      <c r="G288" s="664">
        <v>0.9</v>
      </c>
      <c r="H288" s="664">
        <v>0.25</v>
      </c>
      <c r="I288" s="664">
        <f t="shared" ref="I288:I310" si="89">H288*G288*F288*E288</f>
        <v>0.20250000000000001</v>
      </c>
      <c r="J288" s="664"/>
      <c r="K288" s="682"/>
      <c r="L288" s="682"/>
      <c r="M288" s="673"/>
      <c r="N288" s="683"/>
      <c r="O288" s="664"/>
      <c r="R288" s="309"/>
      <c r="S288" s="309"/>
      <c r="T288" s="309"/>
      <c r="U288" s="309"/>
      <c r="V288" s="309"/>
    </row>
    <row r="289" spans="1:22" ht="15" thickTop="1" thickBot="1" x14ac:dyDescent="0.3">
      <c r="A289" s="307"/>
      <c r="B289" s="663" t="str">
        <f>concrete!B74</f>
        <v>In column/strip footing</v>
      </c>
      <c r="C289" s="308"/>
      <c r="D289" s="308" t="s">
        <v>811</v>
      </c>
      <c r="E289" s="664">
        <v>1</v>
      </c>
      <c r="F289" s="664">
        <v>0.9</v>
      </c>
      <c r="G289" s="664">
        <v>0.9</v>
      </c>
      <c r="H289" s="664">
        <v>0.25</v>
      </c>
      <c r="I289" s="664">
        <f t="shared" si="89"/>
        <v>0.20250000000000001</v>
      </c>
      <c r="J289" s="664"/>
      <c r="K289" s="682"/>
      <c r="L289" s="682"/>
      <c r="M289" s="673"/>
      <c r="N289" s="683"/>
      <c r="O289" s="664"/>
      <c r="R289" s="309"/>
      <c r="S289" s="309"/>
      <c r="T289" s="309"/>
      <c r="U289" s="309"/>
      <c r="V289" s="309"/>
    </row>
    <row r="290" spans="1:22" ht="15" thickTop="1" thickBot="1" x14ac:dyDescent="0.3">
      <c r="A290" s="307"/>
      <c r="B290" s="308"/>
      <c r="C290" s="308"/>
      <c r="D290" s="308" t="s">
        <v>812</v>
      </c>
      <c r="E290" s="664">
        <v>1</v>
      </c>
      <c r="F290" s="664">
        <v>0.9</v>
      </c>
      <c r="G290" s="664">
        <v>0.9</v>
      </c>
      <c r="H290" s="664">
        <v>0.25</v>
      </c>
      <c r="I290" s="664">
        <f t="shared" si="89"/>
        <v>0.20250000000000001</v>
      </c>
      <c r="J290" s="664"/>
      <c r="K290" s="682"/>
      <c r="L290" s="682"/>
      <c r="M290" s="673"/>
      <c r="N290" s="683"/>
      <c r="O290" s="664"/>
      <c r="R290" s="309"/>
      <c r="S290" s="309"/>
      <c r="T290" s="309"/>
      <c r="U290" s="309"/>
      <c r="V290" s="309"/>
    </row>
    <row r="291" spans="1:22" ht="15" thickTop="1" thickBot="1" x14ac:dyDescent="0.3">
      <c r="A291" s="307"/>
      <c r="B291" s="308"/>
      <c r="C291" s="308"/>
      <c r="D291" s="308" t="s">
        <v>850</v>
      </c>
      <c r="E291" s="664">
        <v>1</v>
      </c>
      <c r="F291" s="664">
        <v>1.2</v>
      </c>
      <c r="G291" s="664">
        <v>1.2</v>
      </c>
      <c r="H291" s="664">
        <v>0.25</v>
      </c>
      <c r="I291" s="664">
        <f t="shared" si="89"/>
        <v>0.36</v>
      </c>
      <c r="J291" s="664"/>
      <c r="K291" s="682"/>
      <c r="L291" s="682"/>
      <c r="M291" s="673"/>
      <c r="N291" s="683"/>
      <c r="O291" s="664"/>
      <c r="R291" s="309"/>
      <c r="S291" s="309"/>
      <c r="T291" s="309"/>
      <c r="U291" s="309"/>
      <c r="V291" s="309"/>
    </row>
    <row r="292" spans="1:22" ht="15" thickTop="1" thickBot="1" x14ac:dyDescent="0.3">
      <c r="A292" s="307"/>
      <c r="B292" s="308"/>
      <c r="C292" s="308"/>
      <c r="D292" s="308" t="s">
        <v>851</v>
      </c>
      <c r="E292" s="664">
        <v>1</v>
      </c>
      <c r="F292" s="664">
        <v>1.6</v>
      </c>
      <c r="G292" s="664">
        <v>1.6</v>
      </c>
      <c r="H292" s="664">
        <v>0.3</v>
      </c>
      <c r="I292" s="664">
        <f t="shared" si="89"/>
        <v>0.76800000000000002</v>
      </c>
      <c r="J292" s="664"/>
      <c r="K292" s="682"/>
      <c r="L292" s="682"/>
      <c r="M292" s="673"/>
      <c r="N292" s="683"/>
      <c r="O292" s="664"/>
      <c r="R292" s="309"/>
      <c r="S292" s="309"/>
      <c r="T292" s="309"/>
      <c r="U292" s="309"/>
      <c r="V292" s="309"/>
    </row>
    <row r="293" spans="1:22" ht="15" thickTop="1" thickBot="1" x14ac:dyDescent="0.3">
      <c r="A293" s="307"/>
      <c r="B293" s="308"/>
      <c r="C293" s="308"/>
      <c r="D293" s="308" t="s">
        <v>852</v>
      </c>
      <c r="E293" s="664">
        <v>1</v>
      </c>
      <c r="F293" s="664">
        <v>1.6</v>
      </c>
      <c r="G293" s="664">
        <v>1.6</v>
      </c>
      <c r="H293" s="664">
        <v>0.3</v>
      </c>
      <c r="I293" s="664">
        <f t="shared" si="89"/>
        <v>0.76800000000000002</v>
      </c>
      <c r="J293" s="664"/>
      <c r="K293" s="682"/>
      <c r="L293" s="682"/>
      <c r="M293" s="673"/>
      <c r="N293" s="683"/>
      <c r="O293" s="664"/>
      <c r="R293" s="309"/>
      <c r="S293" s="309"/>
      <c r="T293" s="309"/>
      <c r="U293" s="309"/>
      <c r="V293" s="309"/>
    </row>
    <row r="294" spans="1:22" ht="15" thickTop="1" thickBot="1" x14ac:dyDescent="0.3">
      <c r="A294" s="307"/>
      <c r="B294" s="308"/>
      <c r="C294" s="308"/>
      <c r="D294" s="308" t="s">
        <v>853</v>
      </c>
      <c r="E294" s="664">
        <v>1</v>
      </c>
      <c r="F294" s="664">
        <v>1.5</v>
      </c>
      <c r="G294" s="664">
        <v>1.5</v>
      </c>
      <c r="H294" s="664">
        <v>0.3</v>
      </c>
      <c r="I294" s="664">
        <f t="shared" si="89"/>
        <v>0.67499999999999993</v>
      </c>
      <c r="J294" s="664"/>
      <c r="K294" s="682"/>
      <c r="L294" s="682"/>
      <c r="M294" s="673"/>
      <c r="N294" s="683"/>
      <c r="O294" s="664"/>
      <c r="R294" s="309"/>
      <c r="S294" s="309"/>
      <c r="T294" s="309"/>
      <c r="U294" s="309"/>
      <c r="V294" s="309"/>
    </row>
    <row r="295" spans="1:22" ht="15" thickTop="1" thickBot="1" x14ac:dyDescent="0.3">
      <c r="A295" s="307"/>
      <c r="B295" s="308"/>
      <c r="C295" s="308"/>
      <c r="D295" s="308" t="s">
        <v>854</v>
      </c>
      <c r="E295" s="664">
        <v>1</v>
      </c>
      <c r="F295" s="664">
        <v>1.2</v>
      </c>
      <c r="G295" s="664">
        <v>1.2</v>
      </c>
      <c r="H295" s="664">
        <v>0.3</v>
      </c>
      <c r="I295" s="664">
        <f t="shared" si="89"/>
        <v>0.432</v>
      </c>
      <c r="J295" s="664"/>
      <c r="K295" s="682"/>
      <c r="L295" s="682"/>
      <c r="M295" s="673"/>
      <c r="N295" s="683"/>
      <c r="O295" s="664"/>
      <c r="R295" s="309"/>
      <c r="S295" s="309"/>
      <c r="T295" s="309"/>
      <c r="U295" s="309"/>
      <c r="V295" s="309"/>
    </row>
    <row r="296" spans="1:22" ht="15" thickTop="1" thickBot="1" x14ac:dyDescent="0.3">
      <c r="A296" s="307"/>
      <c r="B296" s="308"/>
      <c r="C296" s="308"/>
      <c r="D296" s="308" t="s">
        <v>855</v>
      </c>
      <c r="E296" s="664">
        <v>1</v>
      </c>
      <c r="F296" s="664">
        <v>1.8</v>
      </c>
      <c r="G296" s="664">
        <v>1.8</v>
      </c>
      <c r="H296" s="664">
        <v>0.35</v>
      </c>
      <c r="I296" s="664">
        <f t="shared" si="89"/>
        <v>1.1340000000000001</v>
      </c>
      <c r="J296" s="664"/>
      <c r="K296" s="682"/>
      <c r="L296" s="682"/>
      <c r="M296" s="673"/>
      <c r="N296" s="683"/>
      <c r="O296" s="664"/>
      <c r="R296" s="309"/>
      <c r="S296" s="309"/>
      <c r="T296" s="309"/>
      <c r="U296" s="309"/>
      <c r="V296" s="309"/>
    </row>
    <row r="297" spans="1:22" ht="15" thickTop="1" thickBot="1" x14ac:dyDescent="0.3">
      <c r="A297" s="307"/>
      <c r="B297" s="308"/>
      <c r="C297" s="308"/>
      <c r="D297" s="308" t="s">
        <v>856</v>
      </c>
      <c r="E297" s="664">
        <v>1</v>
      </c>
      <c r="F297" s="664">
        <v>1.6</v>
      </c>
      <c r="G297" s="664">
        <v>1.6</v>
      </c>
      <c r="H297" s="664">
        <v>0.35</v>
      </c>
      <c r="I297" s="664">
        <f t="shared" si="89"/>
        <v>0.89599999999999991</v>
      </c>
      <c r="J297" s="664"/>
      <c r="K297" s="682"/>
      <c r="L297" s="682"/>
      <c r="M297" s="673"/>
      <c r="N297" s="683"/>
      <c r="O297" s="664"/>
      <c r="R297" s="309"/>
      <c r="S297" s="309"/>
      <c r="T297" s="309"/>
      <c r="U297" s="309"/>
      <c r="V297" s="309"/>
    </row>
    <row r="298" spans="1:22" ht="15" thickTop="1" thickBot="1" x14ac:dyDescent="0.3">
      <c r="A298" s="307"/>
      <c r="B298" s="308"/>
      <c r="C298" s="308"/>
      <c r="D298" s="308" t="s">
        <v>857</v>
      </c>
      <c r="E298" s="664">
        <v>1</v>
      </c>
      <c r="F298" s="664">
        <v>1.6</v>
      </c>
      <c r="G298" s="664">
        <v>1.6</v>
      </c>
      <c r="H298" s="664">
        <v>0.35</v>
      </c>
      <c r="I298" s="664">
        <f t="shared" si="89"/>
        <v>0.89599999999999991</v>
      </c>
      <c r="J298" s="664"/>
      <c r="K298" s="682"/>
      <c r="L298" s="682"/>
      <c r="M298" s="673"/>
      <c r="N298" s="683"/>
      <c r="O298" s="664"/>
      <c r="R298" s="309"/>
      <c r="S298" s="309"/>
      <c r="T298" s="309"/>
      <c r="U298" s="309"/>
      <c r="V298" s="309"/>
    </row>
    <row r="299" spans="1:22" ht="15" thickTop="1" thickBot="1" x14ac:dyDescent="0.3">
      <c r="A299" s="307"/>
      <c r="B299" s="308"/>
      <c r="C299" s="308"/>
      <c r="D299" s="308" t="s">
        <v>858</v>
      </c>
      <c r="E299" s="664">
        <v>1</v>
      </c>
      <c r="F299" s="664">
        <v>1.8</v>
      </c>
      <c r="G299" s="664">
        <v>1.8</v>
      </c>
      <c r="H299" s="664">
        <v>0.35</v>
      </c>
      <c r="I299" s="664">
        <f t="shared" si="89"/>
        <v>1.1340000000000001</v>
      </c>
      <c r="J299" s="664"/>
      <c r="K299" s="682"/>
      <c r="L299" s="682"/>
      <c r="M299" s="673"/>
      <c r="N299" s="683"/>
      <c r="O299" s="664"/>
      <c r="R299" s="309"/>
      <c r="S299" s="309"/>
      <c r="T299" s="309"/>
      <c r="U299" s="309"/>
      <c r="V299" s="309"/>
    </row>
    <row r="300" spans="1:22" ht="15" thickTop="1" thickBot="1" x14ac:dyDescent="0.3">
      <c r="A300" s="307"/>
      <c r="B300" s="308"/>
      <c r="C300" s="308"/>
      <c r="D300" s="308" t="s">
        <v>859</v>
      </c>
      <c r="E300" s="664">
        <v>1</v>
      </c>
      <c r="F300" s="664">
        <v>1.2</v>
      </c>
      <c r="G300" s="664">
        <v>1.2</v>
      </c>
      <c r="H300" s="664">
        <v>0.35</v>
      </c>
      <c r="I300" s="664">
        <f t="shared" si="89"/>
        <v>0.504</v>
      </c>
      <c r="J300" s="664"/>
      <c r="K300" s="682"/>
      <c r="L300" s="682"/>
      <c r="M300" s="673"/>
      <c r="N300" s="683"/>
      <c r="O300" s="664"/>
      <c r="R300" s="309"/>
      <c r="S300" s="309"/>
      <c r="T300" s="309"/>
      <c r="U300" s="309"/>
      <c r="V300" s="309"/>
    </row>
    <row r="301" spans="1:22" s="687" customFormat="1" ht="15" thickTop="1" thickBot="1" x14ac:dyDescent="0.3">
      <c r="A301" s="685"/>
      <c r="B301" s="686"/>
      <c r="C301" s="308"/>
      <c r="D301" s="308" t="s">
        <v>860</v>
      </c>
      <c r="E301" s="664">
        <v>1</v>
      </c>
      <c r="F301" s="664">
        <v>1</v>
      </c>
      <c r="G301" s="664">
        <v>1</v>
      </c>
      <c r="H301" s="664">
        <v>0.35</v>
      </c>
      <c r="I301" s="664">
        <f t="shared" si="89"/>
        <v>0.35</v>
      </c>
      <c r="J301" s="678"/>
      <c r="K301" s="679"/>
      <c r="L301" s="679"/>
      <c r="M301" s="680"/>
      <c r="N301" s="681"/>
      <c r="O301" s="678"/>
      <c r="R301" s="688"/>
      <c r="S301" s="688"/>
      <c r="T301" s="688"/>
      <c r="U301" s="688"/>
      <c r="V301" s="688"/>
    </row>
    <row r="302" spans="1:22" s="687" customFormat="1" ht="15" thickTop="1" thickBot="1" x14ac:dyDescent="0.3">
      <c r="A302" s="685"/>
      <c r="B302" s="686"/>
      <c r="C302" s="308"/>
      <c r="D302" s="308" t="s">
        <v>861</v>
      </c>
      <c r="E302" s="664">
        <v>1</v>
      </c>
      <c r="F302" s="664">
        <v>1.3</v>
      </c>
      <c r="G302" s="664">
        <v>1.3</v>
      </c>
      <c r="H302" s="664">
        <v>0.35</v>
      </c>
      <c r="I302" s="664">
        <f t="shared" si="89"/>
        <v>0.59149999999999991</v>
      </c>
      <c r="J302" s="678"/>
      <c r="K302" s="679"/>
      <c r="L302" s="679"/>
      <c r="M302" s="680"/>
      <c r="N302" s="681"/>
      <c r="O302" s="678"/>
      <c r="R302" s="688"/>
      <c r="S302" s="688"/>
      <c r="T302" s="688"/>
      <c r="U302" s="688"/>
      <c r="V302" s="688"/>
    </row>
    <row r="303" spans="1:22" ht="15" thickTop="1" thickBot="1" x14ac:dyDescent="0.3">
      <c r="A303" s="307"/>
      <c r="B303" s="308"/>
      <c r="C303" s="308"/>
      <c r="D303" s="308" t="s">
        <v>862</v>
      </c>
      <c r="E303" s="664">
        <v>1</v>
      </c>
      <c r="F303" s="664">
        <v>1</v>
      </c>
      <c r="G303" s="664">
        <v>1</v>
      </c>
      <c r="H303" s="664">
        <v>0.35</v>
      </c>
      <c r="I303" s="664">
        <f t="shared" si="89"/>
        <v>0.35</v>
      </c>
      <c r="J303" s="664"/>
      <c r="K303" s="682"/>
      <c r="L303" s="682"/>
      <c r="M303" s="673"/>
      <c r="N303" s="683"/>
      <c r="O303" s="664"/>
      <c r="R303" s="309"/>
      <c r="S303" s="309"/>
      <c r="T303" s="309"/>
      <c r="U303" s="309"/>
      <c r="V303" s="309"/>
    </row>
    <row r="304" spans="1:22" ht="15" thickTop="1" thickBot="1" x14ac:dyDescent="0.3">
      <c r="A304" s="307"/>
      <c r="B304" s="308"/>
      <c r="C304" s="308"/>
      <c r="D304" s="308" t="s">
        <v>863</v>
      </c>
      <c r="E304" s="664">
        <v>1</v>
      </c>
      <c r="F304" s="664">
        <v>2</v>
      </c>
      <c r="G304" s="664">
        <v>2</v>
      </c>
      <c r="H304" s="664">
        <v>0.35</v>
      </c>
      <c r="I304" s="664">
        <f t="shared" si="89"/>
        <v>1.4</v>
      </c>
      <c r="J304" s="664"/>
      <c r="K304" s="682"/>
      <c r="L304" s="682"/>
      <c r="M304" s="673"/>
      <c r="N304" s="683"/>
      <c r="O304" s="664"/>
      <c r="R304" s="309"/>
      <c r="S304" s="309"/>
      <c r="T304" s="309"/>
      <c r="U304" s="309"/>
      <c r="V304" s="309"/>
    </row>
    <row r="305" spans="1:22" ht="15" thickTop="1" thickBot="1" x14ac:dyDescent="0.3">
      <c r="A305" s="307"/>
      <c r="B305" s="308"/>
      <c r="C305" s="308"/>
      <c r="D305" s="308" t="s">
        <v>864</v>
      </c>
      <c r="E305" s="664">
        <v>1</v>
      </c>
      <c r="F305" s="664">
        <v>1.2</v>
      </c>
      <c r="G305" s="664">
        <v>1.2</v>
      </c>
      <c r="H305" s="664">
        <v>0.35</v>
      </c>
      <c r="I305" s="664">
        <f t="shared" si="89"/>
        <v>0.504</v>
      </c>
      <c r="J305" s="664"/>
      <c r="K305" s="682"/>
      <c r="L305" s="682"/>
      <c r="M305" s="673"/>
      <c r="N305" s="683"/>
      <c r="O305" s="664"/>
      <c r="R305" s="309"/>
      <c r="S305" s="309"/>
      <c r="T305" s="309"/>
      <c r="U305" s="309"/>
      <c r="V305" s="309"/>
    </row>
    <row r="306" spans="1:22" ht="15" thickTop="1" thickBot="1" x14ac:dyDescent="0.3">
      <c r="A306" s="307"/>
      <c r="B306" s="308"/>
      <c r="C306" s="308"/>
      <c r="D306" s="308" t="s">
        <v>865</v>
      </c>
      <c r="E306" s="664">
        <v>1</v>
      </c>
      <c r="F306" s="664">
        <v>1</v>
      </c>
      <c r="G306" s="664">
        <v>1</v>
      </c>
      <c r="H306" s="664">
        <v>0.35</v>
      </c>
      <c r="I306" s="664">
        <f t="shared" si="89"/>
        <v>0.35</v>
      </c>
      <c r="J306" s="664"/>
      <c r="K306" s="682"/>
      <c r="L306" s="682"/>
      <c r="M306" s="673"/>
      <c r="N306" s="683"/>
      <c r="O306" s="664"/>
      <c r="R306" s="309"/>
      <c r="S306" s="309"/>
      <c r="T306" s="309"/>
      <c r="U306" s="309"/>
      <c r="V306" s="309"/>
    </row>
    <row r="307" spans="1:22" ht="15" thickTop="1" thickBot="1" x14ac:dyDescent="0.3">
      <c r="A307" s="307"/>
      <c r="B307" s="308"/>
      <c r="C307" s="308"/>
      <c r="D307" s="308" t="s">
        <v>866</v>
      </c>
      <c r="E307" s="664">
        <v>1</v>
      </c>
      <c r="F307" s="664">
        <v>1.6</v>
      </c>
      <c r="G307" s="664">
        <v>1.6</v>
      </c>
      <c r="H307" s="664">
        <v>0.35</v>
      </c>
      <c r="I307" s="664">
        <f t="shared" si="89"/>
        <v>0.89599999999999991</v>
      </c>
      <c r="J307" s="664"/>
      <c r="K307" s="682"/>
      <c r="L307" s="682"/>
      <c r="M307" s="673"/>
      <c r="N307" s="683"/>
      <c r="O307" s="664"/>
      <c r="R307" s="309"/>
      <c r="S307" s="309"/>
      <c r="T307" s="309"/>
      <c r="U307" s="309"/>
      <c r="V307" s="309"/>
    </row>
    <row r="308" spans="1:22" ht="15" thickTop="1" thickBot="1" x14ac:dyDescent="0.3">
      <c r="A308" s="307"/>
      <c r="B308" s="308"/>
      <c r="C308" s="308"/>
      <c r="D308" s="308" t="s">
        <v>867</v>
      </c>
      <c r="E308" s="664">
        <v>1</v>
      </c>
      <c r="F308" s="664">
        <v>1.8</v>
      </c>
      <c r="G308" s="664">
        <v>1.8</v>
      </c>
      <c r="H308" s="664">
        <v>0.35</v>
      </c>
      <c r="I308" s="664">
        <f t="shared" si="89"/>
        <v>1.1340000000000001</v>
      </c>
      <c r="J308" s="664"/>
      <c r="K308" s="682"/>
      <c r="L308" s="682"/>
      <c r="M308" s="673"/>
      <c r="N308" s="683"/>
      <c r="O308" s="664"/>
      <c r="R308" s="309"/>
      <c r="S308" s="309"/>
      <c r="T308" s="309"/>
      <c r="U308" s="309"/>
      <c r="V308" s="309"/>
    </row>
    <row r="309" spans="1:22" ht="15" thickTop="1" thickBot="1" x14ac:dyDescent="0.3">
      <c r="A309" s="307"/>
      <c r="B309" s="308"/>
      <c r="C309" s="308"/>
      <c r="D309" s="308" t="s">
        <v>868</v>
      </c>
      <c r="E309" s="664">
        <v>1</v>
      </c>
      <c r="F309" s="664">
        <v>1.5</v>
      </c>
      <c r="G309" s="664">
        <v>1.5</v>
      </c>
      <c r="H309" s="664">
        <v>0.35</v>
      </c>
      <c r="I309" s="664">
        <f t="shared" si="89"/>
        <v>0.78749999999999987</v>
      </c>
      <c r="J309" s="664"/>
      <c r="K309" s="682"/>
      <c r="L309" s="682"/>
      <c r="M309" s="673"/>
      <c r="N309" s="683"/>
      <c r="O309" s="664"/>
      <c r="R309" s="309"/>
      <c r="S309" s="309"/>
      <c r="T309" s="309"/>
      <c r="U309" s="309"/>
      <c r="V309" s="309"/>
    </row>
    <row r="310" spans="1:22" ht="15" thickTop="1" thickBot="1" x14ac:dyDescent="0.3">
      <c r="A310" s="307"/>
      <c r="B310" s="308"/>
      <c r="C310" s="308"/>
      <c r="D310" s="308" t="s">
        <v>869</v>
      </c>
      <c r="E310" s="664">
        <v>1</v>
      </c>
      <c r="F310" s="664">
        <v>1</v>
      </c>
      <c r="G310" s="664">
        <v>1</v>
      </c>
      <c r="H310" s="664">
        <v>0.35</v>
      </c>
      <c r="I310" s="664">
        <f t="shared" si="89"/>
        <v>0.35</v>
      </c>
      <c r="J310" s="664">
        <f>SUM(I288:I310)</f>
        <v>14.887499999999999</v>
      </c>
      <c r="K310" s="679">
        <f>$K$2</f>
        <v>1.05</v>
      </c>
      <c r="L310" s="679">
        <f t="shared" ref="L310" si="90">K310*J310</f>
        <v>15.631874999999999</v>
      </c>
      <c r="M310" s="680">
        <f t="shared" ref="M310" si="91">ROUND(L310,1)</f>
        <v>15.6</v>
      </c>
      <c r="N310" s="681">
        <f t="shared" ref="N310" si="92">ROUNDUP(M310,0)</f>
        <v>16</v>
      </c>
      <c r="O310" s="678" t="s">
        <v>183</v>
      </c>
      <c r="R310" s="309"/>
      <c r="S310" s="309"/>
      <c r="T310" s="309"/>
      <c r="U310" s="309"/>
      <c r="V310" s="309"/>
    </row>
    <row r="311" spans="1:22" ht="15" thickTop="1" thickBot="1" x14ac:dyDescent="0.3">
      <c r="A311" s="307"/>
      <c r="B311" s="308"/>
      <c r="C311" s="308"/>
      <c r="D311" s="308"/>
      <c r="E311" s="664"/>
      <c r="F311" s="664"/>
      <c r="G311" s="664"/>
      <c r="H311" s="664"/>
      <c r="I311" s="664"/>
      <c r="J311" s="664"/>
      <c r="K311" s="682"/>
      <c r="L311" s="682"/>
      <c r="M311" s="673"/>
      <c r="N311" s="683"/>
      <c r="O311" s="664"/>
      <c r="R311" s="309"/>
      <c r="S311" s="309"/>
      <c r="T311" s="309"/>
      <c r="U311" s="309"/>
      <c r="V311" s="309"/>
    </row>
    <row r="312" spans="1:22" ht="15" thickTop="1" thickBot="1" x14ac:dyDescent="0.3">
      <c r="A312" s="307"/>
      <c r="B312" s="663" t="str">
        <f>concrete!B75</f>
        <v>In column shaft</v>
      </c>
      <c r="C312" s="308"/>
      <c r="D312" s="308" t="s">
        <v>810</v>
      </c>
      <c r="E312" s="664">
        <v>1</v>
      </c>
      <c r="F312" s="664">
        <v>0.25</v>
      </c>
      <c r="G312" s="664">
        <v>0.25</v>
      </c>
      <c r="H312" s="664">
        <f>1.2-0.35</f>
        <v>0.85</v>
      </c>
      <c r="I312" s="664">
        <f>H312*G312*F312*E312</f>
        <v>5.3124999999999999E-2</v>
      </c>
      <c r="J312" s="664"/>
      <c r="K312" s="682"/>
      <c r="L312" s="682"/>
      <c r="M312" s="673"/>
      <c r="N312" s="683"/>
      <c r="O312" s="664"/>
      <c r="R312" s="309"/>
      <c r="S312" s="309"/>
      <c r="T312" s="309"/>
      <c r="U312" s="309"/>
      <c r="V312" s="309"/>
    </row>
    <row r="313" spans="1:22" ht="15" thickTop="1" thickBot="1" x14ac:dyDescent="0.3">
      <c r="A313" s="307"/>
      <c r="B313" s="308"/>
      <c r="C313" s="308"/>
      <c r="D313" s="308" t="s">
        <v>811</v>
      </c>
      <c r="E313" s="664">
        <v>1</v>
      </c>
      <c r="F313" s="664">
        <v>0.25</v>
      </c>
      <c r="G313" s="664">
        <v>0.25</v>
      </c>
      <c r="H313" s="664">
        <f t="shared" ref="H313:H334" si="93">1.2-0.35</f>
        <v>0.85</v>
      </c>
      <c r="I313" s="664">
        <f t="shared" ref="I313:I334" si="94">H313*G313*F313*E313</f>
        <v>5.3124999999999999E-2</v>
      </c>
      <c r="J313" s="664"/>
      <c r="K313" s="682"/>
      <c r="L313" s="682"/>
      <c r="M313" s="673"/>
      <c r="N313" s="683"/>
      <c r="O313" s="664"/>
      <c r="R313" s="309"/>
      <c r="S313" s="309"/>
      <c r="T313" s="309"/>
      <c r="U313" s="309"/>
      <c r="V313" s="309"/>
    </row>
    <row r="314" spans="1:22" ht="15" thickTop="1" thickBot="1" x14ac:dyDescent="0.3">
      <c r="A314" s="307"/>
      <c r="B314" s="308"/>
      <c r="C314" s="308"/>
      <c r="D314" s="308" t="s">
        <v>812</v>
      </c>
      <c r="E314" s="664">
        <v>1</v>
      </c>
      <c r="F314" s="664">
        <v>0.25</v>
      </c>
      <c r="G314" s="664">
        <v>0.25</v>
      </c>
      <c r="H314" s="664">
        <f t="shared" si="93"/>
        <v>0.85</v>
      </c>
      <c r="I314" s="664">
        <f t="shared" si="94"/>
        <v>5.3124999999999999E-2</v>
      </c>
      <c r="J314" s="664"/>
      <c r="K314" s="682"/>
      <c r="L314" s="682"/>
      <c r="M314" s="673"/>
      <c r="N314" s="683"/>
      <c r="O314" s="664"/>
      <c r="R314" s="309"/>
      <c r="S314" s="309"/>
      <c r="T314" s="309"/>
      <c r="U314" s="309"/>
      <c r="V314" s="309"/>
    </row>
    <row r="315" spans="1:22" ht="15" thickTop="1" thickBot="1" x14ac:dyDescent="0.3">
      <c r="A315" s="307"/>
      <c r="B315" s="308"/>
      <c r="C315" s="308"/>
      <c r="D315" s="308" t="s">
        <v>850</v>
      </c>
      <c r="E315" s="664">
        <v>1</v>
      </c>
      <c r="F315" s="664">
        <v>0.25</v>
      </c>
      <c r="G315" s="664">
        <v>0.25</v>
      </c>
      <c r="H315" s="664">
        <f t="shared" si="93"/>
        <v>0.85</v>
      </c>
      <c r="I315" s="664">
        <f t="shared" si="94"/>
        <v>5.3124999999999999E-2</v>
      </c>
      <c r="J315" s="664"/>
      <c r="K315" s="682"/>
      <c r="L315" s="682"/>
      <c r="M315" s="673"/>
      <c r="N315" s="683"/>
      <c r="O315" s="664"/>
      <c r="R315" s="309"/>
      <c r="S315" s="309"/>
      <c r="T315" s="309"/>
      <c r="U315" s="309"/>
      <c r="V315" s="309"/>
    </row>
    <row r="316" spans="1:22" ht="15" thickTop="1" thickBot="1" x14ac:dyDescent="0.3">
      <c r="A316" s="307"/>
      <c r="B316" s="308"/>
      <c r="C316" s="308"/>
      <c r="D316" s="308" t="s">
        <v>851</v>
      </c>
      <c r="E316" s="664">
        <v>1</v>
      </c>
      <c r="F316" s="664">
        <v>0.25</v>
      </c>
      <c r="G316" s="664">
        <v>0.25</v>
      </c>
      <c r="H316" s="664">
        <f t="shared" si="93"/>
        <v>0.85</v>
      </c>
      <c r="I316" s="664">
        <f t="shared" si="94"/>
        <v>5.3124999999999999E-2</v>
      </c>
      <c r="J316" s="664"/>
      <c r="K316" s="682"/>
      <c r="L316" s="682"/>
      <c r="M316" s="673"/>
      <c r="N316" s="683"/>
      <c r="O316" s="664"/>
      <c r="R316" s="309"/>
      <c r="S316" s="309"/>
      <c r="T316" s="309"/>
      <c r="U316" s="309"/>
      <c r="V316" s="309"/>
    </row>
    <row r="317" spans="1:22" ht="15" thickTop="1" thickBot="1" x14ac:dyDescent="0.3">
      <c r="A317" s="307"/>
      <c r="B317" s="308"/>
      <c r="C317" s="308"/>
      <c r="D317" s="308" t="s">
        <v>852</v>
      </c>
      <c r="E317" s="664">
        <v>1</v>
      </c>
      <c r="F317" s="664">
        <v>0.25</v>
      </c>
      <c r="G317" s="664">
        <v>0.25</v>
      </c>
      <c r="H317" s="664">
        <f t="shared" si="93"/>
        <v>0.85</v>
      </c>
      <c r="I317" s="664">
        <f t="shared" si="94"/>
        <v>5.3124999999999999E-2</v>
      </c>
      <c r="J317" s="664"/>
      <c r="K317" s="682"/>
      <c r="L317" s="682"/>
      <c r="M317" s="673"/>
      <c r="N317" s="683"/>
      <c r="O317" s="664"/>
      <c r="R317" s="309"/>
      <c r="S317" s="309"/>
      <c r="T317" s="309"/>
      <c r="U317" s="309"/>
      <c r="V317" s="309"/>
    </row>
    <row r="318" spans="1:22" ht="15" thickTop="1" thickBot="1" x14ac:dyDescent="0.3">
      <c r="A318" s="307"/>
      <c r="B318" s="308"/>
      <c r="C318" s="308"/>
      <c r="D318" s="308" t="s">
        <v>853</v>
      </c>
      <c r="E318" s="664">
        <v>1</v>
      </c>
      <c r="F318" s="664">
        <v>0.25</v>
      </c>
      <c r="G318" s="664">
        <v>0.25</v>
      </c>
      <c r="H318" s="664">
        <f t="shared" si="93"/>
        <v>0.85</v>
      </c>
      <c r="I318" s="664">
        <f t="shared" si="94"/>
        <v>5.3124999999999999E-2</v>
      </c>
      <c r="J318" s="664"/>
      <c r="K318" s="682"/>
      <c r="L318" s="682"/>
      <c r="M318" s="673"/>
      <c r="N318" s="683"/>
      <c r="O318" s="664"/>
      <c r="R318" s="309"/>
      <c r="S318" s="309"/>
      <c r="T318" s="309"/>
      <c r="U318" s="309"/>
      <c r="V318" s="309"/>
    </row>
    <row r="319" spans="1:22" ht="15" thickTop="1" thickBot="1" x14ac:dyDescent="0.3">
      <c r="A319" s="307"/>
      <c r="B319" s="308"/>
      <c r="C319" s="308"/>
      <c r="D319" s="308" t="s">
        <v>854</v>
      </c>
      <c r="E319" s="664">
        <v>1</v>
      </c>
      <c r="F319" s="664">
        <v>0.25</v>
      </c>
      <c r="G319" s="664">
        <v>0.25</v>
      </c>
      <c r="H319" s="664">
        <f t="shared" si="93"/>
        <v>0.85</v>
      </c>
      <c r="I319" s="664">
        <f t="shared" si="94"/>
        <v>5.3124999999999999E-2</v>
      </c>
      <c r="J319" s="664"/>
      <c r="K319" s="682"/>
      <c r="L319" s="682"/>
      <c r="M319" s="673"/>
      <c r="N319" s="683"/>
      <c r="O319" s="664"/>
      <c r="R319" s="309"/>
      <c r="S319" s="309"/>
      <c r="T319" s="309"/>
      <c r="U319" s="309"/>
      <c r="V319" s="309"/>
    </row>
    <row r="320" spans="1:22" ht="15" thickTop="1" thickBot="1" x14ac:dyDescent="0.3">
      <c r="A320" s="307"/>
      <c r="B320" s="308"/>
      <c r="C320" s="308"/>
      <c r="D320" s="308" t="s">
        <v>855</v>
      </c>
      <c r="E320" s="664">
        <v>1</v>
      </c>
      <c r="F320" s="664">
        <v>0.25</v>
      </c>
      <c r="G320" s="664">
        <v>0.25</v>
      </c>
      <c r="H320" s="664">
        <f t="shared" si="93"/>
        <v>0.85</v>
      </c>
      <c r="I320" s="664">
        <f t="shared" si="94"/>
        <v>5.3124999999999999E-2</v>
      </c>
      <c r="J320" s="664"/>
      <c r="K320" s="682"/>
      <c r="L320" s="682"/>
      <c r="M320" s="673"/>
      <c r="N320" s="683"/>
      <c r="O320" s="664"/>
      <c r="R320" s="309"/>
      <c r="S320" s="309"/>
      <c r="T320" s="309"/>
      <c r="U320" s="309"/>
      <c r="V320" s="309"/>
    </row>
    <row r="321" spans="1:22" ht="15" thickTop="1" thickBot="1" x14ac:dyDescent="0.3">
      <c r="A321" s="307"/>
      <c r="B321" s="308"/>
      <c r="C321" s="308"/>
      <c r="D321" s="308" t="s">
        <v>856</v>
      </c>
      <c r="E321" s="664">
        <v>1</v>
      </c>
      <c r="F321" s="664">
        <v>0.25</v>
      </c>
      <c r="G321" s="664">
        <v>0.25</v>
      </c>
      <c r="H321" s="664">
        <f t="shared" si="93"/>
        <v>0.85</v>
      </c>
      <c r="I321" s="664">
        <f t="shared" si="94"/>
        <v>5.3124999999999999E-2</v>
      </c>
      <c r="J321" s="664"/>
      <c r="K321" s="682"/>
      <c r="L321" s="682"/>
      <c r="M321" s="673"/>
      <c r="N321" s="683"/>
      <c r="O321" s="664"/>
      <c r="R321" s="309"/>
      <c r="S321" s="309"/>
      <c r="T321" s="309"/>
      <c r="U321" s="309"/>
      <c r="V321" s="309"/>
    </row>
    <row r="322" spans="1:22" ht="15" thickTop="1" thickBot="1" x14ac:dyDescent="0.3">
      <c r="A322" s="307"/>
      <c r="B322" s="308"/>
      <c r="C322" s="308"/>
      <c r="D322" s="308" t="s">
        <v>857</v>
      </c>
      <c r="E322" s="664">
        <v>1</v>
      </c>
      <c r="F322" s="664">
        <v>0.25</v>
      </c>
      <c r="G322" s="664">
        <v>0.25</v>
      </c>
      <c r="H322" s="664">
        <f t="shared" si="93"/>
        <v>0.85</v>
      </c>
      <c r="I322" s="664">
        <f t="shared" si="94"/>
        <v>5.3124999999999999E-2</v>
      </c>
      <c r="J322" s="664"/>
      <c r="K322" s="682"/>
      <c r="L322" s="682"/>
      <c r="M322" s="673"/>
      <c r="N322" s="683"/>
      <c r="O322" s="664"/>
      <c r="R322" s="309"/>
      <c r="S322" s="309"/>
      <c r="T322" s="309"/>
      <c r="U322" s="309"/>
      <c r="V322" s="309"/>
    </row>
    <row r="323" spans="1:22" ht="15" thickTop="1" thickBot="1" x14ac:dyDescent="0.3">
      <c r="A323" s="307"/>
      <c r="B323" s="308"/>
      <c r="C323" s="308"/>
      <c r="D323" s="308" t="s">
        <v>858</v>
      </c>
      <c r="E323" s="664">
        <v>1</v>
      </c>
      <c r="F323" s="664">
        <v>0.25</v>
      </c>
      <c r="G323" s="664">
        <v>0.25</v>
      </c>
      <c r="H323" s="664">
        <f t="shared" si="93"/>
        <v>0.85</v>
      </c>
      <c r="I323" s="664">
        <f t="shared" si="94"/>
        <v>5.3124999999999999E-2</v>
      </c>
      <c r="J323" s="664"/>
      <c r="K323" s="682"/>
      <c r="L323" s="682"/>
      <c r="M323" s="673"/>
      <c r="N323" s="683"/>
      <c r="O323" s="664"/>
      <c r="R323" s="309"/>
      <c r="S323" s="309"/>
      <c r="T323" s="309"/>
      <c r="U323" s="309"/>
      <c r="V323" s="309"/>
    </row>
    <row r="324" spans="1:22" ht="15" thickTop="1" thickBot="1" x14ac:dyDescent="0.3">
      <c r="A324" s="307"/>
      <c r="B324" s="308"/>
      <c r="C324" s="308"/>
      <c r="D324" s="308" t="s">
        <v>859</v>
      </c>
      <c r="E324" s="664">
        <v>1</v>
      </c>
      <c r="F324" s="664">
        <v>0.25</v>
      </c>
      <c r="G324" s="664">
        <v>0.25</v>
      </c>
      <c r="H324" s="664">
        <f t="shared" si="93"/>
        <v>0.85</v>
      </c>
      <c r="I324" s="664">
        <f t="shared" si="94"/>
        <v>5.3124999999999999E-2</v>
      </c>
      <c r="J324" s="664"/>
      <c r="K324" s="682"/>
      <c r="L324" s="682"/>
      <c r="M324" s="673"/>
      <c r="N324" s="683"/>
      <c r="O324" s="664"/>
      <c r="R324" s="309"/>
      <c r="S324" s="309"/>
      <c r="T324" s="309"/>
      <c r="U324" s="309"/>
      <c r="V324" s="309"/>
    </row>
    <row r="325" spans="1:22" ht="15" thickTop="1" thickBot="1" x14ac:dyDescent="0.3">
      <c r="A325" s="307"/>
      <c r="B325" s="308"/>
      <c r="C325" s="308"/>
      <c r="D325" s="308" t="s">
        <v>860</v>
      </c>
      <c r="E325" s="664">
        <v>1</v>
      </c>
      <c r="F325" s="664">
        <v>0.25</v>
      </c>
      <c r="G325" s="664">
        <v>0.25</v>
      </c>
      <c r="H325" s="664">
        <f t="shared" si="93"/>
        <v>0.85</v>
      </c>
      <c r="I325" s="664">
        <f t="shared" si="94"/>
        <v>5.3124999999999999E-2</v>
      </c>
      <c r="J325" s="664"/>
      <c r="K325" s="682"/>
      <c r="L325" s="682"/>
      <c r="M325" s="673"/>
      <c r="N325" s="683"/>
      <c r="O325" s="664"/>
      <c r="R325" s="309"/>
      <c r="S325" s="309"/>
      <c r="T325" s="309"/>
      <c r="U325" s="309"/>
      <c r="V325" s="309"/>
    </row>
    <row r="326" spans="1:22" ht="15" thickTop="1" thickBot="1" x14ac:dyDescent="0.3">
      <c r="A326" s="307"/>
      <c r="B326" s="308"/>
      <c r="C326" s="308"/>
      <c r="D326" s="308" t="s">
        <v>861</v>
      </c>
      <c r="E326" s="664">
        <v>1</v>
      </c>
      <c r="F326" s="664">
        <v>0.25</v>
      </c>
      <c r="G326" s="664">
        <v>0.25</v>
      </c>
      <c r="H326" s="664">
        <f t="shared" si="93"/>
        <v>0.85</v>
      </c>
      <c r="I326" s="664">
        <f t="shared" si="94"/>
        <v>5.3124999999999999E-2</v>
      </c>
      <c r="J326" s="664"/>
      <c r="K326" s="682"/>
      <c r="L326" s="682"/>
      <c r="M326" s="673"/>
      <c r="N326" s="683"/>
      <c r="O326" s="664"/>
      <c r="R326" s="309"/>
      <c r="S326" s="309"/>
      <c r="T326" s="309"/>
      <c r="U326" s="309"/>
      <c r="V326" s="309"/>
    </row>
    <row r="327" spans="1:22" ht="15" thickTop="1" thickBot="1" x14ac:dyDescent="0.3">
      <c r="A327" s="307"/>
      <c r="B327" s="308"/>
      <c r="C327" s="308"/>
      <c r="D327" s="308" t="s">
        <v>862</v>
      </c>
      <c r="E327" s="664">
        <v>1</v>
      </c>
      <c r="F327" s="664">
        <v>0.25</v>
      </c>
      <c r="G327" s="664">
        <v>0.25</v>
      </c>
      <c r="H327" s="664">
        <f t="shared" si="93"/>
        <v>0.85</v>
      </c>
      <c r="I327" s="664">
        <f t="shared" si="94"/>
        <v>5.3124999999999999E-2</v>
      </c>
      <c r="J327" s="664"/>
      <c r="K327" s="682"/>
      <c r="L327" s="682"/>
      <c r="M327" s="673"/>
      <c r="N327" s="683"/>
      <c r="O327" s="664"/>
      <c r="R327" s="309"/>
      <c r="S327" s="309"/>
      <c r="T327" s="309"/>
      <c r="U327" s="309"/>
      <c r="V327" s="309"/>
    </row>
    <row r="328" spans="1:22" ht="15" thickTop="1" thickBot="1" x14ac:dyDescent="0.3">
      <c r="A328" s="307"/>
      <c r="B328" s="308"/>
      <c r="C328" s="308"/>
      <c r="D328" s="308" t="s">
        <v>863</v>
      </c>
      <c r="E328" s="664">
        <v>1</v>
      </c>
      <c r="F328" s="664">
        <v>0.25</v>
      </c>
      <c r="G328" s="664">
        <v>0.25</v>
      </c>
      <c r="H328" s="664">
        <f t="shared" si="93"/>
        <v>0.85</v>
      </c>
      <c r="I328" s="664">
        <f t="shared" si="94"/>
        <v>5.3124999999999999E-2</v>
      </c>
      <c r="J328" s="664"/>
      <c r="K328" s="682"/>
      <c r="L328" s="682"/>
      <c r="M328" s="673"/>
      <c r="N328" s="683"/>
      <c r="O328" s="664"/>
      <c r="R328" s="309"/>
      <c r="S328" s="309"/>
      <c r="T328" s="309"/>
      <c r="U328" s="309"/>
      <c r="V328" s="309"/>
    </row>
    <row r="329" spans="1:22" ht="15" thickTop="1" thickBot="1" x14ac:dyDescent="0.3">
      <c r="A329" s="307"/>
      <c r="B329" s="308"/>
      <c r="C329" s="308"/>
      <c r="D329" s="308" t="s">
        <v>864</v>
      </c>
      <c r="E329" s="664">
        <v>1</v>
      </c>
      <c r="F329" s="664">
        <v>0.25</v>
      </c>
      <c r="G329" s="664">
        <v>0.25</v>
      </c>
      <c r="H329" s="664">
        <f t="shared" si="93"/>
        <v>0.85</v>
      </c>
      <c r="I329" s="664">
        <f t="shared" si="94"/>
        <v>5.3124999999999999E-2</v>
      </c>
      <c r="J329" s="664"/>
      <c r="K329" s="682"/>
      <c r="L329" s="682"/>
      <c r="M329" s="673"/>
      <c r="N329" s="683"/>
      <c r="O329" s="664"/>
      <c r="R329" s="309"/>
      <c r="S329" s="309"/>
      <c r="T329" s="309"/>
      <c r="U329" s="309"/>
      <c r="V329" s="309"/>
    </row>
    <row r="330" spans="1:22" ht="15" thickTop="1" thickBot="1" x14ac:dyDescent="0.3">
      <c r="A330" s="307"/>
      <c r="B330" s="308"/>
      <c r="C330" s="308"/>
      <c r="D330" s="308" t="s">
        <v>865</v>
      </c>
      <c r="E330" s="664">
        <v>1</v>
      </c>
      <c r="F330" s="664">
        <v>0.25</v>
      </c>
      <c r="G330" s="664">
        <v>0.25</v>
      </c>
      <c r="H330" s="664">
        <f t="shared" si="93"/>
        <v>0.85</v>
      </c>
      <c r="I330" s="664">
        <f t="shared" si="94"/>
        <v>5.3124999999999999E-2</v>
      </c>
      <c r="J330" s="664"/>
      <c r="K330" s="682"/>
      <c r="L330" s="682"/>
      <c r="M330" s="673"/>
      <c r="N330" s="683"/>
      <c r="O330" s="664"/>
      <c r="R330" s="309"/>
      <c r="S330" s="309"/>
      <c r="T330" s="309"/>
      <c r="U330" s="309"/>
      <c r="V330" s="309"/>
    </row>
    <row r="331" spans="1:22" ht="15" thickTop="1" thickBot="1" x14ac:dyDescent="0.3">
      <c r="A331" s="307"/>
      <c r="B331" s="308"/>
      <c r="C331" s="308"/>
      <c r="D331" s="308" t="s">
        <v>866</v>
      </c>
      <c r="E331" s="664">
        <v>1</v>
      </c>
      <c r="F331" s="664">
        <v>0.25</v>
      </c>
      <c r="G331" s="664">
        <v>0.25</v>
      </c>
      <c r="H331" s="664">
        <f t="shared" si="93"/>
        <v>0.85</v>
      </c>
      <c r="I331" s="664">
        <f t="shared" si="94"/>
        <v>5.3124999999999999E-2</v>
      </c>
      <c r="J331" s="664"/>
      <c r="K331" s="682"/>
      <c r="L331" s="682"/>
      <c r="M331" s="673"/>
      <c r="N331" s="683"/>
      <c r="O331" s="664"/>
      <c r="R331" s="309"/>
      <c r="S331" s="309"/>
      <c r="T331" s="309"/>
      <c r="U331" s="309"/>
      <c r="V331" s="309"/>
    </row>
    <row r="332" spans="1:22" ht="15" thickTop="1" thickBot="1" x14ac:dyDescent="0.3">
      <c r="A332" s="307"/>
      <c r="B332" s="308"/>
      <c r="C332" s="308"/>
      <c r="D332" s="308" t="s">
        <v>867</v>
      </c>
      <c r="E332" s="664">
        <v>1</v>
      </c>
      <c r="F332" s="664">
        <v>0.25</v>
      </c>
      <c r="G332" s="664">
        <v>0.25</v>
      </c>
      <c r="H332" s="664">
        <f t="shared" si="93"/>
        <v>0.85</v>
      </c>
      <c r="I332" s="664">
        <f t="shared" si="94"/>
        <v>5.3124999999999999E-2</v>
      </c>
      <c r="J332" s="664"/>
      <c r="K332" s="682"/>
      <c r="L332" s="682"/>
      <c r="M332" s="673"/>
      <c r="N332" s="683"/>
      <c r="O332" s="664"/>
      <c r="R332" s="309"/>
      <c r="S332" s="309"/>
      <c r="T332" s="309"/>
      <c r="U332" s="309"/>
      <c r="V332" s="309"/>
    </row>
    <row r="333" spans="1:22" ht="15" thickTop="1" thickBot="1" x14ac:dyDescent="0.3">
      <c r="A333" s="307"/>
      <c r="B333" s="308"/>
      <c r="C333" s="308"/>
      <c r="D333" s="308" t="s">
        <v>868</v>
      </c>
      <c r="E333" s="664">
        <v>1</v>
      </c>
      <c r="F333" s="664">
        <v>0.25</v>
      </c>
      <c r="G333" s="664">
        <v>0.25</v>
      </c>
      <c r="H333" s="664">
        <f t="shared" si="93"/>
        <v>0.85</v>
      </c>
      <c r="I333" s="664">
        <f t="shared" si="94"/>
        <v>5.3124999999999999E-2</v>
      </c>
      <c r="J333" s="664"/>
      <c r="K333" s="682"/>
      <c r="L333" s="682"/>
      <c r="M333" s="673"/>
      <c r="N333" s="683"/>
      <c r="O333" s="664"/>
      <c r="R333" s="309"/>
      <c r="S333" s="309"/>
      <c r="T333" s="309"/>
      <c r="U333" s="309"/>
      <c r="V333" s="309"/>
    </row>
    <row r="334" spans="1:22" ht="15" thickTop="1" thickBot="1" x14ac:dyDescent="0.3">
      <c r="A334" s="307"/>
      <c r="B334" s="308"/>
      <c r="C334" s="308"/>
      <c r="D334" s="308" t="s">
        <v>869</v>
      </c>
      <c r="E334" s="664">
        <v>1</v>
      </c>
      <c r="F334" s="664">
        <v>0.25</v>
      </c>
      <c r="G334" s="664">
        <v>0.25</v>
      </c>
      <c r="H334" s="664">
        <f t="shared" si="93"/>
        <v>0.85</v>
      </c>
      <c r="I334" s="664">
        <f t="shared" si="94"/>
        <v>5.3124999999999999E-2</v>
      </c>
      <c r="J334" s="664">
        <f>SUM(I312:I334)</f>
        <v>1.221875</v>
      </c>
      <c r="K334" s="679">
        <f>$K$2</f>
        <v>1.05</v>
      </c>
      <c r="L334" s="679">
        <f t="shared" ref="L334" si="95">K334*J334</f>
        <v>1.28296875</v>
      </c>
      <c r="M334" s="680">
        <f t="shared" ref="M334" si="96">ROUND(L334,1)</f>
        <v>1.3</v>
      </c>
      <c r="N334" s="681">
        <f t="shared" ref="N334" si="97">ROUNDUP(M334,0)</f>
        <v>2</v>
      </c>
      <c r="O334" s="678" t="s">
        <v>183</v>
      </c>
      <c r="R334" s="309"/>
      <c r="S334" s="309"/>
      <c r="T334" s="309"/>
      <c r="U334" s="309"/>
      <c r="V334" s="309"/>
    </row>
    <row r="335" spans="1:22" ht="15" thickTop="1" thickBot="1" x14ac:dyDescent="0.3">
      <c r="A335" s="307"/>
      <c r="B335" s="308"/>
      <c r="C335" s="308"/>
      <c r="D335" s="308"/>
      <c r="E335" s="664"/>
      <c r="F335" s="664"/>
      <c r="G335" s="664"/>
      <c r="H335" s="664"/>
      <c r="I335" s="664"/>
      <c r="J335" s="664"/>
      <c r="K335" s="682"/>
      <c r="L335" s="682"/>
      <c r="M335" s="673"/>
      <c r="N335" s="683"/>
      <c r="O335" s="664"/>
      <c r="R335" s="309"/>
      <c r="S335" s="309"/>
      <c r="T335" s="309"/>
      <c r="U335" s="309"/>
      <c r="V335" s="309"/>
    </row>
    <row r="336" spans="1:22" ht="15" thickTop="1" thickBot="1" x14ac:dyDescent="0.3">
      <c r="A336" s="307"/>
      <c r="B336" s="663" t="str">
        <f>concrete!B76</f>
        <v>In plinth Beams</v>
      </c>
      <c r="C336" s="308"/>
      <c r="D336" s="308" t="s">
        <v>870</v>
      </c>
      <c r="E336" s="664">
        <v>2</v>
      </c>
      <c r="F336" s="678">
        <v>5.15</v>
      </c>
      <c r="G336" s="664">
        <v>0.35</v>
      </c>
      <c r="H336" s="678">
        <v>0.22500000000000001</v>
      </c>
      <c r="I336" s="664">
        <f t="shared" ref="I336:I350" si="98">H336*G336*F336*E336</f>
        <v>0.8111250000000001</v>
      </c>
      <c r="J336" s="664"/>
      <c r="K336" s="682"/>
      <c r="L336" s="682"/>
      <c r="M336" s="673"/>
      <c r="N336" s="683"/>
      <c r="O336" s="664"/>
      <c r="R336" s="309"/>
      <c r="S336" s="309"/>
      <c r="T336" s="309"/>
      <c r="U336" s="309"/>
      <c r="V336" s="309"/>
    </row>
    <row r="337" spans="1:22" ht="15" thickTop="1" thickBot="1" x14ac:dyDescent="0.3">
      <c r="A337" s="307"/>
      <c r="B337" s="308"/>
      <c r="C337" s="308"/>
      <c r="D337" s="308"/>
      <c r="E337" s="664">
        <v>1</v>
      </c>
      <c r="F337" s="664">
        <v>1.08</v>
      </c>
      <c r="G337" s="664">
        <v>0.35</v>
      </c>
      <c r="H337" s="678">
        <v>0.22500000000000001</v>
      </c>
      <c r="I337" s="664">
        <f t="shared" si="98"/>
        <v>8.5050000000000001E-2</v>
      </c>
      <c r="J337" s="664"/>
      <c r="K337" s="682"/>
      <c r="L337" s="682"/>
      <c r="M337" s="673"/>
      <c r="N337" s="683"/>
      <c r="O337" s="664"/>
      <c r="R337" s="309"/>
      <c r="S337" s="309"/>
      <c r="T337" s="309"/>
      <c r="U337" s="309"/>
      <c r="V337" s="309"/>
    </row>
    <row r="338" spans="1:22" ht="14.4" thickTop="1" x14ac:dyDescent="0.25">
      <c r="A338" s="307"/>
      <c r="B338" s="663"/>
      <c r="C338" s="308"/>
      <c r="D338" s="308"/>
      <c r="E338" s="664">
        <v>1</v>
      </c>
      <c r="F338" s="678">
        <v>2.35</v>
      </c>
      <c r="G338" s="664">
        <v>0.35</v>
      </c>
      <c r="H338" s="678">
        <v>0.22500000000000001</v>
      </c>
      <c r="I338" s="664">
        <f t="shared" si="98"/>
        <v>0.18506250000000002</v>
      </c>
      <c r="J338" s="678"/>
      <c r="K338" s="678"/>
      <c r="L338" s="678"/>
      <c r="M338" s="678"/>
      <c r="N338" s="678"/>
      <c r="O338" s="664"/>
      <c r="R338" s="309"/>
      <c r="S338" s="309"/>
      <c r="T338" s="309"/>
      <c r="U338" s="309"/>
      <c r="V338" s="309"/>
    </row>
    <row r="339" spans="1:22" ht="14.4" thickBot="1" x14ac:dyDescent="0.3">
      <c r="A339" s="307"/>
      <c r="B339" s="308"/>
      <c r="C339" s="308"/>
      <c r="D339" s="308"/>
      <c r="E339" s="664">
        <v>2</v>
      </c>
      <c r="F339" s="678">
        <v>6.05</v>
      </c>
      <c r="G339" s="664">
        <v>0.35</v>
      </c>
      <c r="H339" s="678">
        <v>0.22500000000000001</v>
      </c>
      <c r="I339" s="664">
        <f t="shared" si="98"/>
        <v>0.95287500000000003</v>
      </c>
      <c r="J339" s="664"/>
      <c r="K339" s="682"/>
      <c r="L339" s="682"/>
      <c r="M339" s="673"/>
      <c r="N339" s="683"/>
      <c r="O339" s="664"/>
      <c r="R339" s="309"/>
      <c r="S339" s="309"/>
      <c r="T339" s="309"/>
      <c r="U339" s="309"/>
      <c r="V339" s="309"/>
    </row>
    <row r="340" spans="1:22" ht="14.4" thickTop="1" x14ac:dyDescent="0.25">
      <c r="A340" s="307"/>
      <c r="B340" s="663"/>
      <c r="C340" s="308"/>
      <c r="D340" s="308"/>
      <c r="E340" s="664">
        <v>6</v>
      </c>
      <c r="F340" s="678">
        <v>4.95</v>
      </c>
      <c r="G340" s="664">
        <v>0.35</v>
      </c>
      <c r="H340" s="678">
        <v>0.22500000000000001</v>
      </c>
      <c r="I340" s="664">
        <f t="shared" si="98"/>
        <v>2.3388749999999998</v>
      </c>
      <c r="J340" s="678"/>
      <c r="K340" s="678"/>
      <c r="L340" s="678"/>
      <c r="M340" s="678"/>
      <c r="N340" s="678"/>
      <c r="O340" s="664"/>
      <c r="R340" s="309"/>
      <c r="S340" s="309"/>
      <c r="T340" s="309"/>
      <c r="U340" s="309"/>
      <c r="V340" s="309"/>
    </row>
    <row r="341" spans="1:22" x14ac:dyDescent="0.25">
      <c r="A341" s="307"/>
      <c r="B341" s="663"/>
      <c r="C341" s="308"/>
      <c r="D341" s="308"/>
      <c r="E341" s="664">
        <v>4</v>
      </c>
      <c r="F341" s="678">
        <v>1.35</v>
      </c>
      <c r="G341" s="664">
        <v>0.35</v>
      </c>
      <c r="H341" s="678">
        <v>0.22500000000000001</v>
      </c>
      <c r="I341" s="664">
        <f t="shared" si="98"/>
        <v>0.42525000000000002</v>
      </c>
      <c r="J341" s="678"/>
      <c r="K341" s="679"/>
      <c r="L341" s="679"/>
      <c r="M341" s="679"/>
      <c r="N341" s="679"/>
      <c r="O341" s="664"/>
      <c r="R341" s="309"/>
      <c r="S341" s="309"/>
      <c r="T341" s="309"/>
      <c r="U341" s="309"/>
      <c r="V341" s="309"/>
    </row>
    <row r="342" spans="1:22" x14ac:dyDescent="0.25">
      <c r="A342" s="307"/>
      <c r="B342" s="663"/>
      <c r="C342" s="308"/>
      <c r="D342" s="308"/>
      <c r="E342" s="664">
        <v>1</v>
      </c>
      <c r="F342" s="678">
        <v>1.42</v>
      </c>
      <c r="G342" s="664">
        <v>0.35</v>
      </c>
      <c r="H342" s="678">
        <v>0.22500000000000001</v>
      </c>
      <c r="I342" s="664">
        <f t="shared" si="98"/>
        <v>0.11182499999999999</v>
      </c>
      <c r="J342" s="678"/>
      <c r="K342" s="678"/>
      <c r="L342" s="678"/>
      <c r="M342" s="678"/>
      <c r="N342" s="678"/>
      <c r="O342" s="664"/>
      <c r="R342" s="309"/>
      <c r="S342" s="309"/>
      <c r="T342" s="309"/>
      <c r="U342" s="309"/>
      <c r="V342" s="309"/>
    </row>
    <row r="343" spans="1:22" ht="14.4" thickBot="1" x14ac:dyDescent="0.3">
      <c r="A343" s="307"/>
      <c r="B343" s="308"/>
      <c r="C343" s="308"/>
      <c r="D343" s="308"/>
      <c r="E343" s="664">
        <v>2</v>
      </c>
      <c r="F343" s="678">
        <v>0.75</v>
      </c>
      <c r="G343" s="664">
        <v>0.35</v>
      </c>
      <c r="H343" s="678">
        <v>0.22500000000000001</v>
      </c>
      <c r="I343" s="664">
        <f t="shared" si="98"/>
        <v>0.11812500000000001</v>
      </c>
      <c r="J343" s="664"/>
      <c r="K343" s="682"/>
      <c r="L343" s="682"/>
      <c r="M343" s="673"/>
      <c r="N343" s="683"/>
      <c r="O343" s="664"/>
      <c r="R343" s="309"/>
      <c r="S343" s="309"/>
      <c r="T343" s="309"/>
      <c r="U343" s="309"/>
      <c r="V343" s="309"/>
    </row>
    <row r="344" spans="1:22" ht="15" thickTop="1" thickBot="1" x14ac:dyDescent="0.3">
      <c r="A344" s="307"/>
      <c r="B344" s="663"/>
      <c r="C344" s="308"/>
      <c r="D344" s="308"/>
      <c r="E344" s="664">
        <v>4</v>
      </c>
      <c r="F344" s="678">
        <v>13.75</v>
      </c>
      <c r="G344" s="664">
        <v>0.35</v>
      </c>
      <c r="H344" s="678">
        <v>0.22500000000000001</v>
      </c>
      <c r="I344" s="664">
        <f t="shared" si="98"/>
        <v>4.3312499999999998</v>
      </c>
      <c r="J344" s="664"/>
      <c r="K344" s="682"/>
      <c r="L344" s="682"/>
      <c r="M344" s="673"/>
      <c r="N344" s="683"/>
      <c r="O344" s="664"/>
      <c r="R344" s="309"/>
      <c r="S344" s="309"/>
      <c r="T344" s="309"/>
      <c r="U344" s="309"/>
      <c r="V344" s="309"/>
    </row>
    <row r="345" spans="1:22" ht="15" thickTop="1" thickBot="1" x14ac:dyDescent="0.3">
      <c r="A345" s="307"/>
      <c r="B345" s="663"/>
      <c r="C345" s="308"/>
      <c r="D345" s="308"/>
      <c r="E345" s="664">
        <v>1</v>
      </c>
      <c r="F345" s="678">
        <v>2.8</v>
      </c>
      <c r="G345" s="664">
        <v>0.35</v>
      </c>
      <c r="H345" s="678">
        <v>0.22500000000000001</v>
      </c>
      <c r="I345" s="664">
        <f t="shared" si="98"/>
        <v>0.22049999999999997</v>
      </c>
      <c r="J345" s="664"/>
      <c r="K345" s="682"/>
      <c r="L345" s="682"/>
      <c r="M345" s="673"/>
      <c r="N345" s="683"/>
      <c r="O345" s="664"/>
      <c r="R345" s="309"/>
      <c r="S345" s="309"/>
      <c r="T345" s="309"/>
      <c r="U345" s="309"/>
      <c r="V345" s="309"/>
    </row>
    <row r="346" spans="1:22" ht="15" thickTop="1" thickBot="1" x14ac:dyDescent="0.3">
      <c r="A346" s="307"/>
      <c r="B346" s="663"/>
      <c r="C346" s="308"/>
      <c r="D346" s="308"/>
      <c r="E346" s="664">
        <v>1</v>
      </c>
      <c r="F346" s="678">
        <v>4.5570000000000004</v>
      </c>
      <c r="G346" s="664">
        <v>0.35</v>
      </c>
      <c r="H346" s="678">
        <v>0.22500000000000001</v>
      </c>
      <c r="I346" s="664">
        <f t="shared" si="98"/>
        <v>0.35886375000000004</v>
      </c>
      <c r="J346" s="664"/>
      <c r="K346" s="682"/>
      <c r="L346" s="682"/>
      <c r="M346" s="673"/>
      <c r="N346" s="683"/>
      <c r="O346" s="664"/>
      <c r="R346" s="309"/>
      <c r="S346" s="309"/>
      <c r="T346" s="309"/>
      <c r="U346" s="309"/>
      <c r="V346" s="309"/>
    </row>
    <row r="347" spans="1:22" ht="15" thickTop="1" thickBot="1" x14ac:dyDescent="0.3">
      <c r="A347" s="307"/>
      <c r="B347" s="663"/>
      <c r="C347" s="308"/>
      <c r="D347" s="308"/>
      <c r="E347" s="664">
        <v>2</v>
      </c>
      <c r="F347" s="678">
        <v>1.35</v>
      </c>
      <c r="G347" s="664">
        <v>0.35</v>
      </c>
      <c r="H347" s="678">
        <v>0.22500000000000001</v>
      </c>
      <c r="I347" s="664">
        <f t="shared" si="98"/>
        <v>0.21262500000000001</v>
      </c>
      <c r="J347" s="664"/>
      <c r="K347" s="682"/>
      <c r="L347" s="682"/>
      <c r="M347" s="673"/>
      <c r="N347" s="683"/>
      <c r="O347" s="664"/>
      <c r="R347" s="309"/>
      <c r="S347" s="309"/>
      <c r="T347" s="309"/>
      <c r="U347" s="309"/>
      <c r="V347" s="309"/>
    </row>
    <row r="348" spans="1:22" ht="15" thickTop="1" thickBot="1" x14ac:dyDescent="0.3">
      <c r="A348" s="307"/>
      <c r="B348" s="663"/>
      <c r="C348" s="308"/>
      <c r="D348" s="308"/>
      <c r="E348" s="664">
        <v>2</v>
      </c>
      <c r="F348" s="678">
        <v>1.2649999999999999</v>
      </c>
      <c r="G348" s="664">
        <v>0.35</v>
      </c>
      <c r="H348" s="678">
        <v>0.22500000000000001</v>
      </c>
      <c r="I348" s="664">
        <f t="shared" si="98"/>
        <v>0.19923749999999998</v>
      </c>
      <c r="J348" s="664"/>
      <c r="K348" s="682"/>
      <c r="L348" s="682"/>
      <c r="M348" s="673"/>
      <c r="N348" s="683"/>
      <c r="O348" s="664"/>
      <c r="R348" s="309"/>
      <c r="S348" s="309"/>
      <c r="T348" s="309"/>
      <c r="U348" s="309"/>
      <c r="V348" s="309"/>
    </row>
    <row r="349" spans="1:22" ht="15" thickTop="1" thickBot="1" x14ac:dyDescent="0.3">
      <c r="A349" s="307"/>
      <c r="B349" s="663"/>
      <c r="C349" s="308"/>
      <c r="D349" s="308"/>
      <c r="E349" s="664">
        <v>1</v>
      </c>
      <c r="F349" s="678">
        <v>2.8420000000000001</v>
      </c>
      <c r="G349" s="664">
        <v>0.35</v>
      </c>
      <c r="H349" s="678">
        <v>0.22500000000000001</v>
      </c>
      <c r="I349" s="664">
        <f t="shared" si="98"/>
        <v>0.22380750000000002</v>
      </c>
      <c r="J349" s="664"/>
      <c r="K349" s="682"/>
      <c r="L349" s="682"/>
      <c r="M349" s="673"/>
      <c r="N349" s="683"/>
      <c r="O349" s="664"/>
      <c r="R349" s="309"/>
      <c r="S349" s="309"/>
      <c r="T349" s="309"/>
      <c r="U349" s="309"/>
      <c r="V349" s="309"/>
    </row>
    <row r="350" spans="1:22" ht="15" thickTop="1" thickBot="1" x14ac:dyDescent="0.3">
      <c r="A350" s="307"/>
      <c r="B350" s="663"/>
      <c r="C350" s="308"/>
      <c r="D350" s="308"/>
      <c r="E350" s="664">
        <v>1</v>
      </c>
      <c r="F350" s="678">
        <v>1.4870000000000001</v>
      </c>
      <c r="G350" s="664">
        <v>0.35</v>
      </c>
      <c r="H350" s="678">
        <v>0.22500000000000001</v>
      </c>
      <c r="I350" s="664">
        <f t="shared" si="98"/>
        <v>0.11710125</v>
      </c>
      <c r="J350" s="664"/>
      <c r="K350" s="682"/>
      <c r="L350" s="682"/>
      <c r="M350" s="673"/>
      <c r="N350" s="683"/>
      <c r="O350" s="664"/>
      <c r="R350" s="309"/>
      <c r="S350" s="309"/>
      <c r="T350" s="309"/>
      <c r="U350" s="309"/>
      <c r="V350" s="309"/>
    </row>
    <row r="351" spans="1:22" ht="15" thickTop="1" thickBot="1" x14ac:dyDescent="0.3">
      <c r="A351" s="307"/>
      <c r="B351" s="663"/>
      <c r="C351" s="308"/>
      <c r="D351" s="308"/>
      <c r="E351" s="664"/>
      <c r="F351" s="678"/>
      <c r="G351" s="664"/>
      <c r="H351" s="678"/>
      <c r="I351" s="678"/>
      <c r="J351" s="664"/>
      <c r="K351" s="682"/>
      <c r="L351" s="682"/>
      <c r="M351" s="673"/>
      <c r="N351" s="683"/>
      <c r="O351" s="664"/>
      <c r="R351" s="309"/>
      <c r="S351" s="309"/>
      <c r="T351" s="309"/>
      <c r="U351" s="309"/>
      <c r="V351" s="309"/>
    </row>
    <row r="352" spans="1:22" ht="15" thickTop="1" thickBot="1" x14ac:dyDescent="0.3">
      <c r="A352" s="307"/>
      <c r="B352" s="663"/>
      <c r="C352" s="308"/>
      <c r="D352" s="308"/>
      <c r="E352" s="664"/>
      <c r="F352" s="664"/>
      <c r="G352" s="664"/>
      <c r="H352" s="664"/>
      <c r="I352" s="664"/>
      <c r="J352" s="664"/>
      <c r="K352" s="682"/>
      <c r="L352" s="682"/>
      <c r="M352" s="673"/>
      <c r="N352" s="683"/>
      <c r="O352" s="664"/>
      <c r="R352" s="309"/>
      <c r="S352" s="309"/>
      <c r="T352" s="309"/>
      <c r="U352" s="309"/>
      <c r="V352" s="309"/>
    </row>
    <row r="353" spans="1:22" ht="15" thickTop="1" thickBot="1" x14ac:dyDescent="0.3">
      <c r="A353" s="307"/>
      <c r="B353" s="663"/>
      <c r="C353" s="308"/>
      <c r="D353" s="308" t="s">
        <v>871</v>
      </c>
      <c r="E353" s="664">
        <v>1</v>
      </c>
      <c r="F353" s="664">
        <v>5.15</v>
      </c>
      <c r="G353" s="664">
        <v>0.35</v>
      </c>
      <c r="H353" s="678">
        <v>0.22500000000000001</v>
      </c>
      <c r="I353" s="664">
        <f t="shared" ref="I353:I354" si="99">H353*G353*F353*E353</f>
        <v>0.40556250000000005</v>
      </c>
      <c r="J353" s="664"/>
      <c r="K353" s="682"/>
      <c r="L353" s="682"/>
      <c r="M353" s="673"/>
      <c r="N353" s="683"/>
      <c r="O353" s="664"/>
      <c r="R353" s="309"/>
      <c r="S353" s="309"/>
      <c r="T353" s="309"/>
      <c r="U353" s="309"/>
      <c r="V353" s="309"/>
    </row>
    <row r="354" spans="1:22" ht="15" thickTop="1" thickBot="1" x14ac:dyDescent="0.3">
      <c r="A354" s="307"/>
      <c r="B354" s="663"/>
      <c r="C354" s="308"/>
      <c r="D354" s="308"/>
      <c r="E354" s="664">
        <v>1</v>
      </c>
      <c r="F354" s="664">
        <v>6.05</v>
      </c>
      <c r="G354" s="664">
        <v>0.35</v>
      </c>
      <c r="H354" s="678">
        <v>0.22500000000000001</v>
      </c>
      <c r="I354" s="664">
        <f t="shared" si="99"/>
        <v>0.47643750000000001</v>
      </c>
      <c r="J354" s="664">
        <f>SUM(I336:I354)</f>
        <v>11.573572499999996</v>
      </c>
      <c r="K354" s="679">
        <f>$K$2</f>
        <v>1.05</v>
      </c>
      <c r="L354" s="679">
        <f t="shared" ref="L354" si="100">K354*J354</f>
        <v>12.152251124999996</v>
      </c>
      <c r="M354" s="680">
        <f t="shared" ref="M354" si="101">ROUND(L354,1)</f>
        <v>12.2</v>
      </c>
      <c r="N354" s="681">
        <f t="shared" ref="N354" si="102">ROUNDUP(M354,0)</f>
        <v>13</v>
      </c>
      <c r="O354" s="678" t="s">
        <v>183</v>
      </c>
      <c r="R354" s="309"/>
      <c r="S354" s="309"/>
      <c r="T354" s="309"/>
      <c r="U354" s="309"/>
      <c r="V354" s="309"/>
    </row>
    <row r="355" spans="1:22" ht="15" thickTop="1" thickBot="1" x14ac:dyDescent="0.3">
      <c r="A355" s="307"/>
      <c r="B355" s="663"/>
      <c r="C355" s="308"/>
      <c r="D355" s="308"/>
      <c r="E355" s="664"/>
      <c r="F355" s="664"/>
      <c r="G355" s="664"/>
      <c r="H355" s="678"/>
      <c r="I355" s="664"/>
      <c r="J355" s="664"/>
      <c r="K355" s="679"/>
      <c r="L355" s="679"/>
      <c r="M355" s="680"/>
      <c r="N355" s="681"/>
      <c r="O355" s="678"/>
      <c r="R355" s="309"/>
      <c r="S355" s="309"/>
      <c r="T355" s="309"/>
      <c r="U355" s="309"/>
      <c r="V355" s="309"/>
    </row>
    <row r="356" spans="1:22" ht="15" thickTop="1" thickBot="1" x14ac:dyDescent="0.3">
      <c r="A356" s="307"/>
      <c r="B356" s="663" t="str">
        <f>concrete!B80</f>
        <v>Ground floor concrete(100mm thick)</v>
      </c>
      <c r="C356" s="308"/>
      <c r="D356" s="308"/>
      <c r="E356" s="664">
        <v>1</v>
      </c>
      <c r="F356" s="664">
        <v>235.28749300000001</v>
      </c>
      <c r="G356" s="664"/>
      <c r="H356" s="664">
        <v>0.1</v>
      </c>
      <c r="I356" s="664">
        <f>H356*F356*E356</f>
        <v>23.528749300000001</v>
      </c>
      <c r="J356" s="664">
        <f>SUM(I356)</f>
        <v>23.528749300000001</v>
      </c>
      <c r="K356" s="679">
        <f>$K$2</f>
        <v>1.05</v>
      </c>
      <c r="L356" s="679">
        <f t="shared" ref="L356" si="103">K356*J356</f>
        <v>24.705186765000001</v>
      </c>
      <c r="M356" s="680">
        <f t="shared" ref="M356" si="104">ROUND(L356,1)</f>
        <v>24.7</v>
      </c>
      <c r="N356" s="681">
        <f t="shared" ref="N356" si="105">ROUNDUP(M356,0)</f>
        <v>25</v>
      </c>
      <c r="O356" s="678" t="s">
        <v>183</v>
      </c>
      <c r="R356" s="309"/>
      <c r="S356" s="309"/>
      <c r="T356" s="309"/>
      <c r="U356" s="309"/>
      <c r="V356" s="309"/>
    </row>
    <row r="357" spans="1:22" ht="15" thickTop="1" thickBot="1" x14ac:dyDescent="0.3">
      <c r="A357" s="307"/>
      <c r="B357" s="663"/>
      <c r="C357" s="308"/>
      <c r="D357" s="308"/>
      <c r="E357" s="664"/>
      <c r="F357" s="664"/>
      <c r="G357" s="664"/>
      <c r="H357" s="664"/>
      <c r="I357" s="664"/>
      <c r="J357" s="664"/>
      <c r="K357" s="682"/>
      <c r="L357" s="682"/>
      <c r="M357" s="673"/>
      <c r="N357" s="683"/>
      <c r="O357" s="664"/>
      <c r="R357" s="309"/>
      <c r="S357" s="309"/>
      <c r="T357" s="309"/>
      <c r="U357" s="309"/>
      <c r="V357" s="309"/>
    </row>
    <row r="358" spans="1:22" ht="15" thickTop="1" thickBot="1" x14ac:dyDescent="0.3">
      <c r="A358" s="307"/>
      <c r="B358" s="663"/>
      <c r="C358" s="308"/>
      <c r="D358" s="308"/>
      <c r="E358" s="664"/>
      <c r="F358" s="664"/>
      <c r="G358" s="664"/>
      <c r="H358" s="664"/>
      <c r="I358" s="664"/>
      <c r="J358" s="664"/>
      <c r="K358" s="682"/>
      <c r="L358" s="682"/>
      <c r="M358" s="673"/>
      <c r="N358" s="683"/>
      <c r="O358" s="664"/>
      <c r="R358" s="309"/>
      <c r="S358" s="309"/>
      <c r="T358" s="309"/>
      <c r="U358" s="309"/>
      <c r="V358" s="309"/>
    </row>
    <row r="359" spans="1:22" ht="28.8" thickTop="1" thickBot="1" x14ac:dyDescent="0.3">
      <c r="A359" s="307" t="str">
        <f>concrete!A85</f>
        <v>C4.1</v>
      </c>
      <c r="B359" s="721" t="str">
        <f>concrete!B85</f>
        <v>In column shaft from ground floor level to First floor level</v>
      </c>
      <c r="C359" s="308"/>
      <c r="D359" s="308" t="s">
        <v>810</v>
      </c>
      <c r="E359" s="664">
        <v>1</v>
      </c>
      <c r="F359" s="664">
        <v>0.25</v>
      </c>
      <c r="G359" s="664">
        <v>0.25</v>
      </c>
      <c r="H359" s="664">
        <v>4.05</v>
      </c>
      <c r="I359" s="664">
        <f>H359*G359*F359*E359</f>
        <v>0.25312499999999999</v>
      </c>
      <c r="J359" s="664"/>
      <c r="K359" s="682"/>
      <c r="L359" s="682"/>
      <c r="M359" s="673"/>
      <c r="N359" s="683"/>
      <c r="O359" s="664"/>
      <c r="R359" s="309"/>
      <c r="S359" s="309"/>
      <c r="T359" s="309"/>
      <c r="U359" s="309"/>
      <c r="V359" s="309"/>
    </row>
    <row r="360" spans="1:22" ht="15" thickTop="1" thickBot="1" x14ac:dyDescent="0.3">
      <c r="A360" s="307"/>
      <c r="B360" s="663"/>
      <c r="C360" s="308"/>
      <c r="D360" s="308" t="s">
        <v>811</v>
      </c>
      <c r="E360" s="664">
        <v>1</v>
      </c>
      <c r="F360" s="664">
        <v>0.25</v>
      </c>
      <c r="G360" s="664">
        <v>0.25</v>
      </c>
      <c r="H360" s="664">
        <v>4.05</v>
      </c>
      <c r="I360" s="664">
        <f t="shared" ref="I360:I383" si="106">H360*G360*F360*E360</f>
        <v>0.25312499999999999</v>
      </c>
      <c r="J360" s="664"/>
      <c r="K360" s="682"/>
      <c r="L360" s="682"/>
      <c r="M360" s="673"/>
      <c r="N360" s="683"/>
      <c r="O360" s="664"/>
      <c r="R360" s="309"/>
      <c r="S360" s="309"/>
      <c r="T360" s="309"/>
      <c r="U360" s="309"/>
      <c r="V360" s="309"/>
    </row>
    <row r="361" spans="1:22" ht="15" thickTop="1" thickBot="1" x14ac:dyDescent="0.3">
      <c r="A361" s="307"/>
      <c r="B361" s="308"/>
      <c r="C361" s="308"/>
      <c r="D361" s="308" t="s">
        <v>812</v>
      </c>
      <c r="E361" s="664">
        <v>1</v>
      </c>
      <c r="F361" s="664">
        <v>0.25</v>
      </c>
      <c r="G361" s="664">
        <v>0.25</v>
      </c>
      <c r="H361" s="664">
        <v>4.05</v>
      </c>
      <c r="I361" s="664">
        <f t="shared" si="106"/>
        <v>0.25312499999999999</v>
      </c>
      <c r="J361" s="664"/>
      <c r="K361" s="682"/>
      <c r="L361" s="682"/>
      <c r="M361" s="673"/>
      <c r="N361" s="683"/>
      <c r="O361" s="664"/>
      <c r="R361" s="309"/>
      <c r="S361" s="309"/>
      <c r="T361" s="309"/>
      <c r="U361" s="309"/>
      <c r="V361" s="309"/>
    </row>
    <row r="362" spans="1:22" ht="15" thickTop="1" thickBot="1" x14ac:dyDescent="0.3">
      <c r="A362" s="307"/>
      <c r="B362" s="308"/>
      <c r="C362" s="308"/>
      <c r="D362" s="308" t="s">
        <v>850</v>
      </c>
      <c r="E362" s="664">
        <v>1</v>
      </c>
      <c r="F362" s="664">
        <v>0.25</v>
      </c>
      <c r="G362" s="664">
        <v>0.25</v>
      </c>
      <c r="H362" s="664">
        <v>4.05</v>
      </c>
      <c r="I362" s="664">
        <f t="shared" si="106"/>
        <v>0.25312499999999999</v>
      </c>
      <c r="J362" s="664"/>
      <c r="K362" s="682"/>
      <c r="L362" s="682"/>
      <c r="M362" s="673"/>
      <c r="N362" s="683"/>
      <c r="O362" s="664"/>
      <c r="R362" s="309"/>
      <c r="S362" s="309"/>
      <c r="T362" s="309"/>
      <c r="U362" s="309"/>
      <c r="V362" s="309"/>
    </row>
    <row r="363" spans="1:22" ht="15" thickTop="1" thickBot="1" x14ac:dyDescent="0.3">
      <c r="A363" s="307"/>
      <c r="B363" s="308"/>
      <c r="C363" s="308"/>
      <c r="D363" s="308" t="s">
        <v>851</v>
      </c>
      <c r="E363" s="664">
        <v>1</v>
      </c>
      <c r="F363" s="664">
        <v>0.25</v>
      </c>
      <c r="G363" s="664">
        <v>0.25</v>
      </c>
      <c r="H363" s="664">
        <v>4.05</v>
      </c>
      <c r="I363" s="664">
        <f t="shared" si="106"/>
        <v>0.25312499999999999</v>
      </c>
      <c r="J363" s="664"/>
      <c r="K363" s="682"/>
      <c r="L363" s="682"/>
      <c r="M363" s="673"/>
      <c r="N363" s="683"/>
      <c r="O363" s="664"/>
      <c r="R363" s="309"/>
      <c r="S363" s="309"/>
      <c r="T363" s="309"/>
      <c r="U363" s="309"/>
      <c r="V363" s="309"/>
    </row>
    <row r="364" spans="1:22" ht="15" thickTop="1" thickBot="1" x14ac:dyDescent="0.3">
      <c r="A364" s="307"/>
      <c r="B364" s="308"/>
      <c r="C364" s="308"/>
      <c r="D364" s="308" t="s">
        <v>852</v>
      </c>
      <c r="E364" s="664">
        <v>1</v>
      </c>
      <c r="F364" s="664">
        <v>0.25</v>
      </c>
      <c r="G364" s="664">
        <v>0.25</v>
      </c>
      <c r="H364" s="664">
        <v>4.05</v>
      </c>
      <c r="I364" s="664">
        <f t="shared" si="106"/>
        <v>0.25312499999999999</v>
      </c>
      <c r="J364" s="664"/>
      <c r="K364" s="682"/>
      <c r="L364" s="682"/>
      <c r="M364" s="673"/>
      <c r="N364" s="683"/>
      <c r="O364" s="664"/>
      <c r="R364" s="309"/>
      <c r="S364" s="309"/>
      <c r="T364" s="309"/>
      <c r="U364" s="309"/>
      <c r="V364" s="309"/>
    </row>
    <row r="365" spans="1:22" ht="15" thickTop="1" thickBot="1" x14ac:dyDescent="0.3">
      <c r="A365" s="307"/>
      <c r="B365" s="308"/>
      <c r="C365" s="308"/>
      <c r="D365" s="308" t="s">
        <v>853</v>
      </c>
      <c r="E365" s="664">
        <v>1</v>
      </c>
      <c r="F365" s="664">
        <v>0.25</v>
      </c>
      <c r="G365" s="664">
        <v>0.25</v>
      </c>
      <c r="H365" s="664">
        <v>4.05</v>
      </c>
      <c r="I365" s="664">
        <f t="shared" si="106"/>
        <v>0.25312499999999999</v>
      </c>
      <c r="J365" s="664"/>
      <c r="K365" s="682"/>
      <c r="L365" s="682"/>
      <c r="M365" s="673"/>
      <c r="N365" s="683"/>
      <c r="O365" s="664"/>
      <c r="R365" s="309"/>
      <c r="S365" s="309"/>
      <c r="T365" s="309"/>
      <c r="U365" s="309"/>
      <c r="V365" s="309"/>
    </row>
    <row r="366" spans="1:22" ht="15" thickTop="1" thickBot="1" x14ac:dyDescent="0.3">
      <c r="A366" s="307"/>
      <c r="B366" s="308"/>
      <c r="C366" s="308"/>
      <c r="D366" s="308" t="s">
        <v>854</v>
      </c>
      <c r="E366" s="664">
        <v>1</v>
      </c>
      <c r="F366" s="664">
        <v>0.25</v>
      </c>
      <c r="G366" s="664">
        <v>0.25</v>
      </c>
      <c r="H366" s="664">
        <v>4.05</v>
      </c>
      <c r="I366" s="664">
        <f t="shared" si="106"/>
        <v>0.25312499999999999</v>
      </c>
      <c r="J366" s="664"/>
      <c r="K366" s="682"/>
      <c r="L366" s="682"/>
      <c r="M366" s="673"/>
      <c r="N366" s="683"/>
      <c r="O366" s="664"/>
      <c r="R366" s="309"/>
      <c r="S366" s="309"/>
      <c r="T366" s="309"/>
      <c r="U366" s="309"/>
      <c r="V366" s="309"/>
    </row>
    <row r="367" spans="1:22" ht="15" thickTop="1" thickBot="1" x14ac:dyDescent="0.3">
      <c r="A367" s="307"/>
      <c r="B367" s="308"/>
      <c r="C367" s="308"/>
      <c r="D367" s="308" t="s">
        <v>855</v>
      </c>
      <c r="E367" s="664">
        <v>1</v>
      </c>
      <c r="F367" s="664">
        <v>0.25</v>
      </c>
      <c r="G367" s="664">
        <v>0.25</v>
      </c>
      <c r="H367" s="664">
        <v>4.05</v>
      </c>
      <c r="I367" s="664">
        <f t="shared" si="106"/>
        <v>0.25312499999999999</v>
      </c>
      <c r="J367" s="664"/>
      <c r="K367" s="682"/>
      <c r="L367" s="682"/>
      <c r="M367" s="673"/>
      <c r="N367" s="683"/>
      <c r="O367" s="664"/>
      <c r="R367" s="309"/>
      <c r="S367" s="309"/>
      <c r="T367" s="309"/>
      <c r="U367" s="309"/>
      <c r="V367" s="309"/>
    </row>
    <row r="368" spans="1:22" ht="15" thickTop="1" thickBot="1" x14ac:dyDescent="0.3">
      <c r="A368" s="307"/>
      <c r="B368" s="308"/>
      <c r="C368" s="308"/>
      <c r="D368" s="308" t="s">
        <v>856</v>
      </c>
      <c r="E368" s="664">
        <v>1</v>
      </c>
      <c r="F368" s="664">
        <v>0.25</v>
      </c>
      <c r="G368" s="664">
        <v>0.25</v>
      </c>
      <c r="H368" s="664">
        <v>4.05</v>
      </c>
      <c r="I368" s="664">
        <f t="shared" si="106"/>
        <v>0.25312499999999999</v>
      </c>
      <c r="J368" s="664"/>
      <c r="K368" s="682"/>
      <c r="L368" s="682"/>
      <c r="M368" s="673"/>
      <c r="N368" s="683"/>
      <c r="O368" s="664"/>
      <c r="R368" s="309"/>
      <c r="S368" s="309"/>
      <c r="T368" s="309"/>
      <c r="U368" s="309"/>
      <c r="V368" s="309"/>
    </row>
    <row r="369" spans="1:22" ht="15" thickTop="1" thickBot="1" x14ac:dyDescent="0.3">
      <c r="A369" s="307"/>
      <c r="B369" s="308"/>
      <c r="C369" s="308"/>
      <c r="D369" s="308" t="s">
        <v>857</v>
      </c>
      <c r="E369" s="664">
        <v>1</v>
      </c>
      <c r="F369" s="664">
        <v>0.25</v>
      </c>
      <c r="G369" s="664">
        <v>0.25</v>
      </c>
      <c r="H369" s="664">
        <v>4.05</v>
      </c>
      <c r="I369" s="664">
        <f t="shared" si="106"/>
        <v>0.25312499999999999</v>
      </c>
      <c r="J369" s="664"/>
      <c r="K369" s="682"/>
      <c r="L369" s="682"/>
      <c r="M369" s="673"/>
      <c r="N369" s="683"/>
      <c r="O369" s="664"/>
      <c r="R369" s="309"/>
      <c r="S369" s="309"/>
      <c r="T369" s="309"/>
      <c r="U369" s="309"/>
      <c r="V369" s="309"/>
    </row>
    <row r="370" spans="1:22" ht="15" thickTop="1" thickBot="1" x14ac:dyDescent="0.3">
      <c r="A370" s="307"/>
      <c r="B370" s="308"/>
      <c r="C370" s="308"/>
      <c r="D370" s="308" t="s">
        <v>858</v>
      </c>
      <c r="E370" s="664">
        <v>1</v>
      </c>
      <c r="F370" s="664">
        <v>0.25</v>
      </c>
      <c r="G370" s="664">
        <v>0.25</v>
      </c>
      <c r="H370" s="664">
        <v>4.05</v>
      </c>
      <c r="I370" s="664">
        <f t="shared" si="106"/>
        <v>0.25312499999999999</v>
      </c>
      <c r="J370" s="664"/>
      <c r="K370" s="682"/>
      <c r="L370" s="682"/>
      <c r="M370" s="673"/>
      <c r="N370" s="683"/>
      <c r="O370" s="664"/>
      <c r="R370" s="309"/>
      <c r="S370" s="309"/>
      <c r="T370" s="309"/>
      <c r="U370" s="309"/>
      <c r="V370" s="309"/>
    </row>
    <row r="371" spans="1:22" ht="15" thickTop="1" thickBot="1" x14ac:dyDescent="0.3">
      <c r="A371" s="307"/>
      <c r="B371" s="308"/>
      <c r="C371" s="308"/>
      <c r="D371" s="308" t="s">
        <v>859</v>
      </c>
      <c r="E371" s="664">
        <v>1</v>
      </c>
      <c r="F371" s="664">
        <v>0.25</v>
      </c>
      <c r="G371" s="664">
        <v>0.25</v>
      </c>
      <c r="H371" s="664">
        <v>4.05</v>
      </c>
      <c r="I371" s="664">
        <f t="shared" si="106"/>
        <v>0.25312499999999999</v>
      </c>
      <c r="J371" s="664"/>
      <c r="K371" s="682"/>
      <c r="L371" s="682"/>
      <c r="M371" s="673"/>
      <c r="N371" s="683"/>
      <c r="O371" s="664"/>
      <c r="R371" s="309"/>
      <c r="S371" s="309"/>
      <c r="T371" s="309"/>
      <c r="U371" s="309"/>
      <c r="V371" s="309"/>
    </row>
    <row r="372" spans="1:22" ht="15" thickTop="1" thickBot="1" x14ac:dyDescent="0.3">
      <c r="A372" s="307"/>
      <c r="B372" s="308"/>
      <c r="C372" s="308"/>
      <c r="D372" s="308" t="s">
        <v>860</v>
      </c>
      <c r="E372" s="664">
        <v>1</v>
      </c>
      <c r="F372" s="664">
        <v>0.25</v>
      </c>
      <c r="G372" s="664">
        <v>0.25</v>
      </c>
      <c r="H372" s="664">
        <v>4.05</v>
      </c>
      <c r="I372" s="664">
        <f t="shared" si="106"/>
        <v>0.25312499999999999</v>
      </c>
      <c r="J372" s="664"/>
      <c r="K372" s="682"/>
      <c r="L372" s="682"/>
      <c r="M372" s="673"/>
      <c r="N372" s="683"/>
      <c r="O372" s="664"/>
      <c r="R372" s="309"/>
      <c r="S372" s="309"/>
      <c r="T372" s="309"/>
      <c r="U372" s="309"/>
      <c r="V372" s="309"/>
    </row>
    <row r="373" spans="1:22" ht="15" thickTop="1" thickBot="1" x14ac:dyDescent="0.3">
      <c r="A373" s="307"/>
      <c r="B373" s="308"/>
      <c r="C373" s="308"/>
      <c r="D373" s="308" t="s">
        <v>861</v>
      </c>
      <c r="E373" s="664">
        <v>1</v>
      </c>
      <c r="F373" s="664">
        <v>0.25</v>
      </c>
      <c r="G373" s="664">
        <v>0.25</v>
      </c>
      <c r="H373" s="664">
        <v>4.05</v>
      </c>
      <c r="I373" s="664">
        <f t="shared" si="106"/>
        <v>0.25312499999999999</v>
      </c>
      <c r="J373" s="664"/>
      <c r="K373" s="682"/>
      <c r="L373" s="682"/>
      <c r="M373" s="673"/>
      <c r="N373" s="683"/>
      <c r="O373" s="664"/>
      <c r="R373" s="309"/>
      <c r="S373" s="309"/>
      <c r="T373" s="309"/>
      <c r="U373" s="309"/>
      <c r="V373" s="309"/>
    </row>
    <row r="374" spans="1:22" ht="15" thickTop="1" thickBot="1" x14ac:dyDescent="0.3">
      <c r="A374" s="307"/>
      <c r="B374" s="308"/>
      <c r="C374" s="308"/>
      <c r="D374" s="308" t="s">
        <v>862</v>
      </c>
      <c r="E374" s="664">
        <v>1</v>
      </c>
      <c r="F374" s="664">
        <v>0.25</v>
      </c>
      <c r="G374" s="664">
        <v>0.25</v>
      </c>
      <c r="H374" s="664">
        <v>4.05</v>
      </c>
      <c r="I374" s="664">
        <f t="shared" si="106"/>
        <v>0.25312499999999999</v>
      </c>
      <c r="J374" s="664"/>
      <c r="K374" s="682"/>
      <c r="L374" s="682"/>
      <c r="M374" s="673"/>
      <c r="N374" s="683"/>
      <c r="O374" s="664"/>
      <c r="R374" s="309"/>
      <c r="S374" s="309"/>
      <c r="T374" s="309"/>
      <c r="U374" s="309"/>
      <c r="V374" s="309"/>
    </row>
    <row r="375" spans="1:22" ht="15" thickTop="1" thickBot="1" x14ac:dyDescent="0.3">
      <c r="A375" s="307"/>
      <c r="B375" s="308"/>
      <c r="C375" s="308"/>
      <c r="D375" s="308" t="s">
        <v>863</v>
      </c>
      <c r="E375" s="664">
        <v>1</v>
      </c>
      <c r="F375" s="664">
        <v>0.25</v>
      </c>
      <c r="G375" s="664">
        <v>0.25</v>
      </c>
      <c r="H375" s="664">
        <v>4.05</v>
      </c>
      <c r="I375" s="664">
        <f t="shared" si="106"/>
        <v>0.25312499999999999</v>
      </c>
      <c r="J375" s="664"/>
      <c r="K375" s="682"/>
      <c r="L375" s="682"/>
      <c r="M375" s="673"/>
      <c r="N375" s="683"/>
      <c r="O375" s="664"/>
      <c r="R375" s="309"/>
      <c r="S375" s="309"/>
      <c r="T375" s="309"/>
      <c r="U375" s="309"/>
      <c r="V375" s="309"/>
    </row>
    <row r="376" spans="1:22" ht="15" thickTop="1" thickBot="1" x14ac:dyDescent="0.3">
      <c r="A376" s="307"/>
      <c r="B376" s="308"/>
      <c r="C376" s="308"/>
      <c r="D376" s="308" t="s">
        <v>864</v>
      </c>
      <c r="E376" s="664">
        <v>1</v>
      </c>
      <c r="F376" s="664">
        <v>0.25</v>
      </c>
      <c r="G376" s="664">
        <v>0.25</v>
      </c>
      <c r="H376" s="664">
        <v>4.05</v>
      </c>
      <c r="I376" s="664">
        <f t="shared" si="106"/>
        <v>0.25312499999999999</v>
      </c>
      <c r="J376" s="664"/>
      <c r="K376" s="682"/>
      <c r="L376" s="682"/>
      <c r="M376" s="673"/>
      <c r="N376" s="683"/>
      <c r="O376" s="664"/>
      <c r="R376" s="309"/>
      <c r="S376" s="309"/>
      <c r="T376" s="309"/>
      <c r="U376" s="309"/>
      <c r="V376" s="309"/>
    </row>
    <row r="377" spans="1:22" ht="15" thickTop="1" thickBot="1" x14ac:dyDescent="0.3">
      <c r="A377" s="307"/>
      <c r="B377" s="308"/>
      <c r="C377" s="308"/>
      <c r="D377" s="308" t="s">
        <v>865</v>
      </c>
      <c r="E377" s="664">
        <v>1</v>
      </c>
      <c r="F377" s="664">
        <v>0.25</v>
      </c>
      <c r="G377" s="664">
        <v>0.25</v>
      </c>
      <c r="H377" s="664">
        <v>4.05</v>
      </c>
      <c r="I377" s="664">
        <f t="shared" si="106"/>
        <v>0.25312499999999999</v>
      </c>
      <c r="J377" s="664"/>
      <c r="K377" s="682"/>
      <c r="L377" s="682"/>
      <c r="M377" s="673"/>
      <c r="N377" s="683"/>
      <c r="O377" s="664"/>
      <c r="R377" s="309"/>
      <c r="S377" s="309"/>
      <c r="T377" s="309"/>
      <c r="U377" s="309"/>
      <c r="V377" s="309"/>
    </row>
    <row r="378" spans="1:22" ht="15" thickTop="1" thickBot="1" x14ac:dyDescent="0.3">
      <c r="A378" s="307"/>
      <c r="B378" s="308"/>
      <c r="C378" s="308"/>
      <c r="D378" s="308" t="s">
        <v>866</v>
      </c>
      <c r="E378" s="664">
        <v>1</v>
      </c>
      <c r="F378" s="664">
        <v>0.25</v>
      </c>
      <c r="G378" s="664">
        <v>0.25</v>
      </c>
      <c r="H378" s="664">
        <v>4.05</v>
      </c>
      <c r="I378" s="664">
        <f t="shared" si="106"/>
        <v>0.25312499999999999</v>
      </c>
      <c r="J378" s="664"/>
      <c r="K378" s="682"/>
      <c r="L378" s="682"/>
      <c r="M378" s="673"/>
      <c r="N378" s="683"/>
      <c r="O378" s="664"/>
      <c r="R378" s="309"/>
      <c r="S378" s="309"/>
      <c r="T378" s="309"/>
      <c r="U378" s="309"/>
      <c r="V378" s="309"/>
    </row>
    <row r="379" spans="1:22" ht="15" thickTop="1" thickBot="1" x14ac:dyDescent="0.3">
      <c r="A379" s="307"/>
      <c r="B379" s="308"/>
      <c r="C379" s="308"/>
      <c r="D379" s="308" t="s">
        <v>867</v>
      </c>
      <c r="E379" s="664">
        <v>1</v>
      </c>
      <c r="F379" s="664">
        <v>0.25</v>
      </c>
      <c r="G379" s="664">
        <v>0.25</v>
      </c>
      <c r="H379" s="664">
        <v>4.05</v>
      </c>
      <c r="I379" s="664">
        <f t="shared" si="106"/>
        <v>0.25312499999999999</v>
      </c>
      <c r="J379" s="664"/>
      <c r="K379" s="682"/>
      <c r="L379" s="682"/>
      <c r="M379" s="673"/>
      <c r="N379" s="683"/>
      <c r="O379" s="664"/>
      <c r="R379" s="309"/>
      <c r="S379" s="309"/>
      <c r="T379" s="309"/>
      <c r="U379" s="309"/>
      <c r="V379" s="309"/>
    </row>
    <row r="380" spans="1:22" ht="15" thickTop="1" thickBot="1" x14ac:dyDescent="0.3">
      <c r="A380" s="307"/>
      <c r="B380" s="308"/>
      <c r="C380" s="308"/>
      <c r="D380" s="308" t="s">
        <v>868</v>
      </c>
      <c r="E380" s="664">
        <v>1</v>
      </c>
      <c r="F380" s="664">
        <v>0.25</v>
      </c>
      <c r="G380" s="664">
        <v>0.25</v>
      </c>
      <c r="H380" s="664">
        <v>4.05</v>
      </c>
      <c r="I380" s="664">
        <f t="shared" si="106"/>
        <v>0.25312499999999999</v>
      </c>
      <c r="J380" s="664"/>
      <c r="K380" s="682"/>
      <c r="L380" s="682"/>
      <c r="M380" s="673"/>
      <c r="N380" s="683"/>
      <c r="O380" s="664"/>
      <c r="R380" s="309"/>
      <c r="S380" s="309"/>
      <c r="T380" s="309"/>
      <c r="U380" s="309"/>
      <c r="V380" s="309"/>
    </row>
    <row r="381" spans="1:22" ht="15" thickTop="1" thickBot="1" x14ac:dyDescent="0.3">
      <c r="A381" s="307"/>
      <c r="B381" s="308"/>
      <c r="C381" s="308"/>
      <c r="D381" s="308" t="s">
        <v>869</v>
      </c>
      <c r="E381" s="664">
        <v>1</v>
      </c>
      <c r="F381" s="664">
        <v>0.25</v>
      </c>
      <c r="G381" s="664">
        <v>0.25</v>
      </c>
      <c r="H381" s="664">
        <v>4.05</v>
      </c>
      <c r="I381" s="664">
        <f t="shared" si="106"/>
        <v>0.25312499999999999</v>
      </c>
      <c r="J381" s="664">
        <f>SUM(I359:I381)</f>
        <v>5.8218749999999977</v>
      </c>
      <c r="K381" s="679">
        <f>$K$2</f>
        <v>1.05</v>
      </c>
      <c r="L381" s="679">
        <f t="shared" ref="L381" si="107">K381*J381</f>
        <v>6.1129687499999976</v>
      </c>
      <c r="M381" s="680">
        <f t="shared" ref="M381" si="108">ROUND(L381,1)</f>
        <v>6.1</v>
      </c>
      <c r="N381" s="681">
        <f t="shared" ref="N381" si="109">ROUNDUP(M381,0)</f>
        <v>7</v>
      </c>
      <c r="O381" s="678" t="s">
        <v>872</v>
      </c>
      <c r="R381" s="309"/>
      <c r="S381" s="309"/>
      <c r="T381" s="309"/>
      <c r="U381" s="309"/>
      <c r="V381" s="309"/>
    </row>
    <row r="382" spans="1:22" ht="14.4" thickTop="1" x14ac:dyDescent="0.25">
      <c r="A382" s="307"/>
      <c r="B382" s="308"/>
      <c r="C382" s="308"/>
      <c r="D382" s="308"/>
      <c r="E382" s="664"/>
      <c r="F382" s="664"/>
      <c r="G382" s="664"/>
      <c r="H382" s="664"/>
      <c r="I382" s="664"/>
      <c r="J382" s="678"/>
      <c r="K382" s="678"/>
      <c r="L382" s="678"/>
      <c r="M382" s="678"/>
      <c r="N382" s="678"/>
      <c r="O382" s="664"/>
      <c r="R382" s="309"/>
      <c r="S382" s="309"/>
      <c r="T382" s="309"/>
      <c r="U382" s="309"/>
      <c r="V382" s="309"/>
    </row>
    <row r="383" spans="1:22" ht="28.2" thickBot="1" x14ac:dyDescent="0.3">
      <c r="A383" s="307" t="str">
        <f>concrete!A87</f>
        <v>C4.2</v>
      </c>
      <c r="B383" s="721" t="str">
        <f>concrete!B87</f>
        <v>In column shaft from First floor level to Second floor level</v>
      </c>
      <c r="C383" s="308"/>
      <c r="D383" s="308"/>
      <c r="E383" s="664">
        <v>24</v>
      </c>
      <c r="F383" s="664">
        <v>0.25</v>
      </c>
      <c r="G383" s="664">
        <v>0.25</v>
      </c>
      <c r="H383" s="664">
        <v>3.45</v>
      </c>
      <c r="I383" s="664">
        <f t="shared" si="106"/>
        <v>5.1750000000000007</v>
      </c>
      <c r="J383" s="664">
        <f>SUM(I383)</f>
        <v>5.1750000000000007</v>
      </c>
      <c r="K383" s="679">
        <f>$K$2</f>
        <v>1.05</v>
      </c>
      <c r="L383" s="679">
        <f t="shared" ref="L383" si="110">K383*J383</f>
        <v>5.4337500000000007</v>
      </c>
      <c r="M383" s="680">
        <f t="shared" ref="M383" si="111">ROUND(L383,1)</f>
        <v>5.4</v>
      </c>
      <c r="N383" s="681">
        <f t="shared" ref="N383" si="112">ROUNDUP(M383,0)</f>
        <v>6</v>
      </c>
      <c r="O383" s="664" t="s">
        <v>872</v>
      </c>
      <c r="R383" s="309"/>
      <c r="S383" s="309"/>
      <c r="T383" s="309"/>
      <c r="U383" s="309"/>
      <c r="V383" s="309"/>
    </row>
    <row r="384" spans="1:22" ht="15" thickTop="1" thickBot="1" x14ac:dyDescent="0.3">
      <c r="A384" s="307"/>
      <c r="B384" s="663"/>
      <c r="C384" s="308"/>
      <c r="D384" s="308"/>
      <c r="E384" s="664"/>
      <c r="F384" s="664"/>
      <c r="G384" s="664"/>
      <c r="H384" s="664"/>
      <c r="I384" s="664"/>
      <c r="J384" s="664"/>
      <c r="K384" s="682"/>
      <c r="L384" s="682"/>
      <c r="M384" s="673"/>
      <c r="N384" s="683"/>
      <c r="O384" s="664"/>
      <c r="R384" s="309"/>
      <c r="S384" s="309"/>
      <c r="T384" s="309"/>
      <c r="U384" s="309"/>
      <c r="V384" s="309"/>
    </row>
    <row r="385" spans="1:22" ht="28.8" thickTop="1" thickBot="1" x14ac:dyDescent="0.3">
      <c r="A385" s="307" t="str">
        <f>concrete!A89</f>
        <v>C4.3</v>
      </c>
      <c r="B385" s="721" t="str">
        <f>concrete!B89</f>
        <v>In column shaft from Second floor level to Roof floor level</v>
      </c>
      <c r="C385" s="308"/>
      <c r="D385" s="308"/>
      <c r="E385" s="664">
        <v>12</v>
      </c>
      <c r="F385" s="664">
        <v>0.25</v>
      </c>
      <c r="G385" s="664">
        <v>0.25</v>
      </c>
      <c r="H385" s="664">
        <v>3.45</v>
      </c>
      <c r="I385" s="664">
        <f t="shared" ref="I385" si="113">H385*G385*F385*E385</f>
        <v>2.5875000000000004</v>
      </c>
      <c r="J385" s="664">
        <f>SUM(I385)</f>
        <v>2.5875000000000004</v>
      </c>
      <c r="K385" s="679">
        <f>$K$2</f>
        <v>1.05</v>
      </c>
      <c r="L385" s="679">
        <f t="shared" ref="L385" si="114">K385*J385</f>
        <v>2.7168750000000004</v>
      </c>
      <c r="M385" s="680">
        <f t="shared" ref="M385" si="115">ROUND(L385,1)</f>
        <v>2.7</v>
      </c>
      <c r="N385" s="681">
        <f t="shared" ref="N385" si="116">ROUNDUP(M385,0)</f>
        <v>3</v>
      </c>
      <c r="O385" s="664" t="s">
        <v>872</v>
      </c>
      <c r="R385" s="309"/>
      <c r="S385" s="309"/>
      <c r="T385" s="309"/>
      <c r="U385" s="309"/>
      <c r="V385" s="309"/>
    </row>
    <row r="386" spans="1:22" ht="15" thickTop="1" thickBot="1" x14ac:dyDescent="0.3">
      <c r="A386" s="307"/>
      <c r="B386" s="663"/>
      <c r="C386" s="308"/>
      <c r="D386" s="308"/>
      <c r="E386" s="664"/>
      <c r="F386" s="664"/>
      <c r="G386" s="664"/>
      <c r="H386" s="664"/>
      <c r="I386" s="664"/>
      <c r="J386" s="664"/>
      <c r="K386" s="682"/>
      <c r="L386" s="682"/>
      <c r="M386" s="673"/>
      <c r="N386" s="683"/>
      <c r="O386" s="664"/>
      <c r="R386" s="309"/>
      <c r="S386" s="309"/>
      <c r="T386" s="309"/>
      <c r="U386" s="309"/>
      <c r="V386" s="309"/>
    </row>
    <row r="387" spans="1:22" ht="15" thickTop="1" thickBot="1" x14ac:dyDescent="0.3">
      <c r="A387" s="307"/>
      <c r="B387" s="663" t="str">
        <f>concrete!B108</f>
        <v>In Reinforced beam at First floor level</v>
      </c>
      <c r="C387" s="308"/>
      <c r="D387" s="308" t="s">
        <v>874</v>
      </c>
      <c r="E387" s="664">
        <v>1</v>
      </c>
      <c r="F387" s="664">
        <v>2.556</v>
      </c>
      <c r="G387" s="664">
        <v>0.22500000000000001</v>
      </c>
      <c r="H387" s="664">
        <v>0.3</v>
      </c>
      <c r="I387" s="664">
        <f t="shared" ref="I387:I450" si="117">H387*G387*F387*E387</f>
        <v>0.17253000000000002</v>
      </c>
      <c r="J387" s="664"/>
      <c r="K387" s="682"/>
      <c r="L387" s="682"/>
      <c r="M387" s="673"/>
      <c r="N387" s="683"/>
      <c r="O387" s="664"/>
      <c r="R387" s="309"/>
      <c r="S387" s="309"/>
      <c r="T387" s="309"/>
      <c r="U387" s="309"/>
      <c r="V387" s="309"/>
    </row>
    <row r="388" spans="1:22" ht="15" thickTop="1" thickBot="1" x14ac:dyDescent="0.3">
      <c r="A388" s="307"/>
      <c r="B388" s="308"/>
      <c r="C388" s="308"/>
      <c r="D388" s="308" t="s">
        <v>875</v>
      </c>
      <c r="E388" s="664">
        <v>1</v>
      </c>
      <c r="F388" s="664">
        <v>4.9349999999999996</v>
      </c>
      <c r="G388" s="664">
        <v>0.22500000000000001</v>
      </c>
      <c r="H388" s="664">
        <v>0.45</v>
      </c>
      <c r="I388" s="664">
        <f t="shared" si="117"/>
        <v>0.49966874999999999</v>
      </c>
      <c r="J388" s="664"/>
      <c r="K388" s="682"/>
      <c r="L388" s="682"/>
      <c r="M388" s="673"/>
      <c r="N388" s="683"/>
      <c r="O388" s="664"/>
      <c r="R388" s="309"/>
      <c r="S388" s="309"/>
      <c r="T388" s="309"/>
      <c r="U388" s="309"/>
      <c r="V388" s="309"/>
    </row>
    <row r="389" spans="1:22" ht="15" thickTop="1" thickBot="1" x14ac:dyDescent="0.3">
      <c r="A389" s="307"/>
      <c r="B389" s="308"/>
      <c r="C389" s="308"/>
      <c r="D389" s="308" t="s">
        <v>876</v>
      </c>
      <c r="E389" s="664">
        <v>1</v>
      </c>
      <c r="F389" s="664">
        <v>6.05</v>
      </c>
      <c r="G389" s="664">
        <v>0.22500000000000001</v>
      </c>
      <c r="H389" s="664">
        <v>0.6</v>
      </c>
      <c r="I389" s="664">
        <f t="shared" si="117"/>
        <v>0.81674999999999998</v>
      </c>
      <c r="J389" s="664"/>
      <c r="K389" s="682"/>
      <c r="L389" s="682"/>
      <c r="M389" s="673"/>
      <c r="N389" s="683"/>
      <c r="O389" s="664"/>
      <c r="R389" s="309"/>
      <c r="S389" s="309"/>
      <c r="T389" s="309"/>
      <c r="U389" s="309"/>
      <c r="V389" s="309"/>
    </row>
    <row r="390" spans="1:22" ht="15" thickTop="1" thickBot="1" x14ac:dyDescent="0.3">
      <c r="A390" s="307"/>
      <c r="B390" s="308"/>
      <c r="C390" s="308"/>
      <c r="D390" s="308" t="s">
        <v>877</v>
      </c>
      <c r="E390" s="664">
        <v>1</v>
      </c>
      <c r="F390" s="664">
        <v>6.52</v>
      </c>
      <c r="G390" s="664">
        <v>0.22500000000000001</v>
      </c>
      <c r="H390" s="664">
        <v>0.5</v>
      </c>
      <c r="I390" s="664">
        <f t="shared" si="117"/>
        <v>0.73349999999999993</v>
      </c>
      <c r="J390" s="664"/>
      <c r="K390" s="682"/>
      <c r="L390" s="682"/>
      <c r="M390" s="673"/>
      <c r="N390" s="683"/>
      <c r="O390" s="664"/>
      <c r="R390" s="309"/>
      <c r="S390" s="309"/>
      <c r="T390" s="309"/>
      <c r="U390" s="309"/>
      <c r="V390" s="309"/>
    </row>
    <row r="391" spans="1:22" ht="15" thickTop="1" thickBot="1" x14ac:dyDescent="0.3">
      <c r="A391" s="307"/>
      <c r="B391" s="308"/>
      <c r="C391" s="308"/>
      <c r="D391" s="308" t="s">
        <v>878</v>
      </c>
      <c r="E391" s="664">
        <v>1</v>
      </c>
      <c r="F391" s="664">
        <v>2.4</v>
      </c>
      <c r="G391" s="664">
        <v>0.22500000000000001</v>
      </c>
      <c r="H391" s="664">
        <v>0.3</v>
      </c>
      <c r="I391" s="664">
        <f t="shared" si="117"/>
        <v>0.16200000000000001</v>
      </c>
      <c r="J391" s="664"/>
      <c r="K391" s="682"/>
      <c r="L391" s="682"/>
      <c r="M391" s="673"/>
      <c r="N391" s="683"/>
      <c r="O391" s="664"/>
      <c r="R391" s="309"/>
      <c r="S391" s="309"/>
      <c r="T391" s="309"/>
      <c r="U391" s="309"/>
      <c r="V391" s="309"/>
    </row>
    <row r="392" spans="1:22" ht="15" thickTop="1" thickBot="1" x14ac:dyDescent="0.3">
      <c r="A392" s="307"/>
      <c r="B392" s="308"/>
      <c r="C392" s="308"/>
      <c r="D392" s="308" t="s">
        <v>879</v>
      </c>
      <c r="E392" s="664">
        <v>1</v>
      </c>
      <c r="F392" s="664">
        <v>4.95</v>
      </c>
      <c r="G392" s="664">
        <v>0.22500000000000001</v>
      </c>
      <c r="H392" s="664">
        <v>0.45</v>
      </c>
      <c r="I392" s="664">
        <f t="shared" si="117"/>
        <v>0.50118750000000001</v>
      </c>
      <c r="J392" s="664"/>
      <c r="K392" s="682"/>
      <c r="L392" s="682"/>
      <c r="M392" s="673"/>
      <c r="N392" s="683"/>
      <c r="O392" s="664"/>
      <c r="R392" s="309"/>
      <c r="S392" s="309"/>
      <c r="T392" s="309"/>
      <c r="U392" s="309"/>
      <c r="V392" s="309"/>
    </row>
    <row r="393" spans="1:22" ht="15" thickTop="1" thickBot="1" x14ac:dyDescent="0.3">
      <c r="A393" s="307"/>
      <c r="B393" s="308"/>
      <c r="C393" s="308"/>
      <c r="D393" s="308" t="s">
        <v>880</v>
      </c>
      <c r="E393" s="664">
        <v>1</v>
      </c>
      <c r="F393" s="664">
        <v>5.15</v>
      </c>
      <c r="G393" s="664">
        <v>0.22500000000000001</v>
      </c>
      <c r="H393" s="664">
        <v>0.5</v>
      </c>
      <c r="I393" s="664">
        <f t="shared" si="117"/>
        <v>0.57937500000000008</v>
      </c>
      <c r="J393" s="664"/>
      <c r="K393" s="682"/>
      <c r="L393" s="682"/>
      <c r="M393" s="673"/>
      <c r="N393" s="683"/>
      <c r="O393" s="664"/>
      <c r="R393" s="309"/>
      <c r="S393" s="309"/>
      <c r="T393" s="309"/>
      <c r="U393" s="309"/>
      <c r="V393" s="309"/>
    </row>
    <row r="394" spans="1:22" ht="15" thickTop="1" thickBot="1" x14ac:dyDescent="0.3">
      <c r="A394" s="307"/>
      <c r="B394" s="308"/>
      <c r="C394" s="308"/>
      <c r="D394" s="308" t="s">
        <v>881</v>
      </c>
      <c r="E394" s="664">
        <v>1</v>
      </c>
      <c r="F394" s="664">
        <v>6.05</v>
      </c>
      <c r="G394" s="664">
        <v>0.22500000000000001</v>
      </c>
      <c r="H394" s="664">
        <v>0.6</v>
      </c>
      <c r="I394" s="664">
        <f t="shared" si="117"/>
        <v>0.81674999999999998</v>
      </c>
      <c r="J394" s="664"/>
      <c r="K394" s="682"/>
      <c r="L394" s="682"/>
      <c r="M394" s="673"/>
      <c r="N394" s="683"/>
      <c r="O394" s="664"/>
      <c r="R394" s="309"/>
      <c r="S394" s="309"/>
      <c r="T394" s="309"/>
      <c r="U394" s="309"/>
      <c r="V394" s="309"/>
    </row>
    <row r="395" spans="1:22" ht="15" thickTop="1" thickBot="1" x14ac:dyDescent="0.3">
      <c r="A395" s="307"/>
      <c r="B395" s="308"/>
      <c r="C395" s="308"/>
      <c r="D395" s="308" t="s">
        <v>882</v>
      </c>
      <c r="E395" s="664">
        <v>1</v>
      </c>
      <c r="F395" s="664">
        <v>4.95</v>
      </c>
      <c r="G395" s="664">
        <v>0.22500000000000001</v>
      </c>
      <c r="H395" s="664">
        <v>0.45</v>
      </c>
      <c r="I395" s="664">
        <f t="shared" si="117"/>
        <v>0.50118750000000001</v>
      </c>
      <c r="J395" s="664"/>
      <c r="K395" s="682"/>
      <c r="L395" s="682"/>
      <c r="M395" s="673"/>
      <c r="N395" s="683"/>
      <c r="O395" s="664"/>
      <c r="R395" s="309"/>
      <c r="S395" s="309"/>
      <c r="T395" s="309"/>
      <c r="U395" s="309"/>
      <c r="V395" s="309"/>
    </row>
    <row r="396" spans="1:22" ht="15" thickTop="1" thickBot="1" x14ac:dyDescent="0.3">
      <c r="A396" s="307"/>
      <c r="B396" s="308"/>
      <c r="C396" s="308"/>
      <c r="D396" s="308" t="s">
        <v>883</v>
      </c>
      <c r="E396" s="664">
        <v>1</v>
      </c>
      <c r="F396" s="664">
        <v>6.05</v>
      </c>
      <c r="G396" s="664">
        <v>0.22500000000000001</v>
      </c>
      <c r="H396" s="664">
        <v>0.6</v>
      </c>
      <c r="I396" s="664">
        <f t="shared" si="117"/>
        <v>0.81674999999999998</v>
      </c>
      <c r="J396" s="664"/>
      <c r="K396" s="682"/>
      <c r="L396" s="682"/>
      <c r="M396" s="673"/>
      <c r="N396" s="683"/>
      <c r="O396" s="664"/>
      <c r="R396" s="309"/>
      <c r="S396" s="309"/>
      <c r="T396" s="309"/>
      <c r="U396" s="309"/>
      <c r="V396" s="309"/>
    </row>
    <row r="397" spans="1:22" ht="15" thickTop="1" thickBot="1" x14ac:dyDescent="0.3">
      <c r="A397" s="307"/>
      <c r="B397" s="308"/>
      <c r="C397" s="308"/>
      <c r="D397" s="308" t="s">
        <v>884</v>
      </c>
      <c r="E397" s="664">
        <v>1</v>
      </c>
      <c r="F397" s="664">
        <v>5.15</v>
      </c>
      <c r="G397" s="664">
        <v>0.22500000000000001</v>
      </c>
      <c r="H397" s="664">
        <v>0.5</v>
      </c>
      <c r="I397" s="664">
        <f t="shared" si="117"/>
        <v>0.57937500000000008</v>
      </c>
      <c r="J397" s="664"/>
      <c r="K397" s="682"/>
      <c r="L397" s="682"/>
      <c r="M397" s="673"/>
      <c r="N397" s="683"/>
      <c r="O397" s="664"/>
      <c r="R397" s="309"/>
      <c r="S397" s="309"/>
      <c r="T397" s="309"/>
      <c r="U397" s="309"/>
      <c r="V397" s="309"/>
    </row>
    <row r="398" spans="1:22" ht="15" thickTop="1" thickBot="1" x14ac:dyDescent="0.3">
      <c r="A398" s="307"/>
      <c r="B398" s="308"/>
      <c r="C398" s="308"/>
      <c r="D398" s="308" t="s">
        <v>885</v>
      </c>
      <c r="E398" s="664">
        <v>1</v>
      </c>
      <c r="F398" s="664">
        <v>4.95</v>
      </c>
      <c r="G398" s="664">
        <v>0.22500000000000001</v>
      </c>
      <c r="H398" s="664">
        <v>0.45</v>
      </c>
      <c r="I398" s="664">
        <f t="shared" si="117"/>
        <v>0.50118750000000001</v>
      </c>
      <c r="J398" s="664"/>
      <c r="K398" s="682"/>
      <c r="L398" s="682"/>
      <c r="M398" s="673"/>
      <c r="N398" s="683"/>
      <c r="O398" s="664"/>
      <c r="R398" s="309"/>
      <c r="S398" s="309"/>
      <c r="T398" s="309"/>
      <c r="U398" s="309"/>
      <c r="V398" s="309"/>
    </row>
    <row r="399" spans="1:22" ht="15" thickTop="1" thickBot="1" x14ac:dyDescent="0.3">
      <c r="A399" s="307"/>
      <c r="B399" s="308"/>
      <c r="C399" s="308"/>
      <c r="D399" s="308" t="s">
        <v>886</v>
      </c>
      <c r="E399" s="664">
        <v>1</v>
      </c>
      <c r="F399" s="664">
        <v>5.15</v>
      </c>
      <c r="G399" s="664">
        <v>0.22500000000000001</v>
      </c>
      <c r="H399" s="664">
        <v>0.6</v>
      </c>
      <c r="I399" s="664">
        <f t="shared" si="117"/>
        <v>0.69525000000000015</v>
      </c>
      <c r="J399" s="664"/>
      <c r="K399" s="682"/>
      <c r="L399" s="682"/>
      <c r="M399" s="673"/>
      <c r="N399" s="683"/>
      <c r="O399" s="664"/>
      <c r="R399" s="309"/>
      <c r="S399" s="309"/>
      <c r="T399" s="309"/>
      <c r="U399" s="309"/>
      <c r="V399" s="309"/>
    </row>
    <row r="400" spans="1:22" ht="15" thickTop="1" thickBot="1" x14ac:dyDescent="0.3">
      <c r="A400" s="307"/>
      <c r="B400" s="308"/>
      <c r="C400" s="308"/>
      <c r="D400" s="308" t="s">
        <v>887</v>
      </c>
      <c r="E400" s="664">
        <v>1</v>
      </c>
      <c r="F400" s="664">
        <v>5.15</v>
      </c>
      <c r="G400" s="664">
        <v>0.22500000000000001</v>
      </c>
      <c r="H400" s="664">
        <v>0.4</v>
      </c>
      <c r="I400" s="664">
        <f t="shared" si="117"/>
        <v>0.46350000000000008</v>
      </c>
      <c r="J400" s="664"/>
      <c r="K400" s="682"/>
      <c r="L400" s="682"/>
      <c r="M400" s="673"/>
      <c r="N400" s="683"/>
      <c r="O400" s="664"/>
      <c r="R400" s="309"/>
      <c r="S400" s="309"/>
      <c r="T400" s="309"/>
      <c r="U400" s="309"/>
      <c r="V400" s="309"/>
    </row>
    <row r="401" spans="1:22" ht="15" thickTop="1" thickBot="1" x14ac:dyDescent="0.3">
      <c r="A401" s="307"/>
      <c r="B401" s="308"/>
      <c r="C401" s="308"/>
      <c r="D401" s="308" t="s">
        <v>888</v>
      </c>
      <c r="E401" s="664">
        <v>1</v>
      </c>
      <c r="F401" s="664">
        <v>4.95</v>
      </c>
      <c r="G401" s="664">
        <v>0.22500000000000001</v>
      </c>
      <c r="H401" s="664">
        <v>0.6</v>
      </c>
      <c r="I401" s="664">
        <f t="shared" si="117"/>
        <v>0.66825000000000012</v>
      </c>
      <c r="J401" s="664"/>
      <c r="K401" s="682"/>
      <c r="L401" s="682"/>
      <c r="M401" s="673"/>
      <c r="N401" s="683"/>
      <c r="O401" s="664"/>
      <c r="R401" s="309"/>
      <c r="S401" s="309"/>
      <c r="T401" s="309"/>
      <c r="U401" s="309"/>
      <c r="V401" s="309"/>
    </row>
    <row r="402" spans="1:22" ht="15" thickTop="1" thickBot="1" x14ac:dyDescent="0.3">
      <c r="A402" s="307"/>
      <c r="B402" s="308"/>
      <c r="C402" s="308"/>
      <c r="D402" s="308" t="s">
        <v>889</v>
      </c>
      <c r="E402" s="664">
        <v>1</v>
      </c>
      <c r="F402" s="664">
        <v>3.92</v>
      </c>
      <c r="G402" s="664">
        <v>0.22500000000000001</v>
      </c>
      <c r="H402" s="664">
        <v>0.3</v>
      </c>
      <c r="I402" s="664">
        <f t="shared" si="117"/>
        <v>0.2646</v>
      </c>
      <c r="J402" s="664"/>
      <c r="K402" s="682"/>
      <c r="L402" s="682"/>
      <c r="M402" s="673"/>
      <c r="N402" s="683"/>
      <c r="O402" s="664"/>
      <c r="R402" s="309"/>
      <c r="S402" s="309"/>
      <c r="T402" s="309"/>
      <c r="U402" s="309"/>
      <c r="V402" s="309"/>
    </row>
    <row r="403" spans="1:22" ht="15" thickTop="1" thickBot="1" x14ac:dyDescent="0.3">
      <c r="A403" s="307"/>
      <c r="B403" s="308"/>
      <c r="C403" s="308"/>
      <c r="D403" s="308" t="s">
        <v>890</v>
      </c>
      <c r="E403" s="664">
        <v>1</v>
      </c>
      <c r="F403" s="664">
        <v>3.92</v>
      </c>
      <c r="G403" s="664">
        <v>0.22500000000000001</v>
      </c>
      <c r="H403" s="664">
        <v>0.3</v>
      </c>
      <c r="I403" s="664">
        <f t="shared" si="117"/>
        <v>0.2646</v>
      </c>
      <c r="J403" s="664"/>
      <c r="K403" s="682"/>
      <c r="L403" s="682"/>
      <c r="M403" s="673"/>
      <c r="N403" s="683"/>
      <c r="O403" s="664"/>
      <c r="R403" s="309"/>
      <c r="S403" s="309"/>
      <c r="T403" s="309"/>
      <c r="U403" s="309"/>
      <c r="V403" s="309"/>
    </row>
    <row r="404" spans="1:22" ht="15" thickTop="1" thickBot="1" x14ac:dyDescent="0.3">
      <c r="A404" s="307"/>
      <c r="B404" s="308"/>
      <c r="C404" s="308"/>
      <c r="D404" s="308" t="s">
        <v>891</v>
      </c>
      <c r="E404" s="664">
        <v>1</v>
      </c>
      <c r="F404" s="664">
        <v>3.3</v>
      </c>
      <c r="G404" s="664">
        <v>0.22500000000000001</v>
      </c>
      <c r="H404" s="664">
        <v>0.3</v>
      </c>
      <c r="I404" s="664">
        <f t="shared" si="117"/>
        <v>0.22275</v>
      </c>
      <c r="J404" s="664"/>
      <c r="K404" s="682"/>
      <c r="L404" s="682"/>
      <c r="M404" s="673"/>
      <c r="N404" s="683"/>
      <c r="O404" s="664"/>
      <c r="R404" s="309"/>
      <c r="S404" s="309"/>
      <c r="T404" s="309"/>
      <c r="U404" s="309"/>
      <c r="V404" s="309"/>
    </row>
    <row r="405" spans="1:22" ht="15" thickTop="1" thickBot="1" x14ac:dyDescent="0.3">
      <c r="A405" s="307"/>
      <c r="B405" s="308"/>
      <c r="C405" s="308"/>
      <c r="D405" s="308" t="s">
        <v>892</v>
      </c>
      <c r="E405" s="664">
        <v>1</v>
      </c>
      <c r="F405" s="664">
        <v>3.77</v>
      </c>
      <c r="G405" s="664">
        <v>0.22500000000000001</v>
      </c>
      <c r="H405" s="664">
        <v>0.3</v>
      </c>
      <c r="I405" s="664">
        <f t="shared" si="117"/>
        <v>0.25447500000000001</v>
      </c>
      <c r="J405" s="664"/>
      <c r="K405" s="682"/>
      <c r="L405" s="682"/>
      <c r="M405" s="673"/>
      <c r="N405" s="683"/>
      <c r="O405" s="664"/>
      <c r="R405" s="309"/>
      <c r="S405" s="309"/>
      <c r="T405" s="309"/>
      <c r="U405" s="309"/>
      <c r="V405" s="309"/>
    </row>
    <row r="406" spans="1:22" ht="15" thickTop="1" thickBot="1" x14ac:dyDescent="0.3">
      <c r="A406" s="307"/>
      <c r="B406" s="308"/>
      <c r="C406" s="308"/>
      <c r="D406" s="308" t="s">
        <v>893</v>
      </c>
      <c r="E406" s="664">
        <v>1</v>
      </c>
      <c r="F406" s="664">
        <v>3.2</v>
      </c>
      <c r="G406" s="664">
        <v>0.22500000000000001</v>
      </c>
      <c r="H406" s="664">
        <v>0.3</v>
      </c>
      <c r="I406" s="664">
        <f t="shared" si="117"/>
        <v>0.21600000000000003</v>
      </c>
      <c r="J406" s="664"/>
      <c r="K406" s="682"/>
      <c r="L406" s="682"/>
      <c r="M406" s="673"/>
      <c r="N406" s="683"/>
      <c r="O406" s="664"/>
      <c r="R406" s="309"/>
      <c r="S406" s="309"/>
      <c r="T406" s="309"/>
      <c r="U406" s="309"/>
      <c r="V406" s="309"/>
    </row>
    <row r="407" spans="1:22" ht="15" thickTop="1" thickBot="1" x14ac:dyDescent="0.3">
      <c r="A407" s="307"/>
      <c r="B407" s="663"/>
      <c r="C407" s="308"/>
      <c r="D407" s="308" t="s">
        <v>894</v>
      </c>
      <c r="E407" s="664">
        <v>1</v>
      </c>
      <c r="F407" s="664">
        <v>3.2</v>
      </c>
      <c r="G407" s="664">
        <v>0.22500000000000001</v>
      </c>
      <c r="H407" s="664">
        <v>0.3</v>
      </c>
      <c r="I407" s="664">
        <f t="shared" si="117"/>
        <v>0.21600000000000003</v>
      </c>
      <c r="J407" s="664"/>
      <c r="K407" s="682"/>
      <c r="L407" s="682"/>
      <c r="M407" s="673"/>
      <c r="N407" s="683"/>
      <c r="O407" s="664"/>
      <c r="R407" s="309"/>
      <c r="S407" s="309"/>
      <c r="T407" s="309"/>
      <c r="U407" s="309"/>
      <c r="V407" s="309"/>
    </row>
    <row r="408" spans="1:22" ht="15" thickTop="1" thickBot="1" x14ac:dyDescent="0.3">
      <c r="A408" s="307"/>
      <c r="B408" s="663"/>
      <c r="C408" s="308"/>
      <c r="D408" s="308" t="s">
        <v>895</v>
      </c>
      <c r="E408" s="664">
        <v>1</v>
      </c>
      <c r="F408" s="664">
        <v>2.97</v>
      </c>
      <c r="G408" s="664">
        <v>0.22500000000000001</v>
      </c>
      <c r="H408" s="664">
        <v>0.3</v>
      </c>
      <c r="I408" s="664">
        <f t="shared" si="117"/>
        <v>0.20047500000000001</v>
      </c>
      <c r="J408" s="664"/>
      <c r="K408" s="682"/>
      <c r="L408" s="682"/>
      <c r="M408" s="673"/>
      <c r="N408" s="683"/>
      <c r="O408" s="664"/>
      <c r="R408" s="309"/>
      <c r="S408" s="309"/>
      <c r="T408" s="309"/>
      <c r="U408" s="309"/>
      <c r="V408" s="309"/>
    </row>
    <row r="409" spans="1:22" ht="15" thickTop="1" thickBot="1" x14ac:dyDescent="0.3">
      <c r="A409" s="307"/>
      <c r="B409" s="308"/>
      <c r="C409" s="308"/>
      <c r="D409" s="308" t="s">
        <v>896</v>
      </c>
      <c r="E409" s="664">
        <v>1</v>
      </c>
      <c r="F409" s="664">
        <v>4.1100000000000003</v>
      </c>
      <c r="G409" s="664">
        <v>0.22500000000000001</v>
      </c>
      <c r="H409" s="664">
        <v>0.3</v>
      </c>
      <c r="I409" s="664">
        <f t="shared" si="117"/>
        <v>0.27742500000000003</v>
      </c>
      <c r="J409" s="664"/>
      <c r="K409" s="682"/>
      <c r="L409" s="682"/>
      <c r="M409" s="673"/>
      <c r="N409" s="683"/>
      <c r="O409" s="664"/>
      <c r="R409" s="309"/>
      <c r="S409" s="309"/>
      <c r="T409" s="309"/>
      <c r="U409" s="309"/>
      <c r="V409" s="309"/>
    </row>
    <row r="410" spans="1:22" ht="15" thickTop="1" thickBot="1" x14ac:dyDescent="0.3">
      <c r="A410" s="307"/>
      <c r="B410" s="308"/>
      <c r="C410" s="308"/>
      <c r="D410" s="308" t="s">
        <v>897</v>
      </c>
      <c r="E410" s="664">
        <v>1</v>
      </c>
      <c r="F410" s="664">
        <v>3.92</v>
      </c>
      <c r="G410" s="664">
        <v>0.22500000000000001</v>
      </c>
      <c r="H410" s="664">
        <v>0.6</v>
      </c>
      <c r="I410" s="664">
        <f t="shared" si="117"/>
        <v>0.5292</v>
      </c>
      <c r="J410" s="664"/>
      <c r="K410" s="682"/>
      <c r="L410" s="682"/>
      <c r="M410" s="673"/>
      <c r="N410" s="683"/>
      <c r="O410" s="664"/>
      <c r="R410" s="309"/>
      <c r="S410" s="309"/>
      <c r="T410" s="309"/>
      <c r="U410" s="309"/>
      <c r="V410" s="309"/>
    </row>
    <row r="411" spans="1:22" ht="15" thickTop="1" thickBot="1" x14ac:dyDescent="0.3">
      <c r="A411" s="307"/>
      <c r="B411" s="308"/>
      <c r="C411" s="308"/>
      <c r="D411" s="308" t="s">
        <v>898</v>
      </c>
      <c r="E411" s="664">
        <v>1</v>
      </c>
      <c r="F411" s="664">
        <v>2.2000000000000002</v>
      </c>
      <c r="G411" s="664">
        <v>0.22500000000000001</v>
      </c>
      <c r="H411" s="664">
        <v>0.4</v>
      </c>
      <c r="I411" s="664">
        <f t="shared" si="117"/>
        <v>0.19800000000000004</v>
      </c>
      <c r="J411" s="664"/>
      <c r="K411" s="682"/>
      <c r="L411" s="682"/>
      <c r="M411" s="673"/>
      <c r="N411" s="683"/>
      <c r="O411" s="664"/>
      <c r="R411" s="309"/>
      <c r="S411" s="309"/>
      <c r="T411" s="309"/>
      <c r="U411" s="309"/>
      <c r="V411" s="309"/>
    </row>
    <row r="412" spans="1:22" ht="15" thickTop="1" thickBot="1" x14ac:dyDescent="0.3">
      <c r="A412" s="307"/>
      <c r="B412" s="308"/>
      <c r="C412" s="308"/>
      <c r="D412" s="308" t="s">
        <v>899</v>
      </c>
      <c r="E412" s="664">
        <v>1</v>
      </c>
      <c r="F412" s="664">
        <v>3.9750000000000001</v>
      </c>
      <c r="G412" s="664">
        <v>0.22500000000000001</v>
      </c>
      <c r="H412" s="664">
        <v>0.4</v>
      </c>
      <c r="I412" s="664">
        <f t="shared" si="117"/>
        <v>0.35775000000000007</v>
      </c>
      <c r="J412" s="664"/>
      <c r="K412" s="682"/>
      <c r="L412" s="682"/>
      <c r="M412" s="673"/>
      <c r="N412" s="683"/>
      <c r="O412" s="664"/>
      <c r="R412" s="309"/>
      <c r="S412" s="309"/>
      <c r="T412" s="309"/>
      <c r="U412" s="309"/>
      <c r="V412" s="309"/>
    </row>
    <row r="413" spans="1:22" ht="15" thickTop="1" thickBot="1" x14ac:dyDescent="0.3">
      <c r="A413" s="307"/>
      <c r="B413" s="308"/>
      <c r="C413" s="308"/>
      <c r="D413" s="308" t="s">
        <v>900</v>
      </c>
      <c r="E413" s="664">
        <v>1</v>
      </c>
      <c r="F413" s="664">
        <v>4.1100000000000003</v>
      </c>
      <c r="G413" s="664">
        <v>0.22500000000000001</v>
      </c>
      <c r="H413" s="664">
        <v>0.6</v>
      </c>
      <c r="I413" s="664">
        <f t="shared" si="117"/>
        <v>0.55485000000000007</v>
      </c>
      <c r="J413" s="664"/>
      <c r="K413" s="682"/>
      <c r="L413" s="682"/>
      <c r="M413" s="673"/>
      <c r="N413" s="683"/>
      <c r="O413" s="664"/>
      <c r="R413" s="309"/>
      <c r="S413" s="309"/>
      <c r="T413" s="309"/>
      <c r="U413" s="309"/>
      <c r="V413" s="309"/>
    </row>
    <row r="414" spans="1:22" ht="15" thickTop="1" thickBot="1" x14ac:dyDescent="0.3">
      <c r="A414" s="307"/>
      <c r="B414" s="308"/>
      <c r="C414" s="308"/>
      <c r="D414" s="308" t="s">
        <v>901</v>
      </c>
      <c r="E414" s="664">
        <v>1</v>
      </c>
      <c r="F414" s="664">
        <v>2.915</v>
      </c>
      <c r="G414" s="664">
        <v>0.22500000000000001</v>
      </c>
      <c r="H414" s="664">
        <v>0.3</v>
      </c>
      <c r="I414" s="664">
        <f t="shared" si="117"/>
        <v>0.19676250000000001</v>
      </c>
      <c r="J414" s="664"/>
      <c r="K414" s="682"/>
      <c r="L414" s="682"/>
      <c r="M414" s="673"/>
      <c r="N414" s="683"/>
      <c r="O414" s="664"/>
      <c r="R414" s="309"/>
      <c r="S414" s="309"/>
      <c r="T414" s="309"/>
      <c r="U414" s="309"/>
      <c r="V414" s="309"/>
    </row>
    <row r="415" spans="1:22" ht="15" thickTop="1" thickBot="1" x14ac:dyDescent="0.3">
      <c r="A415" s="307"/>
      <c r="B415" s="308"/>
      <c r="C415" s="308"/>
      <c r="D415" s="308" t="s">
        <v>902</v>
      </c>
      <c r="E415" s="664">
        <v>1</v>
      </c>
      <c r="F415" s="664">
        <v>2.2000000000000002</v>
      </c>
      <c r="G415" s="664">
        <v>0.22500000000000001</v>
      </c>
      <c r="H415" s="664">
        <v>0.4</v>
      </c>
      <c r="I415" s="664">
        <f t="shared" si="117"/>
        <v>0.19800000000000004</v>
      </c>
      <c r="J415" s="664"/>
      <c r="K415" s="682"/>
      <c r="L415" s="682"/>
      <c r="M415" s="673"/>
      <c r="N415" s="683"/>
      <c r="O415" s="664"/>
      <c r="R415" s="309"/>
      <c r="S415" s="309"/>
      <c r="T415" s="309"/>
      <c r="U415" s="309"/>
      <c r="V415" s="309"/>
    </row>
    <row r="416" spans="1:22" ht="15" thickTop="1" thickBot="1" x14ac:dyDescent="0.3">
      <c r="A416" s="307"/>
      <c r="B416" s="308"/>
      <c r="C416" s="308"/>
      <c r="D416" s="308" t="s">
        <v>903</v>
      </c>
      <c r="E416" s="664">
        <v>1</v>
      </c>
      <c r="F416" s="664">
        <v>3.9750000000000001</v>
      </c>
      <c r="G416" s="664">
        <v>0.22500000000000001</v>
      </c>
      <c r="H416" s="664">
        <v>0.4</v>
      </c>
      <c r="I416" s="664">
        <f t="shared" si="117"/>
        <v>0.35775000000000007</v>
      </c>
      <c r="J416" s="664"/>
      <c r="K416" s="682"/>
      <c r="L416" s="682"/>
      <c r="M416" s="673"/>
      <c r="N416" s="683"/>
      <c r="O416" s="664"/>
      <c r="R416" s="309"/>
      <c r="S416" s="309"/>
      <c r="T416" s="309"/>
      <c r="U416" s="309"/>
      <c r="V416" s="309"/>
    </row>
    <row r="417" spans="1:22" ht="15" thickTop="1" thickBot="1" x14ac:dyDescent="0.3">
      <c r="A417" s="307"/>
      <c r="B417" s="308"/>
      <c r="C417" s="308"/>
      <c r="D417" s="308" t="s">
        <v>904</v>
      </c>
      <c r="E417" s="664">
        <v>1</v>
      </c>
      <c r="F417" s="664">
        <v>4.1100000000000003</v>
      </c>
      <c r="G417" s="664">
        <v>0.22500000000000001</v>
      </c>
      <c r="H417" s="664">
        <v>0.6</v>
      </c>
      <c r="I417" s="664">
        <f t="shared" si="117"/>
        <v>0.55485000000000007</v>
      </c>
      <c r="J417" s="664"/>
      <c r="K417" s="682"/>
      <c r="L417" s="682"/>
      <c r="M417" s="673"/>
      <c r="N417" s="683"/>
      <c r="O417" s="664"/>
      <c r="R417" s="309"/>
      <c r="S417" s="309"/>
      <c r="T417" s="309"/>
      <c r="U417" s="309"/>
      <c r="V417" s="309"/>
    </row>
    <row r="418" spans="1:22" ht="15" thickTop="1" thickBot="1" x14ac:dyDescent="0.3">
      <c r="A418" s="307"/>
      <c r="B418" s="308"/>
      <c r="C418" s="308"/>
      <c r="D418" s="308" t="s">
        <v>905</v>
      </c>
      <c r="E418" s="664">
        <v>1</v>
      </c>
      <c r="F418" s="664">
        <v>2.92</v>
      </c>
      <c r="G418" s="664">
        <v>0.22500000000000001</v>
      </c>
      <c r="H418" s="664">
        <v>0.3</v>
      </c>
      <c r="I418" s="664">
        <f t="shared" si="117"/>
        <v>0.1971</v>
      </c>
      <c r="J418" s="664"/>
      <c r="K418" s="682"/>
      <c r="L418" s="682"/>
      <c r="M418" s="673"/>
      <c r="N418" s="683"/>
      <c r="O418" s="664"/>
      <c r="R418" s="309"/>
      <c r="S418" s="309"/>
      <c r="T418" s="309"/>
      <c r="U418" s="309"/>
      <c r="V418" s="309"/>
    </row>
    <row r="419" spans="1:22" ht="15" thickTop="1" thickBot="1" x14ac:dyDescent="0.3">
      <c r="A419" s="307"/>
      <c r="B419" s="308"/>
      <c r="C419" s="308"/>
      <c r="D419" s="308" t="s">
        <v>906</v>
      </c>
      <c r="E419" s="664">
        <v>1</v>
      </c>
      <c r="F419" s="664">
        <v>1.45</v>
      </c>
      <c r="G419" s="664">
        <v>0.22500000000000001</v>
      </c>
      <c r="H419" s="664">
        <v>0.3</v>
      </c>
      <c r="I419" s="664">
        <f t="shared" si="117"/>
        <v>9.7875000000000004E-2</v>
      </c>
      <c r="J419" s="664"/>
      <c r="K419" s="682"/>
      <c r="L419" s="682"/>
      <c r="M419" s="673"/>
      <c r="N419" s="683"/>
      <c r="O419" s="664"/>
      <c r="R419" s="309"/>
      <c r="S419" s="309"/>
      <c r="T419" s="309"/>
      <c r="U419" s="309"/>
      <c r="V419" s="309"/>
    </row>
    <row r="420" spans="1:22" ht="15" thickTop="1" thickBot="1" x14ac:dyDescent="0.3">
      <c r="A420" s="307"/>
      <c r="B420" s="308"/>
      <c r="C420" s="308"/>
      <c r="D420" s="308" t="s">
        <v>907</v>
      </c>
      <c r="E420" s="664">
        <v>1</v>
      </c>
      <c r="F420" s="664">
        <v>1.45</v>
      </c>
      <c r="G420" s="664">
        <v>0.22500000000000001</v>
      </c>
      <c r="H420" s="664">
        <v>0.3</v>
      </c>
      <c r="I420" s="664">
        <f t="shared" si="117"/>
        <v>9.7875000000000004E-2</v>
      </c>
      <c r="J420" s="664"/>
      <c r="K420" s="682"/>
      <c r="L420" s="682"/>
      <c r="M420" s="673"/>
      <c r="N420" s="683"/>
      <c r="O420" s="664"/>
      <c r="R420" s="309"/>
      <c r="S420" s="309"/>
      <c r="T420" s="309"/>
      <c r="U420" s="309"/>
      <c r="V420" s="309"/>
    </row>
    <row r="421" spans="1:22" ht="15" thickTop="1" thickBot="1" x14ac:dyDescent="0.3">
      <c r="A421" s="307"/>
      <c r="B421" s="308"/>
      <c r="C421" s="308"/>
      <c r="D421" s="308" t="s">
        <v>908</v>
      </c>
      <c r="E421" s="664">
        <v>1</v>
      </c>
      <c r="F421" s="664">
        <v>1.45</v>
      </c>
      <c r="G421" s="664">
        <v>0.22500000000000001</v>
      </c>
      <c r="H421" s="664">
        <v>0.3</v>
      </c>
      <c r="I421" s="664">
        <f t="shared" si="117"/>
        <v>9.7875000000000004E-2</v>
      </c>
      <c r="J421" s="664">
        <f>SUM(I387:I421)</f>
        <v>13.86147375</v>
      </c>
      <c r="K421" s="679">
        <f>$K$2</f>
        <v>1.05</v>
      </c>
      <c r="L421" s="679">
        <f t="shared" ref="L421" si="118">K421*J421</f>
        <v>14.5545474375</v>
      </c>
      <c r="M421" s="680">
        <f t="shared" ref="M421" si="119">ROUND(L421,1)</f>
        <v>14.6</v>
      </c>
      <c r="N421" s="681">
        <f t="shared" ref="N421" si="120">ROUNDUP(M421,0)</f>
        <v>15</v>
      </c>
      <c r="O421" s="664" t="s">
        <v>872</v>
      </c>
      <c r="R421" s="309"/>
      <c r="S421" s="309"/>
      <c r="T421" s="309"/>
      <c r="U421" s="309"/>
      <c r="V421" s="309"/>
    </row>
    <row r="422" spans="1:22" ht="15" thickTop="1" thickBot="1" x14ac:dyDescent="0.3">
      <c r="A422" s="307"/>
      <c r="B422" s="308"/>
      <c r="C422" s="308"/>
      <c r="D422" s="308"/>
      <c r="E422" s="664"/>
      <c r="F422" s="664"/>
      <c r="G422" s="664"/>
      <c r="H422" s="678"/>
      <c r="I422" s="678"/>
      <c r="J422" s="664"/>
      <c r="K422" s="682"/>
      <c r="L422" s="682"/>
      <c r="M422" s="673"/>
      <c r="N422" s="683"/>
      <c r="O422" s="664"/>
      <c r="R422" s="309"/>
      <c r="S422" s="309"/>
      <c r="T422" s="309"/>
      <c r="U422" s="309"/>
      <c r="V422" s="309"/>
    </row>
    <row r="423" spans="1:22" ht="15" thickTop="1" thickBot="1" x14ac:dyDescent="0.3">
      <c r="A423" s="307"/>
      <c r="B423" s="663" t="str">
        <f>concrete!B109</f>
        <v>In Reinforced beam at second floor level</v>
      </c>
      <c r="C423" s="308"/>
      <c r="D423" s="308" t="s">
        <v>909</v>
      </c>
      <c r="E423" s="664">
        <v>1</v>
      </c>
      <c r="F423" s="664">
        <v>4.95</v>
      </c>
      <c r="G423" s="664">
        <v>0.22500000000000001</v>
      </c>
      <c r="H423" s="678">
        <v>0.45</v>
      </c>
      <c r="I423" s="664">
        <f t="shared" si="117"/>
        <v>0.50118750000000001</v>
      </c>
      <c r="J423" s="664"/>
      <c r="K423" s="682"/>
      <c r="L423" s="682"/>
      <c r="M423" s="673"/>
      <c r="N423" s="683"/>
      <c r="O423" s="664"/>
      <c r="R423" s="309"/>
      <c r="S423" s="309"/>
      <c r="T423" s="309"/>
      <c r="U423" s="309"/>
      <c r="V423" s="309"/>
    </row>
    <row r="424" spans="1:22" ht="15" thickTop="1" thickBot="1" x14ac:dyDescent="0.3">
      <c r="A424" s="307"/>
      <c r="B424" s="308"/>
      <c r="C424" s="308"/>
      <c r="D424" s="308" t="s">
        <v>910</v>
      </c>
      <c r="E424" s="664">
        <v>1</v>
      </c>
      <c r="F424" s="664">
        <v>6.05</v>
      </c>
      <c r="G424" s="664">
        <v>0.22500000000000001</v>
      </c>
      <c r="H424" s="678">
        <v>0.6</v>
      </c>
      <c r="I424" s="664">
        <f t="shared" si="117"/>
        <v>0.81674999999999998</v>
      </c>
      <c r="J424" s="664"/>
      <c r="K424" s="682"/>
      <c r="L424" s="682"/>
      <c r="M424" s="673"/>
      <c r="N424" s="683"/>
      <c r="O424" s="664"/>
      <c r="R424" s="309"/>
      <c r="S424" s="309"/>
      <c r="T424" s="309"/>
      <c r="U424" s="309"/>
      <c r="V424" s="309"/>
    </row>
    <row r="425" spans="1:22" ht="15" thickTop="1" thickBot="1" x14ac:dyDescent="0.3">
      <c r="A425" s="307"/>
      <c r="B425" s="308"/>
      <c r="C425" s="308"/>
      <c r="D425" s="308" t="s">
        <v>911</v>
      </c>
      <c r="E425" s="664">
        <v>1</v>
      </c>
      <c r="F425" s="664">
        <v>4.95</v>
      </c>
      <c r="G425" s="664">
        <v>0.22500000000000001</v>
      </c>
      <c r="H425" s="678">
        <v>0.45</v>
      </c>
      <c r="I425" s="664">
        <f t="shared" si="117"/>
        <v>0.50118750000000001</v>
      </c>
      <c r="J425" s="664"/>
      <c r="K425" s="682"/>
      <c r="L425" s="682"/>
      <c r="M425" s="673"/>
      <c r="N425" s="683"/>
      <c r="O425" s="664"/>
      <c r="R425" s="309"/>
      <c r="S425" s="309"/>
      <c r="T425" s="309"/>
      <c r="U425" s="309"/>
      <c r="V425" s="309"/>
    </row>
    <row r="426" spans="1:22" ht="15" thickTop="1" thickBot="1" x14ac:dyDescent="0.3">
      <c r="A426" s="307"/>
      <c r="B426" s="308"/>
      <c r="C426" s="308"/>
      <c r="D426" s="308" t="s">
        <v>912</v>
      </c>
      <c r="E426" s="664">
        <v>1</v>
      </c>
      <c r="F426" s="664">
        <v>6.05</v>
      </c>
      <c r="G426" s="664">
        <v>0.22500000000000001</v>
      </c>
      <c r="H426" s="678">
        <v>0.6</v>
      </c>
      <c r="I426" s="664">
        <f t="shared" si="117"/>
        <v>0.81674999999999998</v>
      </c>
      <c r="J426" s="664"/>
      <c r="K426" s="682"/>
      <c r="L426" s="682"/>
      <c r="M426" s="673"/>
      <c r="N426" s="683"/>
      <c r="O426" s="664"/>
      <c r="R426" s="309"/>
      <c r="S426" s="309"/>
      <c r="T426" s="309"/>
      <c r="U426" s="309"/>
      <c r="V426" s="309"/>
    </row>
    <row r="427" spans="1:22" ht="15" thickTop="1" thickBot="1" x14ac:dyDescent="0.3">
      <c r="A427" s="307"/>
      <c r="B427" s="308"/>
      <c r="C427" s="308"/>
      <c r="D427" s="308" t="s">
        <v>913</v>
      </c>
      <c r="E427" s="664">
        <v>1</v>
      </c>
      <c r="F427" s="664">
        <v>4.95</v>
      </c>
      <c r="G427" s="664">
        <v>0.22500000000000001</v>
      </c>
      <c r="H427" s="678">
        <v>0.45</v>
      </c>
      <c r="I427" s="664">
        <f t="shared" si="117"/>
        <v>0.50118750000000001</v>
      </c>
      <c r="J427" s="664"/>
      <c r="K427" s="682"/>
      <c r="L427" s="682"/>
      <c r="M427" s="673"/>
      <c r="N427" s="683"/>
      <c r="O427" s="664"/>
      <c r="R427" s="309"/>
      <c r="S427" s="309"/>
      <c r="T427" s="309"/>
      <c r="U427" s="309"/>
      <c r="V427" s="309"/>
    </row>
    <row r="428" spans="1:22" ht="15" thickTop="1" thickBot="1" x14ac:dyDescent="0.3">
      <c r="A428" s="307"/>
      <c r="B428" s="308"/>
      <c r="C428" s="308"/>
      <c r="D428" s="308" t="s">
        <v>914</v>
      </c>
      <c r="E428" s="664">
        <v>1</v>
      </c>
      <c r="F428" s="664">
        <v>5.03</v>
      </c>
      <c r="G428" s="664">
        <v>0.22500000000000001</v>
      </c>
      <c r="H428" s="678">
        <v>0.5</v>
      </c>
      <c r="I428" s="664">
        <f t="shared" si="117"/>
        <v>0.56587500000000002</v>
      </c>
      <c r="J428" s="664"/>
      <c r="K428" s="682"/>
      <c r="L428" s="682"/>
      <c r="M428" s="673"/>
      <c r="N428" s="683"/>
      <c r="O428" s="664"/>
      <c r="R428" s="309"/>
      <c r="S428" s="309"/>
      <c r="T428" s="309"/>
      <c r="U428" s="309"/>
      <c r="V428" s="309"/>
    </row>
    <row r="429" spans="1:22" ht="15" thickTop="1" thickBot="1" x14ac:dyDescent="0.3">
      <c r="A429" s="307"/>
      <c r="B429" s="308"/>
      <c r="C429" s="308"/>
      <c r="D429" s="308" t="s">
        <v>915</v>
      </c>
      <c r="E429" s="664">
        <v>1</v>
      </c>
      <c r="F429" s="664">
        <v>4.95</v>
      </c>
      <c r="G429" s="664">
        <v>0.22500000000000001</v>
      </c>
      <c r="H429" s="678">
        <v>0.45</v>
      </c>
      <c r="I429" s="664">
        <f t="shared" si="117"/>
        <v>0.50118750000000001</v>
      </c>
      <c r="J429" s="664"/>
      <c r="K429" s="682"/>
      <c r="L429" s="682"/>
      <c r="M429" s="673"/>
      <c r="N429" s="683"/>
      <c r="O429" s="664"/>
      <c r="R429" s="309"/>
      <c r="S429" s="309"/>
      <c r="T429" s="309"/>
      <c r="U429" s="309"/>
      <c r="V429" s="309"/>
    </row>
    <row r="430" spans="1:22" ht="15" thickTop="1" thickBot="1" x14ac:dyDescent="0.3">
      <c r="A430" s="307"/>
      <c r="B430" s="308"/>
      <c r="C430" s="308"/>
      <c r="D430" s="308" t="s">
        <v>916</v>
      </c>
      <c r="E430" s="664">
        <v>1</v>
      </c>
      <c r="F430" s="664">
        <v>5.15</v>
      </c>
      <c r="G430" s="664">
        <v>0.22500000000000001</v>
      </c>
      <c r="H430" s="678">
        <v>0.5</v>
      </c>
      <c r="I430" s="664">
        <f t="shared" si="117"/>
        <v>0.57937500000000008</v>
      </c>
      <c r="J430" s="664"/>
      <c r="K430" s="682"/>
      <c r="L430" s="682"/>
      <c r="M430" s="673"/>
      <c r="N430" s="683"/>
      <c r="O430" s="664"/>
      <c r="R430" s="309"/>
      <c r="S430" s="309"/>
      <c r="T430" s="309"/>
      <c r="U430" s="309"/>
      <c r="V430" s="309"/>
    </row>
    <row r="431" spans="1:22" ht="15" thickTop="1" thickBot="1" x14ac:dyDescent="0.3">
      <c r="A431" s="307"/>
      <c r="B431" s="308"/>
      <c r="C431" s="308"/>
      <c r="D431" s="308" t="s">
        <v>917</v>
      </c>
      <c r="E431" s="664">
        <v>1</v>
      </c>
      <c r="F431" s="664">
        <v>5.15</v>
      </c>
      <c r="G431" s="664">
        <v>0.22500000000000001</v>
      </c>
      <c r="H431" s="678">
        <v>0.5</v>
      </c>
      <c r="I431" s="664">
        <f t="shared" si="117"/>
        <v>0.57937500000000008</v>
      </c>
      <c r="J431" s="664"/>
      <c r="K431" s="682"/>
      <c r="L431" s="682"/>
      <c r="M431" s="673"/>
      <c r="N431" s="683"/>
      <c r="O431" s="664"/>
      <c r="R431" s="309"/>
      <c r="S431" s="309"/>
      <c r="T431" s="309"/>
      <c r="U431" s="309"/>
      <c r="V431" s="309"/>
    </row>
    <row r="432" spans="1:22" ht="15" thickTop="1" thickBot="1" x14ac:dyDescent="0.3">
      <c r="A432" s="307"/>
      <c r="B432" s="308"/>
      <c r="C432" s="308"/>
      <c r="D432" s="308" t="s">
        <v>918</v>
      </c>
      <c r="E432" s="664">
        <v>1</v>
      </c>
      <c r="F432" s="664">
        <v>4.95</v>
      </c>
      <c r="G432" s="664">
        <v>0.22500000000000001</v>
      </c>
      <c r="H432" s="678">
        <v>0.45</v>
      </c>
      <c r="I432" s="664">
        <f t="shared" si="117"/>
        <v>0.50118750000000001</v>
      </c>
      <c r="J432" s="664"/>
      <c r="K432" s="682"/>
      <c r="L432" s="682"/>
      <c r="M432" s="673"/>
      <c r="N432" s="683"/>
      <c r="O432" s="664"/>
      <c r="R432" s="309"/>
      <c r="S432" s="309"/>
      <c r="T432" s="309"/>
      <c r="U432" s="309"/>
      <c r="V432" s="309"/>
    </row>
    <row r="433" spans="1:22" ht="15" thickTop="1" thickBot="1" x14ac:dyDescent="0.3">
      <c r="A433" s="307"/>
      <c r="B433" s="308"/>
      <c r="C433" s="308"/>
      <c r="D433" s="308" t="s">
        <v>919</v>
      </c>
      <c r="E433" s="664">
        <v>1</v>
      </c>
      <c r="F433" s="664">
        <v>3.92</v>
      </c>
      <c r="G433" s="664">
        <v>0.22500000000000001</v>
      </c>
      <c r="H433" s="678">
        <v>0.3</v>
      </c>
      <c r="I433" s="664">
        <f t="shared" si="117"/>
        <v>0.2646</v>
      </c>
      <c r="J433" s="664"/>
      <c r="K433" s="682"/>
      <c r="L433" s="682"/>
      <c r="M433" s="673"/>
      <c r="N433" s="683"/>
      <c r="O433" s="664"/>
      <c r="R433" s="309"/>
      <c r="S433" s="309"/>
      <c r="T433" s="309"/>
      <c r="U433" s="309"/>
      <c r="V433" s="309"/>
    </row>
    <row r="434" spans="1:22" ht="15" thickTop="1" thickBot="1" x14ac:dyDescent="0.3">
      <c r="A434" s="307"/>
      <c r="B434" s="308"/>
      <c r="C434" s="308"/>
      <c r="D434" s="308" t="s">
        <v>920</v>
      </c>
      <c r="E434" s="664">
        <v>1</v>
      </c>
      <c r="F434" s="664">
        <v>4.1100000000000003</v>
      </c>
      <c r="G434" s="664">
        <v>0.22500000000000001</v>
      </c>
      <c r="H434" s="678">
        <v>0.3</v>
      </c>
      <c r="I434" s="664">
        <f t="shared" si="117"/>
        <v>0.27742500000000003</v>
      </c>
      <c r="J434" s="664"/>
      <c r="K434" s="682"/>
      <c r="L434" s="682"/>
      <c r="M434" s="673"/>
      <c r="N434" s="683"/>
      <c r="O434" s="664"/>
      <c r="R434" s="309"/>
      <c r="S434" s="309"/>
      <c r="T434" s="309"/>
      <c r="U434" s="309"/>
      <c r="V434" s="309"/>
    </row>
    <row r="435" spans="1:22" ht="15" thickTop="1" thickBot="1" x14ac:dyDescent="0.3">
      <c r="A435" s="307"/>
      <c r="B435" s="308"/>
      <c r="C435" s="308"/>
      <c r="D435" s="308" t="s">
        <v>921</v>
      </c>
      <c r="E435" s="664">
        <v>1</v>
      </c>
      <c r="F435" s="664">
        <v>3.77</v>
      </c>
      <c r="G435" s="664">
        <v>0.22500000000000001</v>
      </c>
      <c r="H435" s="678">
        <v>0.3</v>
      </c>
      <c r="I435" s="664">
        <f t="shared" si="117"/>
        <v>0.25447500000000001</v>
      </c>
      <c r="J435" s="664"/>
      <c r="K435" s="682"/>
      <c r="L435" s="682"/>
      <c r="M435" s="673"/>
      <c r="N435" s="683"/>
      <c r="O435" s="664"/>
      <c r="R435" s="309"/>
      <c r="S435" s="309"/>
      <c r="T435" s="309"/>
      <c r="U435" s="309"/>
      <c r="V435" s="309"/>
    </row>
    <row r="436" spans="1:22" ht="15" thickTop="1" thickBot="1" x14ac:dyDescent="0.3">
      <c r="A436" s="307"/>
      <c r="B436" s="308"/>
      <c r="C436" s="308"/>
      <c r="D436" s="308" t="s">
        <v>922</v>
      </c>
      <c r="E436" s="664">
        <v>1</v>
      </c>
      <c r="F436" s="664">
        <v>3.2</v>
      </c>
      <c r="G436" s="664">
        <v>0.22500000000000001</v>
      </c>
      <c r="H436" s="678">
        <v>0.45</v>
      </c>
      <c r="I436" s="664">
        <f t="shared" si="117"/>
        <v>0.32400000000000007</v>
      </c>
      <c r="J436" s="664"/>
      <c r="K436" s="682"/>
      <c r="L436" s="682"/>
      <c r="M436" s="673"/>
      <c r="N436" s="683"/>
      <c r="O436" s="664"/>
      <c r="R436" s="309"/>
      <c r="S436" s="309"/>
      <c r="T436" s="309"/>
      <c r="U436" s="309"/>
      <c r="V436" s="309"/>
    </row>
    <row r="437" spans="1:22" ht="15" thickTop="1" thickBot="1" x14ac:dyDescent="0.3">
      <c r="A437" s="307"/>
      <c r="B437" s="308"/>
      <c r="C437" s="308"/>
      <c r="D437" s="308" t="s">
        <v>923</v>
      </c>
      <c r="E437" s="664">
        <v>1</v>
      </c>
      <c r="F437" s="664">
        <v>3.2</v>
      </c>
      <c r="G437" s="664">
        <v>0.22500000000000001</v>
      </c>
      <c r="H437" s="678">
        <v>0.6</v>
      </c>
      <c r="I437" s="664">
        <f t="shared" si="117"/>
        <v>0.43200000000000005</v>
      </c>
      <c r="J437" s="664"/>
      <c r="K437" s="682"/>
      <c r="L437" s="682"/>
      <c r="M437" s="673"/>
      <c r="N437" s="683"/>
      <c r="O437" s="664"/>
      <c r="R437" s="309"/>
      <c r="S437" s="309"/>
      <c r="T437" s="309"/>
      <c r="U437" s="309"/>
      <c r="V437" s="309"/>
    </row>
    <row r="438" spans="1:22" ht="15" thickTop="1" thickBot="1" x14ac:dyDescent="0.3">
      <c r="A438" s="307"/>
      <c r="B438" s="308"/>
      <c r="C438" s="308"/>
      <c r="D438" s="308" t="s">
        <v>924</v>
      </c>
      <c r="E438" s="664">
        <v>1</v>
      </c>
      <c r="F438" s="664">
        <v>2.97</v>
      </c>
      <c r="G438" s="664">
        <v>0.22500000000000001</v>
      </c>
      <c r="H438" s="678">
        <v>0.3</v>
      </c>
      <c r="I438" s="664">
        <f t="shared" si="117"/>
        <v>0.20047500000000001</v>
      </c>
      <c r="J438" s="664"/>
      <c r="K438" s="682"/>
      <c r="L438" s="682"/>
      <c r="M438" s="673"/>
      <c r="N438" s="683"/>
      <c r="O438" s="664"/>
      <c r="R438" s="309"/>
      <c r="S438" s="309"/>
      <c r="T438" s="309"/>
      <c r="U438" s="309"/>
      <c r="V438" s="309"/>
    </row>
    <row r="439" spans="1:22" ht="15" thickTop="1" thickBot="1" x14ac:dyDescent="0.3">
      <c r="A439" s="307"/>
      <c r="B439" s="308"/>
      <c r="C439" s="308"/>
      <c r="D439" s="308" t="s">
        <v>925</v>
      </c>
      <c r="E439" s="664">
        <v>1</v>
      </c>
      <c r="F439" s="664">
        <v>4.1100000000000003</v>
      </c>
      <c r="G439" s="664">
        <v>0.22500000000000001</v>
      </c>
      <c r="H439" s="678">
        <v>0.3</v>
      </c>
      <c r="I439" s="664">
        <f t="shared" si="117"/>
        <v>0.27742500000000003</v>
      </c>
      <c r="J439" s="664"/>
      <c r="K439" s="682"/>
      <c r="L439" s="682"/>
      <c r="M439" s="673"/>
      <c r="N439" s="683"/>
      <c r="O439" s="664"/>
      <c r="R439" s="309"/>
      <c r="S439" s="309"/>
      <c r="T439" s="309"/>
      <c r="U439" s="309"/>
      <c r="V439" s="309"/>
    </row>
    <row r="440" spans="1:22" ht="15" thickTop="1" thickBot="1" x14ac:dyDescent="0.3">
      <c r="A440" s="307"/>
      <c r="B440" s="308"/>
      <c r="C440" s="308"/>
      <c r="D440" s="308" t="s">
        <v>926</v>
      </c>
      <c r="E440" s="664">
        <v>1</v>
      </c>
      <c r="F440" s="664">
        <v>3.92</v>
      </c>
      <c r="G440" s="664">
        <v>0.22500000000000001</v>
      </c>
      <c r="H440" s="678">
        <v>0.6</v>
      </c>
      <c r="I440" s="664">
        <f t="shared" si="117"/>
        <v>0.5292</v>
      </c>
      <c r="J440" s="664"/>
      <c r="K440" s="682"/>
      <c r="L440" s="682"/>
      <c r="M440" s="673"/>
      <c r="N440" s="683"/>
      <c r="O440" s="664"/>
      <c r="R440" s="309"/>
      <c r="S440" s="309"/>
      <c r="T440" s="309"/>
      <c r="U440" s="309"/>
      <c r="V440" s="309"/>
    </row>
    <row r="441" spans="1:22" ht="15" thickTop="1" thickBot="1" x14ac:dyDescent="0.3">
      <c r="A441" s="307"/>
      <c r="B441" s="308"/>
      <c r="C441" s="308"/>
      <c r="D441" s="308" t="s">
        <v>927</v>
      </c>
      <c r="E441" s="664">
        <v>1</v>
      </c>
      <c r="F441" s="664">
        <v>2.1800000000000002</v>
      </c>
      <c r="G441" s="664">
        <v>0.22500000000000001</v>
      </c>
      <c r="H441" s="678">
        <v>0.3</v>
      </c>
      <c r="I441" s="664">
        <f t="shared" si="117"/>
        <v>0.14715000000000003</v>
      </c>
      <c r="J441" s="664"/>
      <c r="K441" s="682"/>
      <c r="L441" s="682"/>
      <c r="M441" s="673"/>
      <c r="N441" s="683"/>
      <c r="O441" s="664"/>
      <c r="R441" s="309"/>
      <c r="S441" s="309"/>
      <c r="T441" s="309"/>
      <c r="U441" s="309"/>
      <c r="V441" s="309"/>
    </row>
    <row r="442" spans="1:22" ht="15" thickTop="1" thickBot="1" x14ac:dyDescent="0.3">
      <c r="A442" s="307"/>
      <c r="B442" s="308"/>
      <c r="C442" s="308"/>
      <c r="D442" s="308" t="s">
        <v>928</v>
      </c>
      <c r="E442" s="664">
        <v>1</v>
      </c>
      <c r="F442" s="664">
        <v>3.9750000000000001</v>
      </c>
      <c r="G442" s="664">
        <v>0.22500000000000001</v>
      </c>
      <c r="H442" s="678">
        <v>0.3</v>
      </c>
      <c r="I442" s="664">
        <f t="shared" si="117"/>
        <v>0.26831250000000001</v>
      </c>
      <c r="J442" s="664"/>
      <c r="K442" s="682"/>
      <c r="L442" s="682"/>
      <c r="M442" s="673"/>
      <c r="N442" s="683"/>
      <c r="O442" s="664"/>
      <c r="R442" s="309"/>
      <c r="S442" s="309"/>
      <c r="T442" s="309"/>
      <c r="U442" s="309"/>
      <c r="V442" s="309"/>
    </row>
    <row r="443" spans="1:22" ht="15" thickTop="1" thickBot="1" x14ac:dyDescent="0.3">
      <c r="A443" s="307"/>
      <c r="B443" s="308"/>
      <c r="C443" s="308"/>
      <c r="D443" s="308" t="s">
        <v>929</v>
      </c>
      <c r="E443" s="664">
        <v>1</v>
      </c>
      <c r="F443" s="664">
        <v>4.1100000000000003</v>
      </c>
      <c r="G443" s="664">
        <v>0.22500000000000001</v>
      </c>
      <c r="H443" s="678">
        <v>0.6</v>
      </c>
      <c r="I443" s="664">
        <f t="shared" si="117"/>
        <v>0.55485000000000007</v>
      </c>
      <c r="J443" s="664"/>
      <c r="K443" s="682"/>
      <c r="L443" s="682"/>
      <c r="M443" s="673"/>
      <c r="N443" s="683"/>
      <c r="O443" s="664"/>
      <c r="R443" s="309"/>
      <c r="S443" s="309"/>
      <c r="T443" s="309"/>
      <c r="U443" s="309"/>
      <c r="V443" s="309"/>
    </row>
    <row r="444" spans="1:22" ht="15" thickTop="1" thickBot="1" x14ac:dyDescent="0.3">
      <c r="A444" s="307"/>
      <c r="B444" s="308"/>
      <c r="C444" s="308"/>
      <c r="D444" s="308" t="s">
        <v>930</v>
      </c>
      <c r="E444" s="664">
        <v>1</v>
      </c>
      <c r="F444" s="664">
        <v>2.92</v>
      </c>
      <c r="G444" s="664">
        <v>0.22500000000000001</v>
      </c>
      <c r="H444" s="678">
        <v>0.4</v>
      </c>
      <c r="I444" s="664">
        <f t="shared" si="117"/>
        <v>0.26280000000000003</v>
      </c>
      <c r="J444" s="664"/>
      <c r="K444" s="682"/>
      <c r="L444" s="682"/>
      <c r="M444" s="673"/>
      <c r="N444" s="683"/>
      <c r="O444" s="664"/>
      <c r="R444" s="309"/>
      <c r="S444" s="309"/>
      <c r="T444" s="309"/>
      <c r="U444" s="309"/>
      <c r="V444" s="309"/>
    </row>
    <row r="445" spans="1:22" s="687" customFormat="1" ht="15" thickTop="1" thickBot="1" x14ac:dyDescent="0.3">
      <c r="A445" s="685"/>
      <c r="B445" s="686"/>
      <c r="C445" s="668"/>
      <c r="D445" s="308" t="s">
        <v>931</v>
      </c>
      <c r="E445" s="664">
        <v>1</v>
      </c>
      <c r="F445" s="678">
        <v>2.1800000000000002</v>
      </c>
      <c r="G445" s="678">
        <v>0.22500000000000001</v>
      </c>
      <c r="H445" s="678">
        <v>0.4</v>
      </c>
      <c r="I445" s="664">
        <f t="shared" si="117"/>
        <v>0.19620000000000004</v>
      </c>
      <c r="J445" s="678"/>
      <c r="K445" s="679"/>
      <c r="L445" s="679"/>
      <c r="M445" s="680"/>
      <c r="N445" s="681"/>
      <c r="O445" s="678"/>
      <c r="R445" s="688"/>
      <c r="S445" s="688"/>
      <c r="T445" s="688"/>
      <c r="U445" s="688"/>
      <c r="V445" s="688"/>
    </row>
    <row r="446" spans="1:22" ht="15" thickTop="1" thickBot="1" x14ac:dyDescent="0.3">
      <c r="A446" s="307"/>
      <c r="B446" s="308"/>
      <c r="C446" s="308"/>
      <c r="D446" s="308" t="s">
        <v>932</v>
      </c>
      <c r="E446" s="664">
        <v>1</v>
      </c>
      <c r="F446" s="664">
        <v>3.9750000000000001</v>
      </c>
      <c r="G446" s="664">
        <v>0.22500000000000001</v>
      </c>
      <c r="H446" s="678">
        <v>0.3</v>
      </c>
      <c r="I446" s="664">
        <f t="shared" si="117"/>
        <v>0.26831250000000001</v>
      </c>
      <c r="J446" s="664"/>
      <c r="K446" s="682"/>
      <c r="L446" s="682"/>
      <c r="M446" s="673"/>
      <c r="N446" s="683"/>
      <c r="O446" s="664"/>
      <c r="R446" s="309"/>
      <c r="S446" s="309"/>
      <c r="T446" s="309"/>
      <c r="U446" s="309"/>
      <c r="V446" s="309"/>
    </row>
    <row r="447" spans="1:22" ht="15" thickTop="1" thickBot="1" x14ac:dyDescent="0.3">
      <c r="A447" s="307"/>
      <c r="B447" s="308"/>
      <c r="C447" s="308"/>
      <c r="D447" s="308" t="s">
        <v>933</v>
      </c>
      <c r="E447" s="664">
        <v>1</v>
      </c>
      <c r="F447" s="664">
        <v>1.45</v>
      </c>
      <c r="G447" s="664">
        <v>0.22500000000000001</v>
      </c>
      <c r="H447" s="678">
        <v>0.5</v>
      </c>
      <c r="I447" s="664">
        <f t="shared" si="117"/>
        <v>0.16312499999999999</v>
      </c>
      <c r="J447" s="664"/>
      <c r="K447" s="682"/>
      <c r="L447" s="682"/>
      <c r="M447" s="673"/>
      <c r="N447" s="683"/>
      <c r="O447" s="664"/>
      <c r="R447" s="309"/>
      <c r="S447" s="309"/>
      <c r="T447" s="309"/>
      <c r="U447" s="309"/>
      <c r="V447" s="309"/>
    </row>
    <row r="448" spans="1:22" ht="15" thickTop="1" thickBot="1" x14ac:dyDescent="0.3">
      <c r="A448" s="307"/>
      <c r="B448" s="308"/>
      <c r="C448" s="308"/>
      <c r="D448" s="308" t="s">
        <v>934</v>
      </c>
      <c r="E448" s="664">
        <v>1</v>
      </c>
      <c r="F448" s="664">
        <v>1.5549999999999999</v>
      </c>
      <c r="G448" s="664">
        <v>0.22500000000000001</v>
      </c>
      <c r="H448" s="664">
        <v>0.3</v>
      </c>
      <c r="I448" s="664">
        <f t="shared" si="117"/>
        <v>0.1049625</v>
      </c>
      <c r="J448" s="664"/>
      <c r="K448" s="682"/>
      <c r="L448" s="682"/>
      <c r="M448" s="673"/>
      <c r="N448" s="683"/>
      <c r="O448" s="664"/>
      <c r="R448" s="309"/>
      <c r="S448" s="309"/>
      <c r="T448" s="309"/>
      <c r="U448" s="309"/>
      <c r="V448" s="309"/>
    </row>
    <row r="449" spans="1:22" ht="15" thickTop="1" thickBot="1" x14ac:dyDescent="0.3">
      <c r="A449" s="307"/>
      <c r="B449" s="308"/>
      <c r="C449" s="308"/>
      <c r="D449" s="308" t="s">
        <v>935</v>
      </c>
      <c r="E449" s="664">
        <v>1</v>
      </c>
      <c r="F449" s="664">
        <v>5.9</v>
      </c>
      <c r="G449" s="664">
        <v>0.22500000000000001</v>
      </c>
      <c r="H449" s="678">
        <v>0.6</v>
      </c>
      <c r="I449" s="664">
        <f t="shared" si="117"/>
        <v>0.7965000000000001</v>
      </c>
      <c r="J449" s="664"/>
      <c r="K449" s="682"/>
      <c r="L449" s="682"/>
      <c r="M449" s="673"/>
      <c r="N449" s="683"/>
      <c r="O449" s="664"/>
      <c r="R449" s="309"/>
      <c r="S449" s="309"/>
      <c r="T449" s="309"/>
      <c r="U449" s="309"/>
      <c r="V449" s="309"/>
    </row>
    <row r="450" spans="1:22" ht="15" thickTop="1" thickBot="1" x14ac:dyDescent="0.3">
      <c r="A450" s="307"/>
      <c r="B450" s="308"/>
      <c r="C450" s="308"/>
      <c r="D450" s="308" t="s">
        <v>936</v>
      </c>
      <c r="E450" s="664">
        <v>1</v>
      </c>
      <c r="F450" s="664">
        <v>4.72</v>
      </c>
      <c r="G450" s="664">
        <v>0.22500000000000001</v>
      </c>
      <c r="H450" s="678">
        <v>0.45</v>
      </c>
      <c r="I450" s="664">
        <f t="shared" si="117"/>
        <v>0.47789999999999999</v>
      </c>
      <c r="J450" s="664"/>
      <c r="K450" s="682"/>
      <c r="L450" s="682"/>
      <c r="M450" s="673"/>
      <c r="N450" s="683"/>
      <c r="O450" s="664"/>
      <c r="R450" s="309"/>
      <c r="S450" s="309"/>
      <c r="T450" s="309"/>
      <c r="U450" s="309"/>
      <c r="V450" s="309"/>
    </row>
    <row r="451" spans="1:22" ht="15" thickTop="1" thickBot="1" x14ac:dyDescent="0.3">
      <c r="A451" s="307"/>
      <c r="B451" s="308"/>
      <c r="C451" s="308"/>
      <c r="D451" s="308" t="s">
        <v>937</v>
      </c>
      <c r="E451" s="664">
        <v>1</v>
      </c>
      <c r="F451" s="664">
        <v>6.02</v>
      </c>
      <c r="G451" s="664">
        <v>0.22500000000000001</v>
      </c>
      <c r="H451" s="678">
        <v>0.6</v>
      </c>
      <c r="I451" s="664">
        <f t="shared" ref="I451:I452" si="121">H451*G451*F451*E451</f>
        <v>0.81269999999999998</v>
      </c>
      <c r="J451" s="664"/>
      <c r="K451" s="682"/>
      <c r="L451" s="682"/>
      <c r="M451" s="673"/>
      <c r="N451" s="683"/>
      <c r="O451" s="664"/>
      <c r="R451" s="309"/>
      <c r="S451" s="309"/>
      <c r="T451" s="309"/>
      <c r="U451" s="309"/>
      <c r="V451" s="309"/>
    </row>
    <row r="452" spans="1:22" ht="15" thickTop="1" thickBot="1" x14ac:dyDescent="0.3">
      <c r="A452" s="307"/>
      <c r="B452" s="308"/>
      <c r="C452" s="308"/>
      <c r="D452" s="308" t="s">
        <v>938</v>
      </c>
      <c r="E452" s="664">
        <v>1</v>
      </c>
      <c r="F452" s="664">
        <v>1.57</v>
      </c>
      <c r="G452" s="664">
        <v>0.22500000000000001</v>
      </c>
      <c r="H452" s="678">
        <v>0.3</v>
      </c>
      <c r="I452" s="664">
        <f t="shared" si="121"/>
        <v>0.10597500000000001</v>
      </c>
      <c r="J452" s="664">
        <f>SUM(I423:I452)</f>
        <v>12.582450000000001</v>
      </c>
      <c r="K452" s="679">
        <f>$K$2</f>
        <v>1.05</v>
      </c>
      <c r="L452" s="679">
        <f t="shared" ref="L452" si="122">K452*J452</f>
        <v>13.211572500000003</v>
      </c>
      <c r="M452" s="680">
        <f t="shared" ref="M452" si="123">ROUND(L452,1)</f>
        <v>13.2</v>
      </c>
      <c r="N452" s="681">
        <f t="shared" ref="N452" si="124">ROUNDUP(M452,0)</f>
        <v>14</v>
      </c>
      <c r="O452" s="664" t="s">
        <v>872</v>
      </c>
      <c r="R452" s="309"/>
      <c r="S452" s="309"/>
      <c r="T452" s="309"/>
      <c r="U452" s="309"/>
      <c r="V452" s="309"/>
    </row>
    <row r="453" spans="1:22" ht="15" thickTop="1" thickBot="1" x14ac:dyDescent="0.3">
      <c r="A453" s="307"/>
      <c r="B453" s="308"/>
      <c r="C453" s="308"/>
      <c r="D453" s="308"/>
      <c r="E453" s="664"/>
      <c r="F453" s="664"/>
      <c r="G453" s="664"/>
      <c r="H453" s="664"/>
      <c r="I453" s="678"/>
      <c r="J453" s="664"/>
      <c r="K453" s="682"/>
      <c r="L453" s="682"/>
      <c r="M453" s="673"/>
      <c r="N453" s="683"/>
      <c r="O453" s="664"/>
      <c r="R453" s="309"/>
      <c r="S453" s="309"/>
      <c r="T453" s="309"/>
      <c r="U453" s="309"/>
      <c r="V453" s="309"/>
    </row>
    <row r="454" spans="1:22" ht="15" thickTop="1" thickBot="1" x14ac:dyDescent="0.3">
      <c r="A454" s="307"/>
      <c r="B454" s="663" t="str">
        <f>concrete!B110</f>
        <v>In Reinforced beam at Roof Top floor level</v>
      </c>
      <c r="C454" s="308"/>
      <c r="D454" s="308" t="s">
        <v>939</v>
      </c>
      <c r="E454" s="664">
        <v>1</v>
      </c>
      <c r="F454" s="664">
        <v>6.05</v>
      </c>
      <c r="G454" s="664">
        <v>0.22500000000000001</v>
      </c>
      <c r="H454" s="678">
        <v>0.6</v>
      </c>
      <c r="I454" s="664">
        <f t="shared" ref="I454:I469" si="125">H454*G454*F454*E454</f>
        <v>0.81674999999999998</v>
      </c>
      <c r="J454" s="664"/>
      <c r="K454" s="682"/>
      <c r="L454" s="682"/>
      <c r="M454" s="673"/>
      <c r="N454" s="683"/>
      <c r="O454" s="664"/>
      <c r="R454" s="309"/>
      <c r="S454" s="309"/>
      <c r="T454" s="309"/>
      <c r="U454" s="309"/>
      <c r="V454" s="309"/>
    </row>
    <row r="455" spans="1:22" ht="15" thickTop="1" thickBot="1" x14ac:dyDescent="0.3">
      <c r="A455" s="307"/>
      <c r="B455" s="308"/>
      <c r="C455" s="308"/>
      <c r="D455" s="308" t="s">
        <v>940</v>
      </c>
      <c r="E455" s="664">
        <v>1</v>
      </c>
      <c r="F455" s="664">
        <v>6.05</v>
      </c>
      <c r="G455" s="664">
        <v>0.22500000000000001</v>
      </c>
      <c r="H455" s="678">
        <v>0.6</v>
      </c>
      <c r="I455" s="664">
        <f t="shared" si="125"/>
        <v>0.81674999999999998</v>
      </c>
      <c r="J455" s="664"/>
      <c r="K455" s="682"/>
      <c r="L455" s="682"/>
      <c r="M455" s="673"/>
      <c r="N455" s="683"/>
      <c r="O455" s="664"/>
      <c r="R455" s="309"/>
      <c r="S455" s="309"/>
      <c r="T455" s="309"/>
      <c r="U455" s="309"/>
      <c r="V455" s="309"/>
    </row>
    <row r="456" spans="1:22" ht="15" thickTop="1" thickBot="1" x14ac:dyDescent="0.3">
      <c r="A456" s="307"/>
      <c r="B456" s="308"/>
      <c r="C456" s="308"/>
      <c r="D456" s="308" t="s">
        <v>941</v>
      </c>
      <c r="E456" s="664">
        <v>1</v>
      </c>
      <c r="F456" s="664">
        <v>4.95</v>
      </c>
      <c r="G456" s="664">
        <v>0.22500000000000001</v>
      </c>
      <c r="H456" s="678">
        <v>0.45</v>
      </c>
      <c r="I456" s="664">
        <f t="shared" si="125"/>
        <v>0.50118750000000001</v>
      </c>
      <c r="J456" s="664"/>
      <c r="K456" s="682"/>
      <c r="L456" s="682"/>
      <c r="M456" s="673"/>
      <c r="N456" s="683"/>
      <c r="O456" s="664"/>
      <c r="R456" s="309"/>
      <c r="S456" s="309"/>
      <c r="T456" s="309"/>
      <c r="U456" s="309"/>
      <c r="V456" s="309"/>
    </row>
    <row r="457" spans="1:22" ht="15" thickTop="1" thickBot="1" x14ac:dyDescent="0.3">
      <c r="A457" s="307"/>
      <c r="B457" s="308"/>
      <c r="C457" s="308"/>
      <c r="D457" s="308" t="s">
        <v>942</v>
      </c>
      <c r="E457" s="664">
        <v>1</v>
      </c>
      <c r="F457" s="664">
        <v>4.95</v>
      </c>
      <c r="G457" s="664">
        <v>0.22500000000000001</v>
      </c>
      <c r="H457" s="664">
        <v>0.45</v>
      </c>
      <c r="I457" s="664">
        <f t="shared" si="125"/>
        <v>0.50118750000000001</v>
      </c>
      <c r="J457" s="664"/>
      <c r="K457" s="682"/>
      <c r="L457" s="682"/>
      <c r="M457" s="673"/>
      <c r="N457" s="683"/>
      <c r="O457" s="664"/>
      <c r="R457" s="309"/>
      <c r="S457" s="309"/>
      <c r="T457" s="309"/>
      <c r="U457" s="309"/>
      <c r="V457" s="309"/>
    </row>
    <row r="458" spans="1:22" ht="15" thickTop="1" thickBot="1" x14ac:dyDescent="0.3">
      <c r="A458" s="307"/>
      <c r="B458" s="308"/>
      <c r="C458" s="308"/>
      <c r="D458" s="308" t="s">
        <v>943</v>
      </c>
      <c r="E458" s="664">
        <v>1</v>
      </c>
      <c r="F458" s="664">
        <v>5.03</v>
      </c>
      <c r="G458" s="664">
        <v>0.22500000000000001</v>
      </c>
      <c r="H458" s="664">
        <v>0.5</v>
      </c>
      <c r="I458" s="664">
        <f t="shared" si="125"/>
        <v>0.56587500000000002</v>
      </c>
      <c r="J458" s="664"/>
      <c r="K458" s="682"/>
      <c r="L458" s="682"/>
      <c r="M458" s="673"/>
      <c r="N458" s="683"/>
      <c r="O458" s="664"/>
      <c r="R458" s="309"/>
      <c r="S458" s="309"/>
      <c r="T458" s="309"/>
      <c r="U458" s="309"/>
      <c r="V458" s="309"/>
    </row>
    <row r="459" spans="1:22" ht="15" thickTop="1" thickBot="1" x14ac:dyDescent="0.3">
      <c r="A459" s="307"/>
      <c r="B459" s="308"/>
      <c r="C459" s="308"/>
      <c r="D459" s="308" t="s">
        <v>944</v>
      </c>
      <c r="E459" s="664">
        <v>1</v>
      </c>
      <c r="F459" s="664">
        <v>5.15</v>
      </c>
      <c r="G459" s="664">
        <v>0.22500000000000001</v>
      </c>
      <c r="H459" s="678">
        <v>0.6</v>
      </c>
      <c r="I459" s="664">
        <f t="shared" si="125"/>
        <v>0.69525000000000015</v>
      </c>
      <c r="J459" s="664"/>
      <c r="K459" s="682"/>
      <c r="L459" s="682"/>
      <c r="M459" s="673"/>
      <c r="N459" s="683"/>
      <c r="O459" s="664"/>
      <c r="R459" s="309"/>
      <c r="S459" s="309"/>
      <c r="T459" s="309"/>
      <c r="U459" s="309"/>
      <c r="V459" s="309"/>
    </row>
    <row r="460" spans="1:22" ht="15" thickTop="1" thickBot="1" x14ac:dyDescent="0.3">
      <c r="A460" s="307"/>
      <c r="B460" s="308"/>
      <c r="C460" s="308"/>
      <c r="D460" s="308" t="s">
        <v>945</v>
      </c>
      <c r="E460" s="664">
        <v>1</v>
      </c>
      <c r="F460" s="664">
        <v>3.3</v>
      </c>
      <c r="G460" s="664">
        <v>0.22500000000000001</v>
      </c>
      <c r="H460" s="678">
        <v>0.3</v>
      </c>
      <c r="I460" s="664">
        <f t="shared" si="125"/>
        <v>0.22275</v>
      </c>
      <c r="J460" s="664"/>
      <c r="K460" s="682"/>
      <c r="L460" s="682"/>
      <c r="M460" s="673"/>
      <c r="N460" s="683"/>
      <c r="O460" s="664"/>
      <c r="R460" s="309"/>
      <c r="S460" s="309"/>
      <c r="T460" s="309"/>
      <c r="U460" s="309"/>
      <c r="V460" s="309"/>
    </row>
    <row r="461" spans="1:22" ht="15" thickTop="1" thickBot="1" x14ac:dyDescent="0.3">
      <c r="A461" s="307"/>
      <c r="B461" s="308"/>
      <c r="C461" s="308"/>
      <c r="D461" s="308" t="s">
        <v>946</v>
      </c>
      <c r="E461" s="664">
        <v>1</v>
      </c>
      <c r="F461" s="664">
        <v>4.1100000000000003</v>
      </c>
      <c r="G461" s="664">
        <v>0.22500000000000001</v>
      </c>
      <c r="H461" s="664">
        <v>0.3</v>
      </c>
      <c r="I461" s="664">
        <f t="shared" si="125"/>
        <v>0.27742500000000003</v>
      </c>
      <c r="J461" s="664"/>
      <c r="K461" s="682"/>
      <c r="L461" s="682"/>
      <c r="M461" s="673"/>
      <c r="N461" s="683"/>
      <c r="O461" s="664"/>
      <c r="R461" s="309"/>
      <c r="S461" s="309"/>
      <c r="T461" s="309"/>
      <c r="U461" s="309"/>
      <c r="V461" s="309"/>
    </row>
    <row r="462" spans="1:22" ht="15" thickTop="1" thickBot="1" x14ac:dyDescent="0.3">
      <c r="A462" s="307"/>
      <c r="B462" s="308"/>
      <c r="C462" s="308"/>
      <c r="D462" s="308" t="s">
        <v>947</v>
      </c>
      <c r="E462" s="664">
        <v>1</v>
      </c>
      <c r="F462" s="664">
        <v>2.92</v>
      </c>
      <c r="G462" s="664">
        <v>0.22500000000000001</v>
      </c>
      <c r="H462" s="664">
        <v>0.3</v>
      </c>
      <c r="I462" s="664">
        <f t="shared" si="125"/>
        <v>0.1971</v>
      </c>
      <c r="J462" s="664"/>
      <c r="K462" s="682"/>
      <c r="L462" s="682"/>
      <c r="M462" s="673"/>
      <c r="N462" s="683"/>
      <c r="O462" s="664"/>
      <c r="R462" s="309"/>
      <c r="S462" s="309"/>
      <c r="T462" s="309"/>
      <c r="U462" s="309"/>
      <c r="V462" s="309"/>
    </row>
    <row r="463" spans="1:22" ht="15" thickTop="1" thickBot="1" x14ac:dyDescent="0.3">
      <c r="A463" s="307"/>
      <c r="B463" s="308"/>
      <c r="C463" s="308"/>
      <c r="D463" s="308" t="s">
        <v>948</v>
      </c>
      <c r="E463" s="664">
        <v>1</v>
      </c>
      <c r="F463" s="664">
        <v>3.9750000000000001</v>
      </c>
      <c r="G463" s="664">
        <v>0.22500000000000001</v>
      </c>
      <c r="H463" s="664">
        <v>0.3</v>
      </c>
      <c r="I463" s="664">
        <f t="shared" si="125"/>
        <v>0.26831250000000001</v>
      </c>
      <c r="J463" s="664"/>
      <c r="K463" s="682"/>
      <c r="L463" s="682"/>
      <c r="M463" s="673"/>
      <c r="N463" s="683"/>
      <c r="O463" s="664"/>
      <c r="R463" s="309"/>
      <c r="S463" s="309"/>
      <c r="T463" s="309"/>
      <c r="U463" s="309"/>
      <c r="V463" s="309"/>
    </row>
    <row r="464" spans="1:22" ht="15" thickTop="1" thickBot="1" x14ac:dyDescent="0.3">
      <c r="A464" s="307"/>
      <c r="B464" s="308"/>
      <c r="C464" s="308"/>
      <c r="D464" s="308" t="s">
        <v>949</v>
      </c>
      <c r="E464" s="664">
        <v>1</v>
      </c>
      <c r="F464" s="664">
        <v>4.1100000000000003</v>
      </c>
      <c r="G464" s="664">
        <v>0.22500000000000001</v>
      </c>
      <c r="H464" s="664">
        <v>0.5</v>
      </c>
      <c r="I464" s="664">
        <f t="shared" si="125"/>
        <v>0.46237500000000004</v>
      </c>
      <c r="J464" s="664"/>
      <c r="K464" s="682"/>
      <c r="L464" s="682"/>
      <c r="M464" s="673"/>
      <c r="N464" s="683"/>
      <c r="O464" s="664"/>
      <c r="R464" s="309"/>
      <c r="S464" s="309"/>
      <c r="T464" s="309"/>
      <c r="U464" s="309"/>
      <c r="V464" s="309"/>
    </row>
    <row r="465" spans="1:22" ht="15" thickTop="1" thickBot="1" x14ac:dyDescent="0.3">
      <c r="A465" s="307"/>
      <c r="B465" s="308"/>
      <c r="C465" s="308"/>
      <c r="D465" s="308" t="s">
        <v>950</v>
      </c>
      <c r="E465" s="664">
        <v>1</v>
      </c>
      <c r="F465" s="664">
        <v>2.92</v>
      </c>
      <c r="G465" s="664">
        <v>0.22500000000000001</v>
      </c>
      <c r="H465" s="664">
        <v>0.3</v>
      </c>
      <c r="I465" s="664">
        <f t="shared" si="125"/>
        <v>0.1971</v>
      </c>
      <c r="J465" s="664"/>
      <c r="K465" s="682"/>
      <c r="L465" s="682"/>
      <c r="M465" s="673"/>
      <c r="N465" s="683"/>
      <c r="O465" s="664"/>
      <c r="R465" s="309"/>
      <c r="S465" s="309"/>
      <c r="T465" s="309"/>
      <c r="U465" s="309"/>
      <c r="V465" s="309"/>
    </row>
    <row r="466" spans="1:22" ht="15" thickTop="1" thickBot="1" x14ac:dyDescent="0.3">
      <c r="A466" s="307"/>
      <c r="B466" s="308"/>
      <c r="C466" s="308"/>
      <c r="D466" s="308" t="s">
        <v>951</v>
      </c>
      <c r="E466" s="664">
        <v>1</v>
      </c>
      <c r="F466" s="664">
        <v>5.64</v>
      </c>
      <c r="G466" s="664">
        <v>0.22500000000000001</v>
      </c>
      <c r="H466" s="664">
        <v>0.5</v>
      </c>
      <c r="I466" s="664">
        <f t="shared" si="125"/>
        <v>0.63449999999999995</v>
      </c>
      <c r="J466" s="664"/>
      <c r="K466" s="682"/>
      <c r="L466" s="682"/>
      <c r="M466" s="673"/>
      <c r="N466" s="683"/>
      <c r="O466" s="664"/>
      <c r="R466" s="309"/>
      <c r="S466" s="309"/>
      <c r="T466" s="309"/>
      <c r="U466" s="309"/>
      <c r="V466" s="309"/>
    </row>
    <row r="467" spans="1:22" ht="15" thickTop="1" thickBot="1" x14ac:dyDescent="0.3">
      <c r="A467" s="307"/>
      <c r="B467" s="308"/>
      <c r="C467" s="308"/>
      <c r="D467" s="308" t="s">
        <v>952</v>
      </c>
      <c r="E467" s="664">
        <v>1</v>
      </c>
      <c r="F467" s="664">
        <v>1.56</v>
      </c>
      <c r="G467" s="664">
        <v>0.22500000000000001</v>
      </c>
      <c r="H467" s="664">
        <v>0.3</v>
      </c>
      <c r="I467" s="664">
        <f t="shared" si="125"/>
        <v>0.1053</v>
      </c>
      <c r="J467" s="664"/>
      <c r="K467" s="682"/>
      <c r="L467" s="682"/>
      <c r="M467" s="673"/>
      <c r="N467" s="683"/>
      <c r="O467" s="664"/>
      <c r="R467" s="309"/>
      <c r="S467" s="309"/>
      <c r="T467" s="309"/>
      <c r="U467" s="309"/>
      <c r="V467" s="309"/>
    </row>
    <row r="468" spans="1:22" ht="15" thickTop="1" thickBot="1" x14ac:dyDescent="0.3">
      <c r="A468" s="307"/>
      <c r="B468" s="308"/>
      <c r="C468" s="308"/>
      <c r="D468" s="308" t="s">
        <v>953</v>
      </c>
      <c r="E468" s="664">
        <v>1</v>
      </c>
      <c r="F468" s="664">
        <v>6.05</v>
      </c>
      <c r="G468" s="664">
        <v>0.22500000000000001</v>
      </c>
      <c r="H468" s="664">
        <v>0.6</v>
      </c>
      <c r="I468" s="664">
        <f t="shared" si="125"/>
        <v>0.81674999999999998</v>
      </c>
      <c r="J468" s="664"/>
      <c r="K468" s="682"/>
      <c r="L468" s="682"/>
      <c r="M468" s="673"/>
      <c r="N468" s="683"/>
      <c r="O468" s="664"/>
      <c r="R468" s="309"/>
      <c r="S468" s="309"/>
      <c r="T468" s="309"/>
      <c r="U468" s="309"/>
      <c r="V468" s="309"/>
    </row>
    <row r="469" spans="1:22" ht="15" thickTop="1" thickBot="1" x14ac:dyDescent="0.3">
      <c r="A469" s="307"/>
      <c r="B469" s="308"/>
      <c r="C469" s="308"/>
      <c r="D469" s="308" t="s">
        <v>954</v>
      </c>
      <c r="E469" s="664">
        <v>1</v>
      </c>
      <c r="F469" s="664">
        <v>1.57</v>
      </c>
      <c r="G469" s="664">
        <v>0.22500000000000001</v>
      </c>
      <c r="H469" s="664">
        <v>0.3</v>
      </c>
      <c r="I469" s="664">
        <f t="shared" si="125"/>
        <v>0.10597500000000001</v>
      </c>
      <c r="J469" s="664">
        <f>SUM(I454:I469)</f>
        <v>7.1845874999999992</v>
      </c>
      <c r="K469" s="679">
        <f>$K$2</f>
        <v>1.05</v>
      </c>
      <c r="L469" s="679">
        <f t="shared" ref="L469" si="126">K469*J469</f>
        <v>7.5438168749999992</v>
      </c>
      <c r="M469" s="680">
        <f t="shared" ref="M469" si="127">ROUND(L469,1)</f>
        <v>7.5</v>
      </c>
      <c r="N469" s="681">
        <f t="shared" ref="N469" si="128">ROUNDUP(M469,0)</f>
        <v>8</v>
      </c>
      <c r="O469" s="664" t="s">
        <v>872</v>
      </c>
      <c r="R469" s="309"/>
      <c r="S469" s="309"/>
      <c r="T469" s="309"/>
      <c r="U469" s="309"/>
      <c r="V469" s="309"/>
    </row>
    <row r="470" spans="1:22" ht="15" thickTop="1" thickBot="1" x14ac:dyDescent="0.3">
      <c r="A470" s="307"/>
      <c r="B470" s="308"/>
      <c r="C470" s="308"/>
      <c r="D470" s="308"/>
      <c r="E470" s="664"/>
      <c r="F470" s="664"/>
      <c r="G470" s="664"/>
      <c r="H470" s="664"/>
      <c r="I470" s="664"/>
      <c r="J470" s="664"/>
      <c r="K470" s="682"/>
      <c r="L470" s="682"/>
      <c r="M470" s="673"/>
      <c r="N470" s="683"/>
      <c r="O470" s="664"/>
      <c r="R470" s="309"/>
      <c r="S470" s="309"/>
      <c r="T470" s="309"/>
      <c r="U470" s="309"/>
      <c r="V470" s="309"/>
    </row>
    <row r="471" spans="1:22" ht="15" thickTop="1" thickBot="1" x14ac:dyDescent="0.3">
      <c r="A471" s="307"/>
      <c r="B471" s="663" t="str">
        <f>concrete!B112</f>
        <v>In Reinforced slab at First floor level</v>
      </c>
      <c r="C471" s="308"/>
      <c r="D471" s="308"/>
      <c r="E471" s="664">
        <v>1</v>
      </c>
      <c r="F471" s="664">
        <v>225.75316900000001</v>
      </c>
      <c r="G471" s="664"/>
      <c r="H471" s="664">
        <v>0.13</v>
      </c>
      <c r="I471" s="664">
        <f>F471*E471*H471</f>
        <v>29.347911970000002</v>
      </c>
      <c r="J471" s="664">
        <f>SUM(I471)</f>
        <v>29.347911970000002</v>
      </c>
      <c r="K471" s="679">
        <f>$K$2</f>
        <v>1.05</v>
      </c>
      <c r="L471" s="679">
        <f t="shared" ref="L471" si="129">K471*J471</f>
        <v>30.815307568500003</v>
      </c>
      <c r="M471" s="680">
        <f t="shared" ref="M471" si="130">ROUND(L471,1)</f>
        <v>30.8</v>
      </c>
      <c r="N471" s="681">
        <f t="shared" ref="N471" si="131">ROUNDUP(M471,0)</f>
        <v>31</v>
      </c>
      <c r="O471" s="664" t="s">
        <v>872</v>
      </c>
      <c r="R471" s="309"/>
      <c r="S471" s="309"/>
      <c r="T471" s="309"/>
      <c r="U471" s="309"/>
      <c r="V471" s="309"/>
    </row>
    <row r="472" spans="1:22" ht="15" thickTop="1" thickBot="1" x14ac:dyDescent="0.3">
      <c r="A472" s="307"/>
      <c r="B472" s="308"/>
      <c r="C472" s="308"/>
      <c r="D472" s="308"/>
      <c r="E472" s="664"/>
      <c r="F472" s="664"/>
      <c r="G472" s="664"/>
      <c r="H472" s="664"/>
      <c r="I472" s="664"/>
      <c r="J472" s="664"/>
      <c r="K472" s="682"/>
      <c r="L472" s="682"/>
      <c r="M472" s="673"/>
      <c r="N472" s="683"/>
      <c r="O472" s="664"/>
      <c r="R472" s="309"/>
      <c r="S472" s="309"/>
      <c r="T472" s="309"/>
      <c r="U472" s="309"/>
      <c r="V472" s="309"/>
    </row>
    <row r="473" spans="1:22" ht="15" thickTop="1" thickBot="1" x14ac:dyDescent="0.3">
      <c r="A473" s="307"/>
      <c r="B473" s="308"/>
      <c r="C473" s="308"/>
      <c r="D473" s="308"/>
      <c r="E473" s="664"/>
      <c r="F473" s="664"/>
      <c r="G473" s="664"/>
      <c r="H473" s="664"/>
      <c r="I473" s="664"/>
      <c r="J473" s="664"/>
      <c r="K473" s="682"/>
      <c r="L473" s="682"/>
      <c r="M473" s="673"/>
      <c r="N473" s="683"/>
      <c r="O473" s="664"/>
      <c r="R473" s="309"/>
      <c r="S473" s="309"/>
      <c r="T473" s="309"/>
      <c r="U473" s="309"/>
      <c r="V473" s="309"/>
    </row>
    <row r="474" spans="1:22" ht="15" thickTop="1" thickBot="1" x14ac:dyDescent="0.3">
      <c r="A474" s="307"/>
      <c r="B474" s="663" t="str">
        <f>concrete!B113</f>
        <v>In Reinforced Slab at second floor level</v>
      </c>
      <c r="C474" s="308"/>
      <c r="D474" s="308"/>
      <c r="E474" s="664">
        <v>1</v>
      </c>
      <c r="F474" s="664">
        <v>216.099737</v>
      </c>
      <c r="G474" s="664"/>
      <c r="H474" s="664">
        <v>0.13</v>
      </c>
      <c r="I474" s="664">
        <f>F474*E474*H474</f>
        <v>28.092965810000003</v>
      </c>
      <c r="J474" s="664">
        <f>SUM(I474)</f>
        <v>28.092965810000003</v>
      </c>
      <c r="K474" s="679">
        <f>$K$2</f>
        <v>1.05</v>
      </c>
      <c r="L474" s="679">
        <f t="shared" ref="L474" si="132">K474*J474</f>
        <v>29.497614100500005</v>
      </c>
      <c r="M474" s="680">
        <f t="shared" ref="M474" si="133">ROUND(L474,1)</f>
        <v>29.5</v>
      </c>
      <c r="N474" s="681">
        <f t="shared" ref="N474" si="134">ROUNDUP(M474,0)</f>
        <v>30</v>
      </c>
      <c r="O474" s="664" t="s">
        <v>872</v>
      </c>
      <c r="R474" s="309"/>
      <c r="S474" s="309"/>
      <c r="T474" s="309"/>
      <c r="U474" s="309"/>
      <c r="V474" s="309"/>
    </row>
    <row r="475" spans="1:22" ht="15" thickTop="1" thickBot="1" x14ac:dyDescent="0.3">
      <c r="A475" s="307"/>
      <c r="B475" s="308"/>
      <c r="C475" s="308"/>
      <c r="D475" s="308"/>
      <c r="E475" s="664"/>
      <c r="F475" s="664"/>
      <c r="G475" s="664"/>
      <c r="H475" s="664"/>
      <c r="I475" s="664"/>
      <c r="J475" s="664"/>
      <c r="K475" s="682"/>
      <c r="L475" s="682"/>
      <c r="M475" s="673"/>
      <c r="N475" s="683"/>
      <c r="O475" s="664"/>
      <c r="R475" s="309"/>
      <c r="S475" s="309"/>
      <c r="T475" s="309"/>
      <c r="U475" s="309"/>
      <c r="V475" s="309"/>
    </row>
    <row r="476" spans="1:22" ht="15" thickTop="1" thickBot="1" x14ac:dyDescent="0.3">
      <c r="A476" s="307"/>
      <c r="B476" s="308"/>
      <c r="C476" s="308"/>
      <c r="D476" s="308"/>
      <c r="E476" s="664"/>
      <c r="F476" s="664"/>
      <c r="G476" s="664"/>
      <c r="H476" s="664"/>
      <c r="I476" s="664"/>
      <c r="J476" s="664"/>
      <c r="K476" s="682"/>
      <c r="L476" s="682"/>
      <c r="M476" s="673"/>
      <c r="N476" s="683"/>
      <c r="O476" s="664"/>
      <c r="R476" s="309"/>
      <c r="S476" s="309"/>
      <c r="T476" s="309"/>
      <c r="U476" s="309"/>
      <c r="V476" s="309"/>
    </row>
    <row r="477" spans="1:22" ht="15" thickTop="1" thickBot="1" x14ac:dyDescent="0.3">
      <c r="A477" s="307"/>
      <c r="B477" s="663" t="str">
        <f>concrete!B114</f>
        <v>In Reinforced Slab at Roof Top floor level</v>
      </c>
      <c r="C477" s="308"/>
      <c r="D477" s="308"/>
      <c r="E477" s="664">
        <v>1</v>
      </c>
      <c r="F477" s="664">
        <v>57.836393999999999</v>
      </c>
      <c r="G477" s="664"/>
      <c r="H477" s="664">
        <v>0.13</v>
      </c>
      <c r="I477" s="664">
        <f>F477*E477*H477</f>
        <v>7.5187312200000003</v>
      </c>
      <c r="J477" s="664">
        <f>SUM(I477)</f>
        <v>7.5187312200000003</v>
      </c>
      <c r="K477" s="679">
        <f>$K$2</f>
        <v>1.05</v>
      </c>
      <c r="L477" s="679">
        <f t="shared" ref="L477" si="135">K477*J477</f>
        <v>7.8946677810000008</v>
      </c>
      <c r="M477" s="680">
        <f t="shared" ref="M477" si="136">ROUND(L477,1)</f>
        <v>7.9</v>
      </c>
      <c r="N477" s="681">
        <f t="shared" ref="N477" si="137">ROUNDUP(M477,0)</f>
        <v>8</v>
      </c>
      <c r="O477" s="664" t="s">
        <v>872</v>
      </c>
      <c r="R477" s="309"/>
      <c r="S477" s="309"/>
      <c r="T477" s="309"/>
      <c r="U477" s="309"/>
      <c r="V477" s="309"/>
    </row>
    <row r="478" spans="1:22" ht="15" thickTop="1" thickBot="1" x14ac:dyDescent="0.3">
      <c r="A478" s="307"/>
      <c r="B478" s="663"/>
      <c r="C478" s="308"/>
      <c r="D478" s="308"/>
      <c r="E478" s="664"/>
      <c r="F478" s="664"/>
      <c r="G478" s="664"/>
      <c r="H478" s="664"/>
      <c r="I478" s="664"/>
      <c r="J478" s="664"/>
      <c r="K478" s="682"/>
      <c r="L478" s="682"/>
      <c r="M478" s="673"/>
      <c r="N478" s="683"/>
      <c r="O478" s="664"/>
      <c r="R478" s="309"/>
      <c r="S478" s="309"/>
      <c r="T478" s="309"/>
      <c r="U478" s="309"/>
      <c r="V478" s="309"/>
    </row>
    <row r="479" spans="1:22" ht="15" thickTop="1" thickBot="1" x14ac:dyDescent="0.3">
      <c r="A479" s="307"/>
      <c r="B479" s="308"/>
      <c r="C479" s="308"/>
      <c r="D479" s="308"/>
      <c r="E479" s="664"/>
      <c r="F479" s="664"/>
      <c r="G479" s="664"/>
      <c r="H479" s="664"/>
      <c r="I479" s="664"/>
      <c r="J479" s="664"/>
      <c r="K479" s="682"/>
      <c r="L479" s="682"/>
      <c r="M479" s="673"/>
      <c r="N479" s="683"/>
      <c r="O479" s="664"/>
      <c r="R479" s="309"/>
      <c r="S479" s="309"/>
      <c r="T479" s="309"/>
      <c r="U479" s="309"/>
      <c r="V479" s="309"/>
    </row>
    <row r="480" spans="1:22" ht="15" thickTop="1" thickBot="1" x14ac:dyDescent="0.3">
      <c r="A480" s="307"/>
      <c r="B480" s="663" t="str">
        <f>concrete!B116</f>
        <v>D  -  FORM WORK</v>
      </c>
      <c r="C480" s="308"/>
      <c r="D480" s="308"/>
      <c r="E480" s="664"/>
      <c r="F480" s="664"/>
      <c r="G480" s="664"/>
      <c r="H480" s="664"/>
      <c r="I480" s="664"/>
      <c r="J480" s="664"/>
      <c r="K480" s="682"/>
      <c r="L480" s="682"/>
      <c r="M480" s="673"/>
      <c r="N480" s="683"/>
      <c r="O480" s="664"/>
      <c r="R480" s="309"/>
      <c r="S480" s="309"/>
      <c r="T480" s="309"/>
      <c r="U480" s="309"/>
      <c r="V480" s="309"/>
    </row>
    <row r="481" spans="1:22" ht="15" thickTop="1" thickBot="1" x14ac:dyDescent="0.3">
      <c r="A481" s="307"/>
      <c r="B481" s="663"/>
      <c r="C481" s="308"/>
      <c r="D481" s="308"/>
      <c r="E481" s="664"/>
      <c r="F481" s="664"/>
      <c r="G481" s="664"/>
      <c r="H481" s="664"/>
      <c r="I481" s="664"/>
      <c r="J481" s="664"/>
      <c r="K481" s="682"/>
      <c r="L481" s="682"/>
      <c r="M481" s="673"/>
      <c r="N481" s="683"/>
      <c r="O481" s="664"/>
      <c r="R481" s="309"/>
      <c r="S481" s="309"/>
      <c r="T481" s="309"/>
      <c r="U481" s="309"/>
      <c r="V481" s="309"/>
    </row>
    <row r="482" spans="1:22" ht="15" thickTop="1" thickBot="1" x14ac:dyDescent="0.3">
      <c r="A482" s="307"/>
      <c r="B482" s="663" t="str">
        <f>concrete!B133</f>
        <v>Up to DPC level</v>
      </c>
      <c r="C482" s="308"/>
      <c r="D482" s="308"/>
      <c r="E482" s="664"/>
      <c r="F482" s="664"/>
      <c r="G482" s="664"/>
      <c r="H482" s="664"/>
      <c r="I482" s="664"/>
      <c r="J482" s="664"/>
      <c r="K482" s="682"/>
      <c r="L482" s="682"/>
      <c r="M482" s="673"/>
      <c r="N482" s="683"/>
      <c r="O482" s="664"/>
      <c r="R482" s="309"/>
      <c r="S482" s="309"/>
      <c r="T482" s="309"/>
      <c r="U482" s="309"/>
      <c r="V482" s="309"/>
    </row>
    <row r="483" spans="1:22" ht="15" thickTop="1" thickBot="1" x14ac:dyDescent="0.3">
      <c r="A483" s="307"/>
      <c r="B483" s="663"/>
      <c r="C483" s="308"/>
      <c r="D483" s="308"/>
      <c r="E483" s="664"/>
      <c r="F483" s="664"/>
      <c r="G483" s="664"/>
      <c r="H483" s="664"/>
      <c r="I483" s="664"/>
      <c r="J483" s="664"/>
      <c r="K483" s="682"/>
      <c r="L483" s="682"/>
      <c r="M483" s="673"/>
      <c r="N483" s="683"/>
      <c r="O483" s="664"/>
      <c r="R483" s="309"/>
      <c r="S483" s="309"/>
      <c r="T483" s="309"/>
      <c r="U483" s="309"/>
      <c r="V483" s="309"/>
    </row>
    <row r="484" spans="1:22" ht="15" thickTop="1" thickBot="1" x14ac:dyDescent="0.3">
      <c r="A484" s="307"/>
      <c r="B484" s="663" t="str">
        <f>concrete!B139</f>
        <v>Plinth beam</v>
      </c>
      <c r="C484" s="308"/>
      <c r="D484" s="308" t="s">
        <v>870</v>
      </c>
      <c r="E484" s="664">
        <v>2</v>
      </c>
      <c r="F484" s="678">
        <v>5.15</v>
      </c>
      <c r="G484" s="664">
        <v>0.35</v>
      </c>
      <c r="H484" s="678">
        <v>2</v>
      </c>
      <c r="I484" s="664">
        <f t="shared" ref="I484:I498" si="138">H484*G484*F484*E484</f>
        <v>7.21</v>
      </c>
      <c r="J484" s="664"/>
      <c r="K484" s="682"/>
      <c r="L484" s="682"/>
      <c r="M484" s="673"/>
      <c r="N484" s="683"/>
      <c r="O484" s="664"/>
      <c r="R484" s="309"/>
      <c r="S484" s="309"/>
      <c r="T484" s="309"/>
      <c r="U484" s="309"/>
      <c r="V484" s="309"/>
    </row>
    <row r="485" spans="1:22" ht="15" thickTop="1" thickBot="1" x14ac:dyDescent="0.3">
      <c r="A485" s="307"/>
      <c r="B485" s="308"/>
      <c r="C485" s="308"/>
      <c r="D485" s="308"/>
      <c r="E485" s="664">
        <v>1</v>
      </c>
      <c r="F485" s="664">
        <v>1.08</v>
      </c>
      <c r="G485" s="664">
        <v>0.35</v>
      </c>
      <c r="H485" s="678">
        <v>2</v>
      </c>
      <c r="I485" s="664">
        <f t="shared" si="138"/>
        <v>0.75600000000000001</v>
      </c>
      <c r="J485" s="664"/>
      <c r="K485" s="682"/>
      <c r="L485" s="682"/>
      <c r="M485" s="673"/>
      <c r="N485" s="683"/>
      <c r="O485" s="664"/>
      <c r="R485" s="309"/>
      <c r="S485" s="309"/>
      <c r="T485" s="309"/>
      <c r="U485" s="309"/>
      <c r="V485" s="309"/>
    </row>
    <row r="486" spans="1:22" ht="15" thickTop="1" thickBot="1" x14ac:dyDescent="0.3">
      <c r="A486" s="307"/>
      <c r="B486" s="308"/>
      <c r="C486" s="308"/>
      <c r="D486" s="308"/>
      <c r="E486" s="664">
        <v>1</v>
      </c>
      <c r="F486" s="678">
        <v>2.35</v>
      </c>
      <c r="G486" s="664">
        <v>0.35</v>
      </c>
      <c r="H486" s="678">
        <v>2</v>
      </c>
      <c r="I486" s="664">
        <f t="shared" si="138"/>
        <v>1.645</v>
      </c>
      <c r="J486" s="678"/>
      <c r="K486" s="678"/>
      <c r="L486" s="678"/>
      <c r="M486" s="673"/>
      <c r="N486" s="683"/>
      <c r="O486" s="664"/>
      <c r="R486" s="309"/>
      <c r="S486" s="309"/>
      <c r="T486" s="309"/>
      <c r="U486" s="309"/>
      <c r="V486" s="309"/>
    </row>
    <row r="487" spans="1:22" ht="15" thickTop="1" thickBot="1" x14ac:dyDescent="0.3">
      <c r="A487" s="307"/>
      <c r="B487" s="663"/>
      <c r="C487" s="308"/>
      <c r="D487" s="308"/>
      <c r="E487" s="664">
        <v>2</v>
      </c>
      <c r="F487" s="678">
        <v>6.05</v>
      </c>
      <c r="G487" s="664">
        <v>0.35</v>
      </c>
      <c r="H487" s="678">
        <v>2</v>
      </c>
      <c r="I487" s="664">
        <f t="shared" si="138"/>
        <v>8.4699999999999989</v>
      </c>
      <c r="J487" s="664"/>
      <c r="K487" s="682"/>
      <c r="L487" s="682"/>
      <c r="M487" s="673"/>
      <c r="N487" s="683"/>
      <c r="O487" s="664"/>
      <c r="R487" s="309"/>
      <c r="S487" s="309"/>
      <c r="T487" s="309"/>
      <c r="U487" s="309"/>
      <c r="V487" s="309"/>
    </row>
    <row r="488" spans="1:22" ht="15" thickTop="1" thickBot="1" x14ac:dyDescent="0.3">
      <c r="A488" s="307"/>
      <c r="B488" s="308"/>
      <c r="C488" s="308"/>
      <c r="D488" s="308"/>
      <c r="E488" s="664">
        <v>6</v>
      </c>
      <c r="F488" s="678">
        <v>4.95</v>
      </c>
      <c r="G488" s="664">
        <v>0.35</v>
      </c>
      <c r="H488" s="678">
        <v>2</v>
      </c>
      <c r="I488" s="664">
        <f t="shared" si="138"/>
        <v>20.79</v>
      </c>
      <c r="J488" s="678"/>
      <c r="K488" s="678"/>
      <c r="L488" s="678"/>
      <c r="M488" s="673"/>
      <c r="N488" s="683"/>
      <c r="O488" s="664"/>
      <c r="R488" s="309"/>
      <c r="S488" s="309"/>
      <c r="T488" s="309"/>
      <c r="U488" s="309"/>
      <c r="V488" s="309"/>
    </row>
    <row r="489" spans="1:22" ht="15" thickTop="1" thickBot="1" x14ac:dyDescent="0.3">
      <c r="A489" s="307"/>
      <c r="B489" s="308"/>
      <c r="C489" s="308"/>
      <c r="D489" s="308"/>
      <c r="E489" s="664">
        <v>4</v>
      </c>
      <c r="F489" s="678">
        <v>1.35</v>
      </c>
      <c r="G489" s="664">
        <v>0.35</v>
      </c>
      <c r="H489" s="678">
        <v>2</v>
      </c>
      <c r="I489" s="664">
        <f t="shared" si="138"/>
        <v>3.78</v>
      </c>
      <c r="J489" s="678"/>
      <c r="K489" s="679"/>
      <c r="L489" s="679"/>
      <c r="M489" s="673"/>
      <c r="N489" s="683"/>
      <c r="O489" s="664"/>
      <c r="R489" s="309"/>
      <c r="S489" s="309"/>
      <c r="T489" s="309"/>
      <c r="U489" s="309"/>
      <c r="V489" s="309"/>
    </row>
    <row r="490" spans="1:22" ht="15" thickTop="1" thickBot="1" x14ac:dyDescent="0.3">
      <c r="A490" s="307"/>
      <c r="B490" s="663"/>
      <c r="C490" s="308"/>
      <c r="D490" s="308"/>
      <c r="E490" s="664">
        <v>1</v>
      </c>
      <c r="F490" s="678">
        <v>1.42</v>
      </c>
      <c r="G490" s="664">
        <v>0.35</v>
      </c>
      <c r="H490" s="678">
        <v>2</v>
      </c>
      <c r="I490" s="664">
        <f t="shared" si="138"/>
        <v>0.99399999999999988</v>
      </c>
      <c r="J490" s="678"/>
      <c r="K490" s="678"/>
      <c r="L490" s="678"/>
      <c r="M490" s="673"/>
      <c r="N490" s="683"/>
      <c r="O490" s="664"/>
      <c r="R490" s="309"/>
      <c r="S490" s="309"/>
      <c r="T490" s="309"/>
      <c r="U490" s="309"/>
      <c r="V490" s="309"/>
    </row>
    <row r="491" spans="1:22" ht="15" thickTop="1" thickBot="1" x14ac:dyDescent="0.3">
      <c r="A491" s="307"/>
      <c r="B491" s="308"/>
      <c r="C491" s="308"/>
      <c r="D491" s="308"/>
      <c r="E491" s="664">
        <v>2</v>
      </c>
      <c r="F491" s="678">
        <v>0.75</v>
      </c>
      <c r="G491" s="664">
        <v>0.35</v>
      </c>
      <c r="H491" s="678">
        <v>2</v>
      </c>
      <c r="I491" s="664">
        <f t="shared" si="138"/>
        <v>1.0499999999999998</v>
      </c>
      <c r="J491" s="664"/>
      <c r="K491" s="682"/>
      <c r="L491" s="682"/>
      <c r="M491" s="673"/>
      <c r="N491" s="683"/>
      <c r="O491" s="664"/>
      <c r="R491" s="309"/>
      <c r="S491" s="309"/>
      <c r="T491" s="309"/>
      <c r="U491" s="309"/>
      <c r="V491" s="309"/>
    </row>
    <row r="492" spans="1:22" ht="15" thickTop="1" thickBot="1" x14ac:dyDescent="0.3">
      <c r="A492" s="307"/>
      <c r="B492" s="308"/>
      <c r="C492" s="308"/>
      <c r="D492" s="308"/>
      <c r="E492" s="664">
        <v>4</v>
      </c>
      <c r="F492" s="678">
        <v>13.75</v>
      </c>
      <c r="G492" s="664">
        <v>0.35</v>
      </c>
      <c r="H492" s="678">
        <v>2</v>
      </c>
      <c r="I492" s="664">
        <f t="shared" si="138"/>
        <v>38.5</v>
      </c>
      <c r="J492" s="664"/>
      <c r="K492" s="682"/>
      <c r="L492" s="682"/>
      <c r="M492" s="673"/>
      <c r="N492" s="683"/>
      <c r="O492" s="664"/>
      <c r="R492" s="309"/>
      <c r="S492" s="309"/>
      <c r="T492" s="309"/>
      <c r="U492" s="309"/>
      <c r="V492" s="309"/>
    </row>
    <row r="493" spans="1:22" ht="15" thickTop="1" thickBot="1" x14ac:dyDescent="0.3">
      <c r="A493" s="307"/>
      <c r="B493" s="663"/>
      <c r="C493" s="308"/>
      <c r="D493" s="308"/>
      <c r="E493" s="664">
        <v>1</v>
      </c>
      <c r="F493" s="678">
        <v>2.8</v>
      </c>
      <c r="G493" s="664">
        <v>0.35</v>
      </c>
      <c r="H493" s="678">
        <v>2</v>
      </c>
      <c r="I493" s="664">
        <f t="shared" si="138"/>
        <v>1.9599999999999997</v>
      </c>
      <c r="J493" s="664"/>
      <c r="K493" s="682"/>
      <c r="L493" s="682"/>
      <c r="M493" s="673"/>
      <c r="N493" s="683"/>
      <c r="O493" s="664"/>
      <c r="R493" s="309"/>
      <c r="S493" s="309"/>
      <c r="T493" s="309"/>
      <c r="U493" s="309"/>
      <c r="V493" s="309"/>
    </row>
    <row r="494" spans="1:22" ht="15" thickTop="1" thickBot="1" x14ac:dyDescent="0.3">
      <c r="A494" s="307"/>
      <c r="B494" s="663"/>
      <c r="C494" s="308"/>
      <c r="D494" s="308"/>
      <c r="E494" s="664">
        <v>1</v>
      </c>
      <c r="F494" s="678">
        <v>4.5570000000000004</v>
      </c>
      <c r="G494" s="664">
        <v>0.35</v>
      </c>
      <c r="H494" s="678">
        <v>2</v>
      </c>
      <c r="I494" s="664">
        <f t="shared" si="138"/>
        <v>3.1899000000000002</v>
      </c>
      <c r="J494" s="664"/>
      <c r="K494" s="682"/>
      <c r="L494" s="682"/>
      <c r="M494" s="673"/>
      <c r="N494" s="683"/>
      <c r="O494" s="664"/>
      <c r="Q494" s="659"/>
      <c r="R494" s="309"/>
      <c r="S494" s="309"/>
      <c r="T494" s="309"/>
      <c r="U494" s="309"/>
      <c r="V494" s="309"/>
    </row>
    <row r="495" spans="1:22" ht="15" thickTop="1" thickBot="1" x14ac:dyDescent="0.3">
      <c r="A495" s="307"/>
      <c r="B495" s="663"/>
      <c r="C495" s="308"/>
      <c r="D495" s="308"/>
      <c r="E495" s="664">
        <v>2</v>
      </c>
      <c r="F495" s="678">
        <v>1.35</v>
      </c>
      <c r="G495" s="664">
        <v>0.35</v>
      </c>
      <c r="H495" s="678">
        <v>2</v>
      </c>
      <c r="I495" s="664">
        <f t="shared" si="138"/>
        <v>1.89</v>
      </c>
      <c r="J495" s="664"/>
      <c r="K495" s="682"/>
      <c r="L495" s="682"/>
      <c r="M495" s="673"/>
      <c r="N495" s="683"/>
      <c r="O495" s="664"/>
      <c r="Q495" s="659"/>
      <c r="R495" s="309"/>
      <c r="S495" s="309"/>
      <c r="T495" s="309"/>
      <c r="U495" s="309"/>
      <c r="V495" s="309"/>
    </row>
    <row r="496" spans="1:22" ht="15" thickTop="1" thickBot="1" x14ac:dyDescent="0.3">
      <c r="A496" s="307"/>
      <c r="B496" s="663"/>
      <c r="C496" s="308"/>
      <c r="D496" s="308"/>
      <c r="E496" s="664">
        <v>2</v>
      </c>
      <c r="F496" s="678">
        <v>1.2649999999999999</v>
      </c>
      <c r="G496" s="664">
        <v>0.35</v>
      </c>
      <c r="H496" s="678">
        <v>2</v>
      </c>
      <c r="I496" s="664">
        <f t="shared" si="138"/>
        <v>1.7709999999999997</v>
      </c>
      <c r="J496" s="664"/>
      <c r="K496" s="682"/>
      <c r="L496" s="682"/>
      <c r="M496" s="673"/>
      <c r="N496" s="683"/>
      <c r="O496" s="664"/>
      <c r="Q496" s="659"/>
      <c r="R496" s="309"/>
      <c r="S496" s="309"/>
      <c r="T496" s="309"/>
      <c r="U496" s="309"/>
      <c r="V496" s="309"/>
    </row>
    <row r="497" spans="1:22" ht="15" thickTop="1" thickBot="1" x14ac:dyDescent="0.3">
      <c r="A497" s="307"/>
      <c r="B497" s="663"/>
      <c r="C497" s="308"/>
      <c r="D497" s="308"/>
      <c r="E497" s="664">
        <v>1</v>
      </c>
      <c r="F497" s="678">
        <v>2.8420000000000001</v>
      </c>
      <c r="G497" s="664">
        <v>0.35</v>
      </c>
      <c r="H497" s="678">
        <v>2</v>
      </c>
      <c r="I497" s="664">
        <f t="shared" si="138"/>
        <v>1.9893999999999998</v>
      </c>
      <c r="J497" s="664"/>
      <c r="K497" s="682"/>
      <c r="L497" s="682"/>
      <c r="M497" s="673"/>
      <c r="N497" s="683"/>
      <c r="O497" s="664"/>
      <c r="Q497" s="659"/>
      <c r="R497" s="309"/>
      <c r="S497" s="309"/>
      <c r="T497" s="309"/>
      <c r="U497" s="309"/>
      <c r="V497" s="309"/>
    </row>
    <row r="498" spans="1:22" ht="15" thickTop="1" thickBot="1" x14ac:dyDescent="0.3">
      <c r="A498" s="307"/>
      <c r="B498" s="663"/>
      <c r="C498" s="308"/>
      <c r="D498" s="308"/>
      <c r="E498" s="664">
        <v>1</v>
      </c>
      <c r="F498" s="678">
        <v>1.4870000000000001</v>
      </c>
      <c r="G498" s="664">
        <v>0.35</v>
      </c>
      <c r="H498" s="678">
        <v>2</v>
      </c>
      <c r="I498" s="664">
        <f t="shared" si="138"/>
        <v>1.0408999999999999</v>
      </c>
      <c r="J498" s="664"/>
      <c r="K498" s="682"/>
      <c r="L498" s="682"/>
      <c r="M498" s="673"/>
      <c r="N498" s="683"/>
      <c r="O498" s="664"/>
      <c r="Q498" s="659"/>
      <c r="R498" s="309"/>
      <c r="S498" s="309"/>
      <c r="T498" s="309"/>
      <c r="U498" s="309"/>
      <c r="V498" s="309"/>
    </row>
    <row r="499" spans="1:22" ht="15" thickTop="1" thickBot="1" x14ac:dyDescent="0.3">
      <c r="A499" s="307"/>
      <c r="B499" s="663"/>
      <c r="C499" s="308"/>
      <c r="D499" s="308"/>
      <c r="E499" s="664"/>
      <c r="F499" s="678"/>
      <c r="G499" s="664"/>
      <c r="H499" s="678"/>
      <c r="I499" s="678"/>
      <c r="J499" s="664"/>
      <c r="K499" s="682"/>
      <c r="L499" s="682"/>
      <c r="M499" s="673"/>
      <c r="N499" s="683"/>
      <c r="O499" s="664"/>
      <c r="Q499" s="659"/>
      <c r="R499" s="309"/>
      <c r="S499" s="309"/>
      <c r="T499" s="309"/>
      <c r="U499" s="309"/>
      <c r="V499" s="309"/>
    </row>
    <row r="500" spans="1:22" ht="15" thickTop="1" thickBot="1" x14ac:dyDescent="0.3">
      <c r="A500" s="307"/>
      <c r="B500" s="663"/>
      <c r="C500" s="308"/>
      <c r="D500" s="308"/>
      <c r="E500" s="664"/>
      <c r="F500" s="664"/>
      <c r="G500" s="664"/>
      <c r="H500" s="664"/>
      <c r="I500" s="664"/>
      <c r="J500" s="664"/>
      <c r="K500" s="682"/>
      <c r="L500" s="682"/>
      <c r="M500" s="673"/>
      <c r="N500" s="683"/>
      <c r="O500" s="664"/>
      <c r="Q500" s="659"/>
      <c r="R500" s="309"/>
      <c r="S500" s="309"/>
      <c r="T500" s="309"/>
      <c r="U500" s="309"/>
      <c r="V500" s="309"/>
    </row>
    <row r="501" spans="1:22" ht="15" thickTop="1" thickBot="1" x14ac:dyDescent="0.3">
      <c r="A501" s="307"/>
      <c r="B501" s="663"/>
      <c r="C501" s="308"/>
      <c r="D501" s="308" t="s">
        <v>871</v>
      </c>
      <c r="E501" s="664">
        <v>1</v>
      </c>
      <c r="F501" s="664">
        <v>5.15</v>
      </c>
      <c r="G501" s="664">
        <v>0.35</v>
      </c>
      <c r="H501" s="678">
        <v>2</v>
      </c>
      <c r="I501" s="664">
        <f t="shared" ref="I501:I502" si="139">H501*G501*F501*E501</f>
        <v>3.605</v>
      </c>
      <c r="J501" s="664"/>
      <c r="K501" s="682"/>
      <c r="L501" s="682"/>
      <c r="M501" s="673"/>
      <c r="N501" s="683"/>
      <c r="O501" s="664"/>
      <c r="Q501" s="659"/>
      <c r="R501" s="309"/>
      <c r="S501" s="309"/>
      <c r="T501" s="309"/>
      <c r="U501" s="309"/>
      <c r="V501" s="309"/>
    </row>
    <row r="502" spans="1:22" ht="15" thickTop="1" thickBot="1" x14ac:dyDescent="0.3">
      <c r="A502" s="307"/>
      <c r="B502" s="663"/>
      <c r="C502" s="308"/>
      <c r="D502" s="308"/>
      <c r="E502" s="664">
        <v>1</v>
      </c>
      <c r="F502" s="664">
        <v>6.05</v>
      </c>
      <c r="G502" s="664">
        <v>0.35</v>
      </c>
      <c r="H502" s="678">
        <v>2</v>
      </c>
      <c r="I502" s="664">
        <f t="shared" si="139"/>
        <v>4.2349999999999994</v>
      </c>
      <c r="J502" s="664">
        <f>SUM(I484:I502)</f>
        <v>102.87619999999998</v>
      </c>
      <c r="K502" s="679">
        <f>$K$2</f>
        <v>1.05</v>
      </c>
      <c r="L502" s="679">
        <f t="shared" ref="L502" si="140">K502*J502</f>
        <v>108.02000999999998</v>
      </c>
      <c r="M502" s="680">
        <f t="shared" ref="M502" si="141">ROUND(L502,1)</f>
        <v>108</v>
      </c>
      <c r="N502" s="681">
        <f t="shared" ref="N502" si="142">ROUNDUP(M502,0)</f>
        <v>108</v>
      </c>
      <c r="O502" s="678" t="s">
        <v>183</v>
      </c>
      <c r="Q502" s="659"/>
      <c r="R502" s="309"/>
      <c r="S502" s="309"/>
      <c r="T502" s="309"/>
      <c r="U502" s="309"/>
      <c r="V502" s="309"/>
    </row>
    <row r="503" spans="1:22" ht="15" thickTop="1" thickBot="1" x14ac:dyDescent="0.3">
      <c r="A503" s="307"/>
      <c r="B503" s="663"/>
      <c r="C503" s="308"/>
      <c r="D503" s="308"/>
      <c r="E503" s="664"/>
      <c r="F503" s="664"/>
      <c r="G503" s="664"/>
      <c r="H503" s="664"/>
      <c r="I503" s="664"/>
      <c r="J503" s="664"/>
      <c r="K503" s="682"/>
      <c r="L503" s="682"/>
      <c r="M503" s="673"/>
      <c r="N503" s="683"/>
      <c r="O503" s="664"/>
      <c r="Q503" s="659"/>
      <c r="R503" s="309"/>
      <c r="S503" s="309"/>
      <c r="T503" s="309"/>
      <c r="U503" s="309"/>
      <c r="V503" s="309"/>
    </row>
    <row r="504" spans="1:22" ht="15" thickTop="1" thickBot="1" x14ac:dyDescent="0.3">
      <c r="A504" s="307"/>
      <c r="B504" s="663" t="str">
        <f>concrete!B140</f>
        <v xml:space="preserve">Column base </v>
      </c>
      <c r="C504" s="308"/>
      <c r="D504" s="308" t="s">
        <v>810</v>
      </c>
      <c r="E504" s="664">
        <v>1</v>
      </c>
      <c r="F504" s="664">
        <v>0.9</v>
      </c>
      <c r="G504" s="664">
        <v>4</v>
      </c>
      <c r="H504" s="664">
        <v>0.25</v>
      </c>
      <c r="I504" s="664">
        <f t="shared" ref="I504:I526" si="143">H504*G504*F504*E504</f>
        <v>0.9</v>
      </c>
      <c r="J504" s="664"/>
      <c r="K504" s="682"/>
      <c r="L504" s="682"/>
      <c r="M504" s="673"/>
      <c r="N504" s="683"/>
      <c r="O504" s="664"/>
      <c r="Q504" s="659"/>
      <c r="R504" s="309"/>
      <c r="S504" s="309"/>
      <c r="T504" s="309"/>
      <c r="U504" s="309"/>
      <c r="V504" s="309"/>
    </row>
    <row r="505" spans="1:22" ht="15" thickTop="1" thickBot="1" x14ac:dyDescent="0.3">
      <c r="A505" s="307"/>
      <c r="B505" s="663"/>
      <c r="C505" s="308"/>
      <c r="D505" s="308" t="s">
        <v>811</v>
      </c>
      <c r="E505" s="664">
        <v>1</v>
      </c>
      <c r="F505" s="664">
        <v>0.9</v>
      </c>
      <c r="G505" s="664">
        <v>4</v>
      </c>
      <c r="H505" s="664">
        <v>0.25</v>
      </c>
      <c r="I505" s="664">
        <f t="shared" si="143"/>
        <v>0.9</v>
      </c>
      <c r="J505" s="664"/>
      <c r="K505" s="682"/>
      <c r="L505" s="682"/>
      <c r="M505" s="673"/>
      <c r="N505" s="683"/>
      <c r="O505" s="664"/>
      <c r="R505" s="309"/>
      <c r="S505" s="309"/>
      <c r="T505" s="309"/>
      <c r="U505" s="309"/>
      <c r="V505" s="309"/>
    </row>
    <row r="506" spans="1:22" ht="15" thickTop="1" thickBot="1" x14ac:dyDescent="0.3">
      <c r="A506" s="307"/>
      <c r="B506" s="663"/>
      <c r="C506" s="308"/>
      <c r="D506" s="308" t="s">
        <v>812</v>
      </c>
      <c r="E506" s="664">
        <v>1</v>
      </c>
      <c r="F506" s="664">
        <v>0.9</v>
      </c>
      <c r="G506" s="664">
        <v>4</v>
      </c>
      <c r="H506" s="664">
        <v>0.25</v>
      </c>
      <c r="I506" s="664">
        <f t="shared" si="143"/>
        <v>0.9</v>
      </c>
      <c r="J506" s="664"/>
      <c r="K506" s="682"/>
      <c r="L506" s="682"/>
      <c r="M506" s="673"/>
      <c r="N506" s="683"/>
      <c r="O506" s="664"/>
      <c r="Q506" s="659"/>
      <c r="R506" s="309"/>
      <c r="S506" s="309"/>
      <c r="T506" s="309"/>
      <c r="U506" s="309"/>
      <c r="V506" s="309"/>
    </row>
    <row r="507" spans="1:22" ht="15" thickTop="1" thickBot="1" x14ac:dyDescent="0.3">
      <c r="A507" s="307"/>
      <c r="B507" s="663"/>
      <c r="C507" s="308"/>
      <c r="D507" s="308" t="s">
        <v>850</v>
      </c>
      <c r="E507" s="664">
        <v>1</v>
      </c>
      <c r="F507" s="664">
        <v>1.2</v>
      </c>
      <c r="G507" s="664">
        <v>4</v>
      </c>
      <c r="H507" s="664">
        <v>0.25</v>
      </c>
      <c r="I507" s="664">
        <f t="shared" si="143"/>
        <v>1.2</v>
      </c>
      <c r="J507" s="664"/>
      <c r="K507" s="682"/>
      <c r="L507" s="682"/>
      <c r="M507" s="673"/>
      <c r="N507" s="683"/>
      <c r="O507" s="664"/>
      <c r="Q507" s="659"/>
      <c r="R507" s="309"/>
      <c r="S507" s="309"/>
      <c r="T507" s="309"/>
      <c r="U507" s="309"/>
      <c r="V507" s="309"/>
    </row>
    <row r="508" spans="1:22" ht="15" thickTop="1" thickBot="1" x14ac:dyDescent="0.3">
      <c r="A508" s="307"/>
      <c r="B508" s="663"/>
      <c r="C508" s="308"/>
      <c r="D508" s="308" t="s">
        <v>851</v>
      </c>
      <c r="E508" s="664">
        <v>1</v>
      </c>
      <c r="F508" s="664">
        <v>1.6</v>
      </c>
      <c r="G508" s="664">
        <v>4</v>
      </c>
      <c r="H508" s="664">
        <v>0.3</v>
      </c>
      <c r="I508" s="664">
        <f t="shared" si="143"/>
        <v>1.92</v>
      </c>
      <c r="J508" s="664"/>
      <c r="K508" s="682"/>
      <c r="L508" s="682"/>
      <c r="M508" s="673"/>
      <c r="N508" s="683"/>
      <c r="O508" s="664"/>
      <c r="Q508" s="659"/>
      <c r="R508" s="309"/>
      <c r="S508" s="309"/>
      <c r="T508" s="309"/>
      <c r="U508" s="309"/>
      <c r="V508" s="309"/>
    </row>
    <row r="509" spans="1:22" ht="15" thickTop="1" thickBot="1" x14ac:dyDescent="0.3">
      <c r="A509" s="307"/>
      <c r="B509" s="663"/>
      <c r="C509" s="308"/>
      <c r="D509" s="308" t="s">
        <v>852</v>
      </c>
      <c r="E509" s="664">
        <v>1</v>
      </c>
      <c r="F509" s="664">
        <v>1.6</v>
      </c>
      <c r="G509" s="664">
        <v>4</v>
      </c>
      <c r="H509" s="664">
        <v>0.3</v>
      </c>
      <c r="I509" s="664">
        <f t="shared" si="143"/>
        <v>1.92</v>
      </c>
      <c r="J509" s="664"/>
      <c r="K509" s="682"/>
      <c r="L509" s="682"/>
      <c r="M509" s="673"/>
      <c r="N509" s="683"/>
      <c r="O509" s="664"/>
      <c r="Q509" s="659"/>
      <c r="R509" s="309"/>
      <c r="S509" s="309"/>
      <c r="T509" s="309"/>
      <c r="U509" s="309"/>
      <c r="V509" s="309"/>
    </row>
    <row r="510" spans="1:22" ht="15" thickTop="1" thickBot="1" x14ac:dyDescent="0.3">
      <c r="A510" s="307"/>
      <c r="B510" s="663"/>
      <c r="C510" s="308"/>
      <c r="D510" s="308" t="s">
        <v>853</v>
      </c>
      <c r="E510" s="664">
        <v>1</v>
      </c>
      <c r="F510" s="664">
        <v>1.5</v>
      </c>
      <c r="G510" s="664">
        <v>4</v>
      </c>
      <c r="H510" s="664">
        <v>0.3</v>
      </c>
      <c r="I510" s="664">
        <f t="shared" si="143"/>
        <v>1.7999999999999998</v>
      </c>
      <c r="J510" s="664"/>
      <c r="K510" s="682"/>
      <c r="L510" s="682"/>
      <c r="M510" s="673"/>
      <c r="N510" s="683"/>
      <c r="O510" s="664"/>
      <c r="Q510" s="659"/>
      <c r="R510" s="309"/>
      <c r="S510" s="309"/>
      <c r="T510" s="309"/>
      <c r="U510" s="309"/>
      <c r="V510" s="309"/>
    </row>
    <row r="511" spans="1:22" ht="15" thickTop="1" thickBot="1" x14ac:dyDescent="0.3">
      <c r="A511" s="307"/>
      <c r="B511" s="308"/>
      <c r="C511" s="308"/>
      <c r="D511" s="308" t="s">
        <v>854</v>
      </c>
      <c r="E511" s="664">
        <v>1</v>
      </c>
      <c r="F511" s="664">
        <v>1.2</v>
      </c>
      <c r="G511" s="664">
        <v>4</v>
      </c>
      <c r="H511" s="664">
        <v>0.3</v>
      </c>
      <c r="I511" s="664">
        <f t="shared" si="143"/>
        <v>1.44</v>
      </c>
      <c r="J511" s="664"/>
      <c r="K511" s="682"/>
      <c r="L511" s="682"/>
      <c r="M511" s="673"/>
      <c r="N511" s="683"/>
      <c r="O511" s="664"/>
      <c r="Q511" s="659"/>
      <c r="R511" s="309"/>
      <c r="S511" s="309"/>
      <c r="T511" s="309"/>
      <c r="U511" s="309"/>
      <c r="V511" s="309"/>
    </row>
    <row r="512" spans="1:22" ht="15" thickTop="1" thickBot="1" x14ac:dyDescent="0.3">
      <c r="A512" s="307"/>
      <c r="B512" s="663"/>
      <c r="C512" s="308"/>
      <c r="D512" s="308" t="s">
        <v>855</v>
      </c>
      <c r="E512" s="664">
        <v>1</v>
      </c>
      <c r="F512" s="664">
        <v>1.8</v>
      </c>
      <c r="G512" s="664">
        <v>4</v>
      </c>
      <c r="H512" s="664">
        <v>0.35</v>
      </c>
      <c r="I512" s="664">
        <f t="shared" si="143"/>
        <v>2.52</v>
      </c>
      <c r="J512" s="664"/>
      <c r="K512" s="682"/>
      <c r="L512" s="682"/>
      <c r="M512" s="673"/>
      <c r="N512" s="683"/>
      <c r="O512" s="664"/>
      <c r="R512" s="309"/>
      <c r="S512" s="309"/>
      <c r="T512" s="309"/>
      <c r="U512" s="309"/>
      <c r="V512" s="309"/>
    </row>
    <row r="513" spans="1:22" ht="15" thickTop="1" thickBot="1" x14ac:dyDescent="0.3">
      <c r="A513" s="307"/>
      <c r="B513" s="663"/>
      <c r="C513" s="308"/>
      <c r="D513" s="308" t="s">
        <v>856</v>
      </c>
      <c r="E513" s="664">
        <v>1</v>
      </c>
      <c r="F513" s="664">
        <v>1.6</v>
      </c>
      <c r="G513" s="664">
        <v>4</v>
      </c>
      <c r="H513" s="664">
        <v>0.35</v>
      </c>
      <c r="I513" s="664">
        <f t="shared" si="143"/>
        <v>2.2399999999999998</v>
      </c>
      <c r="J513" s="664"/>
      <c r="K513" s="682"/>
      <c r="L513" s="682"/>
      <c r="M513" s="673"/>
      <c r="N513" s="683"/>
      <c r="O513" s="664"/>
      <c r="Q513" s="659"/>
      <c r="R513" s="309"/>
      <c r="S513" s="309"/>
      <c r="T513" s="309"/>
      <c r="U513" s="309"/>
      <c r="V513" s="309"/>
    </row>
    <row r="514" spans="1:22" ht="15" thickTop="1" thickBot="1" x14ac:dyDescent="0.3">
      <c r="A514" s="307"/>
      <c r="B514" s="663"/>
      <c r="C514" s="308"/>
      <c r="D514" s="308" t="s">
        <v>857</v>
      </c>
      <c r="E514" s="664">
        <v>1</v>
      </c>
      <c r="F514" s="664">
        <v>1.6</v>
      </c>
      <c r="G514" s="664">
        <v>4</v>
      </c>
      <c r="H514" s="664">
        <v>0.35</v>
      </c>
      <c r="I514" s="664">
        <f t="shared" si="143"/>
        <v>2.2399999999999998</v>
      </c>
      <c r="J514" s="664"/>
      <c r="K514" s="682"/>
      <c r="L514" s="682"/>
      <c r="M514" s="673"/>
      <c r="N514" s="683"/>
      <c r="O514" s="664"/>
      <c r="Q514" s="659"/>
      <c r="R514" s="309"/>
      <c r="S514" s="309"/>
      <c r="T514" s="309"/>
      <c r="U514" s="309"/>
      <c r="V514" s="309"/>
    </row>
    <row r="515" spans="1:22" ht="15" thickTop="1" thickBot="1" x14ac:dyDescent="0.3">
      <c r="A515" s="307"/>
      <c r="B515" s="663"/>
      <c r="C515" s="308"/>
      <c r="D515" s="308" t="s">
        <v>858</v>
      </c>
      <c r="E515" s="664">
        <v>1</v>
      </c>
      <c r="F515" s="664">
        <v>1.8</v>
      </c>
      <c r="G515" s="664">
        <v>4</v>
      </c>
      <c r="H515" s="664">
        <v>0.35</v>
      </c>
      <c r="I515" s="664">
        <f t="shared" si="143"/>
        <v>2.52</v>
      </c>
      <c r="J515" s="664"/>
      <c r="K515" s="682"/>
      <c r="L515" s="682"/>
      <c r="M515" s="673"/>
      <c r="N515" s="683"/>
      <c r="O515" s="664"/>
      <c r="Q515" s="659"/>
      <c r="R515" s="309"/>
      <c r="S515" s="309"/>
      <c r="T515" s="309"/>
      <c r="U515" s="309"/>
      <c r="V515" s="309"/>
    </row>
    <row r="516" spans="1:22" ht="15" thickTop="1" thickBot="1" x14ac:dyDescent="0.3">
      <c r="A516" s="307"/>
      <c r="B516" s="663"/>
      <c r="C516" s="308"/>
      <c r="D516" s="308" t="s">
        <v>859</v>
      </c>
      <c r="E516" s="664">
        <v>1</v>
      </c>
      <c r="F516" s="664">
        <v>1.2</v>
      </c>
      <c r="G516" s="664">
        <v>4</v>
      </c>
      <c r="H516" s="664">
        <v>0.35</v>
      </c>
      <c r="I516" s="664">
        <f t="shared" si="143"/>
        <v>1.68</v>
      </c>
      <c r="J516" s="664"/>
      <c r="K516" s="682"/>
      <c r="L516" s="682"/>
      <c r="M516" s="673"/>
      <c r="N516" s="683"/>
      <c r="O516" s="664"/>
      <c r="Q516" s="659"/>
      <c r="R516" s="309"/>
      <c r="S516" s="309"/>
      <c r="T516" s="309"/>
      <c r="U516" s="309"/>
      <c r="V516" s="309"/>
    </row>
    <row r="517" spans="1:22" ht="15" thickTop="1" thickBot="1" x14ac:dyDescent="0.3">
      <c r="A517" s="307"/>
      <c r="B517" s="663"/>
      <c r="C517" s="308"/>
      <c r="D517" s="308" t="s">
        <v>860</v>
      </c>
      <c r="E517" s="664">
        <v>1</v>
      </c>
      <c r="F517" s="664">
        <v>1</v>
      </c>
      <c r="G517" s="664">
        <v>4</v>
      </c>
      <c r="H517" s="664">
        <v>0.35</v>
      </c>
      <c r="I517" s="664">
        <f t="shared" si="143"/>
        <v>1.4</v>
      </c>
      <c r="J517" s="678"/>
      <c r="K517" s="679"/>
      <c r="L517" s="679"/>
      <c r="M517" s="680"/>
      <c r="N517" s="681"/>
      <c r="O517" s="678"/>
      <c r="Q517" s="659"/>
      <c r="R517" s="309"/>
      <c r="S517" s="309"/>
      <c r="T517" s="309"/>
      <c r="U517" s="309"/>
      <c r="V517" s="309"/>
    </row>
    <row r="518" spans="1:22" ht="15" thickTop="1" thickBot="1" x14ac:dyDescent="0.3">
      <c r="A518" s="307"/>
      <c r="B518" s="663"/>
      <c r="C518" s="308"/>
      <c r="D518" s="308" t="s">
        <v>861</v>
      </c>
      <c r="E518" s="664">
        <v>1</v>
      </c>
      <c r="F518" s="664">
        <v>1.3</v>
      </c>
      <c r="G518" s="664">
        <v>4</v>
      </c>
      <c r="H518" s="664">
        <v>0.35</v>
      </c>
      <c r="I518" s="664">
        <f t="shared" si="143"/>
        <v>1.8199999999999998</v>
      </c>
      <c r="J518" s="678"/>
      <c r="K518" s="679"/>
      <c r="L518" s="679"/>
      <c r="M518" s="680"/>
      <c r="N518" s="681"/>
      <c r="O518" s="678"/>
      <c r="Q518" s="659"/>
      <c r="R518" s="309"/>
      <c r="S518" s="309"/>
      <c r="T518" s="309"/>
      <c r="U518" s="309"/>
      <c r="V518" s="309"/>
    </row>
    <row r="519" spans="1:22" ht="15" thickTop="1" thickBot="1" x14ac:dyDescent="0.3">
      <c r="A519" s="307"/>
      <c r="B519" s="663"/>
      <c r="C519" s="308"/>
      <c r="D519" s="308" t="s">
        <v>862</v>
      </c>
      <c r="E519" s="664">
        <v>1</v>
      </c>
      <c r="F519" s="664">
        <v>1</v>
      </c>
      <c r="G519" s="664">
        <v>4</v>
      </c>
      <c r="H519" s="664">
        <v>0.35</v>
      </c>
      <c r="I519" s="664">
        <f t="shared" si="143"/>
        <v>1.4</v>
      </c>
      <c r="J519" s="664"/>
      <c r="K519" s="682"/>
      <c r="L519" s="682"/>
      <c r="M519" s="673"/>
      <c r="N519" s="683"/>
      <c r="O519" s="664"/>
      <c r="Q519" s="659"/>
      <c r="R519" s="309"/>
      <c r="S519" s="309"/>
      <c r="T519" s="309"/>
      <c r="U519" s="309"/>
      <c r="V519" s="309"/>
    </row>
    <row r="520" spans="1:22" ht="15" thickTop="1" thickBot="1" x14ac:dyDescent="0.3">
      <c r="A520" s="307"/>
      <c r="B520" s="663"/>
      <c r="C520" s="308"/>
      <c r="D520" s="308" t="s">
        <v>863</v>
      </c>
      <c r="E520" s="664">
        <v>1</v>
      </c>
      <c r="F520" s="664">
        <v>2</v>
      </c>
      <c r="G520" s="664">
        <v>4</v>
      </c>
      <c r="H520" s="664">
        <v>0.35</v>
      </c>
      <c r="I520" s="664">
        <f t="shared" si="143"/>
        <v>2.8</v>
      </c>
      <c r="J520" s="664"/>
      <c r="K520" s="682"/>
      <c r="L520" s="682"/>
      <c r="M520" s="673"/>
      <c r="N520" s="683"/>
      <c r="O520" s="664"/>
      <c r="Q520" s="659"/>
      <c r="R520" s="309"/>
      <c r="S520" s="309"/>
      <c r="T520" s="309"/>
      <c r="U520" s="309"/>
      <c r="V520" s="309"/>
    </row>
    <row r="521" spans="1:22" ht="15" thickTop="1" thickBot="1" x14ac:dyDescent="0.3">
      <c r="A521" s="307"/>
      <c r="B521" s="663"/>
      <c r="C521" s="308"/>
      <c r="D521" s="308" t="s">
        <v>864</v>
      </c>
      <c r="E521" s="664">
        <v>1</v>
      </c>
      <c r="F521" s="664">
        <v>1.2</v>
      </c>
      <c r="G521" s="664">
        <v>4</v>
      </c>
      <c r="H521" s="664">
        <v>0.35</v>
      </c>
      <c r="I521" s="664">
        <f t="shared" si="143"/>
        <v>1.68</v>
      </c>
      <c r="J521" s="664"/>
      <c r="K521" s="682"/>
      <c r="L521" s="682"/>
      <c r="M521" s="673"/>
      <c r="N521" s="683"/>
      <c r="O521" s="664"/>
      <c r="Q521" s="659"/>
      <c r="R521" s="309"/>
      <c r="S521" s="309"/>
      <c r="T521" s="309"/>
      <c r="U521" s="309"/>
      <c r="V521" s="309"/>
    </row>
    <row r="522" spans="1:22" ht="15" thickTop="1" thickBot="1" x14ac:dyDescent="0.3">
      <c r="A522" s="307"/>
      <c r="B522" s="663"/>
      <c r="C522" s="308"/>
      <c r="D522" s="308" t="s">
        <v>865</v>
      </c>
      <c r="E522" s="664">
        <v>1</v>
      </c>
      <c r="F522" s="664">
        <v>1</v>
      </c>
      <c r="G522" s="664">
        <v>4</v>
      </c>
      <c r="H522" s="664">
        <v>0.35</v>
      </c>
      <c r="I522" s="664">
        <f t="shared" si="143"/>
        <v>1.4</v>
      </c>
      <c r="J522" s="664"/>
      <c r="K522" s="682"/>
      <c r="L522" s="682"/>
      <c r="M522" s="673"/>
      <c r="N522" s="683"/>
      <c r="O522" s="664"/>
      <c r="Q522" s="659"/>
      <c r="R522" s="309"/>
      <c r="S522" s="309"/>
      <c r="T522" s="309"/>
      <c r="U522" s="309"/>
      <c r="V522" s="309"/>
    </row>
    <row r="523" spans="1:22" ht="15" thickTop="1" thickBot="1" x14ac:dyDescent="0.3">
      <c r="A523" s="307"/>
      <c r="B523" s="663"/>
      <c r="C523" s="308"/>
      <c r="D523" s="308" t="s">
        <v>866</v>
      </c>
      <c r="E523" s="664">
        <v>1</v>
      </c>
      <c r="F523" s="664">
        <v>1.6</v>
      </c>
      <c r="G523" s="664">
        <v>4</v>
      </c>
      <c r="H523" s="664">
        <v>0.35</v>
      </c>
      <c r="I523" s="664">
        <f t="shared" si="143"/>
        <v>2.2399999999999998</v>
      </c>
      <c r="J523" s="664"/>
      <c r="K523" s="682"/>
      <c r="L523" s="682"/>
      <c r="M523" s="673"/>
      <c r="N523" s="683"/>
      <c r="O523" s="664"/>
      <c r="Q523" s="659"/>
      <c r="R523" s="309"/>
      <c r="S523" s="309"/>
      <c r="T523" s="309"/>
      <c r="U523" s="309"/>
      <c r="V523" s="309"/>
    </row>
    <row r="524" spans="1:22" ht="15" thickTop="1" thickBot="1" x14ac:dyDescent="0.3">
      <c r="A524" s="307"/>
      <c r="B524" s="663"/>
      <c r="C524" s="308"/>
      <c r="D524" s="308" t="s">
        <v>867</v>
      </c>
      <c r="E524" s="664">
        <v>1</v>
      </c>
      <c r="F524" s="664">
        <v>1.8</v>
      </c>
      <c r="G524" s="664">
        <v>4</v>
      </c>
      <c r="H524" s="664">
        <v>0.35</v>
      </c>
      <c r="I524" s="664">
        <f t="shared" si="143"/>
        <v>2.52</v>
      </c>
      <c r="J524" s="664"/>
      <c r="K524" s="682"/>
      <c r="L524" s="682"/>
      <c r="M524" s="673"/>
      <c r="N524" s="683"/>
      <c r="O524" s="664"/>
      <c r="Q524" s="659"/>
      <c r="R524" s="309"/>
      <c r="S524" s="309"/>
      <c r="T524" s="309"/>
      <c r="U524" s="309"/>
      <c r="V524" s="309"/>
    </row>
    <row r="525" spans="1:22" ht="15" thickTop="1" thickBot="1" x14ac:dyDescent="0.3">
      <c r="A525" s="307"/>
      <c r="B525" s="663"/>
      <c r="C525" s="308"/>
      <c r="D525" s="308" t="s">
        <v>868</v>
      </c>
      <c r="E525" s="664">
        <v>1</v>
      </c>
      <c r="F525" s="664">
        <v>1.5</v>
      </c>
      <c r="G525" s="664">
        <v>4</v>
      </c>
      <c r="H525" s="664">
        <v>0.35</v>
      </c>
      <c r="I525" s="664">
        <f t="shared" si="143"/>
        <v>2.0999999999999996</v>
      </c>
      <c r="J525" s="664"/>
      <c r="K525" s="682"/>
      <c r="L525" s="682"/>
      <c r="M525" s="673"/>
      <c r="N525" s="683"/>
      <c r="O525" s="664"/>
      <c r="Q525" s="659"/>
      <c r="R525" s="309"/>
      <c r="S525" s="309"/>
      <c r="T525" s="309"/>
      <c r="U525" s="309"/>
      <c r="V525" s="309"/>
    </row>
    <row r="526" spans="1:22" ht="15" thickTop="1" thickBot="1" x14ac:dyDescent="0.3">
      <c r="A526" s="307"/>
      <c r="B526" s="663"/>
      <c r="C526" s="308"/>
      <c r="D526" s="308" t="s">
        <v>869</v>
      </c>
      <c r="E526" s="664">
        <v>1</v>
      </c>
      <c r="F526" s="664">
        <v>1</v>
      </c>
      <c r="G526" s="664">
        <v>4</v>
      </c>
      <c r="H526" s="664">
        <v>0.35</v>
      </c>
      <c r="I526" s="664">
        <f t="shared" si="143"/>
        <v>1.4</v>
      </c>
      <c r="J526" s="664">
        <f>SUM(I504:I526)</f>
        <v>40.94</v>
      </c>
      <c r="K526" s="679">
        <f>$K$2</f>
        <v>1.05</v>
      </c>
      <c r="L526" s="679">
        <f t="shared" ref="L526" si="144">K526*J526</f>
        <v>42.987000000000002</v>
      </c>
      <c r="M526" s="680">
        <f t="shared" ref="M526" si="145">ROUND(L526,1)</f>
        <v>43</v>
      </c>
      <c r="N526" s="681">
        <f t="shared" ref="N526" si="146">ROUNDUP(M526,0)</f>
        <v>43</v>
      </c>
      <c r="O526" s="678" t="s">
        <v>183</v>
      </c>
      <c r="Q526" s="659"/>
      <c r="R526" s="309"/>
      <c r="S526" s="309"/>
      <c r="T526" s="309"/>
      <c r="U526" s="309"/>
      <c r="V526" s="309"/>
    </row>
    <row r="527" spans="1:22" ht="15" thickTop="1" thickBot="1" x14ac:dyDescent="0.3">
      <c r="A527" s="307"/>
      <c r="B527" s="663"/>
      <c r="C527" s="308"/>
      <c r="D527" s="308"/>
      <c r="E527" s="664"/>
      <c r="F527" s="664"/>
      <c r="G527" s="664"/>
      <c r="H527" s="664"/>
      <c r="I527" s="664"/>
      <c r="J527" s="664"/>
      <c r="K527" s="682"/>
      <c r="L527" s="682"/>
      <c r="M527" s="673"/>
      <c r="N527" s="683"/>
      <c r="O527" s="664"/>
      <c r="Q527" s="659"/>
      <c r="R527" s="309"/>
      <c r="S527" s="309"/>
      <c r="T527" s="309"/>
      <c r="U527" s="309"/>
      <c r="V527" s="309"/>
    </row>
    <row r="528" spans="1:22" ht="15" thickTop="1" thickBot="1" x14ac:dyDescent="0.3">
      <c r="A528" s="307"/>
      <c r="B528" s="663" t="str">
        <f>concrete!B141</f>
        <v>Column Stub</v>
      </c>
      <c r="C528" s="308"/>
      <c r="D528" s="308" t="s">
        <v>810</v>
      </c>
      <c r="E528" s="664">
        <v>1</v>
      </c>
      <c r="F528" s="664">
        <v>4</v>
      </c>
      <c r="G528" s="664">
        <v>0.25</v>
      </c>
      <c r="H528" s="664">
        <f>1.2-0.35</f>
        <v>0.85</v>
      </c>
      <c r="I528" s="664">
        <f>H528*G528*F528*E528</f>
        <v>0.85</v>
      </c>
      <c r="J528" s="664"/>
      <c r="K528" s="682"/>
      <c r="L528" s="682"/>
      <c r="M528" s="673"/>
      <c r="N528" s="683"/>
      <c r="O528" s="664"/>
      <c r="Q528" s="659"/>
      <c r="R528" s="309"/>
      <c r="S528" s="309"/>
      <c r="T528" s="309"/>
      <c r="U528" s="309"/>
      <c r="V528" s="309"/>
    </row>
    <row r="529" spans="1:22" ht="15" thickTop="1" thickBot="1" x14ac:dyDescent="0.3">
      <c r="A529" s="307"/>
      <c r="B529" s="663"/>
      <c r="C529" s="308"/>
      <c r="D529" s="308" t="s">
        <v>811</v>
      </c>
      <c r="E529" s="664">
        <v>1</v>
      </c>
      <c r="F529" s="664">
        <v>4</v>
      </c>
      <c r="G529" s="664">
        <v>0.25</v>
      </c>
      <c r="H529" s="664">
        <f t="shared" ref="H529:H550" si="147">1.2-0.35</f>
        <v>0.85</v>
      </c>
      <c r="I529" s="664">
        <f t="shared" ref="I529:I550" si="148">H529*G529*F529*E529</f>
        <v>0.85</v>
      </c>
      <c r="J529" s="664"/>
      <c r="K529" s="682"/>
      <c r="L529" s="682"/>
      <c r="M529" s="673"/>
      <c r="N529" s="683"/>
      <c r="O529" s="664"/>
      <c r="R529" s="309"/>
      <c r="S529" s="309"/>
      <c r="T529" s="309"/>
      <c r="U529" s="309"/>
      <c r="V529" s="309"/>
    </row>
    <row r="530" spans="1:22" ht="15" thickTop="1" thickBot="1" x14ac:dyDescent="0.3">
      <c r="A530" s="307"/>
      <c r="B530" s="663"/>
      <c r="C530" s="308"/>
      <c r="D530" s="308" t="s">
        <v>812</v>
      </c>
      <c r="E530" s="664">
        <v>1</v>
      </c>
      <c r="F530" s="664">
        <v>4</v>
      </c>
      <c r="G530" s="664">
        <v>0.25</v>
      </c>
      <c r="H530" s="664">
        <f t="shared" si="147"/>
        <v>0.85</v>
      </c>
      <c r="I530" s="664">
        <f t="shared" si="148"/>
        <v>0.85</v>
      </c>
      <c r="J530" s="664"/>
      <c r="K530" s="682"/>
      <c r="L530" s="682"/>
      <c r="M530" s="673"/>
      <c r="N530" s="683"/>
      <c r="O530" s="664"/>
      <c r="R530" s="309"/>
      <c r="S530" s="309"/>
      <c r="T530" s="309"/>
      <c r="U530" s="309"/>
      <c r="V530" s="309"/>
    </row>
    <row r="531" spans="1:22" ht="15" thickTop="1" thickBot="1" x14ac:dyDescent="0.3">
      <c r="A531" s="307"/>
      <c r="B531" s="663"/>
      <c r="C531" s="308"/>
      <c r="D531" s="308" t="s">
        <v>850</v>
      </c>
      <c r="E531" s="664">
        <v>1</v>
      </c>
      <c r="F531" s="664">
        <v>4</v>
      </c>
      <c r="G531" s="664">
        <v>0.25</v>
      </c>
      <c r="H531" s="664">
        <f t="shared" si="147"/>
        <v>0.85</v>
      </c>
      <c r="I531" s="664">
        <f t="shared" si="148"/>
        <v>0.85</v>
      </c>
      <c r="J531" s="664"/>
      <c r="K531" s="682"/>
      <c r="L531" s="682"/>
      <c r="M531" s="673"/>
      <c r="N531" s="683"/>
      <c r="O531" s="664"/>
      <c r="R531" s="309"/>
      <c r="S531" s="309"/>
      <c r="T531" s="309"/>
      <c r="U531" s="309"/>
      <c r="V531" s="309"/>
    </row>
    <row r="532" spans="1:22" ht="15" thickTop="1" thickBot="1" x14ac:dyDescent="0.3">
      <c r="A532" s="307"/>
      <c r="B532" s="663"/>
      <c r="C532" s="308"/>
      <c r="D532" s="308" t="s">
        <v>851</v>
      </c>
      <c r="E532" s="664">
        <v>1</v>
      </c>
      <c r="F532" s="664">
        <v>4</v>
      </c>
      <c r="G532" s="664">
        <v>0.25</v>
      </c>
      <c r="H532" s="664">
        <f t="shared" si="147"/>
        <v>0.85</v>
      </c>
      <c r="I532" s="664">
        <f t="shared" si="148"/>
        <v>0.85</v>
      </c>
      <c r="J532" s="664"/>
      <c r="K532" s="682"/>
      <c r="L532" s="682"/>
      <c r="M532" s="673"/>
      <c r="N532" s="683"/>
      <c r="O532" s="664"/>
      <c r="R532" s="309"/>
      <c r="S532" s="309"/>
      <c r="T532" s="309"/>
      <c r="U532" s="309"/>
      <c r="V532" s="309"/>
    </row>
    <row r="533" spans="1:22" ht="15" thickTop="1" thickBot="1" x14ac:dyDescent="0.3">
      <c r="A533" s="307"/>
      <c r="B533" s="663"/>
      <c r="C533" s="308"/>
      <c r="D533" s="308" t="s">
        <v>852</v>
      </c>
      <c r="E533" s="664">
        <v>1</v>
      </c>
      <c r="F533" s="664">
        <v>4</v>
      </c>
      <c r="G533" s="664">
        <v>0.25</v>
      </c>
      <c r="H533" s="664">
        <f t="shared" si="147"/>
        <v>0.85</v>
      </c>
      <c r="I533" s="664">
        <f t="shared" si="148"/>
        <v>0.85</v>
      </c>
      <c r="J533" s="664"/>
      <c r="K533" s="682"/>
      <c r="L533" s="682"/>
      <c r="M533" s="673"/>
      <c r="N533" s="683"/>
      <c r="O533" s="664"/>
      <c r="R533" s="309"/>
      <c r="S533" s="309"/>
      <c r="T533" s="309"/>
      <c r="U533" s="309"/>
      <c r="V533" s="309"/>
    </row>
    <row r="534" spans="1:22" ht="15" thickTop="1" thickBot="1" x14ac:dyDescent="0.3">
      <c r="A534" s="307"/>
      <c r="B534" s="663"/>
      <c r="C534" s="308"/>
      <c r="D534" s="308" t="s">
        <v>853</v>
      </c>
      <c r="E534" s="664">
        <v>1</v>
      </c>
      <c r="F534" s="664">
        <v>4</v>
      </c>
      <c r="G534" s="664">
        <v>0.25</v>
      </c>
      <c r="H534" s="664">
        <f t="shared" si="147"/>
        <v>0.85</v>
      </c>
      <c r="I534" s="664">
        <f t="shared" si="148"/>
        <v>0.85</v>
      </c>
      <c r="J534" s="664"/>
      <c r="K534" s="682"/>
      <c r="L534" s="682"/>
      <c r="M534" s="673"/>
      <c r="N534" s="683"/>
      <c r="O534" s="664"/>
      <c r="R534" s="309"/>
      <c r="S534" s="309"/>
      <c r="T534" s="309"/>
      <c r="U534" s="309"/>
      <c r="V534" s="309"/>
    </row>
    <row r="535" spans="1:22" ht="15" thickTop="1" thickBot="1" x14ac:dyDescent="0.3">
      <c r="A535" s="307"/>
      <c r="B535" s="308"/>
      <c r="C535" s="308"/>
      <c r="D535" s="308" t="s">
        <v>854</v>
      </c>
      <c r="E535" s="664">
        <v>1</v>
      </c>
      <c r="F535" s="664">
        <v>4</v>
      </c>
      <c r="G535" s="664">
        <v>0.25</v>
      </c>
      <c r="H535" s="664">
        <f t="shared" si="147"/>
        <v>0.85</v>
      </c>
      <c r="I535" s="664">
        <f t="shared" si="148"/>
        <v>0.85</v>
      </c>
      <c r="J535" s="664"/>
      <c r="K535" s="682"/>
      <c r="L535" s="682"/>
      <c r="M535" s="673"/>
      <c r="N535" s="683"/>
      <c r="O535" s="664"/>
      <c r="R535" s="309"/>
      <c r="S535" s="309"/>
      <c r="T535" s="309"/>
      <c r="U535" s="309"/>
      <c r="V535" s="309"/>
    </row>
    <row r="536" spans="1:22" ht="15" thickTop="1" thickBot="1" x14ac:dyDescent="0.3">
      <c r="A536" s="307"/>
      <c r="B536" s="663"/>
      <c r="C536" s="308"/>
      <c r="D536" s="308" t="s">
        <v>855</v>
      </c>
      <c r="E536" s="664">
        <v>1</v>
      </c>
      <c r="F536" s="664">
        <v>4</v>
      </c>
      <c r="G536" s="664">
        <v>0.25</v>
      </c>
      <c r="H536" s="664">
        <f t="shared" si="147"/>
        <v>0.85</v>
      </c>
      <c r="I536" s="664">
        <f t="shared" si="148"/>
        <v>0.85</v>
      </c>
      <c r="J536" s="664"/>
      <c r="K536" s="682"/>
      <c r="L536" s="682"/>
      <c r="M536" s="673"/>
      <c r="N536" s="683"/>
      <c r="O536" s="664"/>
      <c r="R536" s="309"/>
      <c r="S536" s="309"/>
      <c r="T536" s="309"/>
      <c r="U536" s="309"/>
      <c r="V536" s="309"/>
    </row>
    <row r="537" spans="1:22" ht="15" thickTop="1" thickBot="1" x14ac:dyDescent="0.3">
      <c r="A537" s="307"/>
      <c r="B537" s="663"/>
      <c r="C537" s="308"/>
      <c r="D537" s="308" t="s">
        <v>856</v>
      </c>
      <c r="E537" s="664">
        <v>1</v>
      </c>
      <c r="F537" s="664">
        <v>4</v>
      </c>
      <c r="G537" s="664">
        <v>0.25</v>
      </c>
      <c r="H537" s="664">
        <f t="shared" si="147"/>
        <v>0.85</v>
      </c>
      <c r="I537" s="664">
        <f t="shared" si="148"/>
        <v>0.85</v>
      </c>
      <c r="J537" s="664"/>
      <c r="K537" s="682"/>
      <c r="L537" s="682"/>
      <c r="M537" s="673"/>
      <c r="N537" s="683"/>
      <c r="O537" s="664"/>
      <c r="R537" s="309"/>
      <c r="S537" s="309"/>
      <c r="T537" s="309"/>
      <c r="U537" s="309"/>
      <c r="V537" s="309"/>
    </row>
    <row r="538" spans="1:22" ht="15" thickTop="1" thickBot="1" x14ac:dyDescent="0.3">
      <c r="A538" s="307"/>
      <c r="B538" s="663"/>
      <c r="C538" s="308"/>
      <c r="D538" s="308" t="s">
        <v>857</v>
      </c>
      <c r="E538" s="664">
        <v>1</v>
      </c>
      <c r="F538" s="664">
        <v>4</v>
      </c>
      <c r="G538" s="664">
        <v>0.25</v>
      </c>
      <c r="H538" s="664">
        <f t="shared" si="147"/>
        <v>0.85</v>
      </c>
      <c r="I538" s="664">
        <f t="shared" si="148"/>
        <v>0.85</v>
      </c>
      <c r="J538" s="664"/>
      <c r="K538" s="682"/>
      <c r="L538" s="682"/>
      <c r="M538" s="673"/>
      <c r="N538" s="683"/>
      <c r="O538" s="664"/>
      <c r="R538" s="309"/>
      <c r="S538" s="309"/>
      <c r="T538" s="309"/>
      <c r="U538" s="309"/>
      <c r="V538" s="309"/>
    </row>
    <row r="539" spans="1:22" ht="15" thickTop="1" thickBot="1" x14ac:dyDescent="0.3">
      <c r="A539" s="307"/>
      <c r="B539" s="308"/>
      <c r="C539" s="308"/>
      <c r="D539" s="308" t="s">
        <v>858</v>
      </c>
      <c r="E539" s="664">
        <v>1</v>
      </c>
      <c r="F539" s="664">
        <v>4</v>
      </c>
      <c r="G539" s="664">
        <v>0.25</v>
      </c>
      <c r="H539" s="664">
        <f t="shared" si="147"/>
        <v>0.85</v>
      </c>
      <c r="I539" s="664">
        <f t="shared" si="148"/>
        <v>0.85</v>
      </c>
      <c r="J539" s="664"/>
      <c r="K539" s="682"/>
      <c r="L539" s="682"/>
      <c r="M539" s="673"/>
      <c r="N539" s="683"/>
      <c r="O539" s="664"/>
      <c r="R539" s="309"/>
      <c r="S539" s="309"/>
      <c r="T539" s="309"/>
      <c r="U539" s="309"/>
      <c r="V539" s="309"/>
    </row>
    <row r="540" spans="1:22" ht="15" thickTop="1" thickBot="1" x14ac:dyDescent="0.3">
      <c r="A540" s="307"/>
      <c r="B540" s="663"/>
      <c r="C540" s="308"/>
      <c r="D540" s="308" t="s">
        <v>859</v>
      </c>
      <c r="E540" s="664">
        <v>1</v>
      </c>
      <c r="F540" s="664">
        <v>4</v>
      </c>
      <c r="G540" s="664">
        <v>0.25</v>
      </c>
      <c r="H540" s="664">
        <f t="shared" si="147"/>
        <v>0.85</v>
      </c>
      <c r="I540" s="664">
        <f t="shared" si="148"/>
        <v>0.85</v>
      </c>
      <c r="J540" s="664"/>
      <c r="K540" s="682"/>
      <c r="L540" s="682"/>
      <c r="M540" s="673"/>
      <c r="N540" s="683"/>
      <c r="O540" s="664"/>
      <c r="R540" s="309"/>
      <c r="S540" s="309"/>
      <c r="T540" s="309"/>
      <c r="U540" s="309"/>
      <c r="V540" s="309"/>
    </row>
    <row r="541" spans="1:22" ht="15" thickTop="1" thickBot="1" x14ac:dyDescent="0.3">
      <c r="A541" s="307"/>
      <c r="B541" s="308"/>
      <c r="C541" s="308"/>
      <c r="D541" s="308" t="s">
        <v>860</v>
      </c>
      <c r="E541" s="664">
        <v>1</v>
      </c>
      <c r="F541" s="664">
        <v>4</v>
      </c>
      <c r="G541" s="664">
        <v>0.25</v>
      </c>
      <c r="H541" s="664">
        <f t="shared" si="147"/>
        <v>0.85</v>
      </c>
      <c r="I541" s="664">
        <f t="shared" si="148"/>
        <v>0.85</v>
      </c>
      <c r="J541" s="664"/>
      <c r="K541" s="682"/>
      <c r="L541" s="682"/>
      <c r="M541" s="673"/>
      <c r="N541" s="683"/>
      <c r="O541" s="664"/>
      <c r="R541" s="309"/>
      <c r="S541" s="309"/>
      <c r="T541" s="309"/>
      <c r="U541" s="309"/>
      <c r="V541" s="309"/>
    </row>
    <row r="542" spans="1:22" ht="15" thickTop="1" thickBot="1" x14ac:dyDescent="0.3">
      <c r="A542" s="307"/>
      <c r="B542" s="308"/>
      <c r="C542" s="308"/>
      <c r="D542" s="308" t="s">
        <v>861</v>
      </c>
      <c r="E542" s="664">
        <v>1</v>
      </c>
      <c r="F542" s="664">
        <v>4</v>
      </c>
      <c r="G542" s="664">
        <v>0.25</v>
      </c>
      <c r="H542" s="664">
        <f t="shared" si="147"/>
        <v>0.85</v>
      </c>
      <c r="I542" s="664">
        <f t="shared" si="148"/>
        <v>0.85</v>
      </c>
      <c r="J542" s="664"/>
      <c r="K542" s="682"/>
      <c r="L542" s="682"/>
      <c r="M542" s="673"/>
      <c r="N542" s="683"/>
      <c r="O542" s="664"/>
      <c r="R542" s="309"/>
      <c r="S542" s="309"/>
      <c r="T542" s="309"/>
      <c r="U542" s="309"/>
      <c r="V542" s="309"/>
    </row>
    <row r="543" spans="1:22" ht="15" thickTop="1" thickBot="1" x14ac:dyDescent="0.3">
      <c r="A543" s="307"/>
      <c r="B543" s="663"/>
      <c r="C543" s="308"/>
      <c r="D543" s="308" t="s">
        <v>862</v>
      </c>
      <c r="E543" s="664">
        <v>1</v>
      </c>
      <c r="F543" s="664">
        <v>4</v>
      </c>
      <c r="G543" s="664">
        <v>0.25</v>
      </c>
      <c r="H543" s="664">
        <f t="shared" si="147"/>
        <v>0.85</v>
      </c>
      <c r="I543" s="664">
        <f t="shared" si="148"/>
        <v>0.85</v>
      </c>
      <c r="J543" s="664"/>
      <c r="K543" s="682"/>
      <c r="L543" s="682"/>
      <c r="M543" s="673"/>
      <c r="N543" s="683"/>
      <c r="O543" s="664"/>
      <c r="R543" s="309"/>
      <c r="S543" s="309"/>
      <c r="T543" s="309"/>
      <c r="U543" s="309"/>
      <c r="V543" s="309"/>
    </row>
    <row r="544" spans="1:22" ht="15" thickTop="1" thickBot="1" x14ac:dyDescent="0.3">
      <c r="A544" s="307"/>
      <c r="B544" s="308"/>
      <c r="C544" s="308"/>
      <c r="D544" s="308" t="s">
        <v>863</v>
      </c>
      <c r="E544" s="664">
        <v>1</v>
      </c>
      <c r="F544" s="664">
        <v>4</v>
      </c>
      <c r="G544" s="664">
        <v>0.25</v>
      </c>
      <c r="H544" s="664">
        <f t="shared" si="147"/>
        <v>0.85</v>
      </c>
      <c r="I544" s="664">
        <f t="shared" si="148"/>
        <v>0.85</v>
      </c>
      <c r="J544" s="664"/>
      <c r="K544" s="682"/>
      <c r="L544" s="682"/>
      <c r="M544" s="673"/>
      <c r="N544" s="683"/>
      <c r="O544" s="664"/>
      <c r="R544" s="309"/>
      <c r="S544" s="309"/>
      <c r="T544" s="309"/>
      <c r="U544" s="309"/>
      <c r="V544" s="309"/>
    </row>
    <row r="545" spans="1:22" ht="15" thickTop="1" thickBot="1" x14ac:dyDescent="0.3">
      <c r="A545" s="307"/>
      <c r="B545" s="308"/>
      <c r="C545" s="308"/>
      <c r="D545" s="308" t="s">
        <v>864</v>
      </c>
      <c r="E545" s="664">
        <v>1</v>
      </c>
      <c r="F545" s="664">
        <v>4</v>
      </c>
      <c r="G545" s="664">
        <v>0.25</v>
      </c>
      <c r="H545" s="664">
        <f t="shared" si="147"/>
        <v>0.85</v>
      </c>
      <c r="I545" s="664">
        <f t="shared" si="148"/>
        <v>0.85</v>
      </c>
      <c r="J545" s="664"/>
      <c r="K545" s="682"/>
      <c r="L545" s="682"/>
      <c r="M545" s="673"/>
      <c r="N545" s="683"/>
      <c r="O545" s="664"/>
      <c r="R545" s="309"/>
      <c r="S545" s="309"/>
      <c r="T545" s="309"/>
      <c r="U545" s="309"/>
      <c r="V545" s="309"/>
    </row>
    <row r="546" spans="1:22" ht="15" thickTop="1" thickBot="1" x14ac:dyDescent="0.3">
      <c r="A546" s="307"/>
      <c r="B546" s="663"/>
      <c r="C546" s="308"/>
      <c r="D546" s="308" t="s">
        <v>865</v>
      </c>
      <c r="E546" s="664">
        <v>1</v>
      </c>
      <c r="F546" s="664">
        <v>4</v>
      </c>
      <c r="G546" s="664">
        <v>0.25</v>
      </c>
      <c r="H546" s="664">
        <f t="shared" si="147"/>
        <v>0.85</v>
      </c>
      <c r="I546" s="664">
        <f t="shared" si="148"/>
        <v>0.85</v>
      </c>
      <c r="J546" s="664"/>
      <c r="K546" s="682"/>
      <c r="L546" s="682"/>
      <c r="M546" s="673"/>
      <c r="N546" s="683"/>
      <c r="O546" s="664"/>
      <c r="R546" s="309"/>
      <c r="S546" s="309"/>
      <c r="T546" s="309"/>
      <c r="U546" s="309"/>
      <c r="V546" s="309"/>
    </row>
    <row r="547" spans="1:22" ht="15" thickTop="1" thickBot="1" x14ac:dyDescent="0.3">
      <c r="A547" s="307"/>
      <c r="B547" s="308"/>
      <c r="C547" s="308"/>
      <c r="D547" s="308" t="s">
        <v>866</v>
      </c>
      <c r="E547" s="664">
        <v>1</v>
      </c>
      <c r="F547" s="664">
        <v>4</v>
      </c>
      <c r="G547" s="664">
        <v>0.25</v>
      </c>
      <c r="H547" s="664">
        <f t="shared" si="147"/>
        <v>0.85</v>
      </c>
      <c r="I547" s="664">
        <f t="shared" si="148"/>
        <v>0.85</v>
      </c>
      <c r="J547" s="664"/>
      <c r="K547" s="682"/>
      <c r="L547" s="682"/>
      <c r="M547" s="673"/>
      <c r="N547" s="683"/>
      <c r="O547" s="664"/>
      <c r="R547" s="309"/>
      <c r="S547" s="309"/>
      <c r="T547" s="309"/>
      <c r="U547" s="309"/>
      <c r="V547" s="309"/>
    </row>
    <row r="548" spans="1:22" s="687" customFormat="1" ht="15" thickTop="1" thickBot="1" x14ac:dyDescent="0.3">
      <c r="A548" s="685"/>
      <c r="B548" s="686"/>
      <c r="C548" s="668"/>
      <c r="D548" s="308" t="s">
        <v>867</v>
      </c>
      <c r="E548" s="664">
        <v>1</v>
      </c>
      <c r="F548" s="664">
        <v>4</v>
      </c>
      <c r="G548" s="664">
        <v>0.25</v>
      </c>
      <c r="H548" s="664">
        <f t="shared" si="147"/>
        <v>0.85</v>
      </c>
      <c r="I548" s="664">
        <f t="shared" si="148"/>
        <v>0.85</v>
      </c>
      <c r="J548" s="664"/>
      <c r="K548" s="682"/>
      <c r="L548" s="682"/>
      <c r="M548" s="673"/>
      <c r="N548" s="683"/>
      <c r="O548" s="664"/>
      <c r="R548" s="688"/>
      <c r="S548" s="688"/>
      <c r="T548" s="688"/>
      <c r="U548" s="688"/>
      <c r="V548" s="688"/>
    </row>
    <row r="549" spans="1:22" ht="15" thickTop="1" thickBot="1" x14ac:dyDescent="0.3">
      <c r="A549" s="307"/>
      <c r="B549" s="308"/>
      <c r="C549" s="308"/>
      <c r="D549" s="308" t="s">
        <v>868</v>
      </c>
      <c r="E549" s="664">
        <v>1</v>
      </c>
      <c r="F549" s="664">
        <v>4</v>
      </c>
      <c r="G549" s="664">
        <v>0.25</v>
      </c>
      <c r="H549" s="664">
        <f t="shared" si="147"/>
        <v>0.85</v>
      </c>
      <c r="I549" s="664">
        <f t="shared" si="148"/>
        <v>0.85</v>
      </c>
      <c r="J549" s="664"/>
      <c r="K549" s="682"/>
      <c r="L549" s="682"/>
      <c r="M549" s="673"/>
      <c r="N549" s="683"/>
      <c r="O549" s="664"/>
      <c r="R549" s="309"/>
      <c r="S549" s="309"/>
      <c r="T549" s="309"/>
      <c r="U549" s="309"/>
      <c r="V549" s="309"/>
    </row>
    <row r="550" spans="1:22" s="687" customFormat="1" ht="15" thickTop="1" thickBot="1" x14ac:dyDescent="0.3">
      <c r="A550" s="685"/>
      <c r="B550" s="686"/>
      <c r="C550" s="668"/>
      <c r="D550" s="308" t="s">
        <v>869</v>
      </c>
      <c r="E550" s="664">
        <v>1</v>
      </c>
      <c r="F550" s="664">
        <v>4</v>
      </c>
      <c r="G550" s="664">
        <v>0.25</v>
      </c>
      <c r="H550" s="664">
        <f t="shared" si="147"/>
        <v>0.85</v>
      </c>
      <c r="I550" s="664">
        <f t="shared" si="148"/>
        <v>0.85</v>
      </c>
      <c r="J550" s="664">
        <f>SUM(I528:I550)</f>
        <v>19.55</v>
      </c>
      <c r="K550" s="679">
        <f>$K$2</f>
        <v>1.05</v>
      </c>
      <c r="L550" s="679">
        <f t="shared" ref="L550" si="149">K550*J550</f>
        <v>20.5275</v>
      </c>
      <c r="M550" s="680">
        <f t="shared" ref="M550" si="150">ROUND(L550,1)</f>
        <v>20.5</v>
      </c>
      <c r="N550" s="681">
        <f t="shared" ref="N550" si="151">ROUNDUP(M550,0)</f>
        <v>21</v>
      </c>
      <c r="O550" s="678" t="s">
        <v>183</v>
      </c>
      <c r="R550" s="688"/>
      <c r="S550" s="688"/>
      <c r="T550" s="688"/>
      <c r="U550" s="688"/>
      <c r="V550" s="688"/>
    </row>
    <row r="551" spans="1:22" ht="15" thickTop="1" thickBot="1" x14ac:dyDescent="0.3">
      <c r="A551" s="307"/>
      <c r="B551" s="308"/>
      <c r="C551" s="308"/>
      <c r="D551" s="308"/>
      <c r="E551" s="664"/>
      <c r="F551" s="664"/>
      <c r="G551" s="664"/>
      <c r="H551" s="664"/>
      <c r="I551" s="678"/>
      <c r="J551" s="678"/>
      <c r="K551" s="679"/>
      <c r="L551" s="679"/>
      <c r="M551" s="680"/>
      <c r="N551" s="681"/>
      <c r="O551" s="678"/>
      <c r="R551" s="309"/>
      <c r="S551" s="309"/>
      <c r="T551" s="309"/>
      <c r="U551" s="309"/>
      <c r="V551" s="309"/>
    </row>
    <row r="552" spans="1:22" ht="28.8" thickTop="1" thickBot="1" x14ac:dyDescent="0.3">
      <c r="A552" s="307"/>
      <c r="B552" s="721" t="str">
        <f>concrete!B145</f>
        <v>In column shaft from Base/ ground floor level to First floor level</v>
      </c>
      <c r="C552" s="308"/>
      <c r="D552" s="308" t="s">
        <v>810</v>
      </c>
      <c r="E552" s="664">
        <v>1</v>
      </c>
      <c r="F552" s="664">
        <v>4</v>
      </c>
      <c r="G552" s="664">
        <v>0.25</v>
      </c>
      <c r="H552" s="664">
        <v>4.05</v>
      </c>
      <c r="I552" s="664">
        <f>H552*G552*F552*E552</f>
        <v>4.05</v>
      </c>
      <c r="J552" s="664"/>
      <c r="K552" s="682"/>
      <c r="L552" s="682"/>
      <c r="M552" s="673"/>
      <c r="N552" s="683"/>
      <c r="O552" s="664"/>
      <c r="R552" s="309"/>
      <c r="S552" s="309"/>
      <c r="T552" s="309"/>
      <c r="U552" s="309"/>
      <c r="V552" s="309"/>
    </row>
    <row r="553" spans="1:22" s="687" customFormat="1" ht="15" thickTop="1" thickBot="1" x14ac:dyDescent="0.3">
      <c r="A553" s="685"/>
      <c r="B553" s="686"/>
      <c r="C553" s="668"/>
      <c r="D553" s="308" t="s">
        <v>811</v>
      </c>
      <c r="E553" s="664">
        <v>1</v>
      </c>
      <c r="F553" s="664">
        <v>4</v>
      </c>
      <c r="G553" s="664">
        <v>0.25</v>
      </c>
      <c r="H553" s="664">
        <v>4.05</v>
      </c>
      <c r="I553" s="664">
        <f t="shared" ref="I553:I574" si="152">H553*G553*F553*E553</f>
        <v>4.05</v>
      </c>
      <c r="J553" s="664"/>
      <c r="K553" s="682"/>
      <c r="L553" s="682"/>
      <c r="M553" s="673"/>
      <c r="N553" s="683"/>
      <c r="O553" s="664"/>
      <c r="R553" s="688"/>
      <c r="S553" s="688"/>
      <c r="T553" s="688"/>
      <c r="U553" s="688"/>
      <c r="V553" s="688"/>
    </row>
    <row r="554" spans="1:22" ht="15" thickTop="1" thickBot="1" x14ac:dyDescent="0.3">
      <c r="A554" s="307"/>
      <c r="B554" s="308"/>
      <c r="C554" s="308"/>
      <c r="D554" s="308" t="s">
        <v>812</v>
      </c>
      <c r="E554" s="664">
        <v>1</v>
      </c>
      <c r="F554" s="664">
        <v>4</v>
      </c>
      <c r="G554" s="664">
        <v>0.25</v>
      </c>
      <c r="H554" s="664">
        <v>4.05</v>
      </c>
      <c r="I554" s="664">
        <f t="shared" si="152"/>
        <v>4.05</v>
      </c>
      <c r="J554" s="664"/>
      <c r="K554" s="682"/>
      <c r="L554" s="682"/>
      <c r="M554" s="673"/>
      <c r="N554" s="683"/>
      <c r="O554" s="664"/>
      <c r="R554" s="309"/>
      <c r="S554" s="309"/>
      <c r="T554" s="309"/>
      <c r="U554" s="309"/>
      <c r="V554" s="309"/>
    </row>
    <row r="555" spans="1:22" ht="15" thickTop="1" thickBot="1" x14ac:dyDescent="0.3">
      <c r="A555" s="307"/>
      <c r="B555" s="308"/>
      <c r="C555" s="308"/>
      <c r="D555" s="308" t="s">
        <v>850</v>
      </c>
      <c r="E555" s="664">
        <v>1</v>
      </c>
      <c r="F555" s="664">
        <v>4</v>
      </c>
      <c r="G555" s="664">
        <v>0.25</v>
      </c>
      <c r="H555" s="664">
        <v>4.05</v>
      </c>
      <c r="I555" s="664">
        <f t="shared" si="152"/>
        <v>4.05</v>
      </c>
      <c r="J555" s="664"/>
      <c r="K555" s="682"/>
      <c r="L555" s="682"/>
      <c r="M555" s="673"/>
      <c r="N555" s="683"/>
      <c r="O555" s="664"/>
      <c r="R555" s="309"/>
      <c r="S555" s="309"/>
      <c r="T555" s="309"/>
      <c r="U555" s="309"/>
      <c r="V555" s="309"/>
    </row>
    <row r="556" spans="1:22" ht="15" thickTop="1" thickBot="1" x14ac:dyDescent="0.3">
      <c r="A556" s="307"/>
      <c r="B556" s="308"/>
      <c r="C556" s="308"/>
      <c r="D556" s="308" t="s">
        <v>851</v>
      </c>
      <c r="E556" s="664">
        <v>1</v>
      </c>
      <c r="F556" s="664">
        <v>4</v>
      </c>
      <c r="G556" s="664">
        <v>0.25</v>
      </c>
      <c r="H556" s="664">
        <v>4.05</v>
      </c>
      <c r="I556" s="664">
        <f t="shared" si="152"/>
        <v>4.05</v>
      </c>
      <c r="J556" s="664"/>
      <c r="K556" s="682"/>
      <c r="L556" s="682"/>
      <c r="M556" s="673"/>
      <c r="N556" s="683"/>
      <c r="O556" s="664"/>
      <c r="R556" s="309"/>
      <c r="S556" s="309"/>
      <c r="T556" s="309"/>
      <c r="U556" s="309"/>
      <c r="V556" s="309"/>
    </row>
    <row r="557" spans="1:22" ht="15" thickTop="1" thickBot="1" x14ac:dyDescent="0.3">
      <c r="A557" s="307"/>
      <c r="B557" s="308"/>
      <c r="C557" s="308"/>
      <c r="D557" s="308" t="s">
        <v>852</v>
      </c>
      <c r="E557" s="664">
        <v>1</v>
      </c>
      <c r="F557" s="664">
        <v>4</v>
      </c>
      <c r="G557" s="664">
        <v>0.25</v>
      </c>
      <c r="H557" s="664">
        <v>4.05</v>
      </c>
      <c r="I557" s="664">
        <f t="shared" si="152"/>
        <v>4.05</v>
      </c>
      <c r="J557" s="664"/>
      <c r="K557" s="682"/>
      <c r="L557" s="682"/>
      <c r="M557" s="673"/>
      <c r="N557" s="683"/>
      <c r="O557" s="664"/>
      <c r="R557" s="309"/>
      <c r="S557" s="309"/>
      <c r="T557" s="309"/>
      <c r="U557" s="309"/>
      <c r="V557" s="309"/>
    </row>
    <row r="558" spans="1:22" ht="15" thickTop="1" thickBot="1" x14ac:dyDescent="0.3">
      <c r="A558" s="307"/>
      <c r="B558" s="308"/>
      <c r="C558" s="308"/>
      <c r="D558" s="308" t="s">
        <v>853</v>
      </c>
      <c r="E558" s="664">
        <v>1</v>
      </c>
      <c r="F558" s="664">
        <v>4</v>
      </c>
      <c r="G558" s="664">
        <v>0.25</v>
      </c>
      <c r="H558" s="664">
        <v>4.05</v>
      </c>
      <c r="I558" s="664">
        <f t="shared" si="152"/>
        <v>4.05</v>
      </c>
      <c r="J558" s="664"/>
      <c r="K558" s="682"/>
      <c r="L558" s="682"/>
      <c r="M558" s="673"/>
      <c r="N558" s="683"/>
      <c r="O558" s="664"/>
      <c r="R558" s="309"/>
      <c r="S558" s="309"/>
      <c r="T558" s="309"/>
      <c r="U558" s="309"/>
      <c r="V558" s="309"/>
    </row>
    <row r="559" spans="1:22" ht="15" thickTop="1" thickBot="1" x14ac:dyDescent="0.3">
      <c r="A559" s="307"/>
      <c r="B559" s="308"/>
      <c r="C559" s="308"/>
      <c r="D559" s="308" t="s">
        <v>854</v>
      </c>
      <c r="E559" s="664">
        <v>1</v>
      </c>
      <c r="F559" s="664">
        <v>4</v>
      </c>
      <c r="G559" s="664">
        <v>0.25</v>
      </c>
      <c r="H559" s="664">
        <v>4.05</v>
      </c>
      <c r="I559" s="664">
        <f t="shared" si="152"/>
        <v>4.05</v>
      </c>
      <c r="J559" s="664"/>
      <c r="K559" s="682"/>
      <c r="L559" s="682"/>
      <c r="M559" s="673"/>
      <c r="N559" s="683"/>
      <c r="O559" s="664"/>
      <c r="R559" s="309"/>
      <c r="S559" s="309"/>
      <c r="T559" s="309"/>
      <c r="U559" s="309"/>
      <c r="V559" s="309"/>
    </row>
    <row r="560" spans="1:22" s="687" customFormat="1" ht="15" thickTop="1" thickBot="1" x14ac:dyDescent="0.3">
      <c r="A560" s="685"/>
      <c r="B560" s="686"/>
      <c r="C560" s="668"/>
      <c r="D560" s="308" t="s">
        <v>855</v>
      </c>
      <c r="E560" s="664">
        <v>1</v>
      </c>
      <c r="F560" s="664">
        <v>4</v>
      </c>
      <c r="G560" s="664">
        <v>0.25</v>
      </c>
      <c r="H560" s="664">
        <v>4.05</v>
      </c>
      <c r="I560" s="664">
        <f t="shared" si="152"/>
        <v>4.05</v>
      </c>
      <c r="J560" s="664"/>
      <c r="K560" s="682"/>
      <c r="L560" s="682"/>
      <c r="M560" s="673"/>
      <c r="N560" s="683"/>
      <c r="O560" s="664"/>
      <c r="R560" s="688"/>
      <c r="S560" s="688"/>
      <c r="T560" s="688"/>
      <c r="U560" s="688"/>
      <c r="V560" s="688"/>
    </row>
    <row r="561" spans="1:22" ht="15" thickTop="1" thickBot="1" x14ac:dyDescent="0.3">
      <c r="A561" s="307"/>
      <c r="B561" s="308"/>
      <c r="C561" s="308"/>
      <c r="D561" s="308" t="s">
        <v>856</v>
      </c>
      <c r="E561" s="664">
        <v>1</v>
      </c>
      <c r="F561" s="664">
        <v>4</v>
      </c>
      <c r="G561" s="664">
        <v>0.25</v>
      </c>
      <c r="H561" s="664">
        <v>4.05</v>
      </c>
      <c r="I561" s="664">
        <f t="shared" si="152"/>
        <v>4.05</v>
      </c>
      <c r="J561" s="664"/>
      <c r="K561" s="682"/>
      <c r="L561" s="682"/>
      <c r="M561" s="673"/>
      <c r="N561" s="683"/>
      <c r="O561" s="664"/>
      <c r="R561" s="309"/>
      <c r="S561" s="309"/>
      <c r="T561" s="309"/>
      <c r="U561" s="309"/>
      <c r="V561" s="309"/>
    </row>
    <row r="562" spans="1:22" s="687" customFormat="1" ht="15" thickTop="1" thickBot="1" x14ac:dyDescent="0.3">
      <c r="A562" s="685"/>
      <c r="B562" s="686"/>
      <c r="C562" s="668"/>
      <c r="D562" s="308" t="s">
        <v>857</v>
      </c>
      <c r="E562" s="664">
        <v>1</v>
      </c>
      <c r="F562" s="664">
        <v>4</v>
      </c>
      <c r="G562" s="664">
        <v>0.25</v>
      </c>
      <c r="H562" s="664">
        <v>4.05</v>
      </c>
      <c r="I562" s="664">
        <f t="shared" si="152"/>
        <v>4.05</v>
      </c>
      <c r="J562" s="664"/>
      <c r="K562" s="682"/>
      <c r="L562" s="682"/>
      <c r="M562" s="673"/>
      <c r="N562" s="683"/>
      <c r="O562" s="664"/>
      <c r="R562" s="688"/>
      <c r="S562" s="688"/>
      <c r="T562" s="688"/>
      <c r="U562" s="688"/>
      <c r="V562" s="688"/>
    </row>
    <row r="563" spans="1:22" ht="15" thickTop="1" thickBot="1" x14ac:dyDescent="0.3">
      <c r="A563" s="307"/>
      <c r="B563" s="308"/>
      <c r="C563" s="308"/>
      <c r="D563" s="308" t="s">
        <v>858</v>
      </c>
      <c r="E563" s="664">
        <v>1</v>
      </c>
      <c r="F563" s="664">
        <v>4</v>
      </c>
      <c r="G563" s="664">
        <v>0.25</v>
      </c>
      <c r="H563" s="664">
        <v>4.05</v>
      </c>
      <c r="I563" s="664">
        <f t="shared" si="152"/>
        <v>4.05</v>
      </c>
      <c r="J563" s="664"/>
      <c r="K563" s="682"/>
      <c r="L563" s="682"/>
      <c r="M563" s="673"/>
      <c r="N563" s="683"/>
      <c r="O563" s="664"/>
      <c r="R563" s="309"/>
      <c r="S563" s="309"/>
      <c r="T563" s="309"/>
      <c r="U563" s="309"/>
      <c r="V563" s="309"/>
    </row>
    <row r="564" spans="1:22" ht="15" thickTop="1" thickBot="1" x14ac:dyDescent="0.3">
      <c r="A564" s="307"/>
      <c r="B564" s="308"/>
      <c r="C564" s="308"/>
      <c r="D564" s="308" t="s">
        <v>859</v>
      </c>
      <c r="E564" s="664">
        <v>1</v>
      </c>
      <c r="F564" s="664">
        <v>4</v>
      </c>
      <c r="G564" s="664">
        <v>0.25</v>
      </c>
      <c r="H564" s="664">
        <v>4.05</v>
      </c>
      <c r="I564" s="664">
        <f t="shared" si="152"/>
        <v>4.05</v>
      </c>
      <c r="J564" s="664"/>
      <c r="K564" s="682"/>
      <c r="L564" s="682"/>
      <c r="M564" s="673"/>
      <c r="N564" s="683"/>
      <c r="O564" s="664"/>
      <c r="R564" s="309"/>
      <c r="S564" s="309"/>
      <c r="T564" s="309"/>
      <c r="U564" s="309"/>
      <c r="V564" s="309"/>
    </row>
    <row r="565" spans="1:22" ht="15" thickTop="1" thickBot="1" x14ac:dyDescent="0.3">
      <c r="A565" s="307"/>
      <c r="B565" s="686"/>
      <c r="C565" s="308"/>
      <c r="D565" s="308" t="s">
        <v>860</v>
      </c>
      <c r="E565" s="664">
        <v>1</v>
      </c>
      <c r="F565" s="664">
        <v>4</v>
      </c>
      <c r="G565" s="664">
        <v>0.25</v>
      </c>
      <c r="H565" s="664">
        <v>4.05</v>
      </c>
      <c r="I565" s="664">
        <f t="shared" si="152"/>
        <v>4.05</v>
      </c>
      <c r="J565" s="664"/>
      <c r="K565" s="682"/>
      <c r="L565" s="682"/>
      <c r="M565" s="673"/>
      <c r="N565" s="683"/>
      <c r="O565" s="664"/>
      <c r="R565" s="309"/>
      <c r="S565" s="309"/>
      <c r="T565" s="309"/>
      <c r="U565" s="309"/>
      <c r="V565" s="309"/>
    </row>
    <row r="566" spans="1:22" ht="15" thickTop="1" thickBot="1" x14ac:dyDescent="0.3">
      <c r="A566" s="307"/>
      <c r="B566" s="308"/>
      <c r="C566" s="308"/>
      <c r="D566" s="308" t="s">
        <v>861</v>
      </c>
      <c r="E566" s="664">
        <v>1</v>
      </c>
      <c r="F566" s="664">
        <v>4</v>
      </c>
      <c r="G566" s="664">
        <v>0.25</v>
      </c>
      <c r="H566" s="664">
        <v>4.05</v>
      </c>
      <c r="I566" s="664">
        <f t="shared" si="152"/>
        <v>4.05</v>
      </c>
      <c r="J566" s="664"/>
      <c r="K566" s="682"/>
      <c r="L566" s="682"/>
      <c r="M566" s="673"/>
      <c r="N566" s="683"/>
      <c r="O566" s="664"/>
      <c r="R566" s="309"/>
      <c r="S566" s="309"/>
      <c r="T566" s="309"/>
      <c r="U566" s="309"/>
      <c r="V566" s="309"/>
    </row>
    <row r="567" spans="1:22" ht="15" thickTop="1" thickBot="1" x14ac:dyDescent="0.3">
      <c r="A567" s="307"/>
      <c r="B567" s="686"/>
      <c r="C567" s="308"/>
      <c r="D567" s="308" t="s">
        <v>862</v>
      </c>
      <c r="E567" s="664">
        <v>1</v>
      </c>
      <c r="F567" s="664">
        <v>4</v>
      </c>
      <c r="G567" s="664">
        <v>0.25</v>
      </c>
      <c r="H567" s="664">
        <v>4.05</v>
      </c>
      <c r="I567" s="664">
        <f t="shared" si="152"/>
        <v>4.05</v>
      </c>
      <c r="J567" s="664"/>
      <c r="K567" s="682"/>
      <c r="L567" s="682"/>
      <c r="M567" s="673"/>
      <c r="N567" s="683"/>
      <c r="O567" s="664"/>
      <c r="R567" s="309"/>
      <c r="S567" s="309"/>
      <c r="T567" s="309"/>
      <c r="U567" s="309"/>
      <c r="V567" s="309"/>
    </row>
    <row r="568" spans="1:22" ht="15" thickTop="1" thickBot="1" x14ac:dyDescent="0.3">
      <c r="A568" s="307"/>
      <c r="B568" s="308"/>
      <c r="C568" s="308"/>
      <c r="D568" s="308" t="s">
        <v>863</v>
      </c>
      <c r="E568" s="664">
        <v>1</v>
      </c>
      <c r="F568" s="664">
        <v>4</v>
      </c>
      <c r="G568" s="664">
        <v>0.25</v>
      </c>
      <c r="H568" s="664">
        <v>4.05</v>
      </c>
      <c r="I568" s="664">
        <f t="shared" si="152"/>
        <v>4.05</v>
      </c>
      <c r="J568" s="664"/>
      <c r="K568" s="682"/>
      <c r="L568" s="682"/>
      <c r="M568" s="673"/>
      <c r="N568" s="683"/>
      <c r="O568" s="664"/>
      <c r="R568" s="309"/>
      <c r="S568" s="309"/>
      <c r="T568" s="309"/>
      <c r="U568" s="309"/>
      <c r="V568" s="309"/>
    </row>
    <row r="569" spans="1:22" ht="15" thickTop="1" thickBot="1" x14ac:dyDescent="0.3">
      <c r="A569" s="307"/>
      <c r="B569" s="308"/>
      <c r="C569" s="308"/>
      <c r="D569" s="308" t="s">
        <v>864</v>
      </c>
      <c r="E569" s="664">
        <v>1</v>
      </c>
      <c r="F569" s="664">
        <v>4</v>
      </c>
      <c r="G569" s="664">
        <v>0.25</v>
      </c>
      <c r="H569" s="664">
        <v>4.05</v>
      </c>
      <c r="I569" s="664">
        <f t="shared" si="152"/>
        <v>4.05</v>
      </c>
      <c r="J569" s="664"/>
      <c r="K569" s="682"/>
      <c r="L569" s="682"/>
      <c r="M569" s="673"/>
      <c r="N569" s="683"/>
      <c r="O569" s="664"/>
      <c r="R569" s="309"/>
      <c r="S569" s="309"/>
      <c r="T569" s="309"/>
      <c r="U569" s="309"/>
      <c r="V569" s="309"/>
    </row>
    <row r="570" spans="1:22" ht="15" thickTop="1" thickBot="1" x14ac:dyDescent="0.3">
      <c r="A570" s="307"/>
      <c r="B570" s="308"/>
      <c r="C570" s="308"/>
      <c r="D570" s="308" t="s">
        <v>865</v>
      </c>
      <c r="E570" s="664">
        <v>1</v>
      </c>
      <c r="F570" s="664">
        <v>4</v>
      </c>
      <c r="G570" s="664">
        <v>0.25</v>
      </c>
      <c r="H570" s="664">
        <v>4.05</v>
      </c>
      <c r="I570" s="664">
        <f t="shared" si="152"/>
        <v>4.05</v>
      </c>
      <c r="J570" s="664"/>
      <c r="K570" s="682"/>
      <c r="L570" s="682"/>
      <c r="M570" s="673"/>
      <c r="N570" s="683"/>
      <c r="O570" s="664"/>
      <c r="R570" s="309"/>
      <c r="S570" s="309"/>
      <c r="T570" s="309"/>
      <c r="U570" s="309"/>
      <c r="V570" s="309"/>
    </row>
    <row r="571" spans="1:22" ht="15" thickTop="1" thickBot="1" x14ac:dyDescent="0.3">
      <c r="A571" s="307"/>
      <c r="B571" s="686"/>
      <c r="C571" s="308"/>
      <c r="D571" s="308" t="s">
        <v>866</v>
      </c>
      <c r="E571" s="664">
        <v>1</v>
      </c>
      <c r="F571" s="664">
        <v>4</v>
      </c>
      <c r="G571" s="664">
        <v>0.25</v>
      </c>
      <c r="H571" s="664">
        <v>4.05</v>
      </c>
      <c r="I571" s="664">
        <f t="shared" si="152"/>
        <v>4.05</v>
      </c>
      <c r="J571" s="664"/>
      <c r="K571" s="682"/>
      <c r="L571" s="682"/>
      <c r="M571" s="673"/>
      <c r="N571" s="683"/>
      <c r="O571" s="664"/>
      <c r="R571" s="309"/>
      <c r="S571" s="309"/>
      <c r="T571" s="309"/>
      <c r="U571" s="309"/>
      <c r="V571" s="309"/>
    </row>
    <row r="572" spans="1:22" ht="15" thickTop="1" thickBot="1" x14ac:dyDescent="0.3">
      <c r="A572" s="307"/>
      <c r="B572" s="308"/>
      <c r="C572" s="308"/>
      <c r="D572" s="308" t="s">
        <v>867</v>
      </c>
      <c r="E572" s="664">
        <v>1</v>
      </c>
      <c r="F572" s="664">
        <v>4</v>
      </c>
      <c r="G572" s="664">
        <v>0.25</v>
      </c>
      <c r="H572" s="664">
        <v>4.05</v>
      </c>
      <c r="I572" s="664">
        <f t="shared" si="152"/>
        <v>4.05</v>
      </c>
      <c r="J572" s="664"/>
      <c r="K572" s="682"/>
      <c r="L572" s="682"/>
      <c r="M572" s="673"/>
      <c r="N572" s="683"/>
      <c r="O572" s="664"/>
      <c r="R572" s="309"/>
      <c r="S572" s="309"/>
      <c r="T572" s="309"/>
      <c r="U572" s="309"/>
      <c r="V572" s="309"/>
    </row>
    <row r="573" spans="1:22" s="687" customFormat="1" ht="15" thickTop="1" thickBot="1" x14ac:dyDescent="0.3">
      <c r="A573" s="685"/>
      <c r="B573" s="686"/>
      <c r="C573" s="668"/>
      <c r="D573" s="308" t="s">
        <v>868</v>
      </c>
      <c r="E573" s="664">
        <v>1</v>
      </c>
      <c r="F573" s="664">
        <v>4</v>
      </c>
      <c r="G573" s="664">
        <v>0.25</v>
      </c>
      <c r="H573" s="664">
        <v>4.05</v>
      </c>
      <c r="I573" s="664">
        <f t="shared" si="152"/>
        <v>4.05</v>
      </c>
      <c r="J573" s="664"/>
      <c r="K573" s="682"/>
      <c r="L573" s="682"/>
      <c r="M573" s="673"/>
      <c r="N573" s="683"/>
      <c r="O573" s="664"/>
      <c r="R573" s="688"/>
      <c r="S573" s="688"/>
      <c r="T573" s="688"/>
      <c r="U573" s="688"/>
      <c r="V573" s="688"/>
    </row>
    <row r="574" spans="1:22" ht="15" thickTop="1" thickBot="1" x14ac:dyDescent="0.3">
      <c r="A574" s="307"/>
      <c r="B574" s="308"/>
      <c r="C574" s="308"/>
      <c r="D574" s="308" t="s">
        <v>869</v>
      </c>
      <c r="E574" s="664">
        <v>1</v>
      </c>
      <c r="F574" s="664">
        <v>4</v>
      </c>
      <c r="G574" s="664">
        <v>0.25</v>
      </c>
      <c r="H574" s="664">
        <v>4.05</v>
      </c>
      <c r="I574" s="664">
        <f t="shared" si="152"/>
        <v>4.05</v>
      </c>
      <c r="J574" s="664">
        <f>SUM(I552:I574)</f>
        <v>93.149999999999963</v>
      </c>
      <c r="K574" s="679">
        <f>$K$2</f>
        <v>1.05</v>
      </c>
      <c r="L574" s="679">
        <f t="shared" ref="L574" si="153">K574*J574</f>
        <v>97.807499999999962</v>
      </c>
      <c r="M574" s="680">
        <f t="shared" ref="M574" si="154">ROUND(L574,1)</f>
        <v>97.8</v>
      </c>
      <c r="N574" s="681">
        <f t="shared" ref="N574" si="155">ROUNDUP(M574,0)</f>
        <v>98</v>
      </c>
      <c r="O574" s="678" t="s">
        <v>183</v>
      </c>
      <c r="R574" s="309"/>
      <c r="S574" s="309"/>
      <c r="T574" s="309"/>
      <c r="U574" s="309"/>
      <c r="V574" s="309"/>
    </row>
    <row r="575" spans="1:22" ht="14.4" thickTop="1" x14ac:dyDescent="0.25">
      <c r="A575" s="307"/>
      <c r="B575" s="308"/>
      <c r="C575" s="308"/>
      <c r="D575" s="308"/>
      <c r="E575" s="664"/>
      <c r="F575" s="664"/>
      <c r="G575" s="664"/>
      <c r="H575" s="664"/>
      <c r="I575" s="664"/>
      <c r="J575" s="678"/>
      <c r="K575" s="678"/>
      <c r="L575" s="678"/>
      <c r="M575" s="678"/>
      <c r="N575" s="678"/>
      <c r="O575" s="664"/>
      <c r="R575" s="309"/>
      <c r="S575" s="309"/>
      <c r="T575" s="309"/>
      <c r="U575" s="309"/>
      <c r="V575" s="309"/>
    </row>
    <row r="576" spans="1:22" ht="28.2" thickBot="1" x14ac:dyDescent="0.3">
      <c r="A576" s="307"/>
      <c r="B576" s="686" t="str">
        <f>concrete!B147</f>
        <v>In column shaft from  First floor level to Second floor level</v>
      </c>
      <c r="C576" s="308"/>
      <c r="D576" s="308"/>
      <c r="E576" s="664">
        <v>24</v>
      </c>
      <c r="F576" s="664">
        <v>4</v>
      </c>
      <c r="G576" s="664">
        <v>0.25</v>
      </c>
      <c r="H576" s="664">
        <v>3.45</v>
      </c>
      <c r="I576" s="664">
        <f t="shared" ref="I576" si="156">H576*G576*F576*E576</f>
        <v>82.800000000000011</v>
      </c>
      <c r="J576" s="664">
        <f>SUM(I576)</f>
        <v>82.800000000000011</v>
      </c>
      <c r="K576" s="679">
        <f>$K$2</f>
        <v>1.05</v>
      </c>
      <c r="L576" s="679">
        <f t="shared" ref="L576" si="157">K576*J576</f>
        <v>86.940000000000012</v>
      </c>
      <c r="M576" s="680">
        <f t="shared" ref="M576" si="158">ROUND(L576,1)</f>
        <v>86.9</v>
      </c>
      <c r="N576" s="681">
        <f t="shared" ref="N576" si="159">ROUNDUP(M576,0)</f>
        <v>87</v>
      </c>
      <c r="O576" s="664" t="s">
        <v>183</v>
      </c>
      <c r="R576" s="309"/>
      <c r="S576" s="309"/>
      <c r="T576" s="309"/>
      <c r="U576" s="309"/>
      <c r="V576" s="309"/>
    </row>
    <row r="577" spans="1:22" ht="15" thickTop="1" thickBot="1" x14ac:dyDescent="0.3">
      <c r="A577" s="307"/>
      <c r="B577" s="736"/>
      <c r="C577" s="308"/>
      <c r="D577" s="308"/>
      <c r="E577" s="664"/>
      <c r="F577" s="664"/>
      <c r="G577" s="664"/>
      <c r="H577" s="664"/>
      <c r="I577" s="664"/>
      <c r="J577" s="664"/>
      <c r="K577" s="682"/>
      <c r="L577" s="682"/>
      <c r="M577" s="673"/>
      <c r="N577" s="683"/>
      <c r="O577" s="664"/>
      <c r="R577" s="309"/>
      <c r="S577" s="309"/>
      <c r="T577" s="309"/>
      <c r="U577" s="309"/>
      <c r="V577" s="309"/>
    </row>
    <row r="578" spans="1:22" ht="28.8" thickTop="1" thickBot="1" x14ac:dyDescent="0.3">
      <c r="A578" s="307"/>
      <c r="B578" s="721" t="str">
        <f>concrete!B149</f>
        <v xml:space="preserve">In column shaft from  Second floor level to Roof floor Level </v>
      </c>
      <c r="C578" s="308"/>
      <c r="D578" s="308"/>
      <c r="E578" s="664">
        <v>12</v>
      </c>
      <c r="F578" s="664">
        <v>4</v>
      </c>
      <c r="G578" s="664">
        <v>0.25</v>
      </c>
      <c r="H578" s="664">
        <v>3.45</v>
      </c>
      <c r="I578" s="664">
        <f t="shared" ref="I578" si="160">H578*G578*F578*E578</f>
        <v>41.400000000000006</v>
      </c>
      <c r="J578" s="664">
        <f>SUM(I578)</f>
        <v>41.400000000000006</v>
      </c>
      <c r="K578" s="679">
        <f>$K$2</f>
        <v>1.05</v>
      </c>
      <c r="L578" s="679">
        <f t="shared" ref="L578" si="161">K578*J578</f>
        <v>43.470000000000006</v>
      </c>
      <c r="M578" s="680">
        <f t="shared" ref="M578" si="162">ROUND(L578,1)</f>
        <v>43.5</v>
      </c>
      <c r="N578" s="681">
        <f t="shared" ref="N578" si="163">ROUNDUP(M578,0)</f>
        <v>44</v>
      </c>
      <c r="O578" s="664" t="s">
        <v>183</v>
      </c>
      <c r="R578" s="309"/>
      <c r="S578" s="309"/>
      <c r="T578" s="309"/>
      <c r="U578" s="309"/>
      <c r="V578" s="309"/>
    </row>
    <row r="579" spans="1:22" s="687" customFormat="1" ht="15" thickTop="1" thickBot="1" x14ac:dyDescent="0.3">
      <c r="A579" s="685"/>
      <c r="B579" s="686"/>
      <c r="C579" s="668"/>
      <c r="D579" s="668"/>
      <c r="E579" s="678"/>
      <c r="F579" s="678"/>
      <c r="G579" s="678"/>
      <c r="H579" s="678"/>
      <c r="I579" s="678"/>
      <c r="J579" s="678"/>
      <c r="K579" s="679"/>
      <c r="L579" s="679"/>
      <c r="M579" s="680"/>
      <c r="N579" s="681"/>
      <c r="O579" s="678"/>
      <c r="R579" s="688"/>
      <c r="S579" s="688"/>
      <c r="T579" s="688"/>
      <c r="U579" s="688"/>
      <c r="V579" s="688"/>
    </row>
    <row r="580" spans="1:22" s="687" customFormat="1" ht="15" thickTop="1" thickBot="1" x14ac:dyDescent="0.3">
      <c r="A580" s="685"/>
      <c r="B580" s="686" t="str">
        <f>concrete!B157</f>
        <v>In beam at First floor level</v>
      </c>
      <c r="C580" s="668"/>
      <c r="D580" s="308" t="s">
        <v>874</v>
      </c>
      <c r="E580" s="664">
        <v>1</v>
      </c>
      <c r="F580" s="664">
        <v>2.556</v>
      </c>
      <c r="G580" s="664">
        <v>2</v>
      </c>
      <c r="H580" s="664">
        <v>0.3</v>
      </c>
      <c r="I580" s="664">
        <f t="shared" ref="I580:I614" si="164">H580*G580*F580*E580</f>
        <v>1.5336000000000001</v>
      </c>
      <c r="J580" s="664"/>
      <c r="K580" s="682"/>
      <c r="L580" s="682"/>
      <c r="M580" s="673"/>
      <c r="N580" s="683"/>
      <c r="O580" s="664"/>
      <c r="R580" s="688"/>
      <c r="S580" s="688"/>
      <c r="T580" s="688"/>
      <c r="U580" s="688"/>
      <c r="V580" s="688"/>
    </row>
    <row r="581" spans="1:22" s="687" customFormat="1" ht="15" thickTop="1" thickBot="1" x14ac:dyDescent="0.3">
      <c r="A581" s="685"/>
      <c r="B581" s="686"/>
      <c r="C581" s="668"/>
      <c r="D581" s="308" t="s">
        <v>875</v>
      </c>
      <c r="E581" s="664">
        <v>1</v>
      </c>
      <c r="F581" s="664">
        <v>4.9349999999999996</v>
      </c>
      <c r="G581" s="664">
        <v>2</v>
      </c>
      <c r="H581" s="664">
        <v>0.45</v>
      </c>
      <c r="I581" s="664">
        <f t="shared" si="164"/>
        <v>4.4414999999999996</v>
      </c>
      <c r="J581" s="664"/>
      <c r="K581" s="682"/>
      <c r="L581" s="682"/>
      <c r="M581" s="673"/>
      <c r="N581" s="683"/>
      <c r="O581" s="664"/>
      <c r="R581" s="688"/>
      <c r="S581" s="688"/>
      <c r="T581" s="688"/>
      <c r="U581" s="688"/>
      <c r="V581" s="688"/>
    </row>
    <row r="582" spans="1:22" s="687" customFormat="1" ht="15" thickTop="1" thickBot="1" x14ac:dyDescent="0.3">
      <c r="A582" s="685"/>
      <c r="B582" s="686"/>
      <c r="C582" s="668"/>
      <c r="D582" s="308" t="s">
        <v>876</v>
      </c>
      <c r="E582" s="664">
        <v>1</v>
      </c>
      <c r="F582" s="664">
        <v>6.05</v>
      </c>
      <c r="G582" s="664">
        <v>2</v>
      </c>
      <c r="H582" s="664">
        <v>0.6</v>
      </c>
      <c r="I582" s="664">
        <f t="shared" si="164"/>
        <v>7.26</v>
      </c>
      <c r="J582" s="664"/>
      <c r="K582" s="682"/>
      <c r="L582" s="682"/>
      <c r="M582" s="673"/>
      <c r="N582" s="683"/>
      <c r="O582" s="664"/>
      <c r="R582" s="688"/>
      <c r="S582" s="688"/>
      <c r="T582" s="688"/>
      <c r="U582" s="688"/>
      <c r="V582" s="688"/>
    </row>
    <row r="583" spans="1:22" s="687" customFormat="1" ht="15" thickTop="1" thickBot="1" x14ac:dyDescent="0.3">
      <c r="A583" s="685"/>
      <c r="B583" s="686"/>
      <c r="C583" s="668"/>
      <c r="D583" s="308" t="s">
        <v>877</v>
      </c>
      <c r="E583" s="664">
        <v>1</v>
      </c>
      <c r="F583" s="664">
        <v>6.52</v>
      </c>
      <c r="G583" s="664">
        <v>2</v>
      </c>
      <c r="H583" s="664">
        <v>0.5</v>
      </c>
      <c r="I583" s="664">
        <f t="shared" si="164"/>
        <v>6.52</v>
      </c>
      <c r="J583" s="664"/>
      <c r="K583" s="682"/>
      <c r="L583" s="682"/>
      <c r="M583" s="673"/>
      <c r="N583" s="683"/>
      <c r="O583" s="664"/>
      <c r="R583" s="688"/>
      <c r="S583" s="688"/>
      <c r="T583" s="688"/>
      <c r="U583" s="688"/>
      <c r="V583" s="688"/>
    </row>
    <row r="584" spans="1:22" ht="15" thickTop="1" thickBot="1" x14ac:dyDescent="0.3">
      <c r="A584" s="307"/>
      <c r="B584" s="308"/>
      <c r="C584" s="308"/>
      <c r="D584" s="308" t="s">
        <v>878</v>
      </c>
      <c r="E584" s="664">
        <v>1</v>
      </c>
      <c r="F584" s="664">
        <v>2.4</v>
      </c>
      <c r="G584" s="664">
        <v>2</v>
      </c>
      <c r="H584" s="664">
        <v>0.3</v>
      </c>
      <c r="I584" s="664">
        <f t="shared" si="164"/>
        <v>1.44</v>
      </c>
      <c r="J584" s="664"/>
      <c r="K584" s="682"/>
      <c r="L584" s="682"/>
      <c r="M584" s="673"/>
      <c r="N584" s="683"/>
      <c r="O584" s="664"/>
      <c r="R584" s="309"/>
      <c r="S584" s="309"/>
      <c r="T584" s="309"/>
      <c r="U584" s="309"/>
      <c r="V584" s="309"/>
    </row>
    <row r="585" spans="1:22" s="687" customFormat="1" ht="15" thickTop="1" thickBot="1" x14ac:dyDescent="0.3">
      <c r="A585" s="685"/>
      <c r="B585" s="686"/>
      <c r="C585" s="668"/>
      <c r="D585" s="308" t="s">
        <v>879</v>
      </c>
      <c r="E585" s="664">
        <v>1</v>
      </c>
      <c r="F585" s="664">
        <v>4.95</v>
      </c>
      <c r="G585" s="664">
        <v>2</v>
      </c>
      <c r="H585" s="664">
        <v>0.45</v>
      </c>
      <c r="I585" s="664">
        <f t="shared" si="164"/>
        <v>4.4550000000000001</v>
      </c>
      <c r="J585" s="664"/>
      <c r="K585" s="682"/>
      <c r="L585" s="682"/>
      <c r="M585" s="673"/>
      <c r="N585" s="683"/>
      <c r="O585" s="664"/>
      <c r="R585" s="688"/>
      <c r="S585" s="688"/>
      <c r="T585" s="688"/>
      <c r="U585" s="688"/>
      <c r="V585" s="688"/>
    </row>
    <row r="586" spans="1:22" ht="15" thickTop="1" thickBot="1" x14ac:dyDescent="0.3">
      <c r="A586" s="307"/>
      <c r="B586" s="308"/>
      <c r="C586" s="308"/>
      <c r="D586" s="308" t="s">
        <v>880</v>
      </c>
      <c r="E586" s="664">
        <v>1</v>
      </c>
      <c r="F586" s="664">
        <v>5.15</v>
      </c>
      <c r="G586" s="664">
        <v>2</v>
      </c>
      <c r="H586" s="664">
        <v>0.5</v>
      </c>
      <c r="I586" s="664">
        <f t="shared" si="164"/>
        <v>5.15</v>
      </c>
      <c r="J586" s="664"/>
      <c r="K586" s="682"/>
      <c r="L586" s="682"/>
      <c r="M586" s="673"/>
      <c r="N586" s="683"/>
      <c r="O586" s="664"/>
      <c r="R586" s="309"/>
      <c r="S586" s="309"/>
      <c r="T586" s="309"/>
      <c r="U586" s="309"/>
      <c r="V586" s="309"/>
    </row>
    <row r="587" spans="1:22" ht="15" thickTop="1" thickBot="1" x14ac:dyDescent="0.3">
      <c r="A587" s="307"/>
      <c r="B587" s="308"/>
      <c r="C587" s="308"/>
      <c r="D587" s="308" t="s">
        <v>881</v>
      </c>
      <c r="E587" s="664">
        <v>1</v>
      </c>
      <c r="F587" s="664">
        <v>6.05</v>
      </c>
      <c r="G587" s="664">
        <v>2</v>
      </c>
      <c r="H587" s="664">
        <v>0.6</v>
      </c>
      <c r="I587" s="664">
        <f t="shared" si="164"/>
        <v>7.26</v>
      </c>
      <c r="J587" s="664"/>
      <c r="K587" s="682"/>
      <c r="L587" s="682"/>
      <c r="M587" s="673"/>
      <c r="N587" s="683"/>
      <c r="O587" s="664"/>
      <c r="R587" s="309"/>
      <c r="S587" s="309"/>
      <c r="T587" s="309"/>
      <c r="U587" s="309"/>
      <c r="V587" s="309"/>
    </row>
    <row r="588" spans="1:22" ht="15" thickTop="1" thickBot="1" x14ac:dyDescent="0.3">
      <c r="A588" s="307"/>
      <c r="B588" s="308"/>
      <c r="C588" s="308"/>
      <c r="D588" s="308" t="s">
        <v>882</v>
      </c>
      <c r="E588" s="664">
        <v>1</v>
      </c>
      <c r="F588" s="664">
        <v>4.95</v>
      </c>
      <c r="G588" s="664">
        <v>2</v>
      </c>
      <c r="H588" s="664">
        <v>0.45</v>
      </c>
      <c r="I588" s="664">
        <f t="shared" si="164"/>
        <v>4.4550000000000001</v>
      </c>
      <c r="J588" s="664"/>
      <c r="K588" s="682"/>
      <c r="L588" s="682"/>
      <c r="M588" s="673"/>
      <c r="N588" s="683"/>
      <c r="O588" s="664"/>
      <c r="R588" s="309"/>
      <c r="S588" s="309"/>
      <c r="T588" s="309"/>
      <c r="U588" s="309"/>
      <c r="V588" s="309"/>
    </row>
    <row r="589" spans="1:22" ht="15" thickTop="1" thickBot="1" x14ac:dyDescent="0.3">
      <c r="A589" s="307"/>
      <c r="B589" s="686"/>
      <c r="C589" s="308"/>
      <c r="D589" s="308" t="s">
        <v>883</v>
      </c>
      <c r="E589" s="664">
        <v>1</v>
      </c>
      <c r="F589" s="664">
        <v>6.05</v>
      </c>
      <c r="G589" s="664">
        <v>2</v>
      </c>
      <c r="H589" s="664">
        <v>0.6</v>
      </c>
      <c r="I589" s="664">
        <f t="shared" si="164"/>
        <v>7.26</v>
      </c>
      <c r="J589" s="664"/>
      <c r="K589" s="682"/>
      <c r="L589" s="682"/>
      <c r="M589" s="673"/>
      <c r="N589" s="683"/>
      <c r="O589" s="664"/>
      <c r="R589" s="309"/>
      <c r="S589" s="309"/>
      <c r="T589" s="309"/>
      <c r="U589" s="309"/>
      <c r="V589" s="309"/>
    </row>
    <row r="590" spans="1:22" ht="15" thickTop="1" thickBot="1" x14ac:dyDescent="0.3">
      <c r="A590" s="307"/>
      <c r="B590" s="308"/>
      <c r="C590" s="308"/>
      <c r="D590" s="308" t="s">
        <v>884</v>
      </c>
      <c r="E590" s="664">
        <v>1</v>
      </c>
      <c r="F590" s="664">
        <v>5.15</v>
      </c>
      <c r="G590" s="664">
        <v>2</v>
      </c>
      <c r="H590" s="664">
        <v>0.5</v>
      </c>
      <c r="I590" s="664">
        <f t="shared" si="164"/>
        <v>5.15</v>
      </c>
      <c r="J590" s="664"/>
      <c r="K590" s="682"/>
      <c r="L590" s="682"/>
      <c r="M590" s="673"/>
      <c r="N590" s="683"/>
      <c r="O590" s="664"/>
      <c r="R590" s="309"/>
      <c r="S590" s="309"/>
      <c r="T590" s="309"/>
      <c r="U590" s="309"/>
      <c r="V590" s="309"/>
    </row>
    <row r="591" spans="1:22" ht="15" thickTop="1" thickBot="1" x14ac:dyDescent="0.3">
      <c r="A591" s="307"/>
      <c r="B591" s="308"/>
      <c r="C591" s="308"/>
      <c r="D591" s="308" t="s">
        <v>885</v>
      </c>
      <c r="E591" s="664">
        <v>1</v>
      </c>
      <c r="F591" s="664">
        <v>4.95</v>
      </c>
      <c r="G591" s="664">
        <v>2</v>
      </c>
      <c r="H591" s="664">
        <v>0.45</v>
      </c>
      <c r="I591" s="664">
        <f t="shared" si="164"/>
        <v>4.4550000000000001</v>
      </c>
      <c r="J591" s="664"/>
      <c r="K591" s="682"/>
      <c r="L591" s="682"/>
      <c r="M591" s="673"/>
      <c r="N591" s="683"/>
      <c r="O591" s="664"/>
      <c r="R591" s="309"/>
      <c r="S591" s="309"/>
      <c r="T591" s="309"/>
      <c r="U591" s="309"/>
      <c r="V591" s="309"/>
    </row>
    <row r="592" spans="1:22" ht="15" thickTop="1" thickBot="1" x14ac:dyDescent="0.3">
      <c r="A592" s="307"/>
      <c r="B592" s="308"/>
      <c r="C592" s="308"/>
      <c r="D592" s="308" t="s">
        <v>886</v>
      </c>
      <c r="E592" s="664">
        <v>1</v>
      </c>
      <c r="F592" s="664">
        <v>5.15</v>
      </c>
      <c r="G592" s="664">
        <v>2</v>
      </c>
      <c r="H592" s="664">
        <v>0.6</v>
      </c>
      <c r="I592" s="664">
        <f t="shared" si="164"/>
        <v>6.1800000000000006</v>
      </c>
      <c r="J592" s="664"/>
      <c r="K592" s="682"/>
      <c r="L592" s="682"/>
      <c r="M592" s="673"/>
      <c r="N592" s="683"/>
      <c r="O592" s="664"/>
      <c r="R592" s="309"/>
      <c r="S592" s="309"/>
      <c r="T592" s="309"/>
      <c r="U592" s="309"/>
      <c r="V592" s="309"/>
    </row>
    <row r="593" spans="1:22" s="687" customFormat="1" ht="15" thickTop="1" thickBot="1" x14ac:dyDescent="0.3">
      <c r="A593" s="685"/>
      <c r="B593" s="686"/>
      <c r="C593" s="668"/>
      <c r="D593" s="308" t="s">
        <v>887</v>
      </c>
      <c r="E593" s="664">
        <v>1</v>
      </c>
      <c r="F593" s="664">
        <v>5.15</v>
      </c>
      <c r="G593" s="664">
        <v>2</v>
      </c>
      <c r="H593" s="664">
        <v>0.4</v>
      </c>
      <c r="I593" s="664">
        <f t="shared" si="164"/>
        <v>4.12</v>
      </c>
      <c r="J593" s="664"/>
      <c r="K593" s="682"/>
      <c r="L593" s="682"/>
      <c r="M593" s="673"/>
      <c r="N593" s="683"/>
      <c r="O593" s="664"/>
      <c r="R593" s="688"/>
      <c r="S593" s="688"/>
      <c r="T593" s="688"/>
      <c r="U593" s="688"/>
      <c r="V593" s="688"/>
    </row>
    <row r="594" spans="1:22" ht="15" thickTop="1" thickBot="1" x14ac:dyDescent="0.3">
      <c r="A594" s="307"/>
      <c r="B594" s="308"/>
      <c r="C594" s="308"/>
      <c r="D594" s="308" t="s">
        <v>888</v>
      </c>
      <c r="E594" s="664">
        <v>1</v>
      </c>
      <c r="F594" s="664">
        <v>4.95</v>
      </c>
      <c r="G594" s="664">
        <v>2</v>
      </c>
      <c r="H594" s="664">
        <v>0.6</v>
      </c>
      <c r="I594" s="664">
        <f t="shared" si="164"/>
        <v>5.94</v>
      </c>
      <c r="J594" s="664"/>
      <c r="K594" s="682"/>
      <c r="L594" s="682"/>
      <c r="M594" s="673"/>
      <c r="N594" s="683"/>
      <c r="O594" s="664"/>
      <c r="R594" s="309"/>
      <c r="S594" s="309"/>
      <c r="T594" s="309"/>
      <c r="U594" s="309"/>
      <c r="V594" s="309"/>
    </row>
    <row r="595" spans="1:22" ht="15" thickTop="1" thickBot="1" x14ac:dyDescent="0.3">
      <c r="A595" s="307"/>
      <c r="B595" s="308"/>
      <c r="C595" s="308"/>
      <c r="D595" s="308" t="s">
        <v>889</v>
      </c>
      <c r="E595" s="664">
        <v>1</v>
      </c>
      <c r="F595" s="664">
        <v>3.92</v>
      </c>
      <c r="G595" s="664">
        <v>2</v>
      </c>
      <c r="H595" s="664">
        <v>0.3</v>
      </c>
      <c r="I595" s="664">
        <f t="shared" si="164"/>
        <v>2.3519999999999999</v>
      </c>
      <c r="J595" s="664"/>
      <c r="K595" s="682"/>
      <c r="L595" s="682"/>
      <c r="M595" s="673"/>
      <c r="N595" s="683"/>
      <c r="O595" s="664"/>
      <c r="R595" s="309"/>
      <c r="S595" s="309"/>
      <c r="T595" s="309"/>
      <c r="U595" s="309"/>
      <c r="V595" s="309"/>
    </row>
    <row r="596" spans="1:22" ht="15" thickTop="1" thickBot="1" x14ac:dyDescent="0.3">
      <c r="A596" s="307"/>
      <c r="B596" s="308"/>
      <c r="C596" s="308"/>
      <c r="D596" s="308" t="s">
        <v>890</v>
      </c>
      <c r="E596" s="664">
        <v>1</v>
      </c>
      <c r="F596" s="664">
        <v>3.92</v>
      </c>
      <c r="G596" s="664">
        <v>2</v>
      </c>
      <c r="H596" s="664">
        <v>0.3</v>
      </c>
      <c r="I596" s="664">
        <f t="shared" si="164"/>
        <v>2.3519999999999999</v>
      </c>
      <c r="J596" s="664"/>
      <c r="K596" s="682"/>
      <c r="L596" s="682"/>
      <c r="M596" s="673"/>
      <c r="N596" s="683"/>
      <c r="O596" s="664"/>
      <c r="R596" s="309"/>
      <c r="S596" s="309"/>
      <c r="T596" s="309"/>
      <c r="U596" s="309"/>
      <c r="V596" s="309"/>
    </row>
    <row r="597" spans="1:22" ht="15" thickTop="1" thickBot="1" x14ac:dyDescent="0.3">
      <c r="A597" s="307"/>
      <c r="B597" s="686"/>
      <c r="C597" s="308"/>
      <c r="D597" s="308" t="s">
        <v>891</v>
      </c>
      <c r="E597" s="664">
        <v>1</v>
      </c>
      <c r="F597" s="664">
        <v>3.3</v>
      </c>
      <c r="G597" s="664">
        <v>2</v>
      </c>
      <c r="H597" s="664">
        <v>0.3</v>
      </c>
      <c r="I597" s="664">
        <f t="shared" si="164"/>
        <v>1.9799999999999998</v>
      </c>
      <c r="J597" s="664"/>
      <c r="K597" s="682"/>
      <c r="L597" s="682"/>
      <c r="M597" s="673"/>
      <c r="N597" s="683"/>
      <c r="O597" s="664"/>
      <c r="R597" s="309"/>
      <c r="S597" s="309"/>
      <c r="T597" s="309"/>
      <c r="U597" s="309"/>
      <c r="V597" s="309"/>
    </row>
    <row r="598" spans="1:22" ht="15" thickTop="1" thickBot="1" x14ac:dyDescent="0.3">
      <c r="A598" s="307"/>
      <c r="B598" s="308"/>
      <c r="C598" s="308"/>
      <c r="D598" s="308" t="s">
        <v>892</v>
      </c>
      <c r="E598" s="664">
        <v>1</v>
      </c>
      <c r="F598" s="664">
        <v>3.77</v>
      </c>
      <c r="G598" s="664">
        <v>2</v>
      </c>
      <c r="H598" s="664">
        <v>0.3</v>
      </c>
      <c r="I598" s="664">
        <f t="shared" si="164"/>
        <v>2.262</v>
      </c>
      <c r="J598" s="664"/>
      <c r="K598" s="682"/>
      <c r="L598" s="682"/>
      <c r="M598" s="673"/>
      <c r="N598" s="683"/>
      <c r="O598" s="664"/>
      <c r="R598" s="309"/>
      <c r="S598" s="309"/>
      <c r="T598" s="309"/>
      <c r="U598" s="309"/>
      <c r="V598" s="309"/>
    </row>
    <row r="599" spans="1:22" ht="15" thickTop="1" thickBot="1" x14ac:dyDescent="0.3">
      <c r="A599" s="307"/>
      <c r="B599" s="308"/>
      <c r="C599" s="308"/>
      <c r="D599" s="308" t="s">
        <v>893</v>
      </c>
      <c r="E599" s="664">
        <v>1</v>
      </c>
      <c r="F599" s="664">
        <v>3.2</v>
      </c>
      <c r="G599" s="664">
        <v>2</v>
      </c>
      <c r="H599" s="664">
        <v>0.3</v>
      </c>
      <c r="I599" s="664">
        <f t="shared" si="164"/>
        <v>1.92</v>
      </c>
      <c r="J599" s="664"/>
      <c r="K599" s="682"/>
      <c r="L599" s="682"/>
      <c r="M599" s="673"/>
      <c r="N599" s="683"/>
      <c r="O599" s="664"/>
      <c r="R599" s="309"/>
      <c r="S599" s="309"/>
      <c r="T599" s="309"/>
      <c r="U599" s="309"/>
      <c r="V599" s="309"/>
    </row>
    <row r="600" spans="1:22" ht="15" thickTop="1" thickBot="1" x14ac:dyDescent="0.3">
      <c r="A600" s="307"/>
      <c r="B600" s="308"/>
      <c r="C600" s="308"/>
      <c r="D600" s="308" t="s">
        <v>894</v>
      </c>
      <c r="E600" s="664">
        <v>1</v>
      </c>
      <c r="F600" s="664">
        <v>3.2</v>
      </c>
      <c r="G600" s="664">
        <v>2</v>
      </c>
      <c r="H600" s="664">
        <v>0.3</v>
      </c>
      <c r="I600" s="664">
        <f t="shared" si="164"/>
        <v>1.92</v>
      </c>
      <c r="J600" s="664"/>
      <c r="K600" s="682"/>
      <c r="L600" s="682"/>
      <c r="M600" s="673"/>
      <c r="N600" s="683"/>
      <c r="O600" s="664"/>
      <c r="R600" s="309"/>
      <c r="S600" s="309"/>
      <c r="T600" s="309"/>
      <c r="U600" s="309"/>
      <c r="V600" s="309"/>
    </row>
    <row r="601" spans="1:22" ht="15" thickTop="1" thickBot="1" x14ac:dyDescent="0.3">
      <c r="A601" s="307"/>
      <c r="B601" s="308"/>
      <c r="C601" s="308"/>
      <c r="D601" s="308" t="s">
        <v>895</v>
      </c>
      <c r="E601" s="664">
        <v>1</v>
      </c>
      <c r="F601" s="664">
        <v>2.97</v>
      </c>
      <c r="G601" s="664">
        <v>2</v>
      </c>
      <c r="H601" s="664">
        <v>0.3</v>
      </c>
      <c r="I601" s="664">
        <f t="shared" si="164"/>
        <v>1.782</v>
      </c>
      <c r="J601" s="664"/>
      <c r="K601" s="682"/>
      <c r="L601" s="682"/>
      <c r="M601" s="673"/>
      <c r="N601" s="683"/>
      <c r="O601" s="664"/>
      <c r="R601" s="309"/>
      <c r="S601" s="309"/>
      <c r="T601" s="309"/>
      <c r="U601" s="309"/>
      <c r="V601" s="309"/>
    </row>
    <row r="602" spans="1:22" ht="15" thickTop="1" thickBot="1" x14ac:dyDescent="0.3">
      <c r="A602" s="307"/>
      <c r="B602" s="308"/>
      <c r="C602" s="308"/>
      <c r="D602" s="308" t="s">
        <v>896</v>
      </c>
      <c r="E602" s="664">
        <v>1</v>
      </c>
      <c r="F602" s="664">
        <v>4.1100000000000003</v>
      </c>
      <c r="G602" s="664">
        <v>2</v>
      </c>
      <c r="H602" s="664">
        <v>0.3</v>
      </c>
      <c r="I602" s="664">
        <f t="shared" si="164"/>
        <v>2.4660000000000002</v>
      </c>
      <c r="J602" s="664"/>
      <c r="K602" s="682"/>
      <c r="L602" s="682"/>
      <c r="M602" s="673"/>
      <c r="N602" s="683"/>
      <c r="O602" s="664"/>
      <c r="R602" s="309"/>
      <c r="S602" s="309"/>
      <c r="T602" s="309"/>
      <c r="U602" s="309"/>
      <c r="V602" s="309"/>
    </row>
    <row r="603" spans="1:22" ht="15" thickTop="1" thickBot="1" x14ac:dyDescent="0.3">
      <c r="A603" s="307"/>
      <c r="B603" s="686"/>
      <c r="C603" s="308"/>
      <c r="D603" s="308" t="s">
        <v>897</v>
      </c>
      <c r="E603" s="664">
        <v>1</v>
      </c>
      <c r="F603" s="664">
        <v>3.92</v>
      </c>
      <c r="G603" s="664">
        <v>2</v>
      </c>
      <c r="H603" s="664">
        <v>0.6</v>
      </c>
      <c r="I603" s="664">
        <f t="shared" si="164"/>
        <v>4.7039999999999997</v>
      </c>
      <c r="J603" s="664"/>
      <c r="K603" s="682"/>
      <c r="L603" s="682"/>
      <c r="M603" s="673"/>
      <c r="N603" s="683"/>
      <c r="O603" s="664"/>
      <c r="R603" s="309"/>
      <c r="S603" s="309"/>
      <c r="T603" s="309"/>
      <c r="U603" s="309"/>
      <c r="V603" s="309"/>
    </row>
    <row r="604" spans="1:22" ht="15" thickTop="1" thickBot="1" x14ac:dyDescent="0.3">
      <c r="A604" s="307"/>
      <c r="B604" s="308"/>
      <c r="C604" s="308"/>
      <c r="D604" s="308" t="s">
        <v>898</v>
      </c>
      <c r="E604" s="664">
        <v>1</v>
      </c>
      <c r="F604" s="664">
        <v>2.2000000000000002</v>
      </c>
      <c r="G604" s="664">
        <v>2</v>
      </c>
      <c r="H604" s="664">
        <v>0.4</v>
      </c>
      <c r="I604" s="664">
        <f t="shared" si="164"/>
        <v>1.7600000000000002</v>
      </c>
      <c r="J604" s="664"/>
      <c r="K604" s="682"/>
      <c r="L604" s="682"/>
      <c r="M604" s="673"/>
      <c r="N604" s="683"/>
      <c r="O604" s="664"/>
      <c r="R604" s="309"/>
      <c r="S604" s="309"/>
      <c r="T604" s="309"/>
      <c r="U604" s="309"/>
      <c r="V604" s="309"/>
    </row>
    <row r="605" spans="1:22" ht="15" thickTop="1" thickBot="1" x14ac:dyDescent="0.3">
      <c r="A605" s="307"/>
      <c r="B605" s="308"/>
      <c r="C605" s="308"/>
      <c r="D605" s="308" t="s">
        <v>899</v>
      </c>
      <c r="E605" s="664">
        <v>1</v>
      </c>
      <c r="F605" s="664">
        <v>3.9750000000000001</v>
      </c>
      <c r="G605" s="664">
        <v>2</v>
      </c>
      <c r="H605" s="664">
        <v>0.4</v>
      </c>
      <c r="I605" s="664">
        <f t="shared" si="164"/>
        <v>3.18</v>
      </c>
      <c r="J605" s="664"/>
      <c r="K605" s="682"/>
      <c r="L605" s="682"/>
      <c r="M605" s="673"/>
      <c r="N605" s="683"/>
      <c r="O605" s="664"/>
      <c r="R605" s="309"/>
      <c r="S605" s="309"/>
      <c r="T605" s="309"/>
      <c r="U605" s="309"/>
      <c r="V605" s="309"/>
    </row>
    <row r="606" spans="1:22" ht="15" thickTop="1" thickBot="1" x14ac:dyDescent="0.3">
      <c r="A606" s="307"/>
      <c r="B606" s="686"/>
      <c r="C606" s="308"/>
      <c r="D606" s="308" t="s">
        <v>900</v>
      </c>
      <c r="E606" s="664">
        <v>1</v>
      </c>
      <c r="F606" s="664">
        <v>4.1100000000000003</v>
      </c>
      <c r="G606" s="664">
        <v>2</v>
      </c>
      <c r="H606" s="664">
        <v>0.6</v>
      </c>
      <c r="I606" s="664">
        <f t="shared" si="164"/>
        <v>4.9320000000000004</v>
      </c>
      <c r="J606" s="664"/>
      <c r="K606" s="682"/>
      <c r="L606" s="682"/>
      <c r="M606" s="673"/>
      <c r="N606" s="683"/>
      <c r="O606" s="664"/>
      <c r="R606" s="309"/>
      <c r="S606" s="309"/>
      <c r="T606" s="309"/>
      <c r="U606" s="309"/>
      <c r="V606" s="309"/>
    </row>
    <row r="607" spans="1:22" ht="15" thickTop="1" thickBot="1" x14ac:dyDescent="0.3">
      <c r="A607" s="307"/>
      <c r="B607" s="308"/>
      <c r="C607" s="308"/>
      <c r="D607" s="308" t="s">
        <v>901</v>
      </c>
      <c r="E607" s="664">
        <v>1</v>
      </c>
      <c r="F607" s="664">
        <v>2.915</v>
      </c>
      <c r="G607" s="664">
        <v>2</v>
      </c>
      <c r="H607" s="664">
        <v>0.3</v>
      </c>
      <c r="I607" s="664">
        <f t="shared" si="164"/>
        <v>1.7489999999999999</v>
      </c>
      <c r="J607" s="664"/>
      <c r="K607" s="682"/>
      <c r="L607" s="682"/>
      <c r="M607" s="673"/>
      <c r="N607" s="683"/>
      <c r="O607" s="664"/>
      <c r="R607" s="309"/>
      <c r="S607" s="309"/>
      <c r="T607" s="309"/>
      <c r="U607" s="309"/>
      <c r="V607" s="309"/>
    </row>
    <row r="608" spans="1:22" s="687" customFormat="1" ht="15" thickTop="1" thickBot="1" x14ac:dyDescent="0.3">
      <c r="A608" s="685"/>
      <c r="B608" s="686"/>
      <c r="C608" s="668"/>
      <c r="D608" s="308" t="s">
        <v>902</v>
      </c>
      <c r="E608" s="664">
        <v>1</v>
      </c>
      <c r="F608" s="664">
        <v>2.2000000000000002</v>
      </c>
      <c r="G608" s="664">
        <v>2</v>
      </c>
      <c r="H608" s="664">
        <v>0.4</v>
      </c>
      <c r="I608" s="664">
        <f t="shared" si="164"/>
        <v>1.7600000000000002</v>
      </c>
      <c r="J608" s="664"/>
      <c r="K608" s="682"/>
      <c r="L608" s="682"/>
      <c r="M608" s="673"/>
      <c r="N608" s="683"/>
      <c r="O608" s="664"/>
      <c r="R608" s="688"/>
      <c r="S608" s="688"/>
      <c r="T608" s="688"/>
      <c r="U608" s="688"/>
      <c r="V608" s="688"/>
    </row>
    <row r="609" spans="1:22" ht="15" thickTop="1" thickBot="1" x14ac:dyDescent="0.3">
      <c r="A609" s="307"/>
      <c r="B609" s="308"/>
      <c r="C609" s="308"/>
      <c r="D609" s="308" t="s">
        <v>903</v>
      </c>
      <c r="E609" s="664">
        <v>1</v>
      </c>
      <c r="F609" s="664">
        <v>3.9750000000000001</v>
      </c>
      <c r="G609" s="664">
        <v>2</v>
      </c>
      <c r="H609" s="664">
        <v>0.4</v>
      </c>
      <c r="I609" s="664">
        <f t="shared" si="164"/>
        <v>3.18</v>
      </c>
      <c r="J609" s="664"/>
      <c r="K609" s="682"/>
      <c r="L609" s="682"/>
      <c r="M609" s="673"/>
      <c r="N609" s="683"/>
      <c r="O609" s="664"/>
      <c r="R609" s="309"/>
      <c r="S609" s="309"/>
      <c r="T609" s="309"/>
      <c r="U609" s="309"/>
      <c r="V609" s="309"/>
    </row>
    <row r="610" spans="1:22" ht="15" thickTop="1" thickBot="1" x14ac:dyDescent="0.3">
      <c r="A610" s="307"/>
      <c r="B610" s="308"/>
      <c r="C610" s="308"/>
      <c r="D610" s="308" t="s">
        <v>904</v>
      </c>
      <c r="E610" s="664">
        <v>1</v>
      </c>
      <c r="F610" s="664">
        <v>4.1100000000000003</v>
      </c>
      <c r="G610" s="664">
        <v>2</v>
      </c>
      <c r="H610" s="664">
        <v>0.6</v>
      </c>
      <c r="I610" s="664">
        <f t="shared" si="164"/>
        <v>4.9320000000000004</v>
      </c>
      <c r="J610" s="664"/>
      <c r="K610" s="682"/>
      <c r="L610" s="682"/>
      <c r="M610" s="673"/>
      <c r="N610" s="683"/>
      <c r="O610" s="664"/>
      <c r="R610" s="309"/>
      <c r="S610" s="309"/>
      <c r="T610" s="309"/>
      <c r="U610" s="309"/>
      <c r="V610" s="309"/>
    </row>
    <row r="611" spans="1:22" s="687" customFormat="1" ht="15" thickTop="1" thickBot="1" x14ac:dyDescent="0.3">
      <c r="A611" s="685"/>
      <c r="B611" s="686"/>
      <c r="C611" s="668"/>
      <c r="D611" s="308" t="s">
        <v>905</v>
      </c>
      <c r="E611" s="664">
        <v>1</v>
      </c>
      <c r="F611" s="664">
        <v>2.92</v>
      </c>
      <c r="G611" s="664">
        <v>2</v>
      </c>
      <c r="H611" s="664">
        <v>0.3</v>
      </c>
      <c r="I611" s="664">
        <f t="shared" si="164"/>
        <v>1.752</v>
      </c>
      <c r="J611" s="664"/>
      <c r="K611" s="682"/>
      <c r="L611" s="682"/>
      <c r="M611" s="673"/>
      <c r="N611" s="683"/>
      <c r="O611" s="664"/>
      <c r="R611" s="688"/>
      <c r="S611" s="688"/>
      <c r="T611" s="688"/>
      <c r="U611" s="688"/>
      <c r="V611" s="688"/>
    </row>
    <row r="612" spans="1:22" ht="15" thickTop="1" thickBot="1" x14ac:dyDescent="0.3">
      <c r="A612" s="307"/>
      <c r="B612" s="308"/>
      <c r="C612" s="308"/>
      <c r="D612" s="308" t="s">
        <v>906</v>
      </c>
      <c r="E612" s="664">
        <v>1</v>
      </c>
      <c r="F612" s="664">
        <v>1.45</v>
      </c>
      <c r="G612" s="664">
        <v>2</v>
      </c>
      <c r="H612" s="664">
        <v>0.3</v>
      </c>
      <c r="I612" s="664">
        <f t="shared" si="164"/>
        <v>0.87</v>
      </c>
      <c r="J612" s="664"/>
      <c r="K612" s="682"/>
      <c r="L612" s="682"/>
      <c r="M612" s="673"/>
      <c r="N612" s="683"/>
      <c r="O612" s="664"/>
      <c r="R612" s="309"/>
      <c r="S612" s="309"/>
      <c r="T612" s="309"/>
      <c r="U612" s="309"/>
      <c r="V612" s="309"/>
    </row>
    <row r="613" spans="1:22" s="687" customFormat="1" ht="15" thickTop="1" thickBot="1" x14ac:dyDescent="0.3">
      <c r="A613" s="685"/>
      <c r="B613" s="686"/>
      <c r="C613" s="668"/>
      <c r="D613" s="308" t="s">
        <v>907</v>
      </c>
      <c r="E613" s="664">
        <v>1</v>
      </c>
      <c r="F613" s="664">
        <v>1.45</v>
      </c>
      <c r="G613" s="664">
        <v>2</v>
      </c>
      <c r="H613" s="664">
        <v>0.3</v>
      </c>
      <c r="I613" s="664">
        <f t="shared" si="164"/>
        <v>0.87</v>
      </c>
      <c r="J613" s="664"/>
      <c r="K613" s="682"/>
      <c r="L613" s="682"/>
      <c r="M613" s="673"/>
      <c r="N613" s="683"/>
      <c r="O613" s="664"/>
      <c r="R613" s="688"/>
      <c r="S613" s="688"/>
      <c r="T613" s="688"/>
      <c r="U613" s="688"/>
      <c r="V613" s="688"/>
    </row>
    <row r="614" spans="1:22" ht="15" thickTop="1" thickBot="1" x14ac:dyDescent="0.3">
      <c r="A614" s="307"/>
      <c r="B614" s="308"/>
      <c r="C614" s="308"/>
      <c r="D614" s="308" t="s">
        <v>908</v>
      </c>
      <c r="E614" s="664">
        <v>1</v>
      </c>
      <c r="F614" s="664">
        <v>1.45</v>
      </c>
      <c r="G614" s="664">
        <v>2</v>
      </c>
      <c r="H614" s="664">
        <v>0.3</v>
      </c>
      <c r="I614" s="664">
        <f t="shared" si="164"/>
        <v>0.87</v>
      </c>
      <c r="J614" s="664">
        <f>SUM(I580:I614)</f>
        <v>123.21310000000003</v>
      </c>
      <c r="K614" s="679">
        <f>$K$2</f>
        <v>1.05</v>
      </c>
      <c r="L614" s="679">
        <f t="shared" ref="L614" si="165">K614*J614</f>
        <v>129.37375500000005</v>
      </c>
      <c r="M614" s="680">
        <f t="shared" ref="M614" si="166">ROUND(L614,1)</f>
        <v>129.4</v>
      </c>
      <c r="N614" s="681">
        <f t="shared" ref="N614" si="167">ROUNDUP(M614,0)</f>
        <v>130</v>
      </c>
      <c r="O614" s="664" t="s">
        <v>183</v>
      </c>
      <c r="R614" s="309"/>
      <c r="S614" s="309"/>
      <c r="T614" s="309"/>
      <c r="U614" s="309"/>
      <c r="V614" s="309"/>
    </row>
    <row r="615" spans="1:22" ht="14.4" thickTop="1" x14ac:dyDescent="0.25">
      <c r="A615" s="737"/>
      <c r="B615" s="738"/>
      <c r="C615" s="738"/>
      <c r="D615" s="738"/>
      <c r="E615" s="682"/>
      <c r="F615" s="682"/>
      <c r="G615" s="682"/>
      <c r="H615" s="679"/>
      <c r="I615" s="679"/>
      <c r="J615" s="682"/>
      <c r="K615" s="682"/>
      <c r="L615" s="682"/>
      <c r="M615" s="683"/>
      <c r="N615" s="683"/>
      <c r="O615" s="682"/>
      <c r="R615" s="309"/>
      <c r="S615" s="309"/>
      <c r="T615" s="309"/>
      <c r="U615" s="309"/>
      <c r="V615" s="309"/>
    </row>
    <row r="616" spans="1:22" s="687" customFormat="1" x14ac:dyDescent="0.25">
      <c r="A616" s="685"/>
      <c r="B616" s="686" t="str">
        <f>concrete!B158</f>
        <v>In beam at second floor level</v>
      </c>
      <c r="C616" s="668"/>
      <c r="D616" s="308" t="s">
        <v>909</v>
      </c>
      <c r="E616" s="664">
        <v>1</v>
      </c>
      <c r="F616" s="664">
        <v>4.95</v>
      </c>
      <c r="G616" s="664">
        <v>2</v>
      </c>
      <c r="H616" s="678">
        <v>0.45</v>
      </c>
      <c r="I616" s="664">
        <f t="shared" ref="I616:I645" si="168">H616*G616*F616*E616</f>
        <v>4.4550000000000001</v>
      </c>
      <c r="J616" s="664"/>
      <c r="K616" s="664"/>
      <c r="L616" s="664"/>
      <c r="M616" s="739"/>
      <c r="N616" s="739"/>
      <c r="O616" s="664"/>
      <c r="R616" s="688"/>
      <c r="S616" s="688"/>
      <c r="T616" s="688"/>
      <c r="U616" s="688"/>
      <c r="V616" s="688"/>
    </row>
    <row r="617" spans="1:22" x14ac:dyDescent="0.25">
      <c r="A617" s="307"/>
      <c r="B617" s="308"/>
      <c r="C617" s="308"/>
      <c r="D617" s="308" t="s">
        <v>910</v>
      </c>
      <c r="E617" s="664">
        <v>1</v>
      </c>
      <c r="F617" s="664">
        <v>6.05</v>
      </c>
      <c r="G617" s="664">
        <v>2</v>
      </c>
      <c r="H617" s="678">
        <v>0.6</v>
      </c>
      <c r="I617" s="664">
        <f t="shared" si="168"/>
        <v>7.26</v>
      </c>
      <c r="J617" s="664"/>
      <c r="K617" s="664"/>
      <c r="L617" s="664"/>
      <c r="M617" s="739"/>
      <c r="N617" s="739"/>
      <c r="O617" s="664"/>
      <c r="R617" s="309"/>
      <c r="S617" s="309"/>
      <c r="T617" s="309"/>
      <c r="U617" s="309"/>
      <c r="V617" s="309"/>
    </row>
    <row r="618" spans="1:22" x14ac:dyDescent="0.25">
      <c r="A618" s="307"/>
      <c r="B618" s="308"/>
      <c r="C618" s="308"/>
      <c r="D618" s="308" t="s">
        <v>911</v>
      </c>
      <c r="E618" s="664">
        <v>1</v>
      </c>
      <c r="F618" s="664">
        <v>4.95</v>
      </c>
      <c r="G618" s="664">
        <v>2</v>
      </c>
      <c r="H618" s="678">
        <v>0.45</v>
      </c>
      <c r="I618" s="664">
        <f t="shared" si="168"/>
        <v>4.4550000000000001</v>
      </c>
      <c r="J618" s="664"/>
      <c r="K618" s="664"/>
      <c r="L618" s="664"/>
      <c r="M618" s="739"/>
      <c r="N618" s="739"/>
      <c r="O618" s="664"/>
    </row>
    <row r="619" spans="1:22" x14ac:dyDescent="0.25">
      <c r="A619" s="307"/>
      <c r="B619" s="308"/>
      <c r="C619" s="308"/>
      <c r="D619" s="308" t="s">
        <v>912</v>
      </c>
      <c r="E619" s="664">
        <v>1</v>
      </c>
      <c r="F619" s="664">
        <v>6.05</v>
      </c>
      <c r="G619" s="664">
        <v>2</v>
      </c>
      <c r="H619" s="678">
        <v>0.6</v>
      </c>
      <c r="I619" s="664">
        <f t="shared" si="168"/>
        <v>7.26</v>
      </c>
      <c r="J619" s="664"/>
      <c r="K619" s="664"/>
      <c r="L619" s="664"/>
      <c r="M619" s="739"/>
      <c r="N619" s="739"/>
      <c r="O619" s="664"/>
    </row>
    <row r="620" spans="1:22" x14ac:dyDescent="0.25">
      <c r="A620" s="307"/>
      <c r="B620" s="308"/>
      <c r="C620" s="308"/>
      <c r="D620" s="308" t="s">
        <v>913</v>
      </c>
      <c r="E620" s="664">
        <v>1</v>
      </c>
      <c r="F620" s="664">
        <v>4.95</v>
      </c>
      <c r="G620" s="664">
        <v>2</v>
      </c>
      <c r="H620" s="678">
        <v>0.45</v>
      </c>
      <c r="I620" s="664">
        <f t="shared" si="168"/>
        <v>4.4550000000000001</v>
      </c>
      <c r="J620" s="664"/>
      <c r="K620" s="664"/>
      <c r="L620" s="664"/>
      <c r="M620" s="739"/>
      <c r="N620" s="739"/>
      <c r="O620" s="664"/>
    </row>
    <row r="621" spans="1:22" x14ac:dyDescent="0.25">
      <c r="A621" s="307"/>
      <c r="B621" s="308"/>
      <c r="C621" s="308"/>
      <c r="D621" s="308" t="s">
        <v>914</v>
      </c>
      <c r="E621" s="664">
        <v>1</v>
      </c>
      <c r="F621" s="664">
        <v>5.03</v>
      </c>
      <c r="G621" s="664">
        <v>2</v>
      </c>
      <c r="H621" s="678">
        <v>0.5</v>
      </c>
      <c r="I621" s="664">
        <f t="shared" si="168"/>
        <v>5.03</v>
      </c>
      <c r="J621" s="664"/>
      <c r="K621" s="664"/>
      <c r="L621" s="664"/>
      <c r="M621" s="739"/>
      <c r="N621" s="739"/>
      <c r="O621" s="664"/>
    </row>
    <row r="622" spans="1:22" x14ac:dyDescent="0.25">
      <c r="A622" s="307"/>
      <c r="B622" s="308"/>
      <c r="C622" s="308"/>
      <c r="D622" s="308" t="s">
        <v>915</v>
      </c>
      <c r="E622" s="664">
        <v>1</v>
      </c>
      <c r="F622" s="664">
        <v>4.95</v>
      </c>
      <c r="G622" s="664">
        <v>2</v>
      </c>
      <c r="H622" s="678">
        <v>0.45</v>
      </c>
      <c r="I622" s="664">
        <f t="shared" si="168"/>
        <v>4.4550000000000001</v>
      </c>
      <c r="J622" s="664"/>
      <c r="K622" s="664"/>
      <c r="L622" s="664"/>
      <c r="M622" s="739"/>
      <c r="N622" s="739"/>
      <c r="O622" s="664"/>
    </row>
    <row r="623" spans="1:22" x14ac:dyDescent="0.25">
      <c r="A623" s="307"/>
      <c r="B623" s="308"/>
      <c r="C623" s="308"/>
      <c r="D623" s="308" t="s">
        <v>916</v>
      </c>
      <c r="E623" s="664">
        <v>1</v>
      </c>
      <c r="F623" s="664">
        <v>5.15</v>
      </c>
      <c r="G623" s="664">
        <v>2</v>
      </c>
      <c r="H623" s="678">
        <v>0.5</v>
      </c>
      <c r="I623" s="664">
        <f t="shared" si="168"/>
        <v>5.15</v>
      </c>
      <c r="J623" s="664"/>
      <c r="K623" s="664"/>
      <c r="L623" s="664"/>
      <c r="M623" s="739"/>
      <c r="N623" s="739"/>
      <c r="O623" s="664"/>
    </row>
    <row r="624" spans="1:22" x14ac:dyDescent="0.25">
      <c r="A624" s="307"/>
      <c r="B624" s="308"/>
      <c r="C624" s="308"/>
      <c r="D624" s="308" t="s">
        <v>917</v>
      </c>
      <c r="E624" s="664">
        <v>1</v>
      </c>
      <c r="F624" s="664">
        <v>5.15</v>
      </c>
      <c r="G624" s="664">
        <v>2</v>
      </c>
      <c r="H624" s="678">
        <v>0.5</v>
      </c>
      <c r="I624" s="664">
        <f t="shared" si="168"/>
        <v>5.15</v>
      </c>
      <c r="J624" s="664"/>
      <c r="K624" s="664"/>
      <c r="L624" s="664"/>
      <c r="M624" s="739"/>
      <c r="N624" s="739"/>
      <c r="O624" s="664"/>
    </row>
    <row r="625" spans="1:15" x14ac:dyDescent="0.25">
      <c r="A625" s="307"/>
      <c r="B625" s="308"/>
      <c r="C625" s="308"/>
      <c r="D625" s="308" t="s">
        <v>918</v>
      </c>
      <c r="E625" s="664">
        <v>1</v>
      </c>
      <c r="F625" s="664">
        <v>4.95</v>
      </c>
      <c r="G625" s="664">
        <v>2</v>
      </c>
      <c r="H625" s="678">
        <v>0.45</v>
      </c>
      <c r="I625" s="664">
        <f t="shared" si="168"/>
        <v>4.4550000000000001</v>
      </c>
      <c r="J625" s="664"/>
      <c r="K625" s="664"/>
      <c r="L625" s="664"/>
      <c r="M625" s="739"/>
      <c r="N625" s="739"/>
      <c r="O625" s="664"/>
    </row>
    <row r="626" spans="1:15" x14ac:dyDescent="0.25">
      <c r="A626" s="307"/>
      <c r="B626" s="308"/>
      <c r="C626" s="308"/>
      <c r="D626" s="308" t="s">
        <v>919</v>
      </c>
      <c r="E626" s="664">
        <v>1</v>
      </c>
      <c r="F626" s="664">
        <v>3.92</v>
      </c>
      <c r="G626" s="664">
        <v>2</v>
      </c>
      <c r="H626" s="678">
        <v>0.3</v>
      </c>
      <c r="I626" s="664">
        <f t="shared" si="168"/>
        <v>2.3519999999999999</v>
      </c>
      <c r="J626" s="664"/>
      <c r="K626" s="664"/>
      <c r="L626" s="664"/>
      <c r="M626" s="739"/>
      <c r="N626" s="739"/>
      <c r="O626" s="664"/>
    </row>
    <row r="627" spans="1:15" x14ac:dyDescent="0.25">
      <c r="A627" s="307"/>
      <c r="B627" s="308"/>
      <c r="C627" s="308"/>
      <c r="D627" s="308" t="s">
        <v>920</v>
      </c>
      <c r="E627" s="664">
        <v>1</v>
      </c>
      <c r="F627" s="664">
        <v>4.1100000000000003</v>
      </c>
      <c r="G627" s="664">
        <v>2</v>
      </c>
      <c r="H627" s="678">
        <v>0.3</v>
      </c>
      <c r="I627" s="664">
        <f t="shared" si="168"/>
        <v>2.4660000000000002</v>
      </c>
      <c r="J627" s="664"/>
      <c r="K627" s="664"/>
      <c r="L627" s="664"/>
      <c r="M627" s="739"/>
      <c r="N627" s="739"/>
      <c r="O627" s="664"/>
    </row>
    <row r="628" spans="1:15" x14ac:dyDescent="0.25">
      <c r="A628" s="307"/>
      <c r="B628" s="308"/>
      <c r="C628" s="308"/>
      <c r="D628" s="308" t="s">
        <v>921</v>
      </c>
      <c r="E628" s="664">
        <v>1</v>
      </c>
      <c r="F628" s="664">
        <v>3.77</v>
      </c>
      <c r="G628" s="664">
        <v>2</v>
      </c>
      <c r="H628" s="678">
        <v>0.3</v>
      </c>
      <c r="I628" s="664">
        <f t="shared" si="168"/>
        <v>2.262</v>
      </c>
      <c r="J628" s="664"/>
      <c r="K628" s="664"/>
      <c r="L628" s="664"/>
      <c r="M628" s="739"/>
      <c r="N628" s="739"/>
      <c r="O628" s="664"/>
    </row>
    <row r="629" spans="1:15" x14ac:dyDescent="0.25">
      <c r="A629" s="307"/>
      <c r="B629" s="308"/>
      <c r="C629" s="308"/>
      <c r="D629" s="308" t="s">
        <v>922</v>
      </c>
      <c r="E629" s="664">
        <v>1</v>
      </c>
      <c r="F629" s="664">
        <v>3.2</v>
      </c>
      <c r="G629" s="664">
        <v>2</v>
      </c>
      <c r="H629" s="678">
        <v>0.45</v>
      </c>
      <c r="I629" s="664">
        <f t="shared" si="168"/>
        <v>2.8800000000000003</v>
      </c>
      <c r="J629" s="664"/>
      <c r="K629" s="664"/>
      <c r="L629" s="664"/>
      <c r="M629" s="739"/>
      <c r="N629" s="739"/>
      <c r="O629" s="664"/>
    </row>
    <row r="630" spans="1:15" x14ac:dyDescent="0.25">
      <c r="A630" s="307"/>
      <c r="B630" s="308"/>
      <c r="C630" s="308"/>
      <c r="D630" s="308" t="s">
        <v>923</v>
      </c>
      <c r="E630" s="664">
        <v>1</v>
      </c>
      <c r="F630" s="664">
        <v>3.2</v>
      </c>
      <c r="G630" s="664">
        <v>2</v>
      </c>
      <c r="H630" s="678">
        <v>0.6</v>
      </c>
      <c r="I630" s="664">
        <f t="shared" si="168"/>
        <v>3.84</v>
      </c>
      <c r="J630" s="664"/>
      <c r="K630" s="664"/>
      <c r="L630" s="664"/>
      <c r="M630" s="739"/>
      <c r="N630" s="739"/>
      <c r="O630" s="664"/>
    </row>
    <row r="631" spans="1:15" x14ac:dyDescent="0.25">
      <c r="A631" s="307"/>
      <c r="B631" s="308"/>
      <c r="C631" s="308"/>
      <c r="D631" s="308" t="s">
        <v>924</v>
      </c>
      <c r="E631" s="664">
        <v>1</v>
      </c>
      <c r="F631" s="664">
        <v>2.97</v>
      </c>
      <c r="G631" s="664">
        <v>2</v>
      </c>
      <c r="H631" s="678">
        <v>0.3</v>
      </c>
      <c r="I631" s="664">
        <f t="shared" si="168"/>
        <v>1.782</v>
      </c>
      <c r="J631" s="664"/>
      <c r="K631" s="664"/>
      <c r="L631" s="664"/>
      <c r="M631" s="739"/>
      <c r="N631" s="739"/>
      <c r="O631" s="664"/>
    </row>
    <row r="632" spans="1:15" x14ac:dyDescent="0.25">
      <c r="A632" s="307"/>
      <c r="B632" s="308"/>
      <c r="C632" s="308"/>
      <c r="D632" s="308" t="s">
        <v>925</v>
      </c>
      <c r="E632" s="664">
        <v>1</v>
      </c>
      <c r="F632" s="664">
        <v>4.1100000000000003</v>
      </c>
      <c r="G632" s="664">
        <v>2</v>
      </c>
      <c r="H632" s="678">
        <v>0.3</v>
      </c>
      <c r="I632" s="664">
        <f t="shared" si="168"/>
        <v>2.4660000000000002</v>
      </c>
      <c r="J632" s="664"/>
      <c r="K632" s="664"/>
      <c r="L632" s="664"/>
      <c r="M632" s="739"/>
      <c r="N632" s="739"/>
      <c r="O632" s="664"/>
    </row>
    <row r="633" spans="1:15" x14ac:dyDescent="0.25">
      <c r="A633" s="307"/>
      <c r="B633" s="308"/>
      <c r="C633" s="308"/>
      <c r="D633" s="308" t="s">
        <v>926</v>
      </c>
      <c r="E633" s="664">
        <v>1</v>
      </c>
      <c r="F633" s="664">
        <v>3.92</v>
      </c>
      <c r="G633" s="664">
        <v>2</v>
      </c>
      <c r="H633" s="678">
        <v>0.6</v>
      </c>
      <c r="I633" s="664">
        <f t="shared" si="168"/>
        <v>4.7039999999999997</v>
      </c>
      <c r="J633" s="664"/>
      <c r="K633" s="664"/>
      <c r="L633" s="664"/>
      <c r="M633" s="739"/>
      <c r="N633" s="739"/>
      <c r="O633" s="664"/>
    </row>
    <row r="634" spans="1:15" x14ac:dyDescent="0.25">
      <c r="A634" s="307"/>
      <c r="B634" s="308"/>
      <c r="C634" s="308"/>
      <c r="D634" s="308" t="s">
        <v>927</v>
      </c>
      <c r="E634" s="664">
        <v>1</v>
      </c>
      <c r="F634" s="664">
        <v>2.1800000000000002</v>
      </c>
      <c r="G634" s="664">
        <v>2</v>
      </c>
      <c r="H634" s="678">
        <v>0.3</v>
      </c>
      <c r="I634" s="664">
        <f t="shared" si="168"/>
        <v>1.3080000000000001</v>
      </c>
      <c r="J634" s="664"/>
      <c r="K634" s="664"/>
      <c r="L634" s="664"/>
      <c r="M634" s="739"/>
      <c r="N634" s="739"/>
      <c r="O634" s="664"/>
    </row>
    <row r="635" spans="1:15" x14ac:dyDescent="0.25">
      <c r="A635" s="307"/>
      <c r="B635" s="308"/>
      <c r="C635" s="308"/>
      <c r="D635" s="308" t="s">
        <v>928</v>
      </c>
      <c r="E635" s="664">
        <v>1</v>
      </c>
      <c r="F635" s="664">
        <v>3.9750000000000001</v>
      </c>
      <c r="G635" s="664">
        <v>2</v>
      </c>
      <c r="H635" s="678">
        <v>0.3</v>
      </c>
      <c r="I635" s="664">
        <f t="shared" si="168"/>
        <v>2.3849999999999998</v>
      </c>
      <c r="J635" s="664"/>
      <c r="K635" s="664"/>
      <c r="L635" s="664"/>
      <c r="M635" s="739"/>
      <c r="N635" s="739"/>
      <c r="O635" s="664"/>
    </row>
    <row r="636" spans="1:15" x14ac:dyDescent="0.25">
      <c r="A636" s="307"/>
      <c r="B636" s="308"/>
      <c r="C636" s="308"/>
      <c r="D636" s="308" t="s">
        <v>929</v>
      </c>
      <c r="E636" s="664">
        <v>1</v>
      </c>
      <c r="F636" s="664">
        <v>4.1100000000000003</v>
      </c>
      <c r="G636" s="664">
        <v>2</v>
      </c>
      <c r="H636" s="678">
        <v>0.6</v>
      </c>
      <c r="I636" s="664">
        <f t="shared" si="168"/>
        <v>4.9320000000000004</v>
      </c>
      <c r="J636" s="664"/>
      <c r="K636" s="664"/>
      <c r="L636" s="664"/>
      <c r="M636" s="739"/>
      <c r="N636" s="739"/>
      <c r="O636" s="664"/>
    </row>
    <row r="637" spans="1:15" x14ac:dyDescent="0.25">
      <c r="A637" s="307"/>
      <c r="B637" s="308"/>
      <c r="C637" s="308"/>
      <c r="D637" s="308" t="s">
        <v>930</v>
      </c>
      <c r="E637" s="664">
        <v>1</v>
      </c>
      <c r="F637" s="664">
        <v>2.92</v>
      </c>
      <c r="G637" s="664">
        <v>2</v>
      </c>
      <c r="H637" s="678">
        <v>0.4</v>
      </c>
      <c r="I637" s="664">
        <f t="shared" si="168"/>
        <v>2.3359999999999999</v>
      </c>
      <c r="J637" s="664"/>
      <c r="K637" s="664"/>
      <c r="L637" s="664"/>
      <c r="M637" s="739"/>
      <c r="N637" s="739"/>
      <c r="O637" s="664"/>
    </row>
    <row r="638" spans="1:15" x14ac:dyDescent="0.25">
      <c r="A638" s="307"/>
      <c r="B638" s="308"/>
      <c r="C638" s="308"/>
      <c r="D638" s="308" t="s">
        <v>931</v>
      </c>
      <c r="E638" s="664">
        <v>1</v>
      </c>
      <c r="F638" s="678">
        <v>2.1800000000000002</v>
      </c>
      <c r="G638" s="664">
        <v>2</v>
      </c>
      <c r="H638" s="678">
        <v>0.4</v>
      </c>
      <c r="I638" s="664">
        <f t="shared" si="168"/>
        <v>1.7440000000000002</v>
      </c>
      <c r="J638" s="678"/>
      <c r="K638" s="678"/>
      <c r="L638" s="678"/>
      <c r="M638" s="740"/>
      <c r="N638" s="740"/>
      <c r="O638" s="678"/>
    </row>
    <row r="639" spans="1:15" x14ac:dyDescent="0.25">
      <c r="A639" s="307"/>
      <c r="B639" s="308"/>
      <c r="C639" s="308"/>
      <c r="D639" s="308" t="s">
        <v>932</v>
      </c>
      <c r="E639" s="664">
        <v>1</v>
      </c>
      <c r="F639" s="664">
        <v>3.9750000000000001</v>
      </c>
      <c r="G639" s="664">
        <v>2</v>
      </c>
      <c r="H639" s="678">
        <v>0.3</v>
      </c>
      <c r="I639" s="664">
        <f t="shared" si="168"/>
        <v>2.3849999999999998</v>
      </c>
      <c r="J639" s="664"/>
      <c r="K639" s="664"/>
      <c r="L639" s="664"/>
      <c r="M639" s="739"/>
      <c r="N639" s="739"/>
      <c r="O639" s="664"/>
    </row>
    <row r="640" spans="1:15" x14ac:dyDescent="0.25">
      <c r="A640" s="307"/>
      <c r="B640" s="308"/>
      <c r="C640" s="308"/>
      <c r="D640" s="308" t="s">
        <v>933</v>
      </c>
      <c r="E640" s="664">
        <v>1</v>
      </c>
      <c r="F640" s="664">
        <v>1.45</v>
      </c>
      <c r="G640" s="664">
        <v>2</v>
      </c>
      <c r="H640" s="678">
        <v>0.5</v>
      </c>
      <c r="I640" s="664">
        <f t="shared" si="168"/>
        <v>1.45</v>
      </c>
      <c r="J640" s="664"/>
      <c r="K640" s="664"/>
      <c r="L640" s="664"/>
      <c r="M640" s="739"/>
      <c r="N640" s="739"/>
      <c r="O640" s="664"/>
    </row>
    <row r="641" spans="1:15" x14ac:dyDescent="0.25">
      <c r="A641" s="307"/>
      <c r="B641" s="308"/>
      <c r="C641" s="308"/>
      <c r="D641" s="308" t="s">
        <v>934</v>
      </c>
      <c r="E641" s="664">
        <v>1</v>
      </c>
      <c r="F641" s="664">
        <v>1.5549999999999999</v>
      </c>
      <c r="G641" s="664">
        <v>2</v>
      </c>
      <c r="H641" s="664">
        <v>0.3</v>
      </c>
      <c r="I641" s="664">
        <f t="shared" si="168"/>
        <v>0.93299999999999994</v>
      </c>
      <c r="J641" s="664"/>
      <c r="K641" s="664"/>
      <c r="L641" s="664"/>
      <c r="M641" s="739"/>
      <c r="N641" s="739"/>
      <c r="O641" s="664"/>
    </row>
    <row r="642" spans="1:15" x14ac:dyDescent="0.25">
      <c r="A642" s="307"/>
      <c r="B642" s="308"/>
      <c r="C642" s="308"/>
      <c r="D642" s="308" t="s">
        <v>935</v>
      </c>
      <c r="E642" s="664">
        <v>1</v>
      </c>
      <c r="F642" s="664">
        <v>5.9</v>
      </c>
      <c r="G642" s="664">
        <v>2</v>
      </c>
      <c r="H642" s="678">
        <v>0.6</v>
      </c>
      <c r="I642" s="664">
        <f t="shared" si="168"/>
        <v>7.08</v>
      </c>
      <c r="J642" s="664"/>
      <c r="K642" s="664"/>
      <c r="L642" s="664"/>
      <c r="M642" s="739"/>
      <c r="N642" s="739"/>
      <c r="O642" s="664"/>
    </row>
    <row r="643" spans="1:15" x14ac:dyDescent="0.25">
      <c r="A643" s="307"/>
      <c r="B643" s="308"/>
      <c r="C643" s="308"/>
      <c r="D643" s="308" t="s">
        <v>936</v>
      </c>
      <c r="E643" s="664">
        <v>1</v>
      </c>
      <c r="F643" s="664">
        <v>4.72</v>
      </c>
      <c r="G643" s="664">
        <v>2</v>
      </c>
      <c r="H643" s="678">
        <v>0.45</v>
      </c>
      <c r="I643" s="664">
        <f t="shared" si="168"/>
        <v>4.2480000000000002</v>
      </c>
      <c r="J643" s="664"/>
      <c r="K643" s="664"/>
      <c r="L643" s="664"/>
      <c r="M643" s="739"/>
      <c r="N643" s="739"/>
      <c r="O643" s="664"/>
    </row>
    <row r="644" spans="1:15" x14ac:dyDescent="0.25">
      <c r="A644" s="307"/>
      <c r="B644" s="308"/>
      <c r="C644" s="308"/>
      <c r="D644" s="308" t="s">
        <v>937</v>
      </c>
      <c r="E644" s="664">
        <v>1</v>
      </c>
      <c r="F644" s="664">
        <v>6.02</v>
      </c>
      <c r="G644" s="664">
        <v>2</v>
      </c>
      <c r="H644" s="678">
        <v>0.6</v>
      </c>
      <c r="I644" s="664">
        <f t="shared" si="168"/>
        <v>7.2239999999999993</v>
      </c>
      <c r="J644" s="664"/>
      <c r="K644" s="664"/>
      <c r="L644" s="664"/>
      <c r="M644" s="739"/>
      <c r="N644" s="739"/>
      <c r="O644" s="664"/>
    </row>
    <row r="645" spans="1:15" x14ac:dyDescent="0.25">
      <c r="A645" s="307"/>
      <c r="B645" s="308"/>
      <c r="C645" s="308"/>
      <c r="D645" s="308" t="s">
        <v>938</v>
      </c>
      <c r="E645" s="664">
        <v>1</v>
      </c>
      <c r="F645" s="664">
        <v>1.57</v>
      </c>
      <c r="G645" s="664">
        <v>2</v>
      </c>
      <c r="H645" s="678">
        <v>0.3</v>
      </c>
      <c r="I645" s="664">
        <f t="shared" si="168"/>
        <v>0.94199999999999995</v>
      </c>
      <c r="J645" s="664">
        <f>SUM(I616:I645)</f>
        <v>111.84400000000001</v>
      </c>
      <c r="K645" s="678">
        <f>$K$2</f>
        <v>1.05</v>
      </c>
      <c r="L645" s="678">
        <f t="shared" ref="L645" si="169">K645*J645</f>
        <v>117.43620000000001</v>
      </c>
      <c r="M645" s="740">
        <f t="shared" ref="M645" si="170">ROUND(L645,1)</f>
        <v>117.4</v>
      </c>
      <c r="N645" s="740">
        <f t="shared" ref="N645" si="171">ROUNDUP(M645,0)</f>
        <v>118</v>
      </c>
      <c r="O645" s="664" t="s">
        <v>183</v>
      </c>
    </row>
    <row r="646" spans="1:15" x14ac:dyDescent="0.25">
      <c r="A646" s="307"/>
      <c r="B646" s="308"/>
      <c r="C646" s="308"/>
      <c r="D646" s="308"/>
      <c r="E646" s="664"/>
      <c r="F646" s="664"/>
      <c r="G646" s="664"/>
      <c r="H646" s="664"/>
      <c r="I646" s="678"/>
      <c r="J646" s="664"/>
      <c r="K646" s="664"/>
      <c r="L646" s="664"/>
      <c r="M646" s="739"/>
      <c r="N646" s="739"/>
      <c r="O646" s="664"/>
    </row>
    <row r="647" spans="1:15" x14ac:dyDescent="0.25">
      <c r="A647" s="307"/>
      <c r="B647" s="663" t="str">
        <f>concrete!B159</f>
        <v>In Reinforced beam at Roof Top floor level</v>
      </c>
      <c r="C647" s="308"/>
      <c r="D647" s="308" t="s">
        <v>939</v>
      </c>
      <c r="E647" s="664">
        <v>1</v>
      </c>
      <c r="F647" s="664">
        <v>6.05</v>
      </c>
      <c r="G647" s="664">
        <v>2</v>
      </c>
      <c r="H647" s="678">
        <v>0.6</v>
      </c>
      <c r="I647" s="664">
        <f t="shared" ref="I647:I662" si="172">H647*G647*F647*E647</f>
        <v>7.26</v>
      </c>
      <c r="J647" s="664"/>
      <c r="K647" s="664"/>
      <c r="L647" s="664"/>
      <c r="M647" s="739"/>
      <c r="N647" s="739"/>
      <c r="O647" s="664"/>
    </row>
    <row r="648" spans="1:15" x14ac:dyDescent="0.25">
      <c r="A648" s="307"/>
      <c r="B648" s="308"/>
      <c r="C648" s="308"/>
      <c r="D648" s="308" t="s">
        <v>940</v>
      </c>
      <c r="E648" s="664">
        <v>1</v>
      </c>
      <c r="F648" s="664">
        <v>6.05</v>
      </c>
      <c r="G648" s="664">
        <v>2</v>
      </c>
      <c r="H648" s="678">
        <v>0.6</v>
      </c>
      <c r="I648" s="664">
        <f t="shared" si="172"/>
        <v>7.26</v>
      </c>
      <c r="J648" s="664"/>
      <c r="K648" s="664"/>
      <c r="L648" s="664"/>
      <c r="M648" s="739"/>
      <c r="N648" s="739"/>
      <c r="O648" s="664"/>
    </row>
    <row r="649" spans="1:15" x14ac:dyDescent="0.25">
      <c r="A649" s="307"/>
      <c r="B649" s="308"/>
      <c r="C649" s="308"/>
      <c r="D649" s="308" t="s">
        <v>941</v>
      </c>
      <c r="E649" s="664">
        <v>1</v>
      </c>
      <c r="F649" s="664">
        <v>4.95</v>
      </c>
      <c r="G649" s="664">
        <v>2</v>
      </c>
      <c r="H649" s="678">
        <v>0.45</v>
      </c>
      <c r="I649" s="664">
        <f t="shared" si="172"/>
        <v>4.4550000000000001</v>
      </c>
      <c r="J649" s="664"/>
      <c r="K649" s="664"/>
      <c r="L649" s="664"/>
      <c r="M649" s="739"/>
      <c r="N649" s="739"/>
      <c r="O649" s="664"/>
    </row>
    <row r="650" spans="1:15" x14ac:dyDescent="0.25">
      <c r="A650" s="307"/>
      <c r="B650" s="308"/>
      <c r="C650" s="308"/>
      <c r="D650" s="308" t="s">
        <v>942</v>
      </c>
      <c r="E650" s="664">
        <v>1</v>
      </c>
      <c r="F650" s="664">
        <v>4.95</v>
      </c>
      <c r="G650" s="664">
        <v>2</v>
      </c>
      <c r="H650" s="664">
        <v>0.45</v>
      </c>
      <c r="I650" s="664">
        <f t="shared" si="172"/>
        <v>4.4550000000000001</v>
      </c>
      <c r="J650" s="664"/>
      <c r="K650" s="664"/>
      <c r="L650" s="664"/>
      <c r="M650" s="739"/>
      <c r="N650" s="739"/>
      <c r="O650" s="664"/>
    </row>
    <row r="651" spans="1:15" x14ac:dyDescent="0.25">
      <c r="A651" s="307"/>
      <c r="B651" s="308"/>
      <c r="C651" s="308"/>
      <c r="D651" s="308" t="s">
        <v>943</v>
      </c>
      <c r="E651" s="664">
        <v>1</v>
      </c>
      <c r="F651" s="664">
        <v>5.03</v>
      </c>
      <c r="G651" s="664">
        <v>2</v>
      </c>
      <c r="H651" s="664">
        <v>0.5</v>
      </c>
      <c r="I651" s="664">
        <f t="shared" si="172"/>
        <v>5.03</v>
      </c>
      <c r="J651" s="664"/>
      <c r="K651" s="664"/>
      <c r="L651" s="664"/>
      <c r="M651" s="739"/>
      <c r="N651" s="739"/>
      <c r="O651" s="664"/>
    </row>
    <row r="652" spans="1:15" x14ac:dyDescent="0.25">
      <c r="A652" s="307"/>
      <c r="B652" s="308"/>
      <c r="C652" s="308"/>
      <c r="D652" s="308" t="s">
        <v>944</v>
      </c>
      <c r="E652" s="664">
        <v>1</v>
      </c>
      <c r="F652" s="664">
        <v>5.15</v>
      </c>
      <c r="G652" s="664">
        <v>2</v>
      </c>
      <c r="H652" s="678">
        <v>0.6</v>
      </c>
      <c r="I652" s="664">
        <f t="shared" si="172"/>
        <v>6.1800000000000006</v>
      </c>
      <c r="J652" s="664"/>
      <c r="K652" s="664"/>
      <c r="L652" s="664"/>
      <c r="M652" s="739"/>
      <c r="N652" s="739"/>
      <c r="O652" s="664"/>
    </row>
    <row r="653" spans="1:15" x14ac:dyDescent="0.25">
      <c r="A653" s="307"/>
      <c r="B653" s="308"/>
      <c r="C653" s="308"/>
      <c r="D653" s="308" t="s">
        <v>945</v>
      </c>
      <c r="E653" s="664">
        <v>1</v>
      </c>
      <c r="F653" s="664">
        <v>3.3</v>
      </c>
      <c r="G653" s="664">
        <v>2</v>
      </c>
      <c r="H653" s="678">
        <v>0.3</v>
      </c>
      <c r="I653" s="664">
        <f t="shared" si="172"/>
        <v>1.9799999999999998</v>
      </c>
      <c r="J653" s="664"/>
      <c r="K653" s="664"/>
      <c r="L653" s="664"/>
      <c r="M653" s="739"/>
      <c r="N653" s="739"/>
      <c r="O653" s="664"/>
    </row>
    <row r="654" spans="1:15" x14ac:dyDescent="0.25">
      <c r="A654" s="307"/>
      <c r="B654" s="308"/>
      <c r="C654" s="308"/>
      <c r="D654" s="308" t="s">
        <v>946</v>
      </c>
      <c r="E654" s="664">
        <v>1</v>
      </c>
      <c r="F654" s="664">
        <v>4.1100000000000003</v>
      </c>
      <c r="G654" s="664">
        <v>2</v>
      </c>
      <c r="H654" s="664">
        <v>0.3</v>
      </c>
      <c r="I654" s="664">
        <f t="shared" si="172"/>
        <v>2.4660000000000002</v>
      </c>
      <c r="J654" s="664"/>
      <c r="K654" s="664"/>
      <c r="L654" s="664"/>
      <c r="M654" s="739"/>
      <c r="N654" s="739"/>
      <c r="O654" s="664"/>
    </row>
    <row r="655" spans="1:15" x14ac:dyDescent="0.25">
      <c r="A655" s="307"/>
      <c r="B655" s="308"/>
      <c r="C655" s="308"/>
      <c r="D655" s="308" t="s">
        <v>947</v>
      </c>
      <c r="E655" s="664">
        <v>1</v>
      </c>
      <c r="F655" s="664">
        <v>2.92</v>
      </c>
      <c r="G655" s="664">
        <v>2</v>
      </c>
      <c r="H655" s="664">
        <v>0.3</v>
      </c>
      <c r="I655" s="664">
        <f t="shared" si="172"/>
        <v>1.752</v>
      </c>
      <c r="J655" s="664"/>
      <c r="K655" s="664"/>
      <c r="L655" s="664"/>
      <c r="M655" s="739"/>
      <c r="N655" s="739"/>
      <c r="O655" s="664"/>
    </row>
    <row r="656" spans="1:15" x14ac:dyDescent="0.25">
      <c r="A656" s="307"/>
      <c r="B656" s="308"/>
      <c r="C656" s="308"/>
      <c r="D656" s="308" t="s">
        <v>948</v>
      </c>
      <c r="E656" s="664">
        <v>1</v>
      </c>
      <c r="F656" s="664">
        <v>3.9750000000000001</v>
      </c>
      <c r="G656" s="664">
        <v>2</v>
      </c>
      <c r="H656" s="664">
        <v>0.3</v>
      </c>
      <c r="I656" s="664">
        <f t="shared" si="172"/>
        <v>2.3849999999999998</v>
      </c>
      <c r="J656" s="664"/>
      <c r="K656" s="664"/>
      <c r="L656" s="664"/>
      <c r="M656" s="739"/>
      <c r="N656" s="739"/>
      <c r="O656" s="664"/>
    </row>
    <row r="657" spans="1:15" x14ac:dyDescent="0.25">
      <c r="A657" s="307"/>
      <c r="B657" s="308"/>
      <c r="C657" s="308"/>
      <c r="D657" s="308" t="s">
        <v>949</v>
      </c>
      <c r="E657" s="664">
        <v>1</v>
      </c>
      <c r="F657" s="664">
        <v>4.1100000000000003</v>
      </c>
      <c r="G657" s="664">
        <v>2</v>
      </c>
      <c r="H657" s="664">
        <v>0.5</v>
      </c>
      <c r="I657" s="664">
        <f t="shared" si="172"/>
        <v>4.1100000000000003</v>
      </c>
      <c r="J657" s="664"/>
      <c r="K657" s="664"/>
      <c r="L657" s="664"/>
      <c r="M657" s="739"/>
      <c r="N657" s="739"/>
      <c r="O657" s="664"/>
    </row>
    <row r="658" spans="1:15" x14ac:dyDescent="0.25">
      <c r="A658" s="307"/>
      <c r="B658" s="308"/>
      <c r="C658" s="308"/>
      <c r="D658" s="308" t="s">
        <v>950</v>
      </c>
      <c r="E658" s="664">
        <v>1</v>
      </c>
      <c r="F658" s="664">
        <v>2.92</v>
      </c>
      <c r="G658" s="664">
        <v>2</v>
      </c>
      <c r="H658" s="664">
        <v>0.3</v>
      </c>
      <c r="I658" s="664">
        <f t="shared" si="172"/>
        <v>1.752</v>
      </c>
      <c r="J658" s="664"/>
      <c r="K658" s="664"/>
      <c r="L658" s="664"/>
      <c r="M658" s="739"/>
      <c r="N658" s="739"/>
      <c r="O658" s="664"/>
    </row>
    <row r="659" spans="1:15" x14ac:dyDescent="0.25">
      <c r="A659" s="307"/>
      <c r="B659" s="308"/>
      <c r="C659" s="308"/>
      <c r="D659" s="308" t="s">
        <v>951</v>
      </c>
      <c r="E659" s="664">
        <v>1</v>
      </c>
      <c r="F659" s="664">
        <v>5.64</v>
      </c>
      <c r="G659" s="664">
        <v>2</v>
      </c>
      <c r="H659" s="664">
        <v>0.5</v>
      </c>
      <c r="I659" s="664">
        <f t="shared" si="172"/>
        <v>5.64</v>
      </c>
      <c r="J659" s="664"/>
      <c r="K659" s="664"/>
      <c r="L659" s="664"/>
      <c r="M659" s="739"/>
      <c r="N659" s="739"/>
      <c r="O659" s="664"/>
    </row>
    <row r="660" spans="1:15" x14ac:dyDescent="0.25">
      <c r="A660" s="307"/>
      <c r="B660" s="308"/>
      <c r="C660" s="308"/>
      <c r="D660" s="308" t="s">
        <v>952</v>
      </c>
      <c r="E660" s="664">
        <v>1</v>
      </c>
      <c r="F660" s="664">
        <v>1.56</v>
      </c>
      <c r="G660" s="664">
        <v>2</v>
      </c>
      <c r="H660" s="664">
        <v>0.3</v>
      </c>
      <c r="I660" s="664">
        <f t="shared" si="172"/>
        <v>0.93599999999999994</v>
      </c>
      <c r="J660" s="664"/>
      <c r="K660" s="664"/>
      <c r="L660" s="664"/>
      <c r="M660" s="739"/>
      <c r="N660" s="739"/>
      <c r="O660" s="664"/>
    </row>
    <row r="661" spans="1:15" x14ac:dyDescent="0.25">
      <c r="A661" s="307"/>
      <c r="B661" s="308"/>
      <c r="C661" s="308"/>
      <c r="D661" s="308" t="s">
        <v>953</v>
      </c>
      <c r="E661" s="664">
        <v>1</v>
      </c>
      <c r="F661" s="664">
        <v>6.05</v>
      </c>
      <c r="G661" s="664">
        <v>2</v>
      </c>
      <c r="H661" s="664">
        <v>0.6</v>
      </c>
      <c r="I661" s="664">
        <f t="shared" si="172"/>
        <v>7.26</v>
      </c>
      <c r="J661" s="664"/>
      <c r="K661" s="664"/>
      <c r="L661" s="664"/>
      <c r="M661" s="739"/>
      <c r="N661" s="739"/>
      <c r="O661" s="664"/>
    </row>
    <row r="662" spans="1:15" x14ac:dyDescent="0.25">
      <c r="A662" s="307"/>
      <c r="B662" s="308"/>
      <c r="C662" s="308"/>
      <c r="D662" s="308" t="s">
        <v>954</v>
      </c>
      <c r="E662" s="664">
        <v>1</v>
      </c>
      <c r="F662" s="664">
        <v>1.57</v>
      </c>
      <c r="G662" s="664">
        <v>2</v>
      </c>
      <c r="H662" s="664">
        <v>0.3</v>
      </c>
      <c r="I662" s="664">
        <f t="shared" si="172"/>
        <v>0.94199999999999995</v>
      </c>
      <c r="J662" s="664">
        <f>SUM(I647:I662)</f>
        <v>63.863</v>
      </c>
      <c r="K662" s="678">
        <f>$K$2</f>
        <v>1.05</v>
      </c>
      <c r="L662" s="678">
        <f t="shared" ref="L662" si="173">K662*J662</f>
        <v>67.056150000000002</v>
      </c>
      <c r="M662" s="740">
        <f t="shared" ref="M662" si="174">ROUND(L662,1)</f>
        <v>67.099999999999994</v>
      </c>
      <c r="N662" s="740">
        <f t="shared" ref="N662" si="175">ROUNDUP(M662,0)</f>
        <v>68</v>
      </c>
      <c r="O662" s="664" t="s">
        <v>183</v>
      </c>
    </row>
    <row r="663" spans="1:15" x14ac:dyDescent="0.25">
      <c r="A663" s="307"/>
      <c r="B663" s="308"/>
      <c r="C663" s="308"/>
      <c r="D663" s="308"/>
      <c r="E663" s="664"/>
      <c r="F663" s="664"/>
      <c r="G663" s="664"/>
      <c r="H663" s="664"/>
      <c r="I663" s="664"/>
      <c r="J663" s="664"/>
      <c r="K663" s="678"/>
      <c r="L663" s="678"/>
      <c r="M663" s="740"/>
      <c r="N663" s="740"/>
      <c r="O663" s="664"/>
    </row>
    <row r="664" spans="1:15" x14ac:dyDescent="0.25">
      <c r="A664" s="307"/>
      <c r="B664" s="663" t="str">
        <f>concrete!B152</f>
        <v>In slab at First floor level</v>
      </c>
      <c r="C664" s="308"/>
      <c r="D664" s="308"/>
      <c r="E664" s="664">
        <v>1</v>
      </c>
      <c r="F664" s="664">
        <v>225.75316900000001</v>
      </c>
      <c r="G664" s="664"/>
      <c r="H664" s="664"/>
      <c r="I664" s="664">
        <f>F664*E664</f>
        <v>225.75316900000001</v>
      </c>
      <c r="J664" s="664">
        <f>SUM(I664)</f>
        <v>225.75316900000001</v>
      </c>
      <c r="K664" s="678">
        <f>$K$2</f>
        <v>1.05</v>
      </c>
      <c r="L664" s="678">
        <f t="shared" ref="L664" si="176">K664*J664</f>
        <v>237.04082745000002</v>
      </c>
      <c r="M664" s="740">
        <f t="shared" ref="M664" si="177">ROUND(L664,1)</f>
        <v>237</v>
      </c>
      <c r="N664" s="740">
        <f t="shared" ref="N664" si="178">ROUNDUP(M664,0)</f>
        <v>237</v>
      </c>
      <c r="O664" s="664" t="s">
        <v>183</v>
      </c>
    </row>
    <row r="665" spans="1:15" x14ac:dyDescent="0.25">
      <c r="A665" s="307"/>
      <c r="B665" s="308"/>
      <c r="C665" s="308"/>
      <c r="D665" s="308"/>
      <c r="E665" s="664"/>
      <c r="F665" s="664"/>
      <c r="G665" s="664"/>
      <c r="H665" s="664"/>
      <c r="I665" s="664"/>
      <c r="J665" s="664"/>
      <c r="K665" s="664"/>
      <c r="L665" s="664"/>
      <c r="M665" s="739"/>
      <c r="N665" s="739"/>
      <c r="O665" s="664"/>
    </row>
    <row r="666" spans="1:15" x14ac:dyDescent="0.25">
      <c r="A666" s="307"/>
      <c r="B666" s="308"/>
      <c r="C666" s="308"/>
      <c r="D666" s="308"/>
      <c r="E666" s="664"/>
      <c r="F666" s="664"/>
      <c r="G666" s="664"/>
      <c r="H666" s="664"/>
      <c r="I666" s="664"/>
      <c r="J666" s="664"/>
      <c r="K666" s="664"/>
      <c r="L666" s="664"/>
      <c r="M666" s="739"/>
      <c r="N666" s="739"/>
      <c r="O666" s="664"/>
    </row>
    <row r="667" spans="1:15" x14ac:dyDescent="0.25">
      <c r="A667" s="307"/>
      <c r="B667" s="663" t="str">
        <f>concrete!B153</f>
        <v>In  Slab at second floor level</v>
      </c>
      <c r="C667" s="308"/>
      <c r="D667" s="308"/>
      <c r="E667" s="664">
        <v>1</v>
      </c>
      <c r="F667" s="664">
        <v>216.099737</v>
      </c>
      <c r="G667" s="664"/>
      <c r="H667" s="664"/>
      <c r="I667" s="664">
        <f>F667*E667</f>
        <v>216.099737</v>
      </c>
      <c r="J667" s="664">
        <f>SUM(I667)</f>
        <v>216.099737</v>
      </c>
      <c r="K667" s="678">
        <f>$K$2</f>
        <v>1.05</v>
      </c>
      <c r="L667" s="678">
        <f t="shared" ref="L667" si="179">K667*J667</f>
        <v>226.90472385000001</v>
      </c>
      <c r="M667" s="740">
        <f t="shared" ref="M667" si="180">ROUND(L667,1)</f>
        <v>226.9</v>
      </c>
      <c r="N667" s="740">
        <f t="shared" ref="N667" si="181">ROUNDUP(M667,0)</f>
        <v>227</v>
      </c>
      <c r="O667" s="664" t="s">
        <v>183</v>
      </c>
    </row>
    <row r="668" spans="1:15" x14ac:dyDescent="0.25">
      <c r="A668" s="307"/>
      <c r="B668" s="308"/>
      <c r="C668" s="308"/>
      <c r="D668" s="308"/>
      <c r="E668" s="664"/>
      <c r="F668" s="664"/>
      <c r="G668" s="664"/>
      <c r="H668" s="664"/>
      <c r="I668" s="664"/>
      <c r="J668" s="664"/>
      <c r="K668" s="664"/>
      <c r="L668" s="664"/>
      <c r="M668" s="739"/>
      <c r="N668" s="739"/>
      <c r="O668" s="664"/>
    </row>
    <row r="669" spans="1:15" x14ac:dyDescent="0.25">
      <c r="A669" s="307"/>
      <c r="B669" s="308"/>
      <c r="C669" s="308"/>
      <c r="D669" s="308"/>
      <c r="E669" s="664"/>
      <c r="F669" s="664"/>
      <c r="G669" s="664"/>
      <c r="H669" s="664"/>
      <c r="I669" s="664"/>
      <c r="J669" s="664"/>
      <c r="K669" s="664"/>
      <c r="L669" s="664"/>
      <c r="M669" s="739"/>
      <c r="N669" s="739"/>
      <c r="O669" s="664"/>
    </row>
    <row r="670" spans="1:15" x14ac:dyDescent="0.25">
      <c r="A670" s="307"/>
      <c r="B670" s="663" t="str">
        <f>concrete!B154</f>
        <v>In  Slab at Roof Top floor level</v>
      </c>
      <c r="C670" s="308"/>
      <c r="D670" s="308"/>
      <c r="E670" s="664">
        <v>1</v>
      </c>
      <c r="F670" s="664">
        <v>57.836393999999999</v>
      </c>
      <c r="G670" s="664"/>
      <c r="H670" s="664"/>
      <c r="I670" s="664">
        <f>F670*E670</f>
        <v>57.836393999999999</v>
      </c>
      <c r="J670" s="664">
        <f>SUM(I670)</f>
        <v>57.836393999999999</v>
      </c>
      <c r="K670" s="678">
        <f>$K$2</f>
        <v>1.05</v>
      </c>
      <c r="L670" s="678">
        <f t="shared" ref="L670" si="182">K670*J670</f>
        <v>60.728213699999998</v>
      </c>
      <c r="M670" s="740">
        <f t="shared" ref="M670" si="183">ROUND(L670,1)</f>
        <v>60.7</v>
      </c>
      <c r="N670" s="740">
        <f t="shared" ref="N670" si="184">ROUNDUP(M670,0)</f>
        <v>61</v>
      </c>
      <c r="O670" s="664" t="s">
        <v>183</v>
      </c>
    </row>
    <row r="671" spans="1:15" x14ac:dyDescent="0.25">
      <c r="A671" s="307"/>
      <c r="B671" s="308"/>
      <c r="C671" s="308"/>
      <c r="D671" s="308"/>
      <c r="E671" s="664"/>
      <c r="F671" s="664"/>
      <c r="G671" s="664"/>
      <c r="H671" s="664"/>
      <c r="I671" s="664"/>
      <c r="J671" s="664"/>
      <c r="K671" s="678"/>
      <c r="L671" s="678"/>
      <c r="M671" s="740"/>
      <c r="N671" s="740"/>
      <c r="O671" s="664"/>
    </row>
    <row r="672" spans="1:15" x14ac:dyDescent="0.25">
      <c r="A672" s="307"/>
      <c r="B672" s="308"/>
      <c r="C672" s="308"/>
      <c r="D672" s="308"/>
      <c r="E672" s="664"/>
      <c r="F672" s="664"/>
      <c r="G672" s="664"/>
      <c r="H672" s="664"/>
      <c r="I672" s="664"/>
      <c r="J672" s="664"/>
      <c r="K672" s="678"/>
      <c r="L672" s="678"/>
      <c r="M672" s="740"/>
      <c r="N672" s="740"/>
      <c r="O672" s="664"/>
    </row>
    <row r="673" spans="1:15" x14ac:dyDescent="0.25">
      <c r="A673" s="307"/>
      <c r="B673" s="663" t="str">
        <f>floring!B9</f>
        <v>Water tank slab/Roof Slab</v>
      </c>
      <c r="C673" s="308"/>
      <c r="D673" s="308"/>
      <c r="E673" s="664">
        <v>1</v>
      </c>
      <c r="F673" s="664">
        <v>57.836393999999999</v>
      </c>
      <c r="G673" s="664"/>
      <c r="H673" s="664"/>
      <c r="I673" s="664">
        <f>F673*E673</f>
        <v>57.836393999999999</v>
      </c>
      <c r="J673" s="664">
        <f>SUM(I673)</f>
        <v>57.836393999999999</v>
      </c>
      <c r="K673" s="678">
        <f>$K$2</f>
        <v>1.05</v>
      </c>
      <c r="L673" s="678">
        <f t="shared" ref="L673" si="185">K673*J673</f>
        <v>60.728213699999998</v>
      </c>
      <c r="M673" s="740">
        <f t="shared" ref="M673" si="186">ROUND(L673,1)</f>
        <v>60.7</v>
      </c>
      <c r="N673" s="740">
        <f t="shared" ref="N673" si="187">ROUNDUP(M673,0)</f>
        <v>61</v>
      </c>
      <c r="O673" s="664" t="s">
        <v>183</v>
      </c>
    </row>
    <row r="674" spans="1:15" x14ac:dyDescent="0.25">
      <c r="A674" s="307"/>
      <c r="B674" s="308"/>
      <c r="C674" s="308"/>
      <c r="D674" s="308"/>
      <c r="E674" s="664"/>
      <c r="F674" s="664"/>
      <c r="G674" s="664"/>
      <c r="H674" s="664"/>
      <c r="I674" s="664"/>
      <c r="J674" s="664"/>
      <c r="K674" s="678"/>
      <c r="L674" s="678"/>
      <c r="M674" s="740"/>
      <c r="N674" s="740"/>
      <c r="O674" s="664"/>
    </row>
    <row r="675" spans="1:15" ht="27.6" x14ac:dyDescent="0.25">
      <c r="A675" s="307"/>
      <c r="B675" s="721" t="str">
        <f>floring!B4</f>
        <v>3/4" thick D.P.C. in cement sand 1:3 finished with 2 coats of D.P.C. tar and blinded with sand.</v>
      </c>
      <c r="C675" s="308"/>
      <c r="D675" s="308" t="s">
        <v>870</v>
      </c>
      <c r="E675" s="664">
        <v>2</v>
      </c>
      <c r="F675" s="678">
        <v>5.15</v>
      </c>
      <c r="G675" s="664">
        <v>0.35</v>
      </c>
      <c r="H675" s="678"/>
      <c r="I675" s="664">
        <f>G675*F675*E675</f>
        <v>3.605</v>
      </c>
      <c r="J675" s="664"/>
      <c r="K675" s="664"/>
      <c r="L675" s="664"/>
      <c r="M675" s="739"/>
      <c r="N675" s="739"/>
      <c r="O675" s="664"/>
    </row>
    <row r="676" spans="1:15" x14ac:dyDescent="0.25">
      <c r="A676" s="307"/>
      <c r="B676" s="308"/>
      <c r="C676" s="308"/>
      <c r="D676" s="308"/>
      <c r="E676" s="664">
        <v>1</v>
      </c>
      <c r="F676" s="664">
        <v>1.08</v>
      </c>
      <c r="G676" s="664">
        <v>0.35</v>
      </c>
      <c r="H676" s="678"/>
      <c r="I676" s="664">
        <f t="shared" ref="I676:I689" si="188">G676*F676*E676</f>
        <v>0.378</v>
      </c>
      <c r="J676" s="664"/>
      <c r="K676" s="664"/>
      <c r="L676" s="664"/>
      <c r="M676" s="739"/>
      <c r="N676" s="739"/>
      <c r="O676" s="664"/>
    </row>
    <row r="677" spans="1:15" x14ac:dyDescent="0.25">
      <c r="A677" s="307"/>
      <c r="B677" s="308"/>
      <c r="C677" s="308"/>
      <c r="D677" s="308"/>
      <c r="E677" s="664">
        <v>1</v>
      </c>
      <c r="F677" s="678">
        <v>2.35</v>
      </c>
      <c r="G677" s="664">
        <v>0.35</v>
      </c>
      <c r="H677" s="678"/>
      <c r="I677" s="664">
        <f t="shared" si="188"/>
        <v>0.82250000000000001</v>
      </c>
      <c r="J677" s="678"/>
      <c r="K677" s="678"/>
      <c r="L677" s="678"/>
      <c r="M677" s="739"/>
      <c r="N677" s="739"/>
      <c r="O677" s="664"/>
    </row>
    <row r="678" spans="1:15" x14ac:dyDescent="0.25">
      <c r="A678" s="307"/>
      <c r="B678" s="308"/>
      <c r="C678" s="308"/>
      <c r="D678" s="308"/>
      <c r="E678" s="664">
        <v>2</v>
      </c>
      <c r="F678" s="678">
        <v>6.05</v>
      </c>
      <c r="G678" s="664">
        <v>0.35</v>
      </c>
      <c r="H678" s="678"/>
      <c r="I678" s="664">
        <f t="shared" si="188"/>
        <v>4.2349999999999994</v>
      </c>
      <c r="J678" s="664"/>
      <c r="K678" s="664"/>
      <c r="L678" s="664"/>
      <c r="M678" s="739"/>
      <c r="N678" s="739"/>
      <c r="O678" s="664"/>
    </row>
    <row r="679" spans="1:15" x14ac:dyDescent="0.25">
      <c r="A679" s="307"/>
      <c r="B679" s="308"/>
      <c r="C679" s="308"/>
      <c r="D679" s="308"/>
      <c r="E679" s="664">
        <v>6</v>
      </c>
      <c r="F679" s="678">
        <v>4.95</v>
      </c>
      <c r="G679" s="664">
        <v>0.35</v>
      </c>
      <c r="H679" s="678"/>
      <c r="I679" s="664">
        <f t="shared" si="188"/>
        <v>10.395</v>
      </c>
      <c r="J679" s="678"/>
      <c r="K679" s="678"/>
      <c r="L679" s="678"/>
      <c r="M679" s="739"/>
      <c r="N679" s="739"/>
      <c r="O679" s="664"/>
    </row>
    <row r="680" spans="1:15" x14ac:dyDescent="0.25">
      <c r="A680" s="307"/>
      <c r="B680" s="308"/>
      <c r="C680" s="308"/>
      <c r="D680" s="308"/>
      <c r="E680" s="664">
        <v>4</v>
      </c>
      <c r="F680" s="678">
        <v>1.35</v>
      </c>
      <c r="G680" s="664">
        <v>0.35</v>
      </c>
      <c r="H680" s="678"/>
      <c r="I680" s="664">
        <f t="shared" si="188"/>
        <v>1.89</v>
      </c>
      <c r="J680" s="678"/>
      <c r="K680" s="678"/>
      <c r="L680" s="678"/>
      <c r="M680" s="739"/>
      <c r="N680" s="739"/>
      <c r="O680" s="664"/>
    </row>
    <row r="681" spans="1:15" x14ac:dyDescent="0.25">
      <c r="A681" s="307"/>
      <c r="B681" s="308"/>
      <c r="C681" s="308"/>
      <c r="D681" s="308"/>
      <c r="E681" s="664">
        <v>1</v>
      </c>
      <c r="F681" s="678">
        <v>1.42</v>
      </c>
      <c r="G681" s="664">
        <v>0.35</v>
      </c>
      <c r="H681" s="678"/>
      <c r="I681" s="664">
        <f t="shared" si="188"/>
        <v>0.49699999999999994</v>
      </c>
      <c r="J681" s="678"/>
      <c r="K681" s="678"/>
      <c r="L681" s="678"/>
      <c r="M681" s="739"/>
      <c r="N681" s="739"/>
      <c r="O681" s="664"/>
    </row>
    <row r="682" spans="1:15" x14ac:dyDescent="0.25">
      <c r="A682" s="307"/>
      <c r="B682" s="308"/>
      <c r="C682" s="308"/>
      <c r="D682" s="308"/>
      <c r="E682" s="664">
        <v>2</v>
      </c>
      <c r="F682" s="678">
        <v>0.75</v>
      </c>
      <c r="G682" s="664">
        <v>0.35</v>
      </c>
      <c r="H682" s="678"/>
      <c r="I682" s="664">
        <f t="shared" si="188"/>
        <v>0.52499999999999991</v>
      </c>
      <c r="J682" s="664"/>
      <c r="K682" s="664"/>
      <c r="L682" s="664"/>
      <c r="M682" s="739"/>
      <c r="N682" s="739"/>
      <c r="O682" s="664"/>
    </row>
    <row r="683" spans="1:15" x14ac:dyDescent="0.25">
      <c r="A683" s="307"/>
      <c r="B683" s="308"/>
      <c r="C683" s="308"/>
      <c r="D683" s="308"/>
      <c r="E683" s="664">
        <v>4</v>
      </c>
      <c r="F683" s="678">
        <v>13.75</v>
      </c>
      <c r="G683" s="664">
        <v>0.35</v>
      </c>
      <c r="H683" s="678"/>
      <c r="I683" s="664">
        <f t="shared" si="188"/>
        <v>19.25</v>
      </c>
      <c r="J683" s="664"/>
      <c r="K683" s="664"/>
      <c r="L683" s="664"/>
      <c r="M683" s="739"/>
      <c r="N683" s="739"/>
      <c r="O683" s="664"/>
    </row>
    <row r="684" spans="1:15" x14ac:dyDescent="0.25">
      <c r="A684" s="307"/>
      <c r="B684" s="308"/>
      <c r="C684" s="308"/>
      <c r="D684" s="308"/>
      <c r="E684" s="664">
        <v>1</v>
      </c>
      <c r="F684" s="678">
        <v>2.8</v>
      </c>
      <c r="G684" s="664">
        <v>0.35</v>
      </c>
      <c r="H684" s="678"/>
      <c r="I684" s="664">
        <f t="shared" si="188"/>
        <v>0.97999999999999987</v>
      </c>
      <c r="J684" s="664"/>
      <c r="K684" s="664"/>
      <c r="L684" s="664"/>
      <c r="M684" s="739"/>
      <c r="N684" s="739"/>
      <c r="O684" s="664"/>
    </row>
    <row r="685" spans="1:15" x14ac:dyDescent="0.25">
      <c r="A685" s="307"/>
      <c r="B685" s="308"/>
      <c r="C685" s="308"/>
      <c r="D685" s="308"/>
      <c r="E685" s="664">
        <v>1</v>
      </c>
      <c r="F685" s="678">
        <v>4.5570000000000004</v>
      </c>
      <c r="G685" s="664">
        <v>0.35</v>
      </c>
      <c r="H685" s="678"/>
      <c r="I685" s="664">
        <f t="shared" si="188"/>
        <v>1.5949500000000001</v>
      </c>
      <c r="J685" s="664"/>
      <c r="K685" s="664"/>
      <c r="L685" s="664"/>
      <c r="M685" s="739"/>
      <c r="N685" s="739"/>
      <c r="O685" s="664"/>
    </row>
    <row r="686" spans="1:15" x14ac:dyDescent="0.25">
      <c r="A686" s="307"/>
      <c r="B686" s="308"/>
      <c r="C686" s="308"/>
      <c r="D686" s="308"/>
      <c r="E686" s="664">
        <v>2</v>
      </c>
      <c r="F686" s="678">
        <v>1.35</v>
      </c>
      <c r="G686" s="664">
        <v>0.35</v>
      </c>
      <c r="H686" s="678"/>
      <c r="I686" s="664">
        <f t="shared" si="188"/>
        <v>0.94499999999999995</v>
      </c>
      <c r="J686" s="664"/>
      <c r="K686" s="664"/>
      <c r="L686" s="664"/>
      <c r="M686" s="739"/>
      <c r="N686" s="739"/>
      <c r="O686" s="664"/>
    </row>
    <row r="687" spans="1:15" x14ac:dyDescent="0.25">
      <c r="A687" s="307"/>
      <c r="B687" s="308"/>
      <c r="C687" s="308"/>
      <c r="D687" s="308"/>
      <c r="E687" s="664">
        <v>2</v>
      </c>
      <c r="F687" s="678">
        <v>1.2649999999999999</v>
      </c>
      <c r="G687" s="664">
        <v>0.35</v>
      </c>
      <c r="H687" s="678"/>
      <c r="I687" s="664">
        <f t="shared" si="188"/>
        <v>0.88549999999999984</v>
      </c>
      <c r="J687" s="664"/>
      <c r="K687" s="664"/>
      <c r="L687" s="664"/>
      <c r="M687" s="739"/>
      <c r="N687" s="739"/>
      <c r="O687" s="664"/>
    </row>
    <row r="688" spans="1:15" x14ac:dyDescent="0.25">
      <c r="A688" s="307"/>
      <c r="B688" s="308"/>
      <c r="C688" s="308"/>
      <c r="D688" s="308"/>
      <c r="E688" s="664">
        <v>1</v>
      </c>
      <c r="F688" s="678">
        <v>2.8420000000000001</v>
      </c>
      <c r="G688" s="664">
        <v>0.35</v>
      </c>
      <c r="H688" s="678"/>
      <c r="I688" s="664">
        <f t="shared" si="188"/>
        <v>0.99469999999999992</v>
      </c>
      <c r="J688" s="664"/>
      <c r="K688" s="664"/>
      <c r="L688" s="664"/>
      <c r="M688" s="739"/>
      <c r="N688" s="739"/>
      <c r="O688" s="664"/>
    </row>
    <row r="689" spans="1:15" x14ac:dyDescent="0.25">
      <c r="A689" s="307"/>
      <c r="B689" s="308"/>
      <c r="C689" s="308"/>
      <c r="D689" s="308"/>
      <c r="E689" s="664">
        <v>1</v>
      </c>
      <c r="F689" s="678">
        <v>1.4870000000000001</v>
      </c>
      <c r="G689" s="664">
        <v>0.35</v>
      </c>
      <c r="H689" s="678"/>
      <c r="I689" s="664">
        <f t="shared" si="188"/>
        <v>0.52044999999999997</v>
      </c>
      <c r="J689" s="664"/>
      <c r="K689" s="664"/>
      <c r="L689" s="664"/>
      <c r="M689" s="739"/>
      <c r="N689" s="739"/>
      <c r="O689" s="664"/>
    </row>
    <row r="690" spans="1:15" x14ac:dyDescent="0.25">
      <c r="A690" s="307"/>
      <c r="B690" s="308"/>
      <c r="C690" s="308"/>
      <c r="D690" s="308"/>
      <c r="E690" s="664"/>
      <c r="F690" s="678"/>
      <c r="G690" s="664"/>
      <c r="H690" s="678"/>
      <c r="I690" s="678"/>
      <c r="J690" s="664"/>
      <c r="K690" s="664"/>
      <c r="L690" s="664"/>
      <c r="M690" s="739"/>
      <c r="N690" s="739"/>
      <c r="O690" s="664"/>
    </row>
    <row r="691" spans="1:15" x14ac:dyDescent="0.25">
      <c r="A691" s="307"/>
      <c r="B691" s="308"/>
      <c r="C691" s="308"/>
      <c r="D691" s="308"/>
      <c r="E691" s="664"/>
      <c r="F691" s="664"/>
      <c r="G691" s="664"/>
      <c r="H691" s="664"/>
      <c r="I691" s="664"/>
      <c r="J691" s="664"/>
      <c r="K691" s="664"/>
      <c r="L691" s="664"/>
      <c r="M691" s="739"/>
      <c r="N691" s="739"/>
      <c r="O691" s="664"/>
    </row>
    <row r="692" spans="1:15" x14ac:dyDescent="0.25">
      <c r="A692" s="307"/>
      <c r="B692" s="308"/>
      <c r="C692" s="308"/>
      <c r="D692" s="308" t="s">
        <v>871</v>
      </c>
      <c r="E692" s="664">
        <v>1</v>
      </c>
      <c r="F692" s="664">
        <v>5.15</v>
      </c>
      <c r="G692" s="664">
        <v>0.35</v>
      </c>
      <c r="H692" s="678"/>
      <c r="I692" s="664">
        <f t="shared" ref="I692:I693" si="189">G692*F692*E692</f>
        <v>1.8025</v>
      </c>
      <c r="J692" s="664"/>
      <c r="K692" s="664"/>
      <c r="L692" s="664"/>
      <c r="M692" s="739"/>
      <c r="N692" s="739"/>
      <c r="O692" s="664"/>
    </row>
    <row r="693" spans="1:15" x14ac:dyDescent="0.25">
      <c r="A693" s="307"/>
      <c r="B693" s="308"/>
      <c r="C693" s="308"/>
      <c r="D693" s="308"/>
      <c r="E693" s="664">
        <v>1</v>
      </c>
      <c r="F693" s="664">
        <v>6.05</v>
      </c>
      <c r="G693" s="664">
        <v>0.35</v>
      </c>
      <c r="H693" s="678"/>
      <c r="I693" s="664">
        <f t="shared" si="189"/>
        <v>2.1174999999999997</v>
      </c>
      <c r="J693" s="664"/>
      <c r="K693" s="678"/>
      <c r="L693" s="678"/>
      <c r="M693" s="740"/>
      <c r="N693" s="740"/>
      <c r="O693" s="678"/>
    </row>
    <row r="694" spans="1:15" x14ac:dyDescent="0.25">
      <c r="A694" s="307"/>
      <c r="B694" s="308"/>
      <c r="C694" s="308"/>
      <c r="D694" s="308"/>
      <c r="E694" s="664"/>
      <c r="F694" s="664"/>
      <c r="G694" s="664"/>
      <c r="H694" s="664"/>
      <c r="I694" s="664"/>
      <c r="J694" s="664"/>
      <c r="K694" s="664"/>
      <c r="L694" s="664"/>
      <c r="M694" s="739"/>
      <c r="N694" s="739"/>
      <c r="O694" s="664"/>
    </row>
    <row r="695" spans="1:15" x14ac:dyDescent="0.25">
      <c r="A695" s="307"/>
      <c r="B695" s="308"/>
      <c r="C695" s="308"/>
      <c r="D695" s="308" t="s">
        <v>810</v>
      </c>
      <c r="E695" s="664">
        <v>1</v>
      </c>
      <c r="F695" s="664">
        <v>0.9</v>
      </c>
      <c r="G695" s="664">
        <v>0.9</v>
      </c>
      <c r="H695" s="664"/>
      <c r="I695" s="664">
        <f t="shared" ref="I695:I717" si="190">G695*F695*E695</f>
        <v>0.81</v>
      </c>
      <c r="J695" s="664"/>
      <c r="K695" s="664"/>
      <c r="L695" s="664"/>
      <c r="M695" s="739"/>
      <c r="N695" s="739"/>
      <c r="O695" s="664"/>
    </row>
    <row r="696" spans="1:15" x14ac:dyDescent="0.25">
      <c r="A696" s="307"/>
      <c r="B696" s="308"/>
      <c r="C696" s="308"/>
      <c r="D696" s="308" t="s">
        <v>811</v>
      </c>
      <c r="E696" s="664">
        <v>1</v>
      </c>
      <c r="F696" s="664">
        <v>0.9</v>
      </c>
      <c r="G696" s="664">
        <v>0.9</v>
      </c>
      <c r="H696" s="664"/>
      <c r="I696" s="664">
        <f t="shared" si="190"/>
        <v>0.81</v>
      </c>
      <c r="J696" s="664"/>
      <c r="K696" s="664"/>
      <c r="L696" s="664"/>
      <c r="M696" s="739"/>
      <c r="N696" s="739"/>
      <c r="O696" s="664"/>
    </row>
    <row r="697" spans="1:15" x14ac:dyDescent="0.25">
      <c r="A697" s="307"/>
      <c r="B697" s="308"/>
      <c r="C697" s="308"/>
      <c r="D697" s="308" t="s">
        <v>812</v>
      </c>
      <c r="E697" s="664">
        <v>1</v>
      </c>
      <c r="F697" s="664">
        <v>0.9</v>
      </c>
      <c r="G697" s="664">
        <v>0.9</v>
      </c>
      <c r="H697" s="664"/>
      <c r="I697" s="664">
        <f t="shared" si="190"/>
        <v>0.81</v>
      </c>
      <c r="J697" s="664"/>
      <c r="K697" s="664"/>
      <c r="L697" s="664"/>
      <c r="M697" s="739"/>
      <c r="N697" s="739"/>
      <c r="O697" s="664"/>
    </row>
    <row r="698" spans="1:15" x14ac:dyDescent="0.25">
      <c r="A698" s="307"/>
      <c r="B698" s="308"/>
      <c r="C698" s="308"/>
      <c r="D698" s="308" t="s">
        <v>850</v>
      </c>
      <c r="E698" s="664">
        <v>1</v>
      </c>
      <c r="F698" s="664">
        <v>1.2</v>
      </c>
      <c r="G698" s="664">
        <v>1.2</v>
      </c>
      <c r="H698" s="664"/>
      <c r="I698" s="664">
        <f t="shared" si="190"/>
        <v>1.44</v>
      </c>
      <c r="J698" s="664"/>
      <c r="K698" s="664"/>
      <c r="L698" s="664"/>
      <c r="M698" s="739"/>
      <c r="N698" s="739"/>
      <c r="O698" s="664"/>
    </row>
    <row r="699" spans="1:15" x14ac:dyDescent="0.25">
      <c r="A699" s="307"/>
      <c r="B699" s="308"/>
      <c r="C699" s="308"/>
      <c r="D699" s="308" t="s">
        <v>851</v>
      </c>
      <c r="E699" s="664">
        <v>1</v>
      </c>
      <c r="F699" s="664">
        <v>1.6</v>
      </c>
      <c r="G699" s="664">
        <v>1.6</v>
      </c>
      <c r="H699" s="664"/>
      <c r="I699" s="664">
        <f t="shared" si="190"/>
        <v>2.5600000000000005</v>
      </c>
      <c r="J699" s="664"/>
      <c r="K699" s="664"/>
      <c r="L699" s="664"/>
      <c r="M699" s="739"/>
      <c r="N699" s="739"/>
      <c r="O699" s="664"/>
    </row>
    <row r="700" spans="1:15" x14ac:dyDescent="0.25">
      <c r="A700" s="307"/>
      <c r="B700" s="308"/>
      <c r="C700" s="308"/>
      <c r="D700" s="308" t="s">
        <v>852</v>
      </c>
      <c r="E700" s="664">
        <v>1</v>
      </c>
      <c r="F700" s="664">
        <v>1.6</v>
      </c>
      <c r="G700" s="664">
        <v>1.6</v>
      </c>
      <c r="H700" s="664"/>
      <c r="I700" s="664">
        <f t="shared" si="190"/>
        <v>2.5600000000000005</v>
      </c>
      <c r="J700" s="664"/>
      <c r="K700" s="664"/>
      <c r="L700" s="664"/>
      <c r="M700" s="739"/>
      <c r="N700" s="739"/>
      <c r="O700" s="664"/>
    </row>
    <row r="701" spans="1:15" x14ac:dyDescent="0.25">
      <c r="A701" s="307"/>
      <c r="B701" s="308"/>
      <c r="C701" s="308"/>
      <c r="D701" s="308" t="s">
        <v>853</v>
      </c>
      <c r="E701" s="664">
        <v>1</v>
      </c>
      <c r="F701" s="664">
        <v>1.5</v>
      </c>
      <c r="G701" s="664">
        <v>1.5</v>
      </c>
      <c r="H701" s="664"/>
      <c r="I701" s="664">
        <f t="shared" si="190"/>
        <v>2.25</v>
      </c>
      <c r="J701" s="664"/>
      <c r="K701" s="664"/>
      <c r="L701" s="664"/>
      <c r="M701" s="739"/>
      <c r="N701" s="739"/>
      <c r="O701" s="664"/>
    </row>
    <row r="702" spans="1:15" x14ac:dyDescent="0.25">
      <c r="A702" s="307"/>
      <c r="B702" s="308"/>
      <c r="C702" s="308"/>
      <c r="D702" s="308" t="s">
        <v>854</v>
      </c>
      <c r="E702" s="664">
        <v>1</v>
      </c>
      <c r="F702" s="664">
        <v>1.2</v>
      </c>
      <c r="G702" s="664">
        <v>1.2</v>
      </c>
      <c r="H702" s="664"/>
      <c r="I702" s="664">
        <f t="shared" si="190"/>
        <v>1.44</v>
      </c>
      <c r="J702" s="664"/>
      <c r="K702" s="664"/>
      <c r="L702" s="664"/>
      <c r="M702" s="739"/>
      <c r="N702" s="739"/>
      <c r="O702" s="664"/>
    </row>
    <row r="703" spans="1:15" x14ac:dyDescent="0.25">
      <c r="A703" s="307"/>
      <c r="B703" s="308"/>
      <c r="C703" s="308"/>
      <c r="D703" s="308" t="s">
        <v>855</v>
      </c>
      <c r="E703" s="664">
        <v>1</v>
      </c>
      <c r="F703" s="664">
        <v>1.8</v>
      </c>
      <c r="G703" s="664">
        <v>1.8</v>
      </c>
      <c r="H703" s="664"/>
      <c r="I703" s="664">
        <f t="shared" si="190"/>
        <v>3.24</v>
      </c>
      <c r="J703" s="664"/>
      <c r="K703" s="664"/>
      <c r="L703" s="664"/>
      <c r="M703" s="739"/>
      <c r="N703" s="739"/>
      <c r="O703" s="664"/>
    </row>
    <row r="704" spans="1:15" x14ac:dyDescent="0.25">
      <c r="A704" s="307"/>
      <c r="B704" s="308"/>
      <c r="C704" s="308"/>
      <c r="D704" s="308" t="s">
        <v>856</v>
      </c>
      <c r="E704" s="664">
        <v>1</v>
      </c>
      <c r="F704" s="664">
        <v>1.6</v>
      </c>
      <c r="G704" s="664">
        <v>1.6</v>
      </c>
      <c r="H704" s="664"/>
      <c r="I704" s="664">
        <f t="shared" si="190"/>
        <v>2.5600000000000005</v>
      </c>
      <c r="J704" s="664"/>
      <c r="K704" s="664"/>
      <c r="L704" s="664"/>
      <c r="M704" s="739"/>
      <c r="N704" s="739"/>
      <c r="O704" s="664"/>
    </row>
    <row r="705" spans="1:15" x14ac:dyDescent="0.25">
      <c r="A705" s="307"/>
      <c r="B705" s="308"/>
      <c r="C705" s="308"/>
      <c r="D705" s="308" t="s">
        <v>857</v>
      </c>
      <c r="E705" s="664">
        <v>1</v>
      </c>
      <c r="F705" s="664">
        <v>1.6</v>
      </c>
      <c r="G705" s="664">
        <v>1.6</v>
      </c>
      <c r="H705" s="664"/>
      <c r="I705" s="664">
        <f t="shared" si="190"/>
        <v>2.5600000000000005</v>
      </c>
      <c r="J705" s="664"/>
      <c r="K705" s="664"/>
      <c r="L705" s="664"/>
      <c r="M705" s="739"/>
      <c r="N705" s="739"/>
      <c r="O705" s="664"/>
    </row>
    <row r="706" spans="1:15" x14ac:dyDescent="0.25">
      <c r="A706" s="307"/>
      <c r="B706" s="308"/>
      <c r="C706" s="308"/>
      <c r="D706" s="308" t="s">
        <v>858</v>
      </c>
      <c r="E706" s="664">
        <v>1</v>
      </c>
      <c r="F706" s="664">
        <v>1.8</v>
      </c>
      <c r="G706" s="664">
        <v>1.8</v>
      </c>
      <c r="H706" s="664"/>
      <c r="I706" s="664">
        <f t="shared" si="190"/>
        <v>3.24</v>
      </c>
      <c r="J706" s="664"/>
      <c r="K706" s="664"/>
      <c r="L706" s="664"/>
      <c r="M706" s="739"/>
      <c r="N706" s="739"/>
      <c r="O706" s="664"/>
    </row>
    <row r="707" spans="1:15" x14ac:dyDescent="0.25">
      <c r="A707" s="307"/>
      <c r="B707" s="308"/>
      <c r="C707" s="308"/>
      <c r="D707" s="308" t="s">
        <v>859</v>
      </c>
      <c r="E707" s="664">
        <v>1</v>
      </c>
      <c r="F707" s="664">
        <v>1.2</v>
      </c>
      <c r="G707" s="664">
        <v>1.2</v>
      </c>
      <c r="H707" s="664"/>
      <c r="I707" s="664">
        <f t="shared" si="190"/>
        <v>1.44</v>
      </c>
      <c r="J707" s="664"/>
      <c r="K707" s="664"/>
      <c r="L707" s="664"/>
      <c r="M707" s="739"/>
      <c r="N707" s="739"/>
      <c r="O707" s="664"/>
    </row>
    <row r="708" spans="1:15" x14ac:dyDescent="0.25">
      <c r="A708" s="307"/>
      <c r="B708" s="308"/>
      <c r="C708" s="308"/>
      <c r="D708" s="308" t="s">
        <v>860</v>
      </c>
      <c r="E708" s="664">
        <v>1</v>
      </c>
      <c r="F708" s="664">
        <v>1</v>
      </c>
      <c r="G708" s="664">
        <v>1</v>
      </c>
      <c r="H708" s="664"/>
      <c r="I708" s="664">
        <f t="shared" si="190"/>
        <v>1</v>
      </c>
      <c r="J708" s="678"/>
      <c r="K708" s="678"/>
      <c r="L708" s="678"/>
      <c r="M708" s="740"/>
      <c r="N708" s="740"/>
      <c r="O708" s="678"/>
    </row>
    <row r="709" spans="1:15" x14ac:dyDescent="0.25">
      <c r="A709" s="307"/>
      <c r="B709" s="308"/>
      <c r="C709" s="308"/>
      <c r="D709" s="308" t="s">
        <v>861</v>
      </c>
      <c r="E709" s="664">
        <v>1</v>
      </c>
      <c r="F709" s="664">
        <v>1.3</v>
      </c>
      <c r="G709" s="664">
        <v>1.3</v>
      </c>
      <c r="H709" s="664"/>
      <c r="I709" s="664">
        <f t="shared" si="190"/>
        <v>1.6900000000000002</v>
      </c>
      <c r="J709" s="678"/>
      <c r="K709" s="678"/>
      <c r="L709" s="678"/>
      <c r="M709" s="740"/>
      <c r="N709" s="740"/>
      <c r="O709" s="678"/>
    </row>
    <row r="710" spans="1:15" x14ac:dyDescent="0.25">
      <c r="A710" s="307"/>
      <c r="B710" s="308"/>
      <c r="C710" s="308"/>
      <c r="D710" s="308" t="s">
        <v>862</v>
      </c>
      <c r="E710" s="664">
        <v>1</v>
      </c>
      <c r="F710" s="664">
        <v>1</v>
      </c>
      <c r="G710" s="664">
        <v>1</v>
      </c>
      <c r="H710" s="664"/>
      <c r="I710" s="664">
        <f t="shared" si="190"/>
        <v>1</v>
      </c>
      <c r="J710" s="664"/>
      <c r="K710" s="664"/>
      <c r="L710" s="664"/>
      <c r="M710" s="739"/>
      <c r="N710" s="739"/>
      <c r="O710" s="664"/>
    </row>
    <row r="711" spans="1:15" x14ac:dyDescent="0.25">
      <c r="A711" s="307"/>
      <c r="B711" s="308"/>
      <c r="C711" s="308"/>
      <c r="D711" s="308" t="s">
        <v>863</v>
      </c>
      <c r="E711" s="664">
        <v>1</v>
      </c>
      <c r="F711" s="664">
        <v>2</v>
      </c>
      <c r="G711" s="664">
        <v>2</v>
      </c>
      <c r="H711" s="664"/>
      <c r="I711" s="664">
        <f t="shared" si="190"/>
        <v>4</v>
      </c>
      <c r="J711" s="664"/>
      <c r="K711" s="664"/>
      <c r="L711" s="664"/>
      <c r="M711" s="739"/>
      <c r="N711" s="739"/>
      <c r="O711" s="664"/>
    </row>
    <row r="712" spans="1:15" x14ac:dyDescent="0.25">
      <c r="A712" s="307"/>
      <c r="B712" s="308"/>
      <c r="C712" s="308"/>
      <c r="D712" s="308" t="s">
        <v>864</v>
      </c>
      <c r="E712" s="664">
        <v>1</v>
      </c>
      <c r="F712" s="664">
        <v>1.2</v>
      </c>
      <c r="G712" s="664">
        <v>1.2</v>
      </c>
      <c r="H712" s="664"/>
      <c r="I712" s="664">
        <f t="shared" si="190"/>
        <v>1.44</v>
      </c>
      <c r="J712" s="664"/>
      <c r="K712" s="664"/>
      <c r="L712" s="664"/>
      <c r="M712" s="739"/>
      <c r="N712" s="739"/>
      <c r="O712" s="664"/>
    </row>
    <row r="713" spans="1:15" x14ac:dyDescent="0.25">
      <c r="A713" s="307"/>
      <c r="B713" s="308"/>
      <c r="C713" s="308"/>
      <c r="D713" s="308" t="s">
        <v>865</v>
      </c>
      <c r="E713" s="664">
        <v>1</v>
      </c>
      <c r="F713" s="664">
        <v>1</v>
      </c>
      <c r="G713" s="664">
        <v>1</v>
      </c>
      <c r="H713" s="664"/>
      <c r="I713" s="664">
        <f t="shared" si="190"/>
        <v>1</v>
      </c>
      <c r="J713" s="664"/>
      <c r="K713" s="664"/>
      <c r="L713" s="664"/>
      <c r="M713" s="739"/>
      <c r="N713" s="739"/>
      <c r="O713" s="664"/>
    </row>
    <row r="714" spans="1:15" x14ac:dyDescent="0.25">
      <c r="A714" s="307"/>
      <c r="B714" s="308"/>
      <c r="C714" s="308"/>
      <c r="D714" s="308" t="s">
        <v>866</v>
      </c>
      <c r="E714" s="664">
        <v>1</v>
      </c>
      <c r="F714" s="664">
        <v>1.6</v>
      </c>
      <c r="G714" s="664">
        <v>1.6</v>
      </c>
      <c r="H714" s="664"/>
      <c r="I714" s="664">
        <f t="shared" si="190"/>
        <v>2.5600000000000005</v>
      </c>
      <c r="J714" s="664"/>
      <c r="K714" s="664"/>
      <c r="L714" s="664"/>
      <c r="M714" s="739"/>
      <c r="N714" s="739"/>
      <c r="O714" s="664"/>
    </row>
    <row r="715" spans="1:15" x14ac:dyDescent="0.25">
      <c r="A715" s="307"/>
      <c r="B715" s="308"/>
      <c r="C715" s="308"/>
      <c r="D715" s="308" t="s">
        <v>867</v>
      </c>
      <c r="E715" s="664">
        <v>1</v>
      </c>
      <c r="F715" s="664">
        <v>1.8</v>
      </c>
      <c r="G715" s="664">
        <v>1.8</v>
      </c>
      <c r="H715" s="664"/>
      <c r="I715" s="664">
        <f t="shared" si="190"/>
        <v>3.24</v>
      </c>
      <c r="J715" s="664"/>
      <c r="K715" s="664"/>
      <c r="L715" s="664"/>
      <c r="M715" s="739"/>
      <c r="N715" s="739"/>
      <c r="O715" s="664"/>
    </row>
    <row r="716" spans="1:15" x14ac:dyDescent="0.25">
      <c r="A716" s="307"/>
      <c r="B716" s="308"/>
      <c r="C716" s="308"/>
      <c r="D716" s="308" t="s">
        <v>868</v>
      </c>
      <c r="E716" s="664">
        <v>1</v>
      </c>
      <c r="F716" s="664">
        <v>1.5</v>
      </c>
      <c r="G716" s="664">
        <v>1.5</v>
      </c>
      <c r="H716" s="664"/>
      <c r="I716" s="664">
        <f t="shared" si="190"/>
        <v>2.25</v>
      </c>
      <c r="J716" s="664"/>
      <c r="K716" s="664"/>
      <c r="L716" s="664"/>
      <c r="M716" s="739"/>
      <c r="N716" s="739"/>
      <c r="O716" s="664"/>
    </row>
    <row r="717" spans="1:15" x14ac:dyDescent="0.25">
      <c r="A717" s="307"/>
      <c r="B717" s="308"/>
      <c r="C717" s="308"/>
      <c r="D717" s="308" t="s">
        <v>869</v>
      </c>
      <c r="E717" s="664">
        <v>1</v>
      </c>
      <c r="F717" s="664">
        <v>1</v>
      </c>
      <c r="G717" s="664">
        <v>1</v>
      </c>
      <c r="H717" s="664"/>
      <c r="I717" s="664">
        <f t="shared" si="190"/>
        <v>1</v>
      </c>
      <c r="J717" s="664">
        <f>SUM(I675:I717)</f>
        <v>96.338099999999983</v>
      </c>
      <c r="K717" s="678">
        <f>$K$2</f>
        <v>1.05</v>
      </c>
      <c r="L717" s="678">
        <f t="shared" ref="L717" si="191">K717*J717</f>
        <v>101.15500499999999</v>
      </c>
      <c r="M717" s="740">
        <f t="shared" ref="M717" si="192">ROUND(L717,1)</f>
        <v>101.2</v>
      </c>
      <c r="N717" s="740">
        <f t="shared" ref="N717" si="193">ROUNDUP(M717,0)</f>
        <v>102</v>
      </c>
      <c r="O717" s="678" t="s">
        <v>183</v>
      </c>
    </row>
    <row r="718" spans="1:15" x14ac:dyDescent="0.25">
      <c r="A718" s="307"/>
      <c r="B718" s="308"/>
      <c r="C718" s="308"/>
      <c r="D718" s="308"/>
      <c r="E718" s="664"/>
      <c r="F718" s="664"/>
      <c r="G718" s="664"/>
      <c r="H718" s="664"/>
      <c r="I718" s="664"/>
      <c r="J718" s="664"/>
      <c r="K718" s="664"/>
      <c r="L718" s="664"/>
      <c r="M718" s="739"/>
      <c r="N718" s="739"/>
      <c r="O718" s="664"/>
    </row>
    <row r="719" spans="1:15" x14ac:dyDescent="0.25">
      <c r="A719" s="307"/>
      <c r="B719" s="663" t="str">
        <f>tile!B15</f>
        <v xml:space="preserve">Wall Tiling </v>
      </c>
      <c r="C719" s="308"/>
      <c r="D719" s="308"/>
      <c r="E719" s="664"/>
      <c r="F719" s="664"/>
      <c r="G719" s="664"/>
      <c r="H719" s="664"/>
      <c r="I719" s="664"/>
      <c r="J719" s="664"/>
      <c r="K719" s="664"/>
      <c r="L719" s="664"/>
      <c r="M719" s="739"/>
      <c r="N719" s="739"/>
      <c r="O719" s="664"/>
    </row>
    <row r="720" spans="1:15" ht="82.8" x14ac:dyDescent="0.25">
      <c r="A720" s="307"/>
      <c r="B720" s="721" t="str">
        <f>tile!B16</f>
        <v xml:space="preserve">Glazed wall tiling of size 300mm x 600mm approved colour, supplying and fixing to walls on a 1:3 cement sand mortar layer, and pointed with tile grout to match the tile. (Prime Cost of
tile Rs.600.00 per sqft)
</v>
      </c>
      <c r="C720" s="308"/>
      <c r="D720" s="308"/>
      <c r="E720" s="664">
        <v>1</v>
      </c>
      <c r="F720" s="664">
        <v>7.97</v>
      </c>
      <c r="G720" s="664"/>
      <c r="H720" s="664">
        <v>3.95</v>
      </c>
      <c r="I720" s="664">
        <f>H720*F720*E720</f>
        <v>31.4815</v>
      </c>
      <c r="J720" s="664"/>
      <c r="K720" s="664"/>
      <c r="L720" s="664"/>
      <c r="M720" s="739"/>
      <c r="N720" s="739"/>
      <c r="O720" s="664"/>
    </row>
    <row r="721" spans="1:15" x14ac:dyDescent="0.25">
      <c r="A721" s="307"/>
      <c r="B721" s="663" t="str">
        <f>tile!B17</f>
        <v>Ground Floor</v>
      </c>
      <c r="C721" s="308"/>
      <c r="D721" s="308"/>
      <c r="E721" s="664">
        <v>1</v>
      </c>
      <c r="F721" s="664">
        <f>7.785</f>
        <v>7.7850000000000001</v>
      </c>
      <c r="G721" s="664"/>
      <c r="H721" s="664">
        <v>3.95</v>
      </c>
      <c r="I721" s="664">
        <f t="shared" ref="I721:I722" si="194">H721*F721*E721</f>
        <v>30.750750000000004</v>
      </c>
      <c r="J721" s="664"/>
      <c r="K721" s="664"/>
      <c r="L721" s="664"/>
      <c r="M721" s="739"/>
      <c r="N721" s="739"/>
      <c r="O721" s="664"/>
    </row>
    <row r="722" spans="1:15" x14ac:dyDescent="0.25">
      <c r="A722" s="307"/>
      <c r="B722" s="308"/>
      <c r="C722" s="308"/>
      <c r="D722" s="308"/>
      <c r="E722" s="664">
        <v>1</v>
      </c>
      <c r="F722" s="664">
        <v>4.1100000000000003</v>
      </c>
      <c r="G722" s="664"/>
      <c r="H722" s="664">
        <v>3.95</v>
      </c>
      <c r="I722" s="664">
        <f t="shared" si="194"/>
        <v>16.234500000000001</v>
      </c>
      <c r="J722" s="664">
        <f>SUM(I720:I722)</f>
        <v>78.466750000000005</v>
      </c>
      <c r="K722" s="678">
        <f>$K$2</f>
        <v>1.05</v>
      </c>
      <c r="L722" s="678">
        <f t="shared" ref="L722" si="195">K722*J722</f>
        <v>82.390087500000007</v>
      </c>
      <c r="M722" s="740">
        <f t="shared" ref="M722" si="196">ROUND(L722,1)</f>
        <v>82.4</v>
      </c>
      <c r="N722" s="740">
        <f t="shared" ref="N722" si="197">ROUNDUP(M722,0)</f>
        <v>83</v>
      </c>
      <c r="O722" s="678" t="s">
        <v>183</v>
      </c>
    </row>
    <row r="723" spans="1:15" x14ac:dyDescent="0.25">
      <c r="A723" s="307"/>
      <c r="B723" s="308"/>
      <c r="C723" s="308"/>
      <c r="D723" s="308"/>
      <c r="E723" s="664"/>
      <c r="F723" s="664"/>
      <c r="G723" s="664"/>
      <c r="H723" s="664"/>
      <c r="I723" s="664"/>
      <c r="J723" s="664"/>
      <c r="K723" s="664"/>
      <c r="L723" s="664"/>
      <c r="M723" s="739"/>
      <c r="N723" s="739"/>
      <c r="O723" s="664"/>
    </row>
    <row r="724" spans="1:15" x14ac:dyDescent="0.25">
      <c r="A724" s="307"/>
      <c r="B724" s="663" t="str">
        <f>tile!B18</f>
        <v>First Floor</v>
      </c>
      <c r="C724" s="308"/>
      <c r="D724" s="308"/>
      <c r="E724" s="664">
        <v>1</v>
      </c>
      <c r="F724" s="664">
        <v>7.97</v>
      </c>
      <c r="G724" s="664"/>
      <c r="H724" s="664">
        <v>3.95</v>
      </c>
      <c r="I724" s="664">
        <f t="shared" ref="I724:I728" si="198">H724*F724*E724</f>
        <v>31.4815</v>
      </c>
      <c r="J724" s="664"/>
      <c r="K724" s="664"/>
      <c r="L724" s="664"/>
      <c r="M724" s="739"/>
      <c r="N724" s="739"/>
      <c r="O724" s="664"/>
    </row>
    <row r="725" spans="1:15" x14ac:dyDescent="0.25">
      <c r="A725" s="307"/>
      <c r="B725" s="308"/>
      <c r="C725" s="308"/>
      <c r="D725" s="308"/>
      <c r="E725" s="664">
        <v>1</v>
      </c>
      <c r="F725" s="664">
        <f>7.785</f>
        <v>7.7850000000000001</v>
      </c>
      <c r="G725" s="664"/>
      <c r="H725" s="664">
        <v>3.95</v>
      </c>
      <c r="I725" s="664">
        <f t="shared" si="198"/>
        <v>30.750750000000004</v>
      </c>
      <c r="J725" s="664"/>
      <c r="K725" s="664"/>
      <c r="L725" s="664"/>
      <c r="M725" s="739"/>
      <c r="N725" s="739"/>
      <c r="O725" s="664"/>
    </row>
    <row r="726" spans="1:15" x14ac:dyDescent="0.25">
      <c r="A726" s="307"/>
      <c r="B726" s="308"/>
      <c r="C726" s="308"/>
      <c r="D726" s="308"/>
      <c r="E726" s="664">
        <v>1</v>
      </c>
      <c r="F726" s="664">
        <v>8.65</v>
      </c>
      <c r="G726" s="664"/>
      <c r="H726" s="664">
        <v>3.95</v>
      </c>
      <c r="I726" s="664">
        <f t="shared" si="198"/>
        <v>34.167500000000004</v>
      </c>
      <c r="J726" s="664">
        <f>SUM(I724:I726)</f>
        <v>96.399750000000012</v>
      </c>
      <c r="K726" s="678">
        <f>$K$2</f>
        <v>1.05</v>
      </c>
      <c r="L726" s="678">
        <f t="shared" ref="L726" si="199">K726*J726</f>
        <v>101.21973750000002</v>
      </c>
      <c r="M726" s="740">
        <f t="shared" ref="M726" si="200">ROUND(L726,1)</f>
        <v>101.2</v>
      </c>
      <c r="N726" s="740">
        <f t="shared" ref="N726" si="201">ROUNDUP(M726,0)</f>
        <v>102</v>
      </c>
      <c r="O726" s="678" t="s">
        <v>183</v>
      </c>
    </row>
    <row r="727" spans="1:15" x14ac:dyDescent="0.25">
      <c r="A727" s="307"/>
      <c r="B727" s="308"/>
      <c r="C727" s="308"/>
      <c r="D727" s="308"/>
      <c r="E727" s="664"/>
      <c r="F727" s="664"/>
      <c r="G727" s="664"/>
      <c r="H727" s="664"/>
      <c r="I727" s="664"/>
      <c r="J727" s="664"/>
      <c r="K727" s="678"/>
      <c r="L727" s="678"/>
      <c r="M727" s="740"/>
      <c r="N727" s="740"/>
      <c r="O727" s="678"/>
    </row>
    <row r="728" spans="1:15" x14ac:dyDescent="0.25">
      <c r="A728" s="307"/>
      <c r="B728" s="663" t="str">
        <f>tile!B19</f>
        <v>Roof  floor</v>
      </c>
      <c r="C728" s="308"/>
      <c r="D728" s="308"/>
      <c r="E728" s="664">
        <v>1</v>
      </c>
      <c r="F728" s="664">
        <v>6.2</v>
      </c>
      <c r="G728" s="664"/>
      <c r="H728" s="664">
        <v>3.95</v>
      </c>
      <c r="I728" s="664">
        <f t="shared" si="198"/>
        <v>24.490000000000002</v>
      </c>
      <c r="J728" s="664">
        <f>SUM(I728)</f>
        <v>24.490000000000002</v>
      </c>
      <c r="K728" s="678">
        <f>$K$2</f>
        <v>1.05</v>
      </c>
      <c r="L728" s="678">
        <f t="shared" ref="L728" si="202">K728*J728</f>
        <v>25.714500000000005</v>
      </c>
      <c r="M728" s="740">
        <f t="shared" ref="M728" si="203">ROUND(L728,1)</f>
        <v>25.7</v>
      </c>
      <c r="N728" s="740">
        <f t="shared" ref="N728" si="204">ROUNDUP(M728,0)</f>
        <v>26</v>
      </c>
      <c r="O728" s="678" t="s">
        <v>183</v>
      </c>
    </row>
    <row r="729" spans="1:15" x14ac:dyDescent="0.25">
      <c r="A729" s="307"/>
      <c r="B729" s="308"/>
      <c r="C729" s="308"/>
      <c r="D729" s="308"/>
      <c r="E729" s="664"/>
      <c r="F729" s="664"/>
      <c r="G729" s="664"/>
      <c r="H729" s="664"/>
      <c r="I729" s="664"/>
      <c r="J729" s="664"/>
      <c r="K729" s="664"/>
      <c r="L729" s="664"/>
      <c r="M729" s="739"/>
      <c r="N729" s="739"/>
      <c r="O729" s="664"/>
    </row>
    <row r="730" spans="1:15" ht="27.6" x14ac:dyDescent="0.25">
      <c r="A730" s="307" t="str">
        <f>tile!A29</f>
        <v>L.02.1</v>
      </c>
      <c r="B730" s="721" t="str">
        <f>tile!B29</f>
        <v>(FF 08) Supplying of 300mm x 300mm temples stone work with masory work</v>
      </c>
      <c r="C730" s="308"/>
      <c r="D730" s="308"/>
      <c r="E730" s="664"/>
      <c r="F730" s="664"/>
      <c r="G730" s="664"/>
      <c r="H730" s="664"/>
      <c r="I730" s="664"/>
      <c r="J730" s="664"/>
      <c r="K730" s="664"/>
      <c r="L730" s="664"/>
      <c r="M730" s="739"/>
      <c r="N730" s="739"/>
      <c r="O730" s="664"/>
    </row>
    <row r="731" spans="1:15" x14ac:dyDescent="0.25">
      <c r="A731" s="307"/>
      <c r="B731" s="663" t="str">
        <f>tile!B30</f>
        <v>In Ground floor</v>
      </c>
      <c r="C731" s="308"/>
      <c r="D731" s="308"/>
      <c r="E731" s="664">
        <v>1</v>
      </c>
      <c r="F731" s="664">
        <v>29.036947000000001</v>
      </c>
      <c r="G731" s="664"/>
      <c r="H731" s="664"/>
      <c r="I731" s="664">
        <f>F731*E731</f>
        <v>29.036947000000001</v>
      </c>
      <c r="J731" s="664">
        <f>SUM(I731)</f>
        <v>29.036947000000001</v>
      </c>
      <c r="K731" s="678">
        <f>$K$2</f>
        <v>1.05</v>
      </c>
      <c r="L731" s="678">
        <f t="shared" ref="L731" si="205">K731*J731</f>
        <v>30.488794350000003</v>
      </c>
      <c r="M731" s="740">
        <f t="shared" ref="M731" si="206">ROUND(L731,1)</f>
        <v>30.5</v>
      </c>
      <c r="N731" s="740">
        <f t="shared" ref="N731" si="207">ROUNDUP(M731,0)</f>
        <v>31</v>
      </c>
      <c r="O731" s="678" t="s">
        <v>183</v>
      </c>
    </row>
    <row r="732" spans="1:15" x14ac:dyDescent="0.25">
      <c r="A732" s="307"/>
      <c r="B732" s="663"/>
      <c r="C732" s="308"/>
      <c r="D732" s="308"/>
      <c r="E732" s="664"/>
      <c r="F732" s="664"/>
      <c r="G732" s="664"/>
      <c r="H732" s="664"/>
      <c r="I732" s="664"/>
      <c r="J732" s="664"/>
      <c r="K732" s="678"/>
      <c r="L732" s="678"/>
      <c r="M732" s="740"/>
      <c r="N732" s="740"/>
      <c r="O732" s="678"/>
    </row>
    <row r="733" spans="1:15" x14ac:dyDescent="0.25">
      <c r="A733" s="307"/>
      <c r="B733" s="663"/>
      <c r="C733" s="308"/>
      <c r="D733" s="308"/>
      <c r="E733" s="664"/>
      <c r="F733" s="664"/>
      <c r="G733" s="664"/>
      <c r="H733" s="664"/>
      <c r="I733" s="664"/>
      <c r="J733" s="664"/>
      <c r="K733" s="678"/>
      <c r="L733" s="678"/>
      <c r="M733" s="740"/>
      <c r="N733" s="740"/>
      <c r="O733" s="678"/>
    </row>
    <row r="734" spans="1:15" x14ac:dyDescent="0.25">
      <c r="A734" s="307"/>
      <c r="B734" s="663"/>
      <c r="C734" s="308"/>
      <c r="D734" s="308"/>
      <c r="E734" s="664"/>
      <c r="F734" s="664"/>
      <c r="G734" s="664"/>
      <c r="H734" s="664"/>
      <c r="I734" s="664"/>
      <c r="J734" s="664"/>
      <c r="K734" s="678"/>
      <c r="L734" s="678"/>
      <c r="M734" s="740"/>
      <c r="N734" s="740"/>
      <c r="O734" s="678"/>
    </row>
    <row r="735" spans="1:15" x14ac:dyDescent="0.25">
      <c r="A735" s="307"/>
      <c r="B735" s="663"/>
      <c r="C735" s="308"/>
      <c r="D735" s="308"/>
      <c r="E735" s="664"/>
      <c r="F735" s="664"/>
      <c r="G735" s="664"/>
      <c r="H735" s="664"/>
      <c r="I735" s="664"/>
      <c r="J735" s="664"/>
      <c r="K735" s="678"/>
      <c r="L735" s="678"/>
      <c r="M735" s="740"/>
      <c r="N735" s="740"/>
      <c r="O735" s="678"/>
    </row>
    <row r="736" spans="1:15" ht="82.8" x14ac:dyDescent="0.25">
      <c r="A736" s="307"/>
      <c r="B736" s="721" t="str">
        <f>tile!B32</f>
        <v xml:space="preserve">(FF1) 600mmx1200mm homogeneous floor tile marble floor tile  paving on 1:3 cement &amp; sand bedding with suitable adhesives and pointed with tile grout to match the tile. (Prime Cost of tile Rs.600.00 per sqft)
</v>
      </c>
      <c r="C736" s="308"/>
      <c r="D736" s="308"/>
      <c r="E736" s="664"/>
      <c r="F736" s="664"/>
      <c r="G736" s="664"/>
      <c r="H736" s="664"/>
      <c r="I736" s="664"/>
      <c r="J736" s="664"/>
      <c r="K736" s="664"/>
      <c r="L736" s="664"/>
      <c r="M736" s="739"/>
      <c r="N736" s="739"/>
      <c r="O736" s="664"/>
    </row>
    <row r="737" spans="1:15" x14ac:dyDescent="0.25">
      <c r="A737" s="307"/>
      <c r="B737" s="663" t="str">
        <f>B731</f>
        <v>In Ground floor</v>
      </c>
      <c r="C737" s="308"/>
      <c r="D737" s="308"/>
      <c r="E737" s="664">
        <v>1</v>
      </c>
      <c r="F737" s="664">
        <v>80.390961000000004</v>
      </c>
      <c r="G737" s="664"/>
      <c r="H737" s="664"/>
      <c r="I737" s="664">
        <f t="shared" ref="I737:I739" si="208">F737*E737</f>
        <v>80.390961000000004</v>
      </c>
      <c r="J737" s="664"/>
      <c r="K737" s="664"/>
      <c r="L737" s="664"/>
      <c r="M737" s="739"/>
      <c r="N737" s="739"/>
      <c r="O737" s="664"/>
    </row>
    <row r="738" spans="1:15" x14ac:dyDescent="0.25">
      <c r="A738" s="307"/>
      <c r="B738" s="308"/>
      <c r="C738" s="308"/>
      <c r="D738" s="308"/>
      <c r="E738" s="664">
        <v>1</v>
      </c>
      <c r="F738" s="664">
        <v>17.587848999999999</v>
      </c>
      <c r="G738" s="664"/>
      <c r="H738" s="664"/>
      <c r="I738" s="664">
        <f t="shared" si="208"/>
        <v>17.587848999999999</v>
      </c>
      <c r="J738" s="664"/>
      <c r="K738" s="664"/>
      <c r="L738" s="664"/>
      <c r="M738" s="739"/>
      <c r="N738" s="739"/>
      <c r="O738" s="664"/>
    </row>
    <row r="739" spans="1:15" x14ac:dyDescent="0.25">
      <c r="A739" s="307"/>
      <c r="B739" s="308"/>
      <c r="C739" s="308"/>
      <c r="D739" s="308"/>
      <c r="E739" s="664">
        <v>1</v>
      </c>
      <c r="F739" s="664">
        <v>33.391934999999997</v>
      </c>
      <c r="G739" s="664"/>
      <c r="H739" s="664"/>
      <c r="I739" s="664">
        <f t="shared" si="208"/>
        <v>33.391934999999997</v>
      </c>
      <c r="J739" s="664">
        <f>SUM(I737:I739)</f>
        <v>131.370745</v>
      </c>
      <c r="K739" s="678">
        <f>$K$2</f>
        <v>1.05</v>
      </c>
      <c r="L739" s="678">
        <f t="shared" ref="L739" si="209">K739*J739</f>
        <v>137.93928225000002</v>
      </c>
      <c r="M739" s="740">
        <f t="shared" ref="M739" si="210">ROUND(L739,1)</f>
        <v>137.9</v>
      </c>
      <c r="N739" s="740">
        <f t="shared" ref="N739" si="211">ROUNDUP(M739,0)</f>
        <v>138</v>
      </c>
      <c r="O739" s="678" t="s">
        <v>183</v>
      </c>
    </row>
    <row r="740" spans="1:15" x14ac:dyDescent="0.25">
      <c r="A740" s="307"/>
      <c r="B740" s="308"/>
      <c r="C740" s="308"/>
      <c r="D740" s="308"/>
      <c r="E740" s="664"/>
      <c r="F740" s="664"/>
      <c r="G740" s="664"/>
      <c r="H740" s="664"/>
      <c r="I740" s="664"/>
      <c r="J740" s="664"/>
      <c r="K740" s="664"/>
      <c r="L740" s="664"/>
      <c r="M740" s="739"/>
      <c r="N740" s="739"/>
      <c r="O740" s="664"/>
    </row>
    <row r="741" spans="1:15" x14ac:dyDescent="0.25">
      <c r="A741" s="307"/>
      <c r="B741" s="663" t="str">
        <f>tile!B34</f>
        <v>In First Floor</v>
      </c>
      <c r="C741" s="308"/>
      <c r="D741" s="308"/>
      <c r="E741" s="664">
        <v>1</v>
      </c>
      <c r="F741" s="664">
        <v>15.503898</v>
      </c>
      <c r="G741" s="664"/>
      <c r="H741" s="664"/>
      <c r="I741" s="664">
        <f>F741*E741</f>
        <v>15.503898</v>
      </c>
      <c r="J741" s="664">
        <f>SUM(I741)</f>
        <v>15.503898</v>
      </c>
      <c r="K741" s="678">
        <f>$K$2</f>
        <v>1.05</v>
      </c>
      <c r="L741" s="678">
        <f t="shared" ref="L741" si="212">K741*J741</f>
        <v>16.279092899999998</v>
      </c>
      <c r="M741" s="740">
        <f t="shared" ref="M741" si="213">ROUND(L741,1)</f>
        <v>16.3</v>
      </c>
      <c r="N741" s="740">
        <f t="shared" ref="N741" si="214">ROUNDUP(M741,0)</f>
        <v>17</v>
      </c>
      <c r="O741" s="678" t="s">
        <v>183</v>
      </c>
    </row>
    <row r="742" spans="1:15" x14ac:dyDescent="0.25">
      <c r="A742" s="307"/>
      <c r="B742" s="308"/>
      <c r="C742" s="308"/>
      <c r="D742" s="308"/>
      <c r="E742" s="664"/>
      <c r="F742" s="664"/>
      <c r="G742" s="664"/>
      <c r="H742" s="664"/>
      <c r="I742" s="664"/>
      <c r="J742" s="664"/>
      <c r="K742" s="664"/>
      <c r="L742" s="664"/>
      <c r="M742" s="739"/>
      <c r="N742" s="739"/>
      <c r="O742" s="664"/>
    </row>
    <row r="743" spans="1:15" x14ac:dyDescent="0.25">
      <c r="A743" s="307"/>
      <c r="B743" s="663" t="str">
        <f>tile!B35</f>
        <v>In Second Floor</v>
      </c>
      <c r="C743" s="308"/>
      <c r="D743" s="308"/>
      <c r="E743" s="664">
        <v>1</v>
      </c>
      <c r="F743" s="664">
        <v>13.486192000000001</v>
      </c>
      <c r="G743" s="664"/>
      <c r="H743" s="664"/>
      <c r="I743" s="664">
        <f>F743*E743</f>
        <v>13.486192000000001</v>
      </c>
      <c r="J743" s="664">
        <f>SUM(I743)</f>
        <v>13.486192000000001</v>
      </c>
      <c r="K743" s="678">
        <f>$K$2</f>
        <v>1.05</v>
      </c>
      <c r="L743" s="678">
        <f t="shared" ref="L743" si="215">K743*J743</f>
        <v>14.160501600000002</v>
      </c>
      <c r="M743" s="740">
        <f t="shared" ref="M743" si="216">ROUND(L743,1)</f>
        <v>14.2</v>
      </c>
      <c r="N743" s="740">
        <f t="shared" ref="N743" si="217">ROUNDUP(M743,0)</f>
        <v>15</v>
      </c>
      <c r="O743" s="678" t="s">
        <v>183</v>
      </c>
    </row>
    <row r="744" spans="1:15" x14ac:dyDescent="0.25">
      <c r="A744" s="307"/>
      <c r="B744" s="308"/>
      <c r="C744" s="308"/>
      <c r="D744" s="308"/>
      <c r="E744" s="664"/>
      <c r="F744" s="664"/>
      <c r="G744" s="664"/>
      <c r="H744" s="664"/>
      <c r="I744" s="664"/>
      <c r="J744" s="664"/>
      <c r="K744" s="664"/>
      <c r="L744" s="664"/>
      <c r="M744" s="739"/>
      <c r="N744" s="739"/>
      <c r="O744" s="664"/>
    </row>
    <row r="745" spans="1:15" ht="31.8" customHeight="1" x14ac:dyDescent="0.25">
      <c r="A745" s="307"/>
      <c r="B745" s="669" t="str">
        <f>tile!B41</f>
        <v xml:space="preserve">(FF1) Supply and laying of 4" high skirting including tile grout to match the tile of tiling 
</v>
      </c>
      <c r="C745" s="308"/>
      <c r="D745" s="308"/>
      <c r="E745" s="664"/>
      <c r="F745" s="664"/>
      <c r="G745" s="664"/>
      <c r="H745" s="664"/>
      <c r="I745" s="664"/>
      <c r="J745" s="664"/>
      <c r="K745" s="664"/>
      <c r="L745" s="664"/>
      <c r="M745" s="739"/>
      <c r="N745" s="739"/>
      <c r="O745" s="664"/>
    </row>
    <row r="746" spans="1:15" x14ac:dyDescent="0.25">
      <c r="A746" s="307"/>
      <c r="B746" s="663" t="str">
        <f>B737</f>
        <v>In Ground floor</v>
      </c>
      <c r="C746" s="308"/>
      <c r="D746" s="308"/>
      <c r="E746" s="664">
        <v>1</v>
      </c>
      <c r="F746" s="664">
        <f>62-25</f>
        <v>37</v>
      </c>
      <c r="G746" s="664"/>
      <c r="H746" s="664"/>
      <c r="I746" s="664">
        <f t="shared" ref="I746:I748" si="218">F746*E746</f>
        <v>37</v>
      </c>
      <c r="J746" s="664"/>
      <c r="K746" s="664"/>
      <c r="L746" s="664"/>
      <c r="M746" s="739"/>
      <c r="N746" s="739"/>
      <c r="O746" s="664"/>
    </row>
    <row r="747" spans="1:15" x14ac:dyDescent="0.25">
      <c r="A747" s="307"/>
      <c r="B747" s="308"/>
      <c r="C747" s="308"/>
      <c r="D747" s="308"/>
      <c r="E747" s="664">
        <v>1</v>
      </c>
      <c r="F747" s="664">
        <v>24</v>
      </c>
      <c r="G747" s="664"/>
      <c r="H747" s="664"/>
      <c r="I747" s="664">
        <f t="shared" si="218"/>
        <v>24</v>
      </c>
      <c r="J747" s="664"/>
      <c r="K747" s="664"/>
      <c r="L747" s="664"/>
      <c r="M747" s="739"/>
      <c r="N747" s="739"/>
      <c r="O747" s="664"/>
    </row>
    <row r="748" spans="1:15" x14ac:dyDescent="0.25">
      <c r="A748" s="307"/>
      <c r="B748" s="308"/>
      <c r="C748" s="308"/>
      <c r="D748" s="308"/>
      <c r="E748" s="664">
        <v>1</v>
      </c>
      <c r="F748" s="664">
        <v>17</v>
      </c>
      <c r="G748" s="664"/>
      <c r="H748" s="664"/>
      <c r="I748" s="664">
        <f t="shared" si="218"/>
        <v>17</v>
      </c>
      <c r="J748" s="664">
        <f>SUM(I746:I748)</f>
        <v>78</v>
      </c>
      <c r="K748" s="678">
        <f>$K$2</f>
        <v>1.05</v>
      </c>
      <c r="L748" s="678">
        <f t="shared" ref="L748" si="219">K748*J748</f>
        <v>81.900000000000006</v>
      </c>
      <c r="M748" s="740">
        <f t="shared" ref="M748" si="220">ROUND(L748,1)</f>
        <v>81.900000000000006</v>
      </c>
      <c r="N748" s="740">
        <f t="shared" ref="N748" si="221">ROUNDUP(M748,0)</f>
        <v>82</v>
      </c>
      <c r="O748" s="678" t="s">
        <v>19</v>
      </c>
    </row>
    <row r="749" spans="1:15" x14ac:dyDescent="0.25">
      <c r="A749" s="307"/>
      <c r="B749" s="308"/>
      <c r="C749" s="308"/>
      <c r="D749" s="308"/>
      <c r="E749" s="664"/>
      <c r="F749" s="664"/>
      <c r="G749" s="664"/>
      <c r="H749" s="664"/>
      <c r="I749" s="664"/>
      <c r="J749" s="664"/>
      <c r="K749" s="664"/>
      <c r="L749" s="664"/>
      <c r="M749" s="739"/>
      <c r="N749" s="739"/>
      <c r="O749" s="664"/>
    </row>
    <row r="750" spans="1:15" x14ac:dyDescent="0.25">
      <c r="A750" s="307"/>
      <c r="B750" s="663" t="str">
        <f>B741</f>
        <v>In First Floor</v>
      </c>
      <c r="C750" s="308"/>
      <c r="D750" s="308"/>
      <c r="E750" s="664">
        <v>1</v>
      </c>
      <c r="F750" s="664">
        <v>19.914999999999999</v>
      </c>
      <c r="G750" s="664"/>
      <c r="H750" s="664"/>
      <c r="I750" s="664">
        <f t="shared" ref="I750:I751" si="222">F750*E750</f>
        <v>19.914999999999999</v>
      </c>
      <c r="J750" s="664"/>
      <c r="K750" s="664"/>
      <c r="L750" s="664"/>
      <c r="M750" s="739"/>
      <c r="N750" s="739"/>
      <c r="O750" s="664"/>
    </row>
    <row r="751" spans="1:15" x14ac:dyDescent="0.25">
      <c r="A751" s="307"/>
      <c r="B751" s="308"/>
      <c r="C751" s="308"/>
      <c r="D751" s="308"/>
      <c r="E751" s="664">
        <v>-1</v>
      </c>
      <c r="F751" s="664">
        <v>1.5</v>
      </c>
      <c r="G751" s="664"/>
      <c r="H751" s="664"/>
      <c r="I751" s="664">
        <f t="shared" si="222"/>
        <v>-1.5</v>
      </c>
      <c r="J751" s="664">
        <f>SUM(I750:I751)</f>
        <v>18.414999999999999</v>
      </c>
      <c r="K751" s="678">
        <f>$K$2</f>
        <v>1.05</v>
      </c>
      <c r="L751" s="678">
        <f t="shared" ref="L751" si="223">K751*J751</f>
        <v>19.335750000000001</v>
      </c>
      <c r="M751" s="740">
        <f t="shared" ref="M751" si="224">ROUND(L751,1)</f>
        <v>19.3</v>
      </c>
      <c r="N751" s="740">
        <f t="shared" ref="N751" si="225">ROUNDUP(M751,0)</f>
        <v>20</v>
      </c>
      <c r="O751" s="678" t="s">
        <v>19</v>
      </c>
    </row>
    <row r="752" spans="1:15" x14ac:dyDescent="0.25">
      <c r="A752" s="307"/>
      <c r="B752" s="308"/>
      <c r="C752" s="308"/>
      <c r="D752" s="308"/>
      <c r="E752" s="664"/>
      <c r="F752" s="664"/>
      <c r="G752" s="664"/>
      <c r="H752" s="664"/>
      <c r="I752" s="664"/>
      <c r="J752" s="664"/>
      <c r="K752" s="664"/>
      <c r="L752" s="664"/>
      <c r="M752" s="739"/>
      <c r="N752" s="739"/>
      <c r="O752" s="664"/>
    </row>
    <row r="753" spans="1:15" x14ac:dyDescent="0.25">
      <c r="A753" s="307"/>
      <c r="B753" s="663" t="str">
        <f>B743</f>
        <v>In Second Floor</v>
      </c>
      <c r="C753" s="308"/>
      <c r="D753" s="308"/>
      <c r="E753" s="664">
        <v>1</v>
      </c>
      <c r="F753" s="664">
        <v>22.914999999999999</v>
      </c>
      <c r="G753" s="664"/>
      <c r="H753" s="664"/>
      <c r="I753" s="664">
        <f t="shared" ref="I753:I757" si="226">F753*E753</f>
        <v>22.914999999999999</v>
      </c>
      <c r="J753" s="664"/>
      <c r="K753" s="664"/>
      <c r="L753" s="664"/>
      <c r="M753" s="739"/>
      <c r="N753" s="739"/>
      <c r="O753" s="664"/>
    </row>
    <row r="754" spans="1:15" x14ac:dyDescent="0.25">
      <c r="A754" s="307"/>
      <c r="B754" s="308"/>
      <c r="C754" s="308"/>
      <c r="D754" s="308"/>
      <c r="E754" s="664">
        <v>-1</v>
      </c>
      <c r="F754" s="664">
        <v>0.75</v>
      </c>
      <c r="G754" s="664"/>
      <c r="H754" s="664"/>
      <c r="I754" s="664">
        <f t="shared" si="226"/>
        <v>-0.75</v>
      </c>
      <c r="J754" s="664"/>
      <c r="K754" s="664"/>
      <c r="L754" s="664"/>
      <c r="M754" s="739"/>
      <c r="N754" s="739"/>
      <c r="O754" s="664"/>
    </row>
    <row r="755" spans="1:15" x14ac:dyDescent="0.25">
      <c r="A755" s="307"/>
      <c r="B755" s="308"/>
      <c r="C755" s="308"/>
      <c r="D755" s="308"/>
      <c r="E755" s="664">
        <v>-1</v>
      </c>
      <c r="F755" s="664">
        <v>1.02</v>
      </c>
      <c r="G755" s="664"/>
      <c r="H755" s="664"/>
      <c r="I755" s="664">
        <f t="shared" si="226"/>
        <v>-1.02</v>
      </c>
      <c r="J755" s="664"/>
      <c r="K755" s="664"/>
      <c r="L755" s="664"/>
      <c r="M755" s="739"/>
      <c r="N755" s="739"/>
      <c r="O755" s="664"/>
    </row>
    <row r="756" spans="1:15" x14ac:dyDescent="0.25">
      <c r="A756" s="307"/>
      <c r="B756" s="308"/>
      <c r="C756" s="308"/>
      <c r="D756" s="308"/>
      <c r="E756" s="664">
        <v>-1</v>
      </c>
      <c r="F756" s="664">
        <v>1.4</v>
      </c>
      <c r="G756" s="664"/>
      <c r="H756" s="664"/>
      <c r="I756" s="664">
        <f t="shared" si="226"/>
        <v>-1.4</v>
      </c>
      <c r="J756" s="664"/>
      <c r="K756" s="664"/>
      <c r="L756" s="664"/>
      <c r="M756" s="739"/>
      <c r="N756" s="739"/>
      <c r="O756" s="664"/>
    </row>
    <row r="757" spans="1:15" x14ac:dyDescent="0.25">
      <c r="A757" s="307"/>
      <c r="B757" s="308"/>
      <c r="C757" s="308"/>
      <c r="D757" s="308"/>
      <c r="E757" s="664">
        <v>-1</v>
      </c>
      <c r="F757" s="664">
        <v>2.0249999999999999</v>
      </c>
      <c r="G757" s="664"/>
      <c r="H757" s="664"/>
      <c r="I757" s="664">
        <f t="shared" si="226"/>
        <v>-2.0249999999999999</v>
      </c>
      <c r="J757" s="664">
        <f>SUM(I753:I757)</f>
        <v>17.720000000000002</v>
      </c>
      <c r="K757" s="678">
        <f>$K$2</f>
        <v>1.05</v>
      </c>
      <c r="L757" s="678">
        <f t="shared" ref="L757" si="227">K757*J757</f>
        <v>18.606000000000002</v>
      </c>
      <c r="M757" s="740">
        <f t="shared" ref="M757" si="228">ROUND(L757,1)</f>
        <v>18.600000000000001</v>
      </c>
      <c r="N757" s="740">
        <f t="shared" ref="N757" si="229">ROUNDUP(M757,0)</f>
        <v>19</v>
      </c>
      <c r="O757" s="678" t="s">
        <v>19</v>
      </c>
    </row>
    <row r="758" spans="1:15" x14ac:dyDescent="0.25">
      <c r="A758" s="307"/>
      <c r="B758" s="308"/>
      <c r="C758" s="308"/>
      <c r="D758" s="308"/>
      <c r="E758" s="664"/>
      <c r="F758" s="664"/>
      <c r="G758" s="664"/>
      <c r="H758" s="664"/>
      <c r="I758" s="664"/>
      <c r="J758" s="664"/>
      <c r="K758" s="664"/>
      <c r="L758" s="664"/>
      <c r="M758" s="739"/>
      <c r="N758" s="739"/>
      <c r="O758" s="664"/>
    </row>
    <row r="759" spans="1:15" ht="82.8" x14ac:dyDescent="0.25">
      <c r="A759" s="307"/>
      <c r="B759" s="721" t="str">
        <f>tile!B46</f>
        <v xml:space="preserve">(FF2) 900mm x 900mm homogeneous floor tile  full body matt floor tile paving on 1:3 cement &amp; sand bedding with suitable adhesives and pointed with tile grout to match the tile. (Prime Cost of tile Rs.600.00 per sqft)
</v>
      </c>
      <c r="C759" s="308"/>
      <c r="D759" s="308"/>
      <c r="E759" s="664"/>
      <c r="F759" s="664"/>
      <c r="G759" s="664"/>
      <c r="H759" s="664"/>
      <c r="I759" s="664"/>
      <c r="J759" s="664"/>
      <c r="K759" s="664"/>
      <c r="L759" s="664"/>
      <c r="M759" s="739"/>
      <c r="N759" s="739"/>
      <c r="O759" s="664"/>
    </row>
    <row r="760" spans="1:15" x14ac:dyDescent="0.25">
      <c r="A760" s="307"/>
      <c r="B760" s="663" t="str">
        <f>B746</f>
        <v>In Ground floor</v>
      </c>
      <c r="C760" s="308"/>
      <c r="D760" s="308"/>
      <c r="E760" s="664">
        <v>1</v>
      </c>
      <c r="F760" s="664">
        <f>31.277081+11.539772</f>
        <v>42.816852999999995</v>
      </c>
      <c r="G760" s="664"/>
      <c r="H760" s="664"/>
      <c r="I760" s="664">
        <f t="shared" ref="I760" si="230">F760*E760</f>
        <v>42.816852999999995</v>
      </c>
      <c r="J760" s="664">
        <f>SUM(I760)</f>
        <v>42.816852999999995</v>
      </c>
      <c r="K760" s="678">
        <f>$K$2</f>
        <v>1.05</v>
      </c>
      <c r="L760" s="678">
        <f t="shared" ref="L760" si="231">K760*J760</f>
        <v>44.957695649999998</v>
      </c>
      <c r="M760" s="740">
        <f t="shared" ref="M760" si="232">ROUND(L760,1)</f>
        <v>45</v>
      </c>
      <c r="N760" s="740">
        <f t="shared" ref="N760" si="233">ROUNDUP(M760,0)</f>
        <v>45</v>
      </c>
      <c r="O760" s="678" t="s">
        <v>183</v>
      </c>
    </row>
    <row r="761" spans="1:15" x14ac:dyDescent="0.25">
      <c r="A761" s="307"/>
      <c r="B761" s="308"/>
      <c r="C761" s="308"/>
      <c r="D761" s="308"/>
      <c r="E761" s="664"/>
      <c r="F761" s="664"/>
      <c r="G761" s="664"/>
      <c r="H761" s="664"/>
      <c r="I761" s="664"/>
      <c r="J761" s="664"/>
      <c r="K761" s="664"/>
      <c r="L761" s="664"/>
      <c r="M761" s="739"/>
      <c r="N761" s="739"/>
      <c r="O761" s="664"/>
    </row>
    <row r="762" spans="1:15" ht="29.4" customHeight="1" x14ac:dyDescent="0.25">
      <c r="A762" s="307"/>
      <c r="B762" s="669" t="str">
        <f>tile!B49</f>
        <v xml:space="preserve">(FF2) Supply and laying of 4" high skirting including tile grout to match the tile of tiling 
</v>
      </c>
      <c r="C762" s="308"/>
      <c r="D762" s="308"/>
      <c r="E762" s="664"/>
      <c r="F762" s="664"/>
      <c r="G762" s="664"/>
      <c r="H762" s="664"/>
      <c r="I762" s="664"/>
      <c r="J762" s="664"/>
      <c r="K762" s="664"/>
      <c r="L762" s="664"/>
      <c r="M762" s="739"/>
      <c r="N762" s="739"/>
      <c r="O762" s="664"/>
    </row>
    <row r="763" spans="1:15" x14ac:dyDescent="0.25">
      <c r="A763" s="307"/>
      <c r="B763" s="663" t="str">
        <f>B760</f>
        <v>In Ground floor</v>
      </c>
      <c r="C763" s="308"/>
      <c r="D763" s="308"/>
      <c r="E763" s="664">
        <v>1</v>
      </c>
      <c r="F763" s="664">
        <f>5.6+4</f>
        <v>9.6</v>
      </c>
      <c r="G763" s="664"/>
      <c r="H763" s="664"/>
      <c r="I763" s="664">
        <f t="shared" ref="I763" si="234">F763*E763</f>
        <v>9.6</v>
      </c>
      <c r="J763" s="664">
        <f>SUM(I763)</f>
        <v>9.6</v>
      </c>
      <c r="K763" s="678">
        <f>$K$2</f>
        <v>1.05</v>
      </c>
      <c r="L763" s="678">
        <f t="shared" ref="L763" si="235">K763*J763</f>
        <v>10.08</v>
      </c>
      <c r="M763" s="740">
        <f t="shared" ref="M763" si="236">ROUND(L763,1)</f>
        <v>10.1</v>
      </c>
      <c r="N763" s="740">
        <f t="shared" ref="N763" si="237">ROUNDUP(M763,0)</f>
        <v>11</v>
      </c>
      <c r="O763" s="678" t="s">
        <v>19</v>
      </c>
    </row>
    <row r="764" spans="1:15" x14ac:dyDescent="0.25">
      <c r="A764" s="307"/>
      <c r="B764" s="308"/>
      <c r="C764" s="308"/>
      <c r="D764" s="308"/>
      <c r="E764" s="664"/>
      <c r="F764" s="664"/>
      <c r="G764" s="664"/>
      <c r="H764" s="664"/>
      <c r="I764" s="664"/>
      <c r="J764" s="664"/>
      <c r="K764" s="664"/>
      <c r="L764" s="664"/>
      <c r="M764" s="739"/>
      <c r="N764" s="739"/>
      <c r="O764" s="664"/>
    </row>
    <row r="765" spans="1:15" ht="69" customHeight="1" x14ac:dyDescent="0.25">
      <c r="A765" s="307"/>
      <c r="B765" s="669" t="str">
        <f>tile!B52</f>
        <v xml:space="preserve">(FF3) 600mm x 600mm homogeneous floor tile  Full Body Semi Matt Floor tile ( Type 01 ) paving on 1:3 cement &amp; sand bedding with suitable adhesives and pointed with tile grout to match the tile. (Prime Cost of tile Rs.600.00 per sqft)
</v>
      </c>
      <c r="C765" s="308"/>
      <c r="D765" s="308"/>
      <c r="E765" s="664"/>
      <c r="F765" s="664"/>
      <c r="G765" s="664"/>
      <c r="H765" s="664"/>
      <c r="I765" s="664"/>
      <c r="J765" s="664"/>
      <c r="K765" s="664"/>
      <c r="L765" s="664"/>
      <c r="M765" s="739"/>
      <c r="N765" s="739"/>
      <c r="O765" s="664"/>
    </row>
    <row r="766" spans="1:15" x14ac:dyDescent="0.25">
      <c r="A766" s="307"/>
      <c r="B766" s="663" t="str">
        <f>B753</f>
        <v>In Second Floor</v>
      </c>
      <c r="C766" s="308"/>
      <c r="D766" s="308"/>
      <c r="E766" s="664">
        <v>1</v>
      </c>
      <c r="F766" s="664">
        <v>18.474807999999999</v>
      </c>
      <c r="G766" s="664"/>
      <c r="H766" s="664"/>
      <c r="I766" s="664">
        <f t="shared" ref="I766" si="238">F766*E766</f>
        <v>18.474807999999999</v>
      </c>
      <c r="J766" s="664">
        <f>SUM(I766)</f>
        <v>18.474807999999999</v>
      </c>
      <c r="K766" s="678">
        <f>$K$2</f>
        <v>1.05</v>
      </c>
      <c r="L766" s="678">
        <f t="shared" ref="L766" si="239">K766*J766</f>
        <v>19.398548399999999</v>
      </c>
      <c r="M766" s="740">
        <f t="shared" ref="M766" si="240">ROUND(L766,1)</f>
        <v>19.399999999999999</v>
      </c>
      <c r="N766" s="740">
        <f t="shared" ref="N766" si="241">ROUNDUP(M766,0)</f>
        <v>20</v>
      </c>
      <c r="O766" s="678" t="s">
        <v>183</v>
      </c>
    </row>
    <row r="767" spans="1:15" x14ac:dyDescent="0.25">
      <c r="A767" s="307"/>
      <c r="B767" s="308"/>
      <c r="C767" s="308"/>
      <c r="D767" s="308"/>
      <c r="E767" s="664"/>
      <c r="F767" s="664"/>
      <c r="G767" s="664"/>
      <c r="H767" s="664"/>
      <c r="I767" s="664"/>
      <c r="J767" s="664"/>
      <c r="K767" s="664"/>
      <c r="L767" s="664"/>
      <c r="M767" s="739"/>
      <c r="N767" s="739"/>
      <c r="O767" s="664"/>
    </row>
    <row r="768" spans="1:15" ht="27.6" x14ac:dyDescent="0.25">
      <c r="A768" s="307"/>
      <c r="B768" s="721" t="str">
        <f>tile!B55</f>
        <v xml:space="preserve">(FF3) Supply and laying of 4" high skirting including tile grout to match the tile of tiling </v>
      </c>
      <c r="C768" s="308"/>
      <c r="D768" s="308"/>
      <c r="E768" s="664"/>
      <c r="F768" s="664"/>
      <c r="G768" s="664"/>
      <c r="H768" s="664"/>
      <c r="I768" s="664"/>
      <c r="J768" s="664"/>
      <c r="K768" s="664"/>
      <c r="L768" s="664"/>
      <c r="M768" s="739"/>
      <c r="N768" s="739"/>
      <c r="O768" s="664"/>
    </row>
    <row r="769" spans="1:15" x14ac:dyDescent="0.25">
      <c r="A769" s="307"/>
      <c r="B769" s="663" t="str">
        <f>B766</f>
        <v>In Second Floor</v>
      </c>
      <c r="C769" s="308"/>
      <c r="D769" s="308"/>
      <c r="E769" s="664">
        <v>1</v>
      </c>
      <c r="F769" s="664">
        <v>16</v>
      </c>
      <c r="G769" s="664"/>
      <c r="H769" s="664"/>
      <c r="I769" s="664">
        <f t="shared" ref="I769" si="242">F769*E769</f>
        <v>16</v>
      </c>
      <c r="J769" s="664">
        <f>SUM(I769)</f>
        <v>16</v>
      </c>
      <c r="K769" s="678">
        <f>$K$2</f>
        <v>1.05</v>
      </c>
      <c r="L769" s="678">
        <f t="shared" ref="L769" si="243">K769*J769</f>
        <v>16.8</v>
      </c>
      <c r="M769" s="740">
        <f t="shared" ref="M769" si="244">ROUND(L769,1)</f>
        <v>16.8</v>
      </c>
      <c r="N769" s="740">
        <f t="shared" ref="N769" si="245">ROUNDUP(M769,0)</f>
        <v>17</v>
      </c>
      <c r="O769" s="678" t="s">
        <v>19</v>
      </c>
    </row>
    <row r="770" spans="1:15" x14ac:dyDescent="0.25">
      <c r="A770" s="307"/>
      <c r="B770" s="308"/>
      <c r="C770" s="308"/>
      <c r="D770" s="308"/>
      <c r="E770" s="664"/>
      <c r="F770" s="664"/>
      <c r="G770" s="664"/>
      <c r="H770" s="664"/>
      <c r="I770" s="664"/>
      <c r="J770" s="664"/>
      <c r="K770" s="664"/>
      <c r="L770" s="664"/>
      <c r="M770" s="739"/>
      <c r="N770" s="739"/>
      <c r="O770" s="664"/>
    </row>
    <row r="771" spans="1:15" ht="82.8" x14ac:dyDescent="0.25">
      <c r="A771" s="307"/>
      <c r="B771" s="721" t="str">
        <f>tile!B58</f>
        <v xml:space="preserve">(FF4) 600mm x 600mm homogeneous floor tile  Full Body Semi Matt Floor Tile ( Type 02 ) paving on 1:3 cement &amp; sand bedding with suitable adhesives and pointed with tile grout to match the tile. (Prime Cost of tile Rs.600.00 per sqft)
</v>
      </c>
      <c r="C771" s="308"/>
      <c r="D771" s="308"/>
      <c r="E771" s="664"/>
      <c r="F771" s="664"/>
      <c r="G771" s="664"/>
      <c r="H771" s="664"/>
      <c r="I771" s="664"/>
      <c r="J771" s="664"/>
      <c r="K771" s="664"/>
      <c r="L771" s="664"/>
      <c r="M771" s="739"/>
      <c r="N771" s="739"/>
      <c r="O771" s="664"/>
    </row>
    <row r="772" spans="1:15" x14ac:dyDescent="0.25">
      <c r="A772" s="307"/>
      <c r="B772" s="663" t="str">
        <f>tile!B59</f>
        <v xml:space="preserve">In Ground Floor </v>
      </c>
      <c r="C772" s="308"/>
      <c r="D772" s="308"/>
      <c r="E772" s="664">
        <v>1</v>
      </c>
      <c r="F772" s="664">
        <v>9.5163200000000003</v>
      </c>
      <c r="G772" s="664"/>
      <c r="H772" s="664"/>
      <c r="I772" s="664">
        <f t="shared" ref="I772:I773" si="246">F772*E772</f>
        <v>9.5163200000000003</v>
      </c>
      <c r="J772" s="664"/>
      <c r="K772" s="664"/>
      <c r="L772" s="664"/>
      <c r="M772" s="739"/>
      <c r="N772" s="739"/>
      <c r="O772" s="664"/>
    </row>
    <row r="773" spans="1:15" x14ac:dyDescent="0.25">
      <c r="A773" s="307"/>
      <c r="B773" s="308"/>
      <c r="C773" s="308"/>
      <c r="D773" s="308"/>
      <c r="E773" s="664">
        <v>1</v>
      </c>
      <c r="F773" s="664">
        <v>7.1476920000000002</v>
      </c>
      <c r="G773" s="664"/>
      <c r="H773" s="664"/>
      <c r="I773" s="664">
        <f t="shared" si="246"/>
        <v>7.1476920000000002</v>
      </c>
      <c r="J773" s="664">
        <f>SUM(I772:I773)</f>
        <v>16.664012</v>
      </c>
      <c r="K773" s="678">
        <f>$K$2</f>
        <v>1.05</v>
      </c>
      <c r="L773" s="678">
        <f t="shared" ref="L773" si="247">K773*J773</f>
        <v>17.497212600000001</v>
      </c>
      <c r="M773" s="740">
        <f t="shared" ref="M773" si="248">ROUND(L773,1)</f>
        <v>17.5</v>
      </c>
      <c r="N773" s="740">
        <f t="shared" ref="N773" si="249">ROUNDUP(M773,0)</f>
        <v>18</v>
      </c>
      <c r="O773" s="678" t="s">
        <v>183</v>
      </c>
    </row>
    <row r="774" spans="1:15" x14ac:dyDescent="0.25">
      <c r="A774" s="307"/>
      <c r="B774" s="308"/>
      <c r="C774" s="308"/>
      <c r="D774" s="308"/>
      <c r="E774" s="664"/>
      <c r="F774" s="664"/>
      <c r="G774" s="664"/>
      <c r="H774" s="664"/>
      <c r="I774" s="664"/>
      <c r="J774" s="664"/>
      <c r="K774" s="664"/>
      <c r="L774" s="664"/>
      <c r="M774" s="739"/>
      <c r="N774" s="739"/>
      <c r="O774" s="664"/>
    </row>
    <row r="775" spans="1:15" x14ac:dyDescent="0.25">
      <c r="A775" s="307"/>
      <c r="B775" s="663" t="str">
        <f>B750</f>
        <v>In First Floor</v>
      </c>
      <c r="C775" s="308"/>
      <c r="D775" s="308"/>
      <c r="E775" s="664">
        <v>1</v>
      </c>
      <c r="F775" s="664">
        <v>9.5163200000000003</v>
      </c>
      <c r="G775" s="664"/>
      <c r="H775" s="664"/>
      <c r="I775" s="664">
        <f t="shared" ref="I775:I776" si="250">F775*E775</f>
        <v>9.5163200000000003</v>
      </c>
      <c r="J775" s="664"/>
      <c r="K775" s="664"/>
      <c r="L775" s="664"/>
      <c r="M775" s="739"/>
      <c r="N775" s="739"/>
      <c r="O775" s="664"/>
    </row>
    <row r="776" spans="1:15" x14ac:dyDescent="0.25">
      <c r="A776" s="307"/>
      <c r="B776" s="308"/>
      <c r="C776" s="308"/>
      <c r="D776" s="308"/>
      <c r="E776" s="664">
        <v>1</v>
      </c>
      <c r="F776" s="664">
        <v>4.8957550000000003</v>
      </c>
      <c r="G776" s="664"/>
      <c r="H776" s="664"/>
      <c r="I776" s="664">
        <f t="shared" si="250"/>
        <v>4.8957550000000003</v>
      </c>
      <c r="J776" s="664">
        <f>SUM(I775:I776)</f>
        <v>14.412075000000002</v>
      </c>
      <c r="K776" s="678">
        <f>$K$2</f>
        <v>1.05</v>
      </c>
      <c r="L776" s="678">
        <f t="shared" ref="L776" si="251">K776*J776</f>
        <v>15.132678750000002</v>
      </c>
      <c r="M776" s="740">
        <f t="shared" ref="M776" si="252">ROUND(L776,1)</f>
        <v>15.1</v>
      </c>
      <c r="N776" s="740">
        <f t="shared" ref="N776" si="253">ROUNDUP(M776,0)</f>
        <v>16</v>
      </c>
      <c r="O776" s="678" t="s">
        <v>183</v>
      </c>
    </row>
    <row r="777" spans="1:15" x14ac:dyDescent="0.25">
      <c r="A777" s="307"/>
      <c r="B777" s="308"/>
      <c r="C777" s="308"/>
      <c r="D777" s="308"/>
      <c r="E777" s="664"/>
      <c r="F777" s="664"/>
      <c r="G777" s="664"/>
      <c r="H777" s="664"/>
      <c r="I777" s="664"/>
      <c r="J777" s="664"/>
      <c r="K777" s="664"/>
      <c r="L777" s="664"/>
      <c r="M777" s="739"/>
      <c r="N777" s="739"/>
      <c r="O777" s="664"/>
    </row>
    <row r="778" spans="1:15" ht="82.8" x14ac:dyDescent="0.25">
      <c r="A778" s="307"/>
      <c r="B778" s="721" t="str">
        <f>tile!B66</f>
        <v xml:space="preserve">(FF5) 300mm x 300mm homogeneous floor tile  Full Body Semi Matt Floor Tile ( Type 03 ) paving on 1:3 cement &amp; sand bedding with suitable adhesives and pointed with tile grout to match the tile. (Prime Cost of tile Rs.600.00 per sqft)
</v>
      </c>
      <c r="C778" s="308"/>
      <c r="D778" s="308"/>
      <c r="E778" s="664"/>
      <c r="F778" s="664"/>
      <c r="G778" s="664"/>
      <c r="H778" s="664"/>
      <c r="I778" s="664"/>
      <c r="J778" s="664"/>
      <c r="K778" s="664"/>
      <c r="L778" s="664"/>
      <c r="M778" s="739"/>
      <c r="N778" s="739"/>
      <c r="O778" s="664"/>
    </row>
    <row r="779" spans="1:15" x14ac:dyDescent="0.25">
      <c r="A779" s="307"/>
      <c r="B779" s="663" t="str">
        <f>tile!B67</f>
        <v>In Second Floor</v>
      </c>
      <c r="C779" s="308"/>
      <c r="D779" s="308"/>
      <c r="E779" s="664">
        <v>1</v>
      </c>
      <c r="F779" s="664">
        <v>16.584007</v>
      </c>
      <c r="G779" s="664"/>
      <c r="H779" s="664"/>
      <c r="I779" s="664">
        <f t="shared" ref="I779" si="254">F779*E779</f>
        <v>16.584007</v>
      </c>
      <c r="J779" s="664">
        <f>SUM(I779)</f>
        <v>16.584007</v>
      </c>
      <c r="K779" s="678">
        <f>$K$2</f>
        <v>1.05</v>
      </c>
      <c r="L779" s="678">
        <f t="shared" ref="L779" si="255">K779*J779</f>
        <v>17.41320735</v>
      </c>
      <c r="M779" s="740">
        <f t="shared" ref="M779" si="256">ROUND(L779,1)</f>
        <v>17.399999999999999</v>
      </c>
      <c r="N779" s="740">
        <f t="shared" ref="N779" si="257">ROUNDUP(M779,0)</f>
        <v>18</v>
      </c>
      <c r="O779" s="678" t="s">
        <v>183</v>
      </c>
    </row>
    <row r="780" spans="1:15" x14ac:dyDescent="0.25">
      <c r="A780" s="307"/>
      <c r="B780" s="308"/>
      <c r="C780" s="308"/>
      <c r="D780" s="308"/>
      <c r="E780" s="664"/>
      <c r="F780" s="664"/>
      <c r="G780" s="664"/>
      <c r="H780" s="664"/>
      <c r="I780" s="664"/>
      <c r="J780" s="664"/>
      <c r="K780" s="664"/>
      <c r="L780" s="664"/>
      <c r="M780" s="739"/>
      <c r="N780" s="739"/>
      <c r="O780" s="664"/>
    </row>
    <row r="781" spans="1:15" x14ac:dyDescent="0.25">
      <c r="A781" s="307"/>
      <c r="B781" s="308"/>
      <c r="C781" s="308"/>
      <c r="D781" s="308"/>
      <c r="E781" s="664"/>
      <c r="F781" s="664"/>
      <c r="G781" s="664"/>
      <c r="H781" s="664"/>
      <c r="I781" s="664"/>
      <c r="J781" s="664"/>
      <c r="K781" s="664"/>
      <c r="L781" s="664"/>
      <c r="M781" s="739"/>
      <c r="N781" s="739"/>
      <c r="O781" s="664"/>
    </row>
    <row r="782" spans="1:15" ht="41.4" x14ac:dyDescent="0.25">
      <c r="A782" s="307"/>
      <c r="B782" s="721" t="str">
        <f>tile!B79</f>
        <v>(FF7) Solid Timber flooring non slip floor with timber grout to match the tile. (Prime Cost of tile Rs.3,600.00 per sqft)</v>
      </c>
      <c r="C782" s="308"/>
      <c r="D782" s="308"/>
      <c r="E782" s="664"/>
      <c r="F782" s="664"/>
      <c r="G782" s="664"/>
      <c r="H782" s="664"/>
      <c r="I782" s="664"/>
      <c r="J782" s="664"/>
      <c r="K782" s="664"/>
      <c r="L782" s="664"/>
      <c r="M782" s="739"/>
      <c r="N782" s="739"/>
      <c r="O782" s="664"/>
    </row>
    <row r="783" spans="1:15" x14ac:dyDescent="0.25">
      <c r="A783" s="307"/>
      <c r="B783" s="663" t="str">
        <f>tile!B80</f>
        <v>In First floor</v>
      </c>
      <c r="C783" s="308"/>
      <c r="D783" s="308"/>
      <c r="E783" s="664">
        <v>1</v>
      </c>
      <c r="F783" s="664">
        <v>32.133096999999999</v>
      </c>
      <c r="G783" s="664"/>
      <c r="H783" s="664"/>
      <c r="I783" s="664">
        <f t="shared" ref="I783:I785" si="258">F783*E783</f>
        <v>32.133096999999999</v>
      </c>
      <c r="J783" s="664"/>
      <c r="K783" s="664"/>
      <c r="L783" s="664"/>
      <c r="M783" s="739"/>
      <c r="N783" s="739"/>
      <c r="O783" s="664"/>
    </row>
    <row r="784" spans="1:15" x14ac:dyDescent="0.25">
      <c r="A784" s="307"/>
      <c r="B784" s="308"/>
      <c r="C784" s="308"/>
      <c r="D784" s="308"/>
      <c r="E784" s="664">
        <v>1</v>
      </c>
      <c r="F784" s="664">
        <v>21.213736000000001</v>
      </c>
      <c r="G784" s="664"/>
      <c r="H784" s="664"/>
      <c r="I784" s="664">
        <f t="shared" si="258"/>
        <v>21.213736000000001</v>
      </c>
      <c r="J784" s="664"/>
      <c r="K784" s="664"/>
      <c r="L784" s="664"/>
      <c r="M784" s="739"/>
      <c r="N784" s="739"/>
      <c r="O784" s="664"/>
    </row>
    <row r="785" spans="1:15" x14ac:dyDescent="0.25">
      <c r="A785" s="307"/>
      <c r="B785" s="308"/>
      <c r="C785" s="308"/>
      <c r="D785" s="308"/>
      <c r="E785" s="664">
        <v>1</v>
      </c>
      <c r="F785" s="664">
        <v>17.307731</v>
      </c>
      <c r="G785" s="664"/>
      <c r="H785" s="664"/>
      <c r="I785" s="664">
        <f t="shared" si="258"/>
        <v>17.307731</v>
      </c>
      <c r="J785" s="664">
        <f>SUM(I783:I785)</f>
        <v>70.654564000000008</v>
      </c>
      <c r="K785" s="678">
        <f>$K$2</f>
        <v>1.05</v>
      </c>
      <c r="L785" s="678">
        <f t="shared" ref="L785" si="259">K785*J785</f>
        <v>74.187292200000016</v>
      </c>
      <c r="M785" s="740">
        <f t="shared" ref="M785" si="260">ROUND(L785,1)</f>
        <v>74.2</v>
      </c>
      <c r="N785" s="740">
        <f t="shared" ref="N785" si="261">ROUNDUP(M785,0)</f>
        <v>75</v>
      </c>
      <c r="O785" s="678" t="s">
        <v>183</v>
      </c>
    </row>
    <row r="786" spans="1:15" x14ac:dyDescent="0.25">
      <c r="A786" s="307"/>
      <c r="B786" s="308"/>
      <c r="C786" s="308"/>
      <c r="D786" s="308"/>
      <c r="E786" s="664"/>
      <c r="F786" s="664"/>
      <c r="G786" s="664"/>
      <c r="H786" s="664"/>
      <c r="I786" s="664"/>
      <c r="J786" s="664"/>
      <c r="K786" s="664"/>
      <c r="L786" s="664"/>
      <c r="M786" s="739"/>
      <c r="N786" s="739"/>
      <c r="O786" s="664"/>
    </row>
    <row r="787" spans="1:15" ht="55.2" x14ac:dyDescent="0.25">
      <c r="A787" s="307"/>
      <c r="B787" s="721" t="str">
        <f>tile!B85</f>
        <v xml:space="preserve">(FF9) Supply and laying Heavy used floor carpet as per the architects direction and specification.. . (Prime Cost of tile Rs.2,100.00 per sqft)
</v>
      </c>
      <c r="C787" s="308"/>
      <c r="D787" s="308"/>
      <c r="E787" s="664"/>
      <c r="F787" s="664"/>
      <c r="G787" s="664"/>
      <c r="H787" s="664"/>
      <c r="I787" s="664"/>
      <c r="J787" s="664"/>
      <c r="K787" s="664"/>
      <c r="L787" s="664"/>
      <c r="M787" s="739"/>
      <c r="N787" s="739"/>
      <c r="O787" s="664"/>
    </row>
    <row r="788" spans="1:15" x14ac:dyDescent="0.25">
      <c r="A788" s="307"/>
      <c r="B788" s="663" t="str">
        <f>B779</f>
        <v>In Second Floor</v>
      </c>
      <c r="C788" s="308"/>
      <c r="D788" s="308"/>
      <c r="E788" s="664">
        <v>1</v>
      </c>
      <c r="F788" s="664">
        <v>53.941139999999997</v>
      </c>
      <c r="G788" s="664"/>
      <c r="H788" s="664"/>
      <c r="I788" s="664">
        <f t="shared" ref="I788" si="262">F788*E788</f>
        <v>53.941139999999997</v>
      </c>
      <c r="J788" s="664">
        <f>SUM(I788)</f>
        <v>53.941139999999997</v>
      </c>
      <c r="K788" s="678">
        <f>$K$2</f>
        <v>1.05</v>
      </c>
      <c r="L788" s="678">
        <f t="shared" ref="L788" si="263">K788*J788</f>
        <v>56.638196999999998</v>
      </c>
      <c r="M788" s="740">
        <f t="shared" ref="M788" si="264">ROUND(L788,1)</f>
        <v>56.6</v>
      </c>
      <c r="N788" s="740">
        <f t="shared" ref="N788" si="265">ROUNDUP(M788,0)</f>
        <v>57</v>
      </c>
      <c r="O788" s="678" t="s">
        <v>183</v>
      </c>
    </row>
    <row r="789" spans="1:15" x14ac:dyDescent="0.25">
      <c r="A789" s="307"/>
      <c r="B789" s="308"/>
      <c r="C789" s="308"/>
      <c r="D789" s="308"/>
      <c r="E789" s="664"/>
      <c r="F789" s="664"/>
      <c r="G789" s="664"/>
      <c r="H789" s="664"/>
      <c r="I789" s="664"/>
      <c r="J789" s="664"/>
      <c r="K789" s="664"/>
      <c r="L789" s="664"/>
      <c r="M789" s="739"/>
      <c r="N789" s="739"/>
      <c r="O789" s="664"/>
    </row>
    <row r="790" spans="1:15" ht="82.8" x14ac:dyDescent="0.25">
      <c r="A790" s="307"/>
      <c r="B790" s="721" t="str">
        <f>tile!B88</f>
        <v xml:space="preserve">(FF10) 600mmx600mm(600 x 600)mm Full Body Non - Slip Floor Tile ( For Balcony ) paving on 1:3 cement &amp; sand bedding with suitable adhesives and pointed with tile grout to match the tile. (Prime Cost of tile Rs.600.00 per sqft)
</v>
      </c>
      <c r="C790" s="308"/>
      <c r="D790" s="308"/>
      <c r="E790" s="664"/>
      <c r="F790" s="664"/>
      <c r="G790" s="664"/>
      <c r="H790" s="664"/>
      <c r="I790" s="664"/>
      <c r="J790" s="664"/>
      <c r="K790" s="664"/>
      <c r="L790" s="664"/>
      <c r="M790" s="739"/>
      <c r="N790" s="739"/>
      <c r="O790" s="664"/>
    </row>
    <row r="791" spans="1:15" x14ac:dyDescent="0.25">
      <c r="A791" s="307"/>
      <c r="B791" s="663" t="s">
        <v>523</v>
      </c>
      <c r="C791" s="308"/>
      <c r="D791" s="308"/>
      <c r="E791" s="664">
        <v>1</v>
      </c>
      <c r="F791" s="664">
        <v>5.1704619999999997</v>
      </c>
      <c r="G791" s="664"/>
      <c r="H791" s="664"/>
      <c r="I791" s="664">
        <f t="shared" ref="I791:I792" si="266">F791*E791</f>
        <v>5.1704619999999997</v>
      </c>
      <c r="J791" s="664"/>
      <c r="K791" s="664"/>
      <c r="L791" s="664"/>
      <c r="M791" s="739"/>
      <c r="N791" s="739"/>
      <c r="O791" s="664"/>
    </row>
    <row r="792" spans="1:15" x14ac:dyDescent="0.25">
      <c r="A792" s="307"/>
      <c r="B792" s="308"/>
      <c r="C792" s="308"/>
      <c r="D792" s="308"/>
      <c r="E792" s="664">
        <v>1</v>
      </c>
      <c r="F792" s="664">
        <v>4.5795839999999997</v>
      </c>
      <c r="G792" s="664"/>
      <c r="H792" s="664"/>
      <c r="I792" s="664">
        <f t="shared" si="266"/>
        <v>4.5795839999999997</v>
      </c>
      <c r="J792" s="664">
        <f>SUM(I791:I792)</f>
        <v>9.7500459999999993</v>
      </c>
      <c r="K792" s="678">
        <f>$K$2</f>
        <v>1.05</v>
      </c>
      <c r="L792" s="678">
        <f t="shared" ref="L792" si="267">K792*J792</f>
        <v>10.2375483</v>
      </c>
      <c r="M792" s="740">
        <f t="shared" ref="M792" si="268">ROUND(L792,1)</f>
        <v>10.199999999999999</v>
      </c>
      <c r="N792" s="740">
        <f t="shared" ref="N792" si="269">ROUNDUP(M792,0)</f>
        <v>11</v>
      </c>
      <c r="O792" s="678" t="s">
        <v>183</v>
      </c>
    </row>
    <row r="793" spans="1:15" x14ac:dyDescent="0.25">
      <c r="A793" s="307"/>
      <c r="B793" s="308"/>
      <c r="C793" s="308"/>
      <c r="D793" s="308"/>
      <c r="E793" s="664"/>
      <c r="F793" s="664"/>
      <c r="G793" s="664"/>
      <c r="H793" s="664"/>
      <c r="I793" s="664"/>
      <c r="J793" s="664"/>
      <c r="K793" s="678"/>
      <c r="L793" s="678"/>
      <c r="M793" s="740"/>
      <c r="N793" s="740"/>
      <c r="O793" s="678"/>
    </row>
    <row r="794" spans="1:15" x14ac:dyDescent="0.25">
      <c r="A794" s="307"/>
      <c r="B794" s="663" t="s">
        <v>21</v>
      </c>
      <c r="C794" s="308"/>
      <c r="D794" s="308"/>
      <c r="E794" s="664">
        <v>1</v>
      </c>
      <c r="F794" s="664">
        <v>19.440403</v>
      </c>
      <c r="G794" s="664"/>
      <c r="H794" s="664"/>
      <c r="I794" s="664">
        <f t="shared" ref="I794:I797" si="270">F794*E794</f>
        <v>19.440403</v>
      </c>
      <c r="J794" s="664"/>
      <c r="K794" s="664"/>
      <c r="L794" s="664"/>
      <c r="M794" s="739"/>
      <c r="N794" s="739"/>
      <c r="O794" s="664"/>
    </row>
    <row r="795" spans="1:15" x14ac:dyDescent="0.25">
      <c r="A795" s="307"/>
      <c r="B795" s="308"/>
      <c r="C795" s="308"/>
      <c r="D795" s="308"/>
      <c r="E795" s="664">
        <v>1</v>
      </c>
      <c r="F795" s="664">
        <v>11.527501000000001</v>
      </c>
      <c r="G795" s="664"/>
      <c r="H795" s="664"/>
      <c r="I795" s="664">
        <f t="shared" si="270"/>
        <v>11.527501000000001</v>
      </c>
      <c r="J795" s="664"/>
      <c r="K795" s="664"/>
      <c r="L795" s="664"/>
      <c r="M795" s="739"/>
      <c r="N795" s="739"/>
      <c r="O795" s="664"/>
    </row>
    <row r="796" spans="1:15" x14ac:dyDescent="0.25">
      <c r="A796" s="307"/>
      <c r="B796" s="308"/>
      <c r="C796" s="308"/>
      <c r="D796" s="308"/>
      <c r="E796" s="664">
        <v>1</v>
      </c>
      <c r="F796" s="664">
        <v>4.5902399999999997</v>
      </c>
      <c r="G796" s="664"/>
      <c r="H796" s="664"/>
      <c r="I796" s="664">
        <f t="shared" si="270"/>
        <v>4.5902399999999997</v>
      </c>
      <c r="J796" s="664"/>
      <c r="K796" s="664"/>
      <c r="L796" s="664"/>
      <c r="M796" s="739"/>
      <c r="N796" s="739"/>
      <c r="O796" s="664"/>
    </row>
    <row r="797" spans="1:15" x14ac:dyDescent="0.25">
      <c r="A797" s="307"/>
      <c r="B797" s="308"/>
      <c r="C797" s="308"/>
      <c r="D797" s="308"/>
      <c r="E797" s="664">
        <v>1</v>
      </c>
      <c r="F797" s="664">
        <v>8.6734939999999998</v>
      </c>
      <c r="G797" s="664"/>
      <c r="H797" s="664"/>
      <c r="I797" s="664">
        <f t="shared" si="270"/>
        <v>8.6734939999999998</v>
      </c>
      <c r="J797" s="664">
        <f>SUM(I794:I797)</f>
        <v>44.231637999999997</v>
      </c>
      <c r="K797" s="678">
        <f>$K$2</f>
        <v>1.05</v>
      </c>
      <c r="L797" s="678">
        <f t="shared" ref="L797" si="271">K797*J797</f>
        <v>46.443219899999995</v>
      </c>
      <c r="M797" s="740">
        <f t="shared" ref="M797" si="272">ROUND(L797,1)</f>
        <v>46.4</v>
      </c>
      <c r="N797" s="740">
        <f t="shared" ref="N797" si="273">ROUNDUP(M797,0)</f>
        <v>47</v>
      </c>
      <c r="O797" s="678" t="s">
        <v>183</v>
      </c>
    </row>
    <row r="798" spans="1:15" x14ac:dyDescent="0.25">
      <c r="A798" s="307"/>
      <c r="B798" s="308"/>
      <c r="C798" s="308"/>
      <c r="D798" s="308"/>
      <c r="E798" s="664"/>
      <c r="F798" s="664"/>
      <c r="G798" s="664"/>
      <c r="H798" s="664"/>
      <c r="I798" s="664"/>
      <c r="J798" s="664"/>
      <c r="K798" s="664"/>
      <c r="L798" s="664"/>
      <c r="M798" s="739"/>
      <c r="N798" s="739"/>
      <c r="O798" s="664"/>
    </row>
    <row r="799" spans="1:15" x14ac:dyDescent="0.25">
      <c r="A799" s="307"/>
      <c r="B799" s="663" t="s">
        <v>574</v>
      </c>
      <c r="C799" s="308"/>
      <c r="D799" s="308"/>
      <c r="E799" s="664">
        <v>1</v>
      </c>
      <c r="F799" s="664">
        <v>36.25</v>
      </c>
      <c r="G799" s="664"/>
      <c r="H799" s="664"/>
      <c r="I799" s="664">
        <f t="shared" ref="I799:I802" si="274">F799*E799</f>
        <v>36.25</v>
      </c>
      <c r="J799" s="664"/>
      <c r="K799" s="664"/>
      <c r="L799" s="664"/>
      <c r="M799" s="739"/>
      <c r="N799" s="739"/>
      <c r="O799" s="664"/>
    </row>
    <row r="800" spans="1:15" x14ac:dyDescent="0.25">
      <c r="A800" s="307"/>
      <c r="B800" s="308"/>
      <c r="C800" s="308"/>
      <c r="D800" s="308"/>
      <c r="E800" s="664">
        <v>1</v>
      </c>
      <c r="F800" s="664">
        <v>20.851492</v>
      </c>
      <c r="G800" s="664"/>
      <c r="H800" s="664"/>
      <c r="I800" s="664">
        <f t="shared" si="274"/>
        <v>20.851492</v>
      </c>
      <c r="J800" s="664"/>
      <c r="K800" s="664"/>
      <c r="L800" s="664"/>
      <c r="M800" s="739"/>
      <c r="N800" s="739"/>
      <c r="O800" s="664"/>
    </row>
    <row r="801" spans="1:15" x14ac:dyDescent="0.25">
      <c r="A801" s="307"/>
      <c r="B801" s="308"/>
      <c r="C801" s="308"/>
      <c r="D801" s="308"/>
      <c r="E801" s="664">
        <v>1</v>
      </c>
      <c r="F801" s="664">
        <v>6.2</v>
      </c>
      <c r="G801" s="664"/>
      <c r="H801" s="664"/>
      <c r="I801" s="664">
        <f t="shared" si="274"/>
        <v>6.2</v>
      </c>
      <c r="J801" s="664"/>
      <c r="K801" s="664"/>
      <c r="L801" s="664"/>
      <c r="M801" s="739"/>
      <c r="N801" s="739"/>
      <c r="O801" s="664"/>
    </row>
    <row r="802" spans="1:15" x14ac:dyDescent="0.25">
      <c r="A802" s="307"/>
      <c r="B802" s="308"/>
      <c r="C802" s="308"/>
      <c r="D802" s="308"/>
      <c r="E802" s="664">
        <v>1</v>
      </c>
      <c r="F802" s="664">
        <v>4.5</v>
      </c>
      <c r="G802" s="664"/>
      <c r="H802" s="664"/>
      <c r="I802" s="664">
        <f t="shared" si="274"/>
        <v>4.5</v>
      </c>
      <c r="J802" s="664">
        <f>SUM(I799:I802)</f>
        <v>67.801491999999996</v>
      </c>
      <c r="K802" s="678">
        <f>$K$2</f>
        <v>1.05</v>
      </c>
      <c r="L802" s="678">
        <f t="shared" ref="L802" si="275">K802*J802</f>
        <v>71.191566600000002</v>
      </c>
      <c r="M802" s="740">
        <f t="shared" ref="M802" si="276">ROUND(L802,1)</f>
        <v>71.2</v>
      </c>
      <c r="N802" s="740">
        <f t="shared" ref="N802" si="277">ROUNDUP(M802,0)</f>
        <v>72</v>
      </c>
      <c r="O802" s="678" t="s">
        <v>183</v>
      </c>
    </row>
    <row r="803" spans="1:15" x14ac:dyDescent="0.25">
      <c r="A803" s="307"/>
      <c r="B803" s="308"/>
      <c r="C803" s="308"/>
      <c r="D803" s="308"/>
      <c r="E803" s="664"/>
      <c r="F803" s="664"/>
      <c r="G803" s="664"/>
      <c r="H803" s="664"/>
      <c r="I803" s="664"/>
      <c r="J803" s="664"/>
      <c r="K803" s="664"/>
      <c r="L803" s="664"/>
      <c r="M803" s="739"/>
      <c r="N803" s="739"/>
      <c r="O803" s="664"/>
    </row>
    <row r="804" spans="1:15" ht="69" x14ac:dyDescent="0.25">
      <c r="A804" s="307"/>
      <c r="B804" s="721" t="str">
        <f>tile!B93</f>
        <v>(FF11) 300mmx600mm homogeneous Full body Non - Slip Floor paving on 1:3 cement &amp; sand bedding with suitable adhesives and pointed with tile grout to match the tile. (Prime Cost of tile Rs.600.00 per sqft)</v>
      </c>
      <c r="C804" s="308"/>
      <c r="D804" s="308"/>
      <c r="E804" s="664"/>
      <c r="F804" s="664"/>
      <c r="G804" s="664"/>
      <c r="H804" s="664"/>
      <c r="I804" s="664"/>
      <c r="J804" s="664"/>
      <c r="K804" s="664"/>
      <c r="L804" s="664"/>
      <c r="M804" s="739"/>
      <c r="N804" s="739"/>
      <c r="O804" s="664"/>
    </row>
    <row r="805" spans="1:15" x14ac:dyDescent="0.25">
      <c r="A805" s="307"/>
      <c r="B805" s="663" t="s">
        <v>523</v>
      </c>
      <c r="C805" s="308"/>
      <c r="D805" s="308"/>
      <c r="E805" s="664">
        <v>1</v>
      </c>
      <c r="F805" s="664">
        <v>4.0999999999999996</v>
      </c>
      <c r="G805" s="664"/>
      <c r="H805" s="664"/>
      <c r="I805" s="664">
        <f t="shared" ref="I805:I807" si="278">F805*E805</f>
        <v>4.0999999999999996</v>
      </c>
      <c r="J805" s="664"/>
      <c r="K805" s="664"/>
      <c r="L805" s="664"/>
      <c r="M805" s="739"/>
      <c r="N805" s="739"/>
      <c r="O805" s="664"/>
    </row>
    <row r="806" spans="1:15" x14ac:dyDescent="0.25">
      <c r="A806" s="307"/>
      <c r="B806" s="308"/>
      <c r="C806" s="308"/>
      <c r="D806" s="308"/>
      <c r="E806" s="664">
        <v>1</v>
      </c>
      <c r="F806" s="664">
        <v>4.0999999999999996</v>
      </c>
      <c r="G806" s="664"/>
      <c r="H806" s="664"/>
      <c r="I806" s="664">
        <f t="shared" si="278"/>
        <v>4.0999999999999996</v>
      </c>
      <c r="J806" s="664"/>
      <c r="K806" s="664"/>
      <c r="L806" s="664"/>
      <c r="M806" s="739"/>
      <c r="N806" s="739"/>
      <c r="O806" s="664"/>
    </row>
    <row r="807" spans="1:15" x14ac:dyDescent="0.25">
      <c r="A807" s="307"/>
      <c r="B807" s="308"/>
      <c r="C807" s="308"/>
      <c r="D807" s="308"/>
      <c r="E807" s="664">
        <v>1</v>
      </c>
      <c r="F807" s="664">
        <v>1.42</v>
      </c>
      <c r="G807" s="664"/>
      <c r="H807" s="664"/>
      <c r="I807" s="664">
        <f t="shared" si="278"/>
        <v>1.42</v>
      </c>
      <c r="J807" s="664">
        <f>SUM(I805:I807)</f>
        <v>9.6199999999999992</v>
      </c>
      <c r="K807" s="678">
        <f>$K$2</f>
        <v>1.05</v>
      </c>
      <c r="L807" s="678">
        <f t="shared" ref="L807" si="279">K807*J807</f>
        <v>10.100999999999999</v>
      </c>
      <c r="M807" s="740">
        <f t="shared" ref="M807" si="280">ROUND(L807,1)</f>
        <v>10.1</v>
      </c>
      <c r="N807" s="740">
        <f t="shared" ref="N807" si="281">ROUNDUP(M807,0)</f>
        <v>11</v>
      </c>
      <c r="O807" s="678" t="s">
        <v>183</v>
      </c>
    </row>
    <row r="808" spans="1:15" x14ac:dyDescent="0.25">
      <c r="A808" s="307"/>
      <c r="B808" s="308"/>
      <c r="C808" s="308"/>
      <c r="D808" s="308"/>
      <c r="E808" s="664"/>
      <c r="F808" s="664"/>
      <c r="G808" s="664"/>
      <c r="H808" s="664"/>
      <c r="I808" s="664"/>
      <c r="J808" s="664"/>
      <c r="K808" s="664"/>
      <c r="L808" s="664"/>
      <c r="M808" s="739"/>
      <c r="N808" s="739"/>
      <c r="O808" s="664"/>
    </row>
    <row r="809" spans="1:15" x14ac:dyDescent="0.25">
      <c r="A809" s="307"/>
      <c r="B809" s="663" t="s">
        <v>21</v>
      </c>
      <c r="C809" s="308"/>
      <c r="D809" s="308"/>
      <c r="E809" s="664">
        <v>1</v>
      </c>
      <c r="F809" s="664">
        <v>4.0999999999999996</v>
      </c>
      <c r="G809" s="664"/>
      <c r="H809" s="664"/>
      <c r="I809" s="664">
        <f t="shared" ref="I809:I813" si="282">F809*E809</f>
        <v>4.0999999999999996</v>
      </c>
      <c r="J809" s="664"/>
      <c r="K809" s="664"/>
      <c r="L809" s="664"/>
      <c r="M809" s="739"/>
      <c r="N809" s="739"/>
      <c r="O809" s="664"/>
    </row>
    <row r="810" spans="1:15" x14ac:dyDescent="0.25">
      <c r="A810" s="307"/>
      <c r="B810" s="308"/>
      <c r="C810" s="308"/>
      <c r="D810" s="308"/>
      <c r="E810" s="664">
        <v>1</v>
      </c>
      <c r="F810" s="664">
        <v>4.0999999999999996</v>
      </c>
      <c r="G810" s="664"/>
      <c r="H810" s="664"/>
      <c r="I810" s="664">
        <f t="shared" si="282"/>
        <v>4.0999999999999996</v>
      </c>
      <c r="J810" s="664"/>
      <c r="K810" s="664"/>
      <c r="L810" s="664"/>
      <c r="M810" s="739"/>
      <c r="N810" s="739"/>
      <c r="O810" s="664"/>
    </row>
    <row r="811" spans="1:15" x14ac:dyDescent="0.25">
      <c r="A811" s="307"/>
      <c r="B811" s="308"/>
      <c r="C811" s="308"/>
      <c r="D811" s="308"/>
      <c r="E811" s="664">
        <v>1</v>
      </c>
      <c r="F811" s="664">
        <v>5.29</v>
      </c>
      <c r="G811" s="664"/>
      <c r="H811" s="664"/>
      <c r="I811" s="664">
        <f t="shared" si="282"/>
        <v>5.29</v>
      </c>
      <c r="J811" s="664">
        <f>SUM(I809:I811)</f>
        <v>13.489999999999998</v>
      </c>
      <c r="K811" s="678">
        <f>$K$2</f>
        <v>1.05</v>
      </c>
      <c r="L811" s="678">
        <f t="shared" ref="L811" si="283">K811*J811</f>
        <v>14.164499999999999</v>
      </c>
      <c r="M811" s="740">
        <f t="shared" ref="M811" si="284">ROUND(L811,1)</f>
        <v>14.2</v>
      </c>
      <c r="N811" s="740">
        <f t="shared" ref="N811" si="285">ROUNDUP(M811,0)</f>
        <v>15</v>
      </c>
      <c r="O811" s="678" t="s">
        <v>183</v>
      </c>
    </row>
    <row r="812" spans="1:15" x14ac:dyDescent="0.25">
      <c r="A812" s="307"/>
      <c r="B812" s="308"/>
      <c r="C812" s="308"/>
      <c r="D812" s="308"/>
      <c r="E812" s="664"/>
      <c r="F812" s="664"/>
      <c r="G812" s="664"/>
      <c r="H812" s="664"/>
      <c r="I812" s="664"/>
      <c r="J812" s="664"/>
      <c r="K812" s="664"/>
      <c r="L812" s="664"/>
      <c r="M812" s="739"/>
      <c r="N812" s="739"/>
      <c r="O812" s="664"/>
    </row>
    <row r="813" spans="1:15" x14ac:dyDescent="0.25">
      <c r="A813" s="307"/>
      <c r="B813" s="663" t="s">
        <v>574</v>
      </c>
      <c r="C813" s="308"/>
      <c r="D813" s="308"/>
      <c r="E813" s="664">
        <v>1</v>
      </c>
      <c r="F813" s="664">
        <v>2.778</v>
      </c>
      <c r="G813" s="664"/>
      <c r="H813" s="664"/>
      <c r="I813" s="664">
        <f t="shared" si="282"/>
        <v>2.778</v>
      </c>
      <c r="J813" s="664">
        <f>SUM(I813)</f>
        <v>2.778</v>
      </c>
      <c r="K813" s="678">
        <f>$K$2</f>
        <v>1.05</v>
      </c>
      <c r="L813" s="678">
        <f t="shared" ref="L813" si="286">K813*J813</f>
        <v>2.9169</v>
      </c>
      <c r="M813" s="740">
        <f t="shared" ref="M813" si="287">ROUND(L813,1)</f>
        <v>2.9</v>
      </c>
      <c r="N813" s="740">
        <f t="shared" ref="N813" si="288">ROUNDUP(M813,0)</f>
        <v>3</v>
      </c>
      <c r="O813" s="678" t="s">
        <v>183</v>
      </c>
    </row>
    <row r="814" spans="1:15" x14ac:dyDescent="0.25">
      <c r="A814" s="307"/>
      <c r="B814" s="308"/>
      <c r="C814" s="308"/>
      <c r="D814" s="308"/>
      <c r="E814" s="664"/>
      <c r="F814" s="664"/>
      <c r="G814" s="664"/>
      <c r="H814" s="664"/>
      <c r="I814" s="664"/>
      <c r="J814" s="664"/>
      <c r="K814" s="664"/>
      <c r="L814" s="664"/>
      <c r="M814" s="739"/>
      <c r="N814" s="739"/>
      <c r="O814" s="664"/>
    </row>
    <row r="815" spans="1:15" ht="55.2" x14ac:dyDescent="0.25">
      <c r="A815" s="307"/>
      <c r="B815" s="721" t="str">
        <f>tile!B98</f>
        <v>(FF12)  Supply and laying Rubber Matt carpet Floor as per the architects direction and specification.. . (Prime Cost of tile Rs.1,900.00 per sqft)</v>
      </c>
      <c r="C815" s="308"/>
      <c r="D815" s="308"/>
      <c r="E815" s="664"/>
      <c r="F815" s="664"/>
      <c r="G815" s="664"/>
      <c r="H815" s="664"/>
      <c r="I815" s="664"/>
      <c r="J815" s="664"/>
      <c r="K815" s="664"/>
      <c r="L815" s="664"/>
      <c r="M815" s="739"/>
      <c r="N815" s="739"/>
      <c r="O815" s="664"/>
    </row>
    <row r="816" spans="1:15" x14ac:dyDescent="0.25">
      <c r="A816" s="307"/>
      <c r="B816" s="663" t="str">
        <f>B813</f>
        <v>In Second Floor</v>
      </c>
      <c r="C816" s="308"/>
      <c r="D816" s="308"/>
      <c r="E816" s="664">
        <v>1</v>
      </c>
      <c r="F816" s="664">
        <v>34.670357000000003</v>
      </c>
      <c r="G816" s="664"/>
      <c r="H816" s="664"/>
      <c r="I816" s="664">
        <f t="shared" ref="I816" si="289">F816*E816</f>
        <v>34.670357000000003</v>
      </c>
      <c r="J816" s="664">
        <f>SUM(I816)</f>
        <v>34.670357000000003</v>
      </c>
      <c r="K816" s="678">
        <f>$K$2</f>
        <v>1.05</v>
      </c>
      <c r="L816" s="678">
        <f t="shared" ref="L816" si="290">K816*J816</f>
        <v>36.403874850000001</v>
      </c>
      <c r="M816" s="740">
        <f t="shared" ref="M816" si="291">ROUND(L816,1)</f>
        <v>36.4</v>
      </c>
      <c r="N816" s="740">
        <f t="shared" ref="N816" si="292">ROUNDUP(M816,0)</f>
        <v>37</v>
      </c>
      <c r="O816" s="678" t="s">
        <v>183</v>
      </c>
    </row>
    <row r="817" spans="1:15" x14ac:dyDescent="0.25">
      <c r="A817" s="307"/>
      <c r="B817" s="308"/>
      <c r="C817" s="308"/>
      <c r="D817" s="308"/>
      <c r="E817" s="664"/>
      <c r="F817" s="664"/>
      <c r="G817" s="664"/>
      <c r="H817" s="664"/>
      <c r="I817" s="664"/>
      <c r="J817" s="664"/>
      <c r="K817" s="664"/>
      <c r="L817" s="664"/>
      <c r="M817" s="739"/>
      <c r="N817" s="739"/>
      <c r="O817" s="664"/>
    </row>
    <row r="818" spans="1:15" ht="55.2" x14ac:dyDescent="0.25">
      <c r="A818" s="307"/>
      <c r="B818" s="721" t="str">
        <f>tile!B101</f>
        <v>(FF13) Mosaic Pool tlie paving on 1:3 cement &amp; sand bedding with suitable adhesives and pointed with tile grout to match the tile. (Prime Cost of tile Rs.2,550.00 per sqft)</v>
      </c>
      <c r="C818" s="308"/>
      <c r="D818" s="308"/>
      <c r="E818" s="664"/>
      <c r="F818" s="664"/>
      <c r="G818" s="664"/>
      <c r="H818" s="664"/>
      <c r="I818" s="664"/>
      <c r="J818" s="664"/>
      <c r="K818" s="664"/>
      <c r="L818" s="664"/>
      <c r="M818" s="739"/>
      <c r="N818" s="739"/>
      <c r="O818" s="664"/>
    </row>
    <row r="819" spans="1:15" x14ac:dyDescent="0.25">
      <c r="A819" s="307"/>
      <c r="B819" s="663" t="str">
        <f>B809</f>
        <v>In First floor</v>
      </c>
      <c r="C819" s="308"/>
      <c r="D819" s="308"/>
      <c r="E819" s="664">
        <v>1</v>
      </c>
      <c r="F819" s="664">
        <v>21.789553000000002</v>
      </c>
      <c r="G819" s="664"/>
      <c r="H819" s="664"/>
      <c r="I819" s="664">
        <f t="shared" ref="I819" si="293">F819*E819</f>
        <v>21.789553000000002</v>
      </c>
      <c r="J819" s="664"/>
      <c r="K819" s="664"/>
      <c r="L819" s="664"/>
      <c r="M819" s="739"/>
      <c r="N819" s="739"/>
      <c r="O819" s="664"/>
    </row>
    <row r="820" spans="1:15" x14ac:dyDescent="0.25">
      <c r="A820" s="307"/>
      <c r="B820" s="308"/>
      <c r="C820" s="308"/>
      <c r="D820" s="308"/>
      <c r="E820" s="664">
        <v>1</v>
      </c>
      <c r="F820" s="664">
        <v>19.2</v>
      </c>
      <c r="G820" s="664"/>
      <c r="H820" s="664">
        <v>1.6</v>
      </c>
      <c r="I820" s="664">
        <f>F820*E820*H820</f>
        <v>30.72</v>
      </c>
      <c r="J820" s="664">
        <f>SUM(I819:I820)</f>
        <v>52.509552999999997</v>
      </c>
      <c r="K820" s="678">
        <f>$K$2</f>
        <v>1.05</v>
      </c>
      <c r="L820" s="678">
        <f t="shared" ref="L820" si="294">K820*J820</f>
        <v>55.135030649999997</v>
      </c>
      <c r="M820" s="740">
        <f t="shared" ref="M820" si="295">ROUND(L820,1)</f>
        <v>55.1</v>
      </c>
      <c r="N820" s="740">
        <f t="shared" ref="N820" si="296">ROUNDUP(M820,0)</f>
        <v>56</v>
      </c>
      <c r="O820" s="678" t="s">
        <v>183</v>
      </c>
    </row>
    <row r="821" spans="1:15" x14ac:dyDescent="0.25">
      <c r="A821" s="307"/>
      <c r="B821" s="308"/>
      <c r="C821" s="308"/>
      <c r="D821" s="308"/>
      <c r="E821" s="664"/>
      <c r="F821" s="664"/>
      <c r="G821" s="664"/>
      <c r="H821" s="664"/>
      <c r="I821" s="664"/>
      <c r="J821" s="664"/>
      <c r="K821" s="664"/>
      <c r="L821" s="664"/>
      <c r="M821" s="739"/>
      <c r="N821" s="739"/>
      <c r="O821" s="664"/>
    </row>
    <row r="822" spans="1:15" ht="41.4" x14ac:dyDescent="0.25">
      <c r="A822" s="307"/>
      <c r="B822" s="721" t="str">
        <f>tile!B104</f>
        <v>(FF14) Supply and laying W.P.C Deck  as per the architects direction and specification.. . (Prime Cost of tile Rs.1,850.00 per sqft)</v>
      </c>
      <c r="C822" s="308"/>
      <c r="D822" s="308"/>
      <c r="E822" s="664"/>
      <c r="F822" s="664"/>
      <c r="G822" s="664"/>
      <c r="H822" s="664"/>
      <c r="I822" s="664"/>
      <c r="J822" s="664"/>
      <c r="K822" s="664"/>
      <c r="L822" s="664"/>
      <c r="M822" s="739"/>
      <c r="N822" s="739"/>
      <c r="O822" s="664"/>
    </row>
    <row r="823" spans="1:15" x14ac:dyDescent="0.25">
      <c r="A823" s="307"/>
      <c r="B823" s="663" t="str">
        <f>tile!B105</f>
        <v xml:space="preserve">In Ground Floor </v>
      </c>
      <c r="C823" s="308"/>
      <c r="D823" s="308"/>
      <c r="E823" s="664">
        <v>1</v>
      </c>
      <c r="F823" s="664">
        <v>5.66</v>
      </c>
      <c r="G823" s="664"/>
      <c r="H823" s="664"/>
      <c r="I823" s="664">
        <f t="shared" ref="I823" si="297">F823*E823</f>
        <v>5.66</v>
      </c>
      <c r="J823" s="664">
        <f>SUM(I823)</f>
        <v>5.66</v>
      </c>
      <c r="K823" s="678">
        <f>$K$2</f>
        <v>1.05</v>
      </c>
      <c r="L823" s="678">
        <f t="shared" ref="L823" si="298">K823*J823</f>
        <v>5.9430000000000005</v>
      </c>
      <c r="M823" s="740">
        <f t="shared" ref="M823" si="299">ROUND(L823,1)</f>
        <v>5.9</v>
      </c>
      <c r="N823" s="740">
        <f t="shared" ref="N823" si="300">ROUNDUP(M823,0)</f>
        <v>6</v>
      </c>
      <c r="O823" s="678" t="s">
        <v>183</v>
      </c>
    </row>
    <row r="824" spans="1:15" x14ac:dyDescent="0.25">
      <c r="A824" s="307"/>
      <c r="B824" s="308"/>
      <c r="C824" s="308"/>
      <c r="D824" s="308"/>
      <c r="E824" s="664"/>
      <c r="F824" s="664"/>
      <c r="G824" s="664"/>
      <c r="H824" s="664"/>
      <c r="I824" s="664"/>
      <c r="J824" s="664"/>
      <c r="K824" s="664"/>
      <c r="L824" s="664"/>
      <c r="M824" s="739"/>
      <c r="N824" s="739"/>
      <c r="O824" s="664"/>
    </row>
    <row r="825" spans="1:15" x14ac:dyDescent="0.25">
      <c r="A825" s="307"/>
      <c r="B825" s="663" t="str">
        <f>B819</f>
        <v>In First floor</v>
      </c>
      <c r="C825" s="308"/>
      <c r="D825" s="308"/>
      <c r="E825" s="664">
        <v>1</v>
      </c>
      <c r="F825" s="664">
        <v>53.2</v>
      </c>
      <c r="G825" s="664"/>
      <c r="H825" s="664"/>
      <c r="I825" s="664">
        <f t="shared" ref="I825:I826" si="301">F825*E825</f>
        <v>53.2</v>
      </c>
      <c r="J825" s="664"/>
      <c r="K825" s="664"/>
      <c r="L825" s="664"/>
      <c r="M825" s="739"/>
      <c r="N825" s="739"/>
      <c r="O825" s="664"/>
    </row>
    <row r="826" spans="1:15" x14ac:dyDescent="0.25">
      <c r="A826" s="307"/>
      <c r="B826" s="308"/>
      <c r="C826" s="308"/>
      <c r="D826" s="308"/>
      <c r="E826" s="664">
        <v>-1</v>
      </c>
      <c r="F826" s="664">
        <v>21.789553000000002</v>
      </c>
      <c r="G826" s="664"/>
      <c r="H826" s="664"/>
      <c r="I826" s="664">
        <f t="shared" si="301"/>
        <v>-21.789553000000002</v>
      </c>
      <c r="J826" s="664">
        <f>SUM(I825:I826)</f>
        <v>31.410447000000001</v>
      </c>
      <c r="K826" s="678">
        <f>$K$2</f>
        <v>1.05</v>
      </c>
      <c r="L826" s="678">
        <f t="shared" ref="L826" si="302">K826*J826</f>
        <v>32.980969350000002</v>
      </c>
      <c r="M826" s="740">
        <f t="shared" ref="M826" si="303">ROUND(L826,1)</f>
        <v>33</v>
      </c>
      <c r="N826" s="740">
        <f t="shared" ref="N826" si="304">ROUNDUP(M826,0)</f>
        <v>33</v>
      </c>
      <c r="O826" s="678" t="s">
        <v>183</v>
      </c>
    </row>
    <row r="827" spans="1:15" x14ac:dyDescent="0.25">
      <c r="A827" s="307"/>
      <c r="B827" s="308"/>
      <c r="C827" s="308"/>
      <c r="D827" s="308"/>
      <c r="E827" s="664"/>
      <c r="F827" s="664"/>
      <c r="G827" s="664"/>
      <c r="H827" s="664"/>
      <c r="I827" s="664"/>
      <c r="J827" s="664"/>
      <c r="K827" s="664"/>
      <c r="L827" s="664"/>
      <c r="M827" s="739"/>
      <c r="N827" s="739"/>
      <c r="O827" s="664"/>
    </row>
    <row r="828" spans="1:15" ht="55.2" x14ac:dyDescent="0.25">
      <c r="A828" s="307"/>
      <c r="B828" s="721" t="str">
        <f>tile!B108</f>
        <v>(FF14) Supply and laying 25mm Thick class 01 Solid timber plank as per the architects direction and specification.. . (Prime Cost of tile Rs.4,250.00 per sqft)</v>
      </c>
      <c r="C828" s="308"/>
      <c r="D828" s="308"/>
      <c r="E828" s="664"/>
      <c r="F828" s="664"/>
      <c r="G828" s="664"/>
      <c r="H828" s="664"/>
      <c r="I828" s="664"/>
      <c r="J828" s="664"/>
      <c r="K828" s="664"/>
      <c r="L828" s="664"/>
      <c r="M828" s="739"/>
      <c r="N828" s="739"/>
      <c r="O828" s="664"/>
    </row>
    <row r="829" spans="1:15" x14ac:dyDescent="0.25">
      <c r="A829" s="307"/>
      <c r="B829" s="663" t="str">
        <f>B805</f>
        <v xml:space="preserve">In Ground Floor </v>
      </c>
      <c r="C829" s="308"/>
      <c r="D829" s="308"/>
      <c r="E829" s="664">
        <v>1</v>
      </c>
      <c r="F829" s="664">
        <v>7.6875</v>
      </c>
      <c r="G829" s="664"/>
      <c r="H829" s="664"/>
      <c r="I829" s="664">
        <f t="shared" ref="I829" si="305">F829*E829</f>
        <v>7.6875</v>
      </c>
      <c r="J829" s="664">
        <f>SUM(I829)</f>
        <v>7.6875</v>
      </c>
      <c r="K829" s="678">
        <f>$K$2</f>
        <v>1.05</v>
      </c>
      <c r="L829" s="678">
        <f t="shared" ref="L829" si="306">K829*J829</f>
        <v>8.0718750000000004</v>
      </c>
      <c r="M829" s="740">
        <f t="shared" ref="M829" si="307">ROUND(L829,1)</f>
        <v>8.1</v>
      </c>
      <c r="N829" s="740">
        <f t="shared" ref="N829" si="308">ROUNDUP(M829,0)</f>
        <v>9</v>
      </c>
      <c r="O829" s="678" t="s">
        <v>183</v>
      </c>
    </row>
    <row r="830" spans="1:15" x14ac:dyDescent="0.25">
      <c r="A830" s="307"/>
      <c r="B830" s="663"/>
      <c r="C830" s="308"/>
      <c r="D830" s="308"/>
      <c r="E830" s="664"/>
      <c r="F830" s="664"/>
      <c r="G830" s="664"/>
      <c r="H830" s="664"/>
      <c r="I830" s="664"/>
      <c r="J830" s="664"/>
      <c r="K830" s="664"/>
      <c r="L830" s="664"/>
      <c r="M830" s="739"/>
      <c r="N830" s="739"/>
      <c r="O830" s="664"/>
    </row>
    <row r="831" spans="1:15" x14ac:dyDescent="0.25">
      <c r="A831" s="307"/>
      <c r="B831" s="663" t="str">
        <f>B825</f>
        <v>In First floor</v>
      </c>
      <c r="C831" s="308"/>
      <c r="D831" s="308"/>
      <c r="E831" s="664">
        <v>1</v>
      </c>
      <c r="F831" s="664">
        <v>7.6875</v>
      </c>
      <c r="G831" s="664"/>
      <c r="H831" s="664"/>
      <c r="I831" s="664">
        <f t="shared" ref="I831" si="309">F831*E831</f>
        <v>7.6875</v>
      </c>
      <c r="J831" s="664">
        <f>SUM(I831)</f>
        <v>7.6875</v>
      </c>
      <c r="K831" s="678">
        <f>$K$2</f>
        <v>1.05</v>
      </c>
      <c r="L831" s="678">
        <f t="shared" ref="L831" si="310">K831*J831</f>
        <v>8.0718750000000004</v>
      </c>
      <c r="M831" s="740">
        <f t="shared" ref="M831" si="311">ROUND(L831,1)</f>
        <v>8.1</v>
      </c>
      <c r="N831" s="740">
        <f t="shared" ref="N831" si="312">ROUNDUP(M831,0)</f>
        <v>9</v>
      </c>
      <c r="O831" s="678" t="s">
        <v>183</v>
      </c>
    </row>
    <row r="832" spans="1:15" x14ac:dyDescent="0.25">
      <c r="A832" s="307"/>
      <c r="B832" s="308"/>
      <c r="C832" s="308"/>
      <c r="D832" s="308"/>
      <c r="E832" s="664"/>
      <c r="F832" s="664"/>
      <c r="G832" s="664"/>
      <c r="H832" s="664"/>
      <c r="I832" s="664"/>
      <c r="J832" s="664"/>
      <c r="K832" s="664"/>
      <c r="L832" s="664"/>
      <c r="M832" s="739"/>
      <c r="N832" s="739"/>
      <c r="O832" s="664"/>
    </row>
    <row r="833" spans="1:15" x14ac:dyDescent="0.25">
      <c r="A833" s="307"/>
      <c r="B833" s="663" t="str">
        <f>B816</f>
        <v>In Second Floor</v>
      </c>
      <c r="C833" s="308"/>
      <c r="D833" s="308"/>
      <c r="E833" s="664">
        <v>1</v>
      </c>
      <c r="F833" s="664">
        <v>7.6875</v>
      </c>
      <c r="G833" s="664"/>
      <c r="H833" s="664"/>
      <c r="I833" s="664">
        <f t="shared" ref="I833" si="313">F833*E833</f>
        <v>7.6875</v>
      </c>
      <c r="J833" s="664">
        <f>SUM(I833)</f>
        <v>7.6875</v>
      </c>
      <c r="K833" s="678">
        <f>$K$2</f>
        <v>1.05</v>
      </c>
      <c r="L833" s="678">
        <f t="shared" ref="L833" si="314">K833*J833</f>
        <v>8.0718750000000004</v>
      </c>
      <c r="M833" s="740">
        <f t="shared" ref="M833" si="315">ROUND(L833,1)</f>
        <v>8.1</v>
      </c>
      <c r="N833" s="740">
        <f t="shared" ref="N833" si="316">ROUNDUP(M833,0)</f>
        <v>9</v>
      </c>
      <c r="O833" s="678" t="s">
        <v>183</v>
      </c>
    </row>
    <row r="834" spans="1:15" x14ac:dyDescent="0.25">
      <c r="A834" s="307"/>
      <c r="B834" s="308"/>
      <c r="C834" s="308"/>
      <c r="D834" s="308"/>
      <c r="E834" s="664"/>
      <c r="F834" s="664"/>
      <c r="G834" s="664"/>
      <c r="H834" s="664"/>
      <c r="I834" s="664"/>
      <c r="J834" s="664"/>
      <c r="K834" s="664"/>
      <c r="L834" s="664"/>
      <c r="M834" s="739"/>
      <c r="N834" s="739"/>
      <c r="O834" s="664"/>
    </row>
    <row r="835" spans="1:15" x14ac:dyDescent="0.25">
      <c r="A835" s="307"/>
      <c r="B835" s="308"/>
      <c r="C835" s="308"/>
      <c r="D835" s="308"/>
      <c r="E835" s="664"/>
      <c r="F835" s="664"/>
      <c r="G835" s="664"/>
      <c r="H835" s="664"/>
      <c r="I835" s="664"/>
      <c r="J835" s="664"/>
      <c r="K835" s="664"/>
      <c r="L835" s="664"/>
      <c r="M835" s="739"/>
      <c r="N835" s="739"/>
      <c r="O835" s="664"/>
    </row>
    <row r="836" spans="1:15" x14ac:dyDescent="0.25">
      <c r="A836" s="307"/>
      <c r="B836" s="308"/>
      <c r="C836" s="308"/>
      <c r="D836" s="308"/>
      <c r="E836" s="664"/>
      <c r="F836" s="664"/>
      <c r="G836" s="664"/>
      <c r="H836" s="664"/>
      <c r="I836" s="664"/>
      <c r="J836" s="664"/>
      <c r="K836" s="664"/>
      <c r="L836" s="664"/>
      <c r="M836" s="739"/>
      <c r="N836" s="739"/>
      <c r="O836" s="664"/>
    </row>
    <row r="837" spans="1:15" x14ac:dyDescent="0.25">
      <c r="A837" s="307"/>
      <c r="B837" s="308"/>
      <c r="C837" s="308"/>
      <c r="D837" s="308"/>
      <c r="E837" s="664"/>
      <c r="F837" s="664"/>
      <c r="G837" s="664"/>
      <c r="H837" s="664"/>
      <c r="I837" s="664"/>
      <c r="J837" s="664"/>
      <c r="K837" s="664"/>
      <c r="L837" s="664"/>
      <c r="M837" s="739"/>
      <c r="N837" s="739"/>
      <c r="O837" s="664"/>
    </row>
    <row r="838" spans="1:15" x14ac:dyDescent="0.25">
      <c r="A838" s="307"/>
      <c r="B838" s="308"/>
      <c r="C838" s="308"/>
      <c r="D838" s="308"/>
      <c r="E838" s="664"/>
      <c r="F838" s="664"/>
      <c r="G838" s="664"/>
      <c r="H838" s="664"/>
      <c r="I838" s="664"/>
      <c r="J838" s="664"/>
      <c r="K838" s="664"/>
      <c r="L838" s="664"/>
      <c r="M838" s="739"/>
      <c r="N838" s="739"/>
      <c r="O838" s="664"/>
    </row>
    <row r="839" spans="1:15" x14ac:dyDescent="0.25">
      <c r="A839" s="307"/>
      <c r="B839" s="308"/>
      <c r="C839" s="308"/>
      <c r="D839" s="308"/>
      <c r="E839" s="664"/>
      <c r="F839" s="664"/>
      <c r="G839" s="664"/>
      <c r="H839" s="664"/>
      <c r="I839" s="664"/>
      <c r="J839" s="664"/>
      <c r="K839" s="664"/>
      <c r="L839" s="664"/>
      <c r="M839" s="739"/>
      <c r="N839" s="739"/>
      <c r="O839" s="664"/>
    </row>
    <row r="840" spans="1:15" x14ac:dyDescent="0.25">
      <c r="A840" s="307"/>
      <c r="B840" s="308"/>
      <c r="C840" s="308"/>
      <c r="D840" s="308"/>
      <c r="E840" s="664"/>
      <c r="F840" s="664"/>
      <c r="G840" s="664"/>
      <c r="H840" s="664"/>
      <c r="I840" s="664"/>
      <c r="J840" s="664"/>
      <c r="K840" s="664"/>
      <c r="L840" s="664"/>
      <c r="M840" s="739"/>
      <c r="N840" s="739"/>
      <c r="O840" s="664"/>
    </row>
    <row r="841" spans="1:15" x14ac:dyDescent="0.25">
      <c r="A841" s="307"/>
      <c r="B841" s="308"/>
      <c r="C841" s="308"/>
      <c r="D841" s="308"/>
      <c r="E841" s="664"/>
      <c r="F841" s="664"/>
      <c r="G841" s="664"/>
      <c r="H841" s="664"/>
      <c r="I841" s="664"/>
      <c r="J841" s="664"/>
      <c r="K841" s="664"/>
      <c r="L841" s="664"/>
      <c r="M841" s="739"/>
      <c r="N841" s="739"/>
      <c r="O841" s="664"/>
    </row>
    <row r="842" spans="1:15" x14ac:dyDescent="0.25">
      <c r="A842" s="307"/>
      <c r="B842" s="308"/>
      <c r="C842" s="308"/>
      <c r="D842" s="308"/>
      <c r="E842" s="664"/>
      <c r="F842" s="664"/>
      <c r="G842" s="664"/>
      <c r="H842" s="664"/>
      <c r="I842" s="664"/>
      <c r="J842" s="664"/>
      <c r="K842" s="664"/>
      <c r="L842" s="664"/>
      <c r="M842" s="739"/>
      <c r="N842" s="739"/>
      <c r="O842" s="664"/>
    </row>
    <row r="843" spans="1:15" x14ac:dyDescent="0.25">
      <c r="A843" s="307"/>
      <c r="B843" s="308"/>
      <c r="C843" s="308"/>
      <c r="D843" s="308"/>
      <c r="E843" s="664"/>
      <c r="F843" s="664"/>
      <c r="G843" s="664"/>
      <c r="H843" s="664"/>
      <c r="I843" s="664"/>
      <c r="J843" s="664"/>
      <c r="K843" s="664"/>
      <c r="L843" s="664"/>
      <c r="M843" s="739"/>
      <c r="N843" s="739"/>
      <c r="O843" s="664"/>
    </row>
    <row r="844" spans="1:15" x14ac:dyDescent="0.25">
      <c r="A844" s="307"/>
      <c r="B844" s="308"/>
      <c r="C844" s="308"/>
      <c r="D844" s="308"/>
      <c r="E844" s="664"/>
      <c r="F844" s="664"/>
      <c r="G844" s="664"/>
      <c r="H844" s="664"/>
      <c r="I844" s="664"/>
      <c r="J844" s="664"/>
      <c r="K844" s="664"/>
      <c r="L844" s="664"/>
      <c r="M844" s="739"/>
      <c r="N844" s="739"/>
      <c r="O844" s="664"/>
    </row>
    <row r="845" spans="1:15" x14ac:dyDescent="0.25">
      <c r="A845" s="307"/>
      <c r="B845" s="308"/>
      <c r="C845" s="308"/>
      <c r="D845" s="308"/>
      <c r="E845" s="664"/>
      <c r="F845" s="664"/>
      <c r="G845" s="664"/>
      <c r="H845" s="664"/>
      <c r="I845" s="664"/>
      <c r="J845" s="664"/>
      <c r="K845" s="664"/>
      <c r="L845" s="664"/>
      <c r="M845" s="739"/>
      <c r="N845" s="739"/>
      <c r="O845" s="664"/>
    </row>
    <row r="846" spans="1:15" x14ac:dyDescent="0.25">
      <c r="A846" s="307"/>
      <c r="B846" s="308"/>
      <c r="C846" s="308"/>
      <c r="D846" s="308"/>
      <c r="E846" s="664"/>
      <c r="F846" s="664"/>
      <c r="G846" s="664"/>
      <c r="H846" s="664"/>
      <c r="I846" s="664"/>
      <c r="J846" s="664"/>
      <c r="K846" s="664"/>
      <c r="L846" s="664"/>
      <c r="M846" s="739"/>
      <c r="N846" s="739"/>
      <c r="O846" s="664"/>
    </row>
    <row r="847" spans="1:15" x14ac:dyDescent="0.25">
      <c r="A847" s="307"/>
      <c r="B847" s="308"/>
      <c r="C847" s="308"/>
      <c r="D847" s="308"/>
      <c r="E847" s="664"/>
      <c r="F847" s="664"/>
      <c r="G847" s="664"/>
      <c r="H847" s="664"/>
      <c r="I847" s="664"/>
      <c r="J847" s="664"/>
      <c r="K847" s="664"/>
      <c r="L847" s="664"/>
      <c r="M847" s="739"/>
      <c r="N847" s="739"/>
      <c r="O847" s="664"/>
    </row>
    <row r="848" spans="1:15" x14ac:dyDescent="0.25">
      <c r="A848" s="307"/>
      <c r="B848" s="308"/>
      <c r="C848" s="308"/>
      <c r="D848" s="308"/>
      <c r="E848" s="664"/>
      <c r="F848" s="664"/>
      <c r="G848" s="664"/>
      <c r="H848" s="664"/>
      <c r="I848" s="664"/>
      <c r="J848" s="664"/>
      <c r="K848" s="664"/>
      <c r="L848" s="664"/>
      <c r="M848" s="739"/>
      <c r="N848" s="739"/>
      <c r="O848" s="664"/>
    </row>
    <row r="849" spans="1:15" x14ac:dyDescent="0.25">
      <c r="A849" s="307"/>
      <c r="B849" s="308"/>
      <c r="C849" s="308"/>
      <c r="D849" s="308"/>
      <c r="E849" s="664"/>
      <c r="F849" s="664"/>
      <c r="G849" s="664"/>
      <c r="H849" s="664"/>
      <c r="I849" s="664"/>
      <c r="J849" s="664"/>
      <c r="K849" s="664"/>
      <c r="L849" s="664"/>
      <c r="M849" s="739"/>
      <c r="N849" s="739"/>
      <c r="O849" s="664"/>
    </row>
    <row r="850" spans="1:15" x14ac:dyDescent="0.25">
      <c r="A850" s="307"/>
      <c r="B850" s="308"/>
      <c r="C850" s="308"/>
      <c r="D850" s="308"/>
      <c r="E850" s="664"/>
      <c r="F850" s="664"/>
      <c r="G850" s="664"/>
      <c r="H850" s="664"/>
      <c r="I850" s="664"/>
      <c r="J850" s="664"/>
      <c r="K850" s="664"/>
      <c r="L850" s="664"/>
      <c r="M850" s="739"/>
      <c r="N850" s="739"/>
      <c r="O850" s="664"/>
    </row>
    <row r="851" spans="1:15" x14ac:dyDescent="0.25">
      <c r="A851" s="307"/>
      <c r="B851" s="308"/>
      <c r="C851" s="308"/>
      <c r="D851" s="308"/>
      <c r="E851" s="664"/>
      <c r="F851" s="664"/>
      <c r="G851" s="664"/>
      <c r="H851" s="664"/>
      <c r="I851" s="664"/>
      <c r="J851" s="664"/>
      <c r="K851" s="664"/>
      <c r="L851" s="664"/>
      <c r="M851" s="739"/>
      <c r="N851" s="739"/>
      <c r="O851" s="664"/>
    </row>
    <row r="852" spans="1:15" x14ac:dyDescent="0.25">
      <c r="A852" s="307"/>
      <c r="B852" s="308"/>
      <c r="C852" s="308"/>
      <c r="D852" s="308"/>
      <c r="E852" s="664"/>
      <c r="F852" s="664"/>
      <c r="G852" s="664"/>
      <c r="H852" s="664"/>
      <c r="I852" s="664"/>
      <c r="J852" s="664"/>
      <c r="K852" s="664"/>
      <c r="L852" s="664"/>
      <c r="M852" s="739"/>
      <c r="N852" s="739"/>
      <c r="O852" s="664"/>
    </row>
    <row r="853" spans="1:15" x14ac:dyDescent="0.25">
      <c r="A853" s="307"/>
      <c r="B853" s="308"/>
      <c r="C853" s="308"/>
      <c r="D853" s="308"/>
      <c r="E853" s="664"/>
      <c r="F853" s="664"/>
      <c r="G853" s="664"/>
      <c r="H853" s="664"/>
      <c r="I853" s="664"/>
      <c r="J853" s="664"/>
      <c r="K853" s="664"/>
      <c r="L853" s="664"/>
      <c r="M853" s="739"/>
      <c r="N853" s="739"/>
      <c r="O853" s="664"/>
    </row>
    <row r="854" spans="1:15" x14ac:dyDescent="0.25">
      <c r="A854" s="307"/>
      <c r="B854" s="308"/>
      <c r="C854" s="308"/>
      <c r="D854" s="308"/>
      <c r="E854" s="664"/>
      <c r="F854" s="664"/>
      <c r="G854" s="664"/>
      <c r="H854" s="664"/>
      <c r="I854" s="664"/>
      <c r="J854" s="664"/>
      <c r="K854" s="664"/>
      <c r="L854" s="664"/>
      <c r="M854" s="739"/>
      <c r="N854" s="739"/>
      <c r="O854" s="664"/>
    </row>
    <row r="855" spans="1:15" x14ac:dyDescent="0.25">
      <c r="A855" s="307"/>
      <c r="B855" s="308"/>
      <c r="C855" s="308"/>
      <c r="D855" s="308"/>
      <c r="E855" s="664"/>
      <c r="F855" s="664"/>
      <c r="G855" s="664"/>
      <c r="H855" s="664"/>
      <c r="I855" s="664"/>
      <c r="J855" s="664"/>
      <c r="K855" s="664"/>
      <c r="L855" s="664"/>
      <c r="M855" s="739"/>
      <c r="N855" s="739"/>
      <c r="O855" s="664"/>
    </row>
    <row r="856" spans="1:15" x14ac:dyDescent="0.25">
      <c r="A856" s="307"/>
      <c r="B856" s="308"/>
      <c r="C856" s="308"/>
      <c r="D856" s="308"/>
      <c r="E856" s="664"/>
      <c r="F856" s="664"/>
      <c r="G856" s="664"/>
      <c r="H856" s="664"/>
      <c r="I856" s="664"/>
      <c r="J856" s="664"/>
      <c r="K856" s="664"/>
      <c r="L856" s="664"/>
      <c r="M856" s="739"/>
      <c r="N856" s="739"/>
      <c r="O856" s="664"/>
    </row>
    <row r="857" spans="1:15" x14ac:dyDescent="0.25">
      <c r="A857" s="307"/>
      <c r="B857" s="308"/>
      <c r="C857" s="308"/>
      <c r="D857" s="308"/>
      <c r="E857" s="664"/>
      <c r="F857" s="664"/>
      <c r="G857" s="664"/>
      <c r="H857" s="664"/>
      <c r="I857" s="664"/>
      <c r="J857" s="664"/>
      <c r="K857" s="664"/>
      <c r="L857" s="664"/>
      <c r="M857" s="739"/>
      <c r="N857" s="739"/>
      <c r="O857" s="664"/>
    </row>
    <row r="858" spans="1:15" x14ac:dyDescent="0.25">
      <c r="A858" s="307"/>
      <c r="B858" s="308"/>
      <c r="C858" s="308"/>
      <c r="D858" s="308"/>
      <c r="E858" s="664"/>
      <c r="F858" s="664"/>
      <c r="G858" s="664"/>
      <c r="H858" s="664"/>
      <c r="I858" s="664"/>
      <c r="J858" s="664"/>
      <c r="K858" s="664"/>
      <c r="L858" s="664"/>
      <c r="M858" s="739"/>
      <c r="N858" s="739"/>
      <c r="O858" s="664"/>
    </row>
    <row r="859" spans="1:15" x14ac:dyDescent="0.25">
      <c r="A859" s="307"/>
      <c r="B859" s="308"/>
      <c r="C859" s="308"/>
      <c r="D859" s="308"/>
      <c r="E859" s="664"/>
      <c r="F859" s="664"/>
      <c r="G859" s="664"/>
      <c r="H859" s="664"/>
      <c r="I859" s="664"/>
      <c r="J859" s="664"/>
      <c r="K859" s="664"/>
      <c r="L859" s="664"/>
      <c r="M859" s="739"/>
      <c r="N859" s="739"/>
      <c r="O859" s="664"/>
    </row>
    <row r="860" spans="1:15" x14ac:dyDescent="0.25">
      <c r="A860" s="307"/>
      <c r="B860" s="308"/>
      <c r="C860" s="308"/>
      <c r="D860" s="308"/>
      <c r="E860" s="664"/>
      <c r="F860" s="664"/>
      <c r="G860" s="664"/>
      <c r="H860" s="664"/>
      <c r="I860" s="664"/>
      <c r="J860" s="664"/>
      <c r="K860" s="664"/>
      <c r="L860" s="664"/>
      <c r="M860" s="739"/>
      <c r="N860" s="739"/>
      <c r="O860" s="664"/>
    </row>
    <row r="861" spans="1:15" x14ac:dyDescent="0.25">
      <c r="A861" s="307"/>
      <c r="B861" s="308"/>
      <c r="C861" s="308"/>
      <c r="D861" s="308"/>
      <c r="E861" s="664"/>
      <c r="F861" s="664"/>
      <c r="G861" s="664"/>
      <c r="H861" s="664"/>
      <c r="I861" s="664"/>
      <c r="J861" s="664"/>
      <c r="K861" s="664"/>
      <c r="L861" s="664"/>
      <c r="M861" s="739"/>
      <c r="N861" s="739"/>
      <c r="O861" s="664"/>
    </row>
    <row r="862" spans="1:15" x14ac:dyDescent="0.25">
      <c r="A862" s="307"/>
      <c r="B862" s="308"/>
      <c r="C862" s="308"/>
      <c r="D862" s="308"/>
      <c r="E862" s="664"/>
      <c r="F862" s="664"/>
      <c r="G862" s="664"/>
      <c r="H862" s="664"/>
      <c r="I862" s="664"/>
      <c r="J862" s="664"/>
      <c r="K862" s="664"/>
      <c r="L862" s="664"/>
      <c r="M862" s="739"/>
      <c r="N862" s="739"/>
      <c r="O862" s="664"/>
    </row>
    <row r="863" spans="1:15" x14ac:dyDescent="0.25">
      <c r="A863" s="307"/>
      <c r="B863" s="308"/>
      <c r="C863" s="308"/>
      <c r="D863" s="308"/>
      <c r="E863" s="664"/>
      <c r="F863" s="664"/>
      <c r="G863" s="664"/>
      <c r="H863" s="664"/>
      <c r="I863" s="664"/>
      <c r="J863" s="664"/>
      <c r="K863" s="664"/>
      <c r="L863" s="664"/>
      <c r="M863" s="739"/>
      <c r="N863" s="739"/>
      <c r="O863" s="664"/>
    </row>
    <row r="864" spans="1:15" x14ac:dyDescent="0.25">
      <c r="A864" s="307"/>
      <c r="B864" s="308"/>
      <c r="C864" s="308"/>
      <c r="D864" s="308"/>
      <c r="E864" s="664"/>
      <c r="F864" s="664"/>
      <c r="G864" s="664"/>
      <c r="H864" s="664"/>
      <c r="I864" s="664"/>
      <c r="J864" s="664"/>
      <c r="K864" s="664"/>
      <c r="L864" s="664"/>
      <c r="M864" s="739"/>
      <c r="N864" s="739"/>
      <c r="O864" s="664"/>
    </row>
    <row r="865" spans="1:15" x14ac:dyDescent="0.25">
      <c r="A865" s="307"/>
      <c r="B865" s="308"/>
      <c r="C865" s="308"/>
      <c r="D865" s="308"/>
      <c r="E865" s="664"/>
      <c r="F865" s="664"/>
      <c r="G865" s="664"/>
      <c r="H865" s="664"/>
      <c r="I865" s="664"/>
      <c r="J865" s="664"/>
      <c r="K865" s="664"/>
      <c r="L865" s="664"/>
      <c r="M865" s="739"/>
      <c r="N865" s="739"/>
      <c r="O865" s="664"/>
    </row>
    <row r="866" spans="1:15" x14ac:dyDescent="0.25">
      <c r="A866" s="307"/>
      <c r="B866" s="308"/>
      <c r="C866" s="308"/>
      <c r="D866" s="308"/>
      <c r="E866" s="664"/>
      <c r="F866" s="664"/>
      <c r="G866" s="664"/>
      <c r="H866" s="664"/>
      <c r="I866" s="664"/>
      <c r="J866" s="664"/>
      <c r="K866" s="664"/>
      <c r="L866" s="664"/>
      <c r="M866" s="739"/>
      <c r="N866" s="739"/>
      <c r="O866" s="664"/>
    </row>
    <row r="867" spans="1:15" x14ac:dyDescent="0.25">
      <c r="A867" s="307"/>
      <c r="B867" s="308"/>
      <c r="C867" s="308"/>
      <c r="D867" s="308"/>
      <c r="E867" s="664"/>
      <c r="F867" s="664"/>
      <c r="G867" s="664"/>
      <c r="H867" s="664"/>
      <c r="I867" s="664"/>
      <c r="J867" s="664"/>
      <c r="K867" s="664"/>
      <c r="L867" s="664"/>
      <c r="M867" s="739"/>
      <c r="N867" s="739"/>
      <c r="O867" s="664"/>
    </row>
    <row r="868" spans="1:15" x14ac:dyDescent="0.25">
      <c r="A868" s="307"/>
      <c r="B868" s="308"/>
      <c r="C868" s="308"/>
      <c r="D868" s="308"/>
      <c r="E868" s="664"/>
      <c r="F868" s="664"/>
      <c r="G868" s="664"/>
      <c r="H868" s="664"/>
      <c r="I868" s="664"/>
      <c r="J868" s="664"/>
      <c r="K868" s="664"/>
      <c r="L868" s="664"/>
      <c r="M868" s="739"/>
      <c r="N868" s="739"/>
      <c r="O868" s="664"/>
    </row>
    <row r="869" spans="1:15" x14ac:dyDescent="0.25">
      <c r="A869" s="307"/>
      <c r="B869" s="308"/>
      <c r="C869" s="308"/>
      <c r="D869" s="308"/>
      <c r="E869" s="664"/>
      <c r="F869" s="664"/>
      <c r="G869" s="664"/>
      <c r="H869" s="664"/>
      <c r="I869" s="664"/>
      <c r="J869" s="664"/>
      <c r="K869" s="664"/>
      <c r="L869" s="664"/>
      <c r="M869" s="739"/>
      <c r="N869" s="739"/>
      <c r="O869" s="664"/>
    </row>
    <row r="870" spans="1:15" x14ac:dyDescent="0.25">
      <c r="A870" s="307"/>
      <c r="B870" s="308"/>
      <c r="C870" s="308"/>
      <c r="D870" s="308"/>
      <c r="E870" s="664"/>
      <c r="F870" s="664"/>
      <c r="G870" s="664"/>
      <c r="H870" s="664"/>
      <c r="I870" s="664"/>
      <c r="J870" s="664"/>
      <c r="K870" s="664"/>
      <c r="L870" s="664"/>
      <c r="M870" s="739"/>
      <c r="N870" s="739"/>
      <c r="O870" s="664"/>
    </row>
    <row r="871" spans="1:15" x14ac:dyDescent="0.25">
      <c r="A871" s="307"/>
      <c r="B871" s="308"/>
      <c r="C871" s="308"/>
      <c r="D871" s="308"/>
      <c r="E871" s="664"/>
      <c r="F871" s="664"/>
      <c r="G871" s="664"/>
      <c r="H871" s="664"/>
      <c r="I871" s="664"/>
      <c r="J871" s="664"/>
      <c r="K871" s="664"/>
      <c r="L871" s="664"/>
      <c r="M871" s="739"/>
      <c r="N871" s="739"/>
      <c r="O871" s="664"/>
    </row>
    <row r="872" spans="1:15" x14ac:dyDescent="0.25">
      <c r="A872" s="307"/>
      <c r="B872" s="308"/>
      <c r="C872" s="308"/>
      <c r="D872" s="308"/>
      <c r="E872" s="664"/>
      <c r="F872" s="664"/>
      <c r="G872" s="664"/>
      <c r="H872" s="664"/>
      <c r="I872" s="664"/>
      <c r="J872" s="664"/>
      <c r="K872" s="664"/>
      <c r="L872" s="664"/>
      <c r="M872" s="739"/>
      <c r="N872" s="739"/>
      <c r="O872" s="664"/>
    </row>
    <row r="873" spans="1:15" x14ac:dyDescent="0.25">
      <c r="A873" s="307"/>
      <c r="B873" s="308"/>
      <c r="C873" s="308"/>
      <c r="D873" s="308"/>
      <c r="E873" s="664"/>
      <c r="F873" s="664"/>
      <c r="G873" s="664"/>
      <c r="H873" s="664"/>
      <c r="I873" s="664"/>
      <c r="J873" s="664"/>
      <c r="K873" s="664"/>
      <c r="L873" s="664"/>
      <c r="M873" s="739"/>
      <c r="N873" s="739"/>
      <c r="O873" s="664"/>
    </row>
    <row r="874" spans="1:15" x14ac:dyDescent="0.25">
      <c r="A874" s="307"/>
      <c r="B874" s="308"/>
      <c r="C874" s="308"/>
      <c r="D874" s="308"/>
      <c r="E874" s="664"/>
      <c r="F874" s="664"/>
      <c r="G874" s="664"/>
      <c r="H874" s="664"/>
      <c r="I874" s="664"/>
      <c r="J874" s="664"/>
      <c r="K874" s="664"/>
      <c r="L874" s="664"/>
      <c r="M874" s="739"/>
      <c r="N874" s="739"/>
      <c r="O874" s="664"/>
    </row>
    <row r="875" spans="1:15" x14ac:dyDescent="0.25">
      <c r="A875" s="307"/>
      <c r="B875" s="308"/>
      <c r="C875" s="308"/>
      <c r="D875" s="308"/>
      <c r="E875" s="664"/>
      <c r="F875" s="664"/>
      <c r="G875" s="664"/>
      <c r="H875" s="664"/>
      <c r="I875" s="664"/>
      <c r="J875" s="664"/>
      <c r="K875" s="664"/>
      <c r="L875" s="664"/>
      <c r="M875" s="739"/>
      <c r="N875" s="739"/>
      <c r="O875" s="664"/>
    </row>
    <row r="876" spans="1:15" x14ac:dyDescent="0.25">
      <c r="A876" s="307"/>
      <c r="B876" s="308"/>
      <c r="C876" s="308"/>
      <c r="D876" s="308"/>
      <c r="E876" s="664"/>
      <c r="F876" s="664"/>
      <c r="G876" s="664"/>
      <c r="H876" s="664"/>
      <c r="I876" s="664"/>
      <c r="J876" s="664"/>
      <c r="K876" s="664"/>
      <c r="L876" s="664"/>
      <c r="M876" s="739"/>
      <c r="N876" s="739"/>
      <c r="O876" s="664"/>
    </row>
  </sheetData>
  <mergeCells count="1">
    <mergeCell ref="C1:E1"/>
  </mergeCells>
  <phoneticPr fontId="47" type="noConversion"/>
  <conditionalFormatting sqref="G144">
    <cfRule type="dataBar" priority="2">
      <dataBar>
        <cfvo type="min"/>
        <cfvo type="max"/>
        <color rgb="FF638EC6"/>
      </dataBar>
      <extLst>
        <ext xmlns:x14="http://schemas.microsoft.com/office/spreadsheetml/2009/9/main" uri="{B025F937-C7B1-47D3-B67F-A62EFF666E3E}">
          <x14:id>{4FA80244-CD82-4D7B-8ED1-46006DD56B41}</x14:id>
        </ext>
      </extLst>
    </cfRule>
  </conditionalFormatting>
  <conditionalFormatting sqref="G149">
    <cfRule type="dataBar" priority="1">
      <dataBar>
        <cfvo type="min"/>
        <cfvo type="max"/>
        <color rgb="FF638EC6"/>
      </dataBar>
      <extLst>
        <ext xmlns:x14="http://schemas.microsoft.com/office/spreadsheetml/2009/9/main" uri="{B025F937-C7B1-47D3-B67F-A62EFF666E3E}">
          <x14:id>{1FACBEB4-F5E9-48A5-89F3-D6AD20488DA2}</x14:id>
        </ext>
      </extLst>
    </cfRule>
  </conditionalFormatting>
  <pageMargins left="0.7" right="0.7" top="0.75" bottom="0.75" header="0.3" footer="0.3"/>
  <pageSetup scale="57" orientation="portrait" r:id="rId1"/>
  <colBreaks count="1" manualBreakCount="1">
    <brk id="15" max="1048575" man="1"/>
  </colBreaks>
  <extLst>
    <ext xmlns:x14="http://schemas.microsoft.com/office/spreadsheetml/2009/9/main" uri="{78C0D931-6437-407d-A8EE-F0AAD7539E65}">
      <x14:conditionalFormattings>
        <x14:conditionalFormatting xmlns:xm="http://schemas.microsoft.com/office/excel/2006/main">
          <x14:cfRule type="dataBar" id="{4FA80244-CD82-4D7B-8ED1-46006DD56B41}">
            <x14:dataBar minLength="0" maxLength="100" gradient="0">
              <x14:cfvo type="autoMin"/>
              <x14:cfvo type="autoMax"/>
              <x14:negativeFillColor rgb="FFFF0000"/>
              <x14:axisColor rgb="FF000000"/>
            </x14:dataBar>
          </x14:cfRule>
          <xm:sqref>G144</xm:sqref>
        </x14:conditionalFormatting>
        <x14:conditionalFormatting xmlns:xm="http://schemas.microsoft.com/office/excel/2006/main">
          <x14:cfRule type="dataBar" id="{1FACBEB4-F5E9-48A5-89F3-D6AD20488DA2}">
            <x14:dataBar minLength="0" maxLength="100" gradient="0">
              <x14:cfvo type="autoMin"/>
              <x14:cfvo type="autoMax"/>
              <x14:negativeFillColor rgb="FFFF0000"/>
              <x14:axisColor rgb="FF000000"/>
            </x14:dataBar>
          </x14:cfRule>
          <xm:sqref>G149</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14"/>
  <sheetViews>
    <sheetView view="pageBreakPreview" zoomScale="85" zoomScaleNormal="85" zoomScaleSheetLayoutView="85" workbookViewId="0">
      <selection activeCell="D7" sqref="D7"/>
    </sheetView>
  </sheetViews>
  <sheetFormatPr defaultColWidth="9.21875" defaultRowHeight="13.8" x14ac:dyDescent="0.25"/>
  <cols>
    <col min="1" max="1" width="6.44140625" style="7" customWidth="1"/>
    <col min="2" max="2" width="49.21875" style="6" customWidth="1"/>
    <col min="3" max="3" width="4.6640625" style="8" bestFit="1" customWidth="1"/>
    <col min="4" max="4" width="8.6640625" style="7" bestFit="1" customWidth="1"/>
    <col min="5" max="5" width="14.44140625" style="34" customWidth="1"/>
    <col min="6" max="6" width="14.109375" style="8" bestFit="1" customWidth="1"/>
    <col min="7" max="7" width="9.21875" style="4"/>
    <col min="8" max="8" width="12.44140625" style="4" bestFit="1" customWidth="1"/>
    <col min="9" max="9" width="10" style="4" bestFit="1" customWidth="1"/>
    <col min="10" max="10" width="11" style="4" bestFit="1" customWidth="1"/>
    <col min="11" max="12" width="12.88671875" style="4" bestFit="1" customWidth="1"/>
    <col min="13" max="13" width="11.88671875" style="4" bestFit="1" customWidth="1"/>
    <col min="14" max="14" width="9.21875" style="4"/>
    <col min="15" max="15" width="10.44140625" style="4" bestFit="1" customWidth="1"/>
    <col min="16" max="16384" width="9.21875" style="4"/>
  </cols>
  <sheetData>
    <row r="1" spans="1:6" s="3" customFormat="1" ht="14.4" thickBot="1" x14ac:dyDescent="0.3">
      <c r="A1" s="9" t="s">
        <v>0</v>
      </c>
      <c r="B1" s="10" t="s">
        <v>1</v>
      </c>
      <c r="C1" s="11" t="s">
        <v>2</v>
      </c>
      <c r="D1" s="12" t="s">
        <v>3</v>
      </c>
      <c r="E1" s="30" t="s">
        <v>4</v>
      </c>
      <c r="F1" s="13" t="s">
        <v>5</v>
      </c>
    </row>
    <row r="2" spans="1:6" s="3" customFormat="1" x14ac:dyDescent="0.25">
      <c r="A2" s="656"/>
      <c r="B2" s="196" t="s">
        <v>327</v>
      </c>
      <c r="C2" s="220"/>
      <c r="D2" s="116"/>
      <c r="E2" s="117"/>
      <c r="F2" s="540"/>
    </row>
    <row r="3" spans="1:6" x14ac:dyDescent="0.25">
      <c r="A3" s="542">
        <v>1</v>
      </c>
      <c r="B3" s="122" t="s">
        <v>491</v>
      </c>
      <c r="C3" s="96"/>
      <c r="D3" s="36"/>
      <c r="E3" s="75"/>
      <c r="F3" s="541"/>
    </row>
    <row r="4" spans="1:6" x14ac:dyDescent="0.25">
      <c r="A4" s="542"/>
      <c r="B4" s="122"/>
      <c r="C4" s="96"/>
      <c r="D4" s="36"/>
      <c r="E4" s="75"/>
      <c r="F4" s="541"/>
    </row>
    <row r="5" spans="1:6" x14ac:dyDescent="0.25">
      <c r="A5" s="542">
        <f>A3+0.01</f>
        <v>1.01</v>
      </c>
      <c r="B5" s="95" t="s">
        <v>1028</v>
      </c>
      <c r="C5" s="96">
        <v>1</v>
      </c>
      <c r="D5" s="202" t="s">
        <v>493</v>
      </c>
      <c r="E5" s="75"/>
      <c r="F5" s="541"/>
    </row>
    <row r="6" spans="1:6" x14ac:dyDescent="0.25">
      <c r="A6" s="542"/>
      <c r="B6" s="95"/>
      <c r="C6" s="96"/>
      <c r="D6" s="202"/>
      <c r="E6" s="75"/>
      <c r="F6" s="541"/>
    </row>
    <row r="7" spans="1:6" ht="27.6" x14ac:dyDescent="0.25">
      <c r="A7" s="542">
        <f>A5+0.01</f>
        <v>1.02</v>
      </c>
      <c r="B7" s="95" t="s">
        <v>1034</v>
      </c>
      <c r="C7" s="96">
        <v>1</v>
      </c>
      <c r="D7" s="202" t="s">
        <v>493</v>
      </c>
      <c r="E7" s="75"/>
      <c r="F7" s="541"/>
    </row>
    <row r="8" spans="1:6" x14ac:dyDescent="0.25">
      <c r="A8" s="542"/>
      <c r="B8" s="95"/>
      <c r="C8" s="96"/>
      <c r="D8" s="202"/>
      <c r="E8" s="75"/>
      <c r="F8" s="541"/>
    </row>
    <row r="9" spans="1:6" x14ac:dyDescent="0.25">
      <c r="A9" s="542"/>
      <c r="B9" s="95"/>
      <c r="C9" s="96"/>
      <c r="D9" s="202"/>
      <c r="E9" s="75"/>
      <c r="F9" s="541"/>
    </row>
    <row r="10" spans="1:6" x14ac:dyDescent="0.25">
      <c r="A10" s="542"/>
      <c r="B10" s="95"/>
      <c r="C10" s="96"/>
      <c r="D10" s="202"/>
      <c r="E10" s="75"/>
      <c r="F10" s="541"/>
    </row>
    <row r="11" spans="1:6" x14ac:dyDescent="0.25">
      <c r="A11" s="542"/>
      <c r="B11" s="95"/>
      <c r="C11" s="96"/>
      <c r="D11" s="202"/>
      <c r="E11" s="75"/>
      <c r="F11" s="541"/>
    </row>
    <row r="12" spans="1:6" x14ac:dyDescent="0.25">
      <c r="A12" s="542"/>
      <c r="B12" s="95"/>
      <c r="C12" s="96"/>
      <c r="D12" s="202"/>
      <c r="E12" s="75"/>
      <c r="F12" s="541"/>
    </row>
    <row r="13" spans="1:6" ht="14.4" thickBot="1" x14ac:dyDescent="0.3">
      <c r="A13" s="545"/>
      <c r="B13" s="221"/>
      <c r="C13" s="199"/>
      <c r="D13" s="200"/>
      <c r="E13" s="201"/>
      <c r="F13" s="546"/>
    </row>
    <row r="14" spans="1:6" s="3" customFormat="1" ht="14.4" customHeight="1" thickBot="1" x14ac:dyDescent="0.3">
      <c r="A14" s="657"/>
      <c r="B14" s="1512" t="s">
        <v>492</v>
      </c>
      <c r="C14" s="1513"/>
      <c r="D14" s="1513"/>
      <c r="E14" s="1514"/>
      <c r="F14" s="658">
        <f>SUM(F4:F13)</f>
        <v>0</v>
      </c>
    </row>
  </sheetData>
  <mergeCells count="1">
    <mergeCell ref="B14:E14"/>
  </mergeCells>
  <pageMargins left="0.5" right="0.5" top="0.25" bottom="0.25" header="0.5" footer="0.5"/>
  <pageSetup orientation="portrait" r:id="rId1"/>
  <headerFooter alignWithMargins="0">
    <oddFooter>&amp;C&amp;P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Y133"/>
  <sheetViews>
    <sheetView view="pageBreakPreview" topLeftCell="A91" zoomScale="99" zoomScaleNormal="100" zoomScaleSheetLayoutView="99" workbookViewId="0">
      <selection activeCell="D7" sqref="D7"/>
    </sheetView>
  </sheetViews>
  <sheetFormatPr defaultRowHeight="13.8" x14ac:dyDescent="0.25"/>
  <cols>
    <col min="1" max="1" width="7.109375" style="352" customWidth="1"/>
    <col min="2" max="2" width="47" style="353" customWidth="1"/>
    <col min="3" max="3" width="5.109375" style="351" bestFit="1" customWidth="1"/>
    <col min="4" max="4" width="6" style="354" bestFit="1" customWidth="1"/>
    <col min="5" max="5" width="11.5546875" style="349" bestFit="1" customWidth="1"/>
    <col min="6" max="6" width="12.88671875" style="444" bestFit="1" customWidth="1"/>
    <col min="7" max="8" width="18.5546875" style="334" customWidth="1"/>
    <col min="9" max="250" width="8.88671875" style="334"/>
    <col min="251" max="251" width="3" style="334" customWidth="1"/>
    <col min="252" max="252" width="4.33203125" style="334" customWidth="1"/>
    <col min="253" max="253" width="39.44140625" style="334" customWidth="1"/>
    <col min="254" max="254" width="8.88671875" style="334" customWidth="1"/>
    <col min="255" max="255" width="10.44140625" style="334" customWidth="1"/>
    <col min="256" max="256" width="12.33203125" style="334" customWidth="1"/>
    <col min="257" max="257" width="14.88671875" style="334" customWidth="1"/>
    <col min="258" max="258" width="8.88671875" style="334"/>
    <col min="259" max="259" width="14.33203125" style="334" customWidth="1"/>
    <col min="260" max="260" width="8.88671875" style="334"/>
    <col min="261" max="261" width="10.44140625" style="334" customWidth="1"/>
    <col min="262" max="506" width="8.88671875" style="334"/>
    <col min="507" max="507" width="3" style="334" customWidth="1"/>
    <col min="508" max="508" width="4.33203125" style="334" customWidth="1"/>
    <col min="509" max="509" width="39.44140625" style="334" customWidth="1"/>
    <col min="510" max="510" width="8.88671875" style="334" customWidth="1"/>
    <col min="511" max="511" width="10.44140625" style="334" customWidth="1"/>
    <col min="512" max="512" width="12.33203125" style="334" customWidth="1"/>
    <col min="513" max="513" width="14.88671875" style="334" customWidth="1"/>
    <col min="514" max="514" width="8.88671875" style="334"/>
    <col min="515" max="515" width="14.33203125" style="334" customWidth="1"/>
    <col min="516" max="516" width="8.88671875" style="334"/>
    <col min="517" max="517" width="10.44140625" style="334" customWidth="1"/>
    <col min="518" max="762" width="8.88671875" style="334"/>
    <col min="763" max="763" width="3" style="334" customWidth="1"/>
    <col min="764" max="764" width="4.33203125" style="334" customWidth="1"/>
    <col min="765" max="765" width="39.44140625" style="334" customWidth="1"/>
    <col min="766" max="766" width="8.88671875" style="334" customWidth="1"/>
    <col min="767" max="767" width="10.44140625" style="334" customWidth="1"/>
    <col min="768" max="768" width="12.33203125" style="334" customWidth="1"/>
    <col min="769" max="769" width="14.88671875" style="334" customWidth="1"/>
    <col min="770" max="770" width="8.88671875" style="334"/>
    <col min="771" max="771" width="14.33203125" style="334" customWidth="1"/>
    <col min="772" max="772" width="8.88671875" style="334"/>
    <col min="773" max="773" width="10.44140625" style="334" customWidth="1"/>
    <col min="774" max="1018" width="8.88671875" style="334"/>
    <col min="1019" max="1019" width="3" style="334" customWidth="1"/>
    <col min="1020" max="1020" width="4.33203125" style="334" customWidth="1"/>
    <col min="1021" max="1021" width="39.44140625" style="334" customWidth="1"/>
    <col min="1022" max="1022" width="8.88671875" style="334" customWidth="1"/>
    <col min="1023" max="1023" width="10.44140625" style="334" customWidth="1"/>
    <col min="1024" max="1024" width="12.33203125" style="334" customWidth="1"/>
    <col min="1025" max="1025" width="14.88671875" style="334" customWidth="1"/>
    <col min="1026" max="1026" width="8.88671875" style="334"/>
    <col min="1027" max="1027" width="14.33203125" style="334" customWidth="1"/>
    <col min="1028" max="1028" width="8.88671875" style="334"/>
    <col min="1029" max="1029" width="10.44140625" style="334" customWidth="1"/>
    <col min="1030" max="1274" width="8.88671875" style="334"/>
    <col min="1275" max="1275" width="3" style="334" customWidth="1"/>
    <col min="1276" max="1276" width="4.33203125" style="334" customWidth="1"/>
    <col min="1277" max="1277" width="39.44140625" style="334" customWidth="1"/>
    <col min="1278" max="1278" width="8.88671875" style="334" customWidth="1"/>
    <col min="1279" max="1279" width="10.44140625" style="334" customWidth="1"/>
    <col min="1280" max="1280" width="12.33203125" style="334" customWidth="1"/>
    <col min="1281" max="1281" width="14.88671875" style="334" customWidth="1"/>
    <col min="1282" max="1282" width="8.88671875" style="334"/>
    <col min="1283" max="1283" width="14.33203125" style="334" customWidth="1"/>
    <col min="1284" max="1284" width="8.88671875" style="334"/>
    <col min="1285" max="1285" width="10.44140625" style="334" customWidth="1"/>
    <col min="1286" max="1530" width="8.88671875" style="334"/>
    <col min="1531" max="1531" width="3" style="334" customWidth="1"/>
    <col min="1532" max="1532" width="4.33203125" style="334" customWidth="1"/>
    <col min="1533" max="1533" width="39.44140625" style="334" customWidth="1"/>
    <col min="1534" max="1534" width="8.88671875" style="334" customWidth="1"/>
    <col min="1535" max="1535" width="10.44140625" style="334" customWidth="1"/>
    <col min="1536" max="1536" width="12.33203125" style="334" customWidth="1"/>
    <col min="1537" max="1537" width="14.88671875" style="334" customWidth="1"/>
    <col min="1538" max="1538" width="8.88671875" style="334"/>
    <col min="1539" max="1539" width="14.33203125" style="334" customWidth="1"/>
    <col min="1540" max="1540" width="8.88671875" style="334"/>
    <col min="1541" max="1541" width="10.44140625" style="334" customWidth="1"/>
    <col min="1542" max="1786" width="8.88671875" style="334"/>
    <col min="1787" max="1787" width="3" style="334" customWidth="1"/>
    <col min="1788" max="1788" width="4.33203125" style="334" customWidth="1"/>
    <col min="1789" max="1789" width="39.44140625" style="334" customWidth="1"/>
    <col min="1790" max="1790" width="8.88671875" style="334" customWidth="1"/>
    <col min="1791" max="1791" width="10.44140625" style="334" customWidth="1"/>
    <col min="1792" max="1792" width="12.33203125" style="334" customWidth="1"/>
    <col min="1793" max="1793" width="14.88671875" style="334" customWidth="1"/>
    <col min="1794" max="1794" width="8.88671875" style="334"/>
    <col min="1795" max="1795" width="14.33203125" style="334" customWidth="1"/>
    <col min="1796" max="1796" width="8.88671875" style="334"/>
    <col min="1797" max="1797" width="10.44140625" style="334" customWidth="1"/>
    <col min="1798" max="2042" width="8.88671875" style="334"/>
    <col min="2043" max="2043" width="3" style="334" customWidth="1"/>
    <col min="2044" max="2044" width="4.33203125" style="334" customWidth="1"/>
    <col min="2045" max="2045" width="39.44140625" style="334" customWidth="1"/>
    <col min="2046" max="2046" width="8.88671875" style="334" customWidth="1"/>
    <col min="2047" max="2047" width="10.44140625" style="334" customWidth="1"/>
    <col min="2048" max="2048" width="12.33203125" style="334" customWidth="1"/>
    <col min="2049" max="2049" width="14.88671875" style="334" customWidth="1"/>
    <col min="2050" max="2050" width="8.88671875" style="334"/>
    <col min="2051" max="2051" width="14.33203125" style="334" customWidth="1"/>
    <col min="2052" max="2052" width="8.88671875" style="334"/>
    <col min="2053" max="2053" width="10.44140625" style="334" customWidth="1"/>
    <col min="2054" max="2298" width="8.88671875" style="334"/>
    <col min="2299" max="2299" width="3" style="334" customWidth="1"/>
    <col min="2300" max="2300" width="4.33203125" style="334" customWidth="1"/>
    <col min="2301" max="2301" width="39.44140625" style="334" customWidth="1"/>
    <col min="2302" max="2302" width="8.88671875" style="334" customWidth="1"/>
    <col min="2303" max="2303" width="10.44140625" style="334" customWidth="1"/>
    <col min="2304" max="2304" width="12.33203125" style="334" customWidth="1"/>
    <col min="2305" max="2305" width="14.88671875" style="334" customWidth="1"/>
    <col min="2306" max="2306" width="8.88671875" style="334"/>
    <col min="2307" max="2307" width="14.33203125" style="334" customWidth="1"/>
    <col min="2308" max="2308" width="8.88671875" style="334"/>
    <col min="2309" max="2309" width="10.44140625" style="334" customWidth="1"/>
    <col min="2310" max="2554" width="8.88671875" style="334"/>
    <col min="2555" max="2555" width="3" style="334" customWidth="1"/>
    <col min="2556" max="2556" width="4.33203125" style="334" customWidth="1"/>
    <col min="2557" max="2557" width="39.44140625" style="334" customWidth="1"/>
    <col min="2558" max="2558" width="8.88671875" style="334" customWidth="1"/>
    <col min="2559" max="2559" width="10.44140625" style="334" customWidth="1"/>
    <col min="2560" max="2560" width="12.33203125" style="334" customWidth="1"/>
    <col min="2561" max="2561" width="14.88671875" style="334" customWidth="1"/>
    <col min="2562" max="2562" width="8.88671875" style="334"/>
    <col min="2563" max="2563" width="14.33203125" style="334" customWidth="1"/>
    <col min="2564" max="2564" width="8.88671875" style="334"/>
    <col min="2565" max="2565" width="10.44140625" style="334" customWidth="1"/>
    <col min="2566" max="2810" width="8.88671875" style="334"/>
    <col min="2811" max="2811" width="3" style="334" customWidth="1"/>
    <col min="2812" max="2812" width="4.33203125" style="334" customWidth="1"/>
    <col min="2813" max="2813" width="39.44140625" style="334" customWidth="1"/>
    <col min="2814" max="2814" width="8.88671875" style="334" customWidth="1"/>
    <col min="2815" max="2815" width="10.44140625" style="334" customWidth="1"/>
    <col min="2816" max="2816" width="12.33203125" style="334" customWidth="1"/>
    <col min="2817" max="2817" width="14.88671875" style="334" customWidth="1"/>
    <col min="2818" max="2818" width="8.88671875" style="334"/>
    <col min="2819" max="2819" width="14.33203125" style="334" customWidth="1"/>
    <col min="2820" max="2820" width="8.88671875" style="334"/>
    <col min="2821" max="2821" width="10.44140625" style="334" customWidth="1"/>
    <col min="2822" max="3066" width="8.88671875" style="334"/>
    <col min="3067" max="3067" width="3" style="334" customWidth="1"/>
    <col min="3068" max="3068" width="4.33203125" style="334" customWidth="1"/>
    <col min="3069" max="3069" width="39.44140625" style="334" customWidth="1"/>
    <col min="3070" max="3070" width="8.88671875" style="334" customWidth="1"/>
    <col min="3071" max="3071" width="10.44140625" style="334" customWidth="1"/>
    <col min="3072" max="3072" width="12.33203125" style="334" customWidth="1"/>
    <col min="3073" max="3073" width="14.88671875" style="334" customWidth="1"/>
    <col min="3074" max="3074" width="8.88671875" style="334"/>
    <col min="3075" max="3075" width="14.33203125" style="334" customWidth="1"/>
    <col min="3076" max="3076" width="8.88671875" style="334"/>
    <col min="3077" max="3077" width="10.44140625" style="334" customWidth="1"/>
    <col min="3078" max="3322" width="8.88671875" style="334"/>
    <col min="3323" max="3323" width="3" style="334" customWidth="1"/>
    <col min="3324" max="3324" width="4.33203125" style="334" customWidth="1"/>
    <col min="3325" max="3325" width="39.44140625" style="334" customWidth="1"/>
    <col min="3326" max="3326" width="8.88671875" style="334" customWidth="1"/>
    <col min="3327" max="3327" width="10.44140625" style="334" customWidth="1"/>
    <col min="3328" max="3328" width="12.33203125" style="334" customWidth="1"/>
    <col min="3329" max="3329" width="14.88671875" style="334" customWidth="1"/>
    <col min="3330" max="3330" width="8.88671875" style="334"/>
    <col min="3331" max="3331" width="14.33203125" style="334" customWidth="1"/>
    <col min="3332" max="3332" width="8.88671875" style="334"/>
    <col min="3333" max="3333" width="10.44140625" style="334" customWidth="1"/>
    <col min="3334" max="3578" width="8.88671875" style="334"/>
    <col min="3579" max="3579" width="3" style="334" customWidth="1"/>
    <col min="3580" max="3580" width="4.33203125" style="334" customWidth="1"/>
    <col min="3581" max="3581" width="39.44140625" style="334" customWidth="1"/>
    <col min="3582" max="3582" width="8.88671875" style="334" customWidth="1"/>
    <col min="3583" max="3583" width="10.44140625" style="334" customWidth="1"/>
    <col min="3584" max="3584" width="12.33203125" style="334" customWidth="1"/>
    <col min="3585" max="3585" width="14.88671875" style="334" customWidth="1"/>
    <col min="3586" max="3586" width="8.88671875" style="334"/>
    <col min="3587" max="3587" width="14.33203125" style="334" customWidth="1"/>
    <col min="3588" max="3588" width="8.88671875" style="334"/>
    <col min="3589" max="3589" width="10.44140625" style="334" customWidth="1"/>
    <col min="3590" max="3834" width="8.88671875" style="334"/>
    <col min="3835" max="3835" width="3" style="334" customWidth="1"/>
    <col min="3836" max="3836" width="4.33203125" style="334" customWidth="1"/>
    <col min="3837" max="3837" width="39.44140625" style="334" customWidth="1"/>
    <col min="3838" max="3838" width="8.88671875" style="334" customWidth="1"/>
    <col min="3839" max="3839" width="10.44140625" style="334" customWidth="1"/>
    <col min="3840" max="3840" width="12.33203125" style="334" customWidth="1"/>
    <col min="3841" max="3841" width="14.88671875" style="334" customWidth="1"/>
    <col min="3842" max="3842" width="8.88671875" style="334"/>
    <col min="3843" max="3843" width="14.33203125" style="334" customWidth="1"/>
    <col min="3844" max="3844" width="8.88671875" style="334"/>
    <col min="3845" max="3845" width="10.44140625" style="334" customWidth="1"/>
    <col min="3846" max="4090" width="8.88671875" style="334"/>
    <col min="4091" max="4091" width="3" style="334" customWidth="1"/>
    <col min="4092" max="4092" width="4.33203125" style="334" customWidth="1"/>
    <col min="4093" max="4093" width="39.44140625" style="334" customWidth="1"/>
    <col min="4094" max="4094" width="8.88671875" style="334" customWidth="1"/>
    <col min="4095" max="4095" width="10.44140625" style="334" customWidth="1"/>
    <col min="4096" max="4096" width="12.33203125" style="334" customWidth="1"/>
    <col min="4097" max="4097" width="14.88671875" style="334" customWidth="1"/>
    <col min="4098" max="4098" width="8.88671875" style="334"/>
    <col min="4099" max="4099" width="14.33203125" style="334" customWidth="1"/>
    <col min="4100" max="4100" width="8.88671875" style="334"/>
    <col min="4101" max="4101" width="10.44140625" style="334" customWidth="1"/>
    <col min="4102" max="4346" width="8.88671875" style="334"/>
    <col min="4347" max="4347" width="3" style="334" customWidth="1"/>
    <col min="4348" max="4348" width="4.33203125" style="334" customWidth="1"/>
    <col min="4349" max="4349" width="39.44140625" style="334" customWidth="1"/>
    <col min="4350" max="4350" width="8.88671875" style="334" customWidth="1"/>
    <col min="4351" max="4351" width="10.44140625" style="334" customWidth="1"/>
    <col min="4352" max="4352" width="12.33203125" style="334" customWidth="1"/>
    <col min="4353" max="4353" width="14.88671875" style="334" customWidth="1"/>
    <col min="4354" max="4354" width="8.88671875" style="334"/>
    <col min="4355" max="4355" width="14.33203125" style="334" customWidth="1"/>
    <col min="4356" max="4356" width="8.88671875" style="334"/>
    <col min="4357" max="4357" width="10.44140625" style="334" customWidth="1"/>
    <col min="4358" max="4602" width="8.88671875" style="334"/>
    <col min="4603" max="4603" width="3" style="334" customWidth="1"/>
    <col min="4604" max="4604" width="4.33203125" style="334" customWidth="1"/>
    <col min="4605" max="4605" width="39.44140625" style="334" customWidth="1"/>
    <col min="4606" max="4606" width="8.88671875" style="334" customWidth="1"/>
    <col min="4607" max="4607" width="10.44140625" style="334" customWidth="1"/>
    <col min="4608" max="4608" width="12.33203125" style="334" customWidth="1"/>
    <col min="4609" max="4609" width="14.88671875" style="334" customWidth="1"/>
    <col min="4610" max="4610" width="8.88671875" style="334"/>
    <col min="4611" max="4611" width="14.33203125" style="334" customWidth="1"/>
    <col min="4612" max="4612" width="8.88671875" style="334"/>
    <col min="4613" max="4613" width="10.44140625" style="334" customWidth="1"/>
    <col min="4614" max="4858" width="8.88671875" style="334"/>
    <col min="4859" max="4859" width="3" style="334" customWidth="1"/>
    <col min="4860" max="4860" width="4.33203125" style="334" customWidth="1"/>
    <col min="4861" max="4861" width="39.44140625" style="334" customWidth="1"/>
    <col min="4862" max="4862" width="8.88671875" style="334" customWidth="1"/>
    <col min="4863" max="4863" width="10.44140625" style="334" customWidth="1"/>
    <col min="4864" max="4864" width="12.33203125" style="334" customWidth="1"/>
    <col min="4865" max="4865" width="14.88671875" style="334" customWidth="1"/>
    <col min="4866" max="4866" width="8.88671875" style="334"/>
    <col min="4867" max="4867" width="14.33203125" style="334" customWidth="1"/>
    <col min="4868" max="4868" width="8.88671875" style="334"/>
    <col min="4869" max="4869" width="10.44140625" style="334" customWidth="1"/>
    <col min="4870" max="5114" width="8.88671875" style="334"/>
    <col min="5115" max="5115" width="3" style="334" customWidth="1"/>
    <col min="5116" max="5116" width="4.33203125" style="334" customWidth="1"/>
    <col min="5117" max="5117" width="39.44140625" style="334" customWidth="1"/>
    <col min="5118" max="5118" width="8.88671875" style="334" customWidth="1"/>
    <col min="5119" max="5119" width="10.44140625" style="334" customWidth="1"/>
    <col min="5120" max="5120" width="12.33203125" style="334" customWidth="1"/>
    <col min="5121" max="5121" width="14.88671875" style="334" customWidth="1"/>
    <col min="5122" max="5122" width="8.88671875" style="334"/>
    <col min="5123" max="5123" width="14.33203125" style="334" customWidth="1"/>
    <col min="5124" max="5124" width="8.88671875" style="334"/>
    <col min="5125" max="5125" width="10.44140625" style="334" customWidth="1"/>
    <col min="5126" max="5370" width="8.88671875" style="334"/>
    <col min="5371" max="5371" width="3" style="334" customWidth="1"/>
    <col min="5372" max="5372" width="4.33203125" style="334" customWidth="1"/>
    <col min="5373" max="5373" width="39.44140625" style="334" customWidth="1"/>
    <col min="5374" max="5374" width="8.88671875" style="334" customWidth="1"/>
    <col min="5375" max="5375" width="10.44140625" style="334" customWidth="1"/>
    <col min="5376" max="5376" width="12.33203125" style="334" customWidth="1"/>
    <col min="5377" max="5377" width="14.88671875" style="334" customWidth="1"/>
    <col min="5378" max="5378" width="8.88671875" style="334"/>
    <col min="5379" max="5379" width="14.33203125" style="334" customWidth="1"/>
    <col min="5380" max="5380" width="8.88671875" style="334"/>
    <col min="5381" max="5381" width="10.44140625" style="334" customWidth="1"/>
    <col min="5382" max="5626" width="8.88671875" style="334"/>
    <col min="5627" max="5627" width="3" style="334" customWidth="1"/>
    <col min="5628" max="5628" width="4.33203125" style="334" customWidth="1"/>
    <col min="5629" max="5629" width="39.44140625" style="334" customWidth="1"/>
    <col min="5630" max="5630" width="8.88671875" style="334" customWidth="1"/>
    <col min="5631" max="5631" width="10.44140625" style="334" customWidth="1"/>
    <col min="5632" max="5632" width="12.33203125" style="334" customWidth="1"/>
    <col min="5633" max="5633" width="14.88671875" style="334" customWidth="1"/>
    <col min="5634" max="5634" width="8.88671875" style="334"/>
    <col min="5635" max="5635" width="14.33203125" style="334" customWidth="1"/>
    <col min="5636" max="5636" width="8.88671875" style="334"/>
    <col min="5637" max="5637" width="10.44140625" style="334" customWidth="1"/>
    <col min="5638" max="5882" width="8.88671875" style="334"/>
    <col min="5883" max="5883" width="3" style="334" customWidth="1"/>
    <col min="5884" max="5884" width="4.33203125" style="334" customWidth="1"/>
    <col min="5885" max="5885" width="39.44140625" style="334" customWidth="1"/>
    <col min="5886" max="5886" width="8.88671875" style="334" customWidth="1"/>
    <col min="5887" max="5887" width="10.44140625" style="334" customWidth="1"/>
    <col min="5888" max="5888" width="12.33203125" style="334" customWidth="1"/>
    <col min="5889" max="5889" width="14.88671875" style="334" customWidth="1"/>
    <col min="5890" max="5890" width="8.88671875" style="334"/>
    <col min="5891" max="5891" width="14.33203125" style="334" customWidth="1"/>
    <col min="5892" max="5892" width="8.88671875" style="334"/>
    <col min="5893" max="5893" width="10.44140625" style="334" customWidth="1"/>
    <col min="5894" max="6138" width="8.88671875" style="334"/>
    <col min="6139" max="6139" width="3" style="334" customWidth="1"/>
    <col min="6140" max="6140" width="4.33203125" style="334" customWidth="1"/>
    <col min="6141" max="6141" width="39.44140625" style="334" customWidth="1"/>
    <col min="6142" max="6142" width="8.88671875" style="334" customWidth="1"/>
    <col min="6143" max="6143" width="10.44140625" style="334" customWidth="1"/>
    <col min="6144" max="6144" width="12.33203125" style="334" customWidth="1"/>
    <col min="6145" max="6145" width="14.88671875" style="334" customWidth="1"/>
    <col min="6146" max="6146" width="8.88671875" style="334"/>
    <col min="6147" max="6147" width="14.33203125" style="334" customWidth="1"/>
    <col min="6148" max="6148" width="8.88671875" style="334"/>
    <col min="6149" max="6149" width="10.44140625" style="334" customWidth="1"/>
    <col min="6150" max="6394" width="8.88671875" style="334"/>
    <col min="6395" max="6395" width="3" style="334" customWidth="1"/>
    <col min="6396" max="6396" width="4.33203125" style="334" customWidth="1"/>
    <col min="6397" max="6397" width="39.44140625" style="334" customWidth="1"/>
    <col min="6398" max="6398" width="8.88671875" style="334" customWidth="1"/>
    <col min="6399" max="6399" width="10.44140625" style="334" customWidth="1"/>
    <col min="6400" max="6400" width="12.33203125" style="334" customWidth="1"/>
    <col min="6401" max="6401" width="14.88671875" style="334" customWidth="1"/>
    <col min="6402" max="6402" width="8.88671875" style="334"/>
    <col min="6403" max="6403" width="14.33203125" style="334" customWidth="1"/>
    <col min="6404" max="6404" width="8.88671875" style="334"/>
    <col min="6405" max="6405" width="10.44140625" style="334" customWidth="1"/>
    <col min="6406" max="6650" width="8.88671875" style="334"/>
    <col min="6651" max="6651" width="3" style="334" customWidth="1"/>
    <col min="6652" max="6652" width="4.33203125" style="334" customWidth="1"/>
    <col min="6653" max="6653" width="39.44140625" style="334" customWidth="1"/>
    <col min="6654" max="6654" width="8.88671875" style="334" customWidth="1"/>
    <col min="6655" max="6655" width="10.44140625" style="334" customWidth="1"/>
    <col min="6656" max="6656" width="12.33203125" style="334" customWidth="1"/>
    <col min="6657" max="6657" width="14.88671875" style="334" customWidth="1"/>
    <col min="6658" max="6658" width="8.88671875" style="334"/>
    <col min="6659" max="6659" width="14.33203125" style="334" customWidth="1"/>
    <col min="6660" max="6660" width="8.88671875" style="334"/>
    <col min="6661" max="6661" width="10.44140625" style="334" customWidth="1"/>
    <col min="6662" max="6906" width="8.88671875" style="334"/>
    <col min="6907" max="6907" width="3" style="334" customWidth="1"/>
    <col min="6908" max="6908" width="4.33203125" style="334" customWidth="1"/>
    <col min="6909" max="6909" width="39.44140625" style="334" customWidth="1"/>
    <col min="6910" max="6910" width="8.88671875" style="334" customWidth="1"/>
    <col min="6911" max="6911" width="10.44140625" style="334" customWidth="1"/>
    <col min="6912" max="6912" width="12.33203125" style="334" customWidth="1"/>
    <col min="6913" max="6913" width="14.88671875" style="334" customWidth="1"/>
    <col min="6914" max="6914" width="8.88671875" style="334"/>
    <col min="6915" max="6915" width="14.33203125" style="334" customWidth="1"/>
    <col min="6916" max="6916" width="8.88671875" style="334"/>
    <col min="6917" max="6917" width="10.44140625" style="334" customWidth="1"/>
    <col min="6918" max="7162" width="8.88671875" style="334"/>
    <col min="7163" max="7163" width="3" style="334" customWidth="1"/>
    <col min="7164" max="7164" width="4.33203125" style="334" customWidth="1"/>
    <col min="7165" max="7165" width="39.44140625" style="334" customWidth="1"/>
    <col min="7166" max="7166" width="8.88671875" style="334" customWidth="1"/>
    <col min="7167" max="7167" width="10.44140625" style="334" customWidth="1"/>
    <col min="7168" max="7168" width="12.33203125" style="334" customWidth="1"/>
    <col min="7169" max="7169" width="14.88671875" style="334" customWidth="1"/>
    <col min="7170" max="7170" width="8.88671875" style="334"/>
    <col min="7171" max="7171" width="14.33203125" style="334" customWidth="1"/>
    <col min="7172" max="7172" width="8.88671875" style="334"/>
    <col min="7173" max="7173" width="10.44140625" style="334" customWidth="1"/>
    <col min="7174" max="7418" width="8.88671875" style="334"/>
    <col min="7419" max="7419" width="3" style="334" customWidth="1"/>
    <col min="7420" max="7420" width="4.33203125" style="334" customWidth="1"/>
    <col min="7421" max="7421" width="39.44140625" style="334" customWidth="1"/>
    <col min="7422" max="7422" width="8.88671875" style="334" customWidth="1"/>
    <col min="7423" max="7423" width="10.44140625" style="334" customWidth="1"/>
    <col min="7424" max="7424" width="12.33203125" style="334" customWidth="1"/>
    <col min="7425" max="7425" width="14.88671875" style="334" customWidth="1"/>
    <col min="7426" max="7426" width="8.88671875" style="334"/>
    <col min="7427" max="7427" width="14.33203125" style="334" customWidth="1"/>
    <col min="7428" max="7428" width="8.88671875" style="334"/>
    <col min="7429" max="7429" width="10.44140625" style="334" customWidth="1"/>
    <col min="7430" max="7674" width="8.88671875" style="334"/>
    <col min="7675" max="7675" width="3" style="334" customWidth="1"/>
    <col min="7676" max="7676" width="4.33203125" style="334" customWidth="1"/>
    <col min="7677" max="7677" width="39.44140625" style="334" customWidth="1"/>
    <col min="7678" max="7678" width="8.88671875" style="334" customWidth="1"/>
    <col min="7679" max="7679" width="10.44140625" style="334" customWidth="1"/>
    <col min="7680" max="7680" width="12.33203125" style="334" customWidth="1"/>
    <col min="7681" max="7681" width="14.88671875" style="334" customWidth="1"/>
    <col min="7682" max="7682" width="8.88671875" style="334"/>
    <col min="7683" max="7683" width="14.33203125" style="334" customWidth="1"/>
    <col min="7684" max="7684" width="8.88671875" style="334"/>
    <col min="7685" max="7685" width="10.44140625" style="334" customWidth="1"/>
    <col min="7686" max="7930" width="8.88671875" style="334"/>
    <col min="7931" max="7931" width="3" style="334" customWidth="1"/>
    <col min="7932" max="7932" width="4.33203125" style="334" customWidth="1"/>
    <col min="7933" max="7933" width="39.44140625" style="334" customWidth="1"/>
    <col min="7934" max="7934" width="8.88671875" style="334" customWidth="1"/>
    <col min="7935" max="7935" width="10.44140625" style="334" customWidth="1"/>
    <col min="7936" max="7936" width="12.33203125" style="334" customWidth="1"/>
    <col min="7937" max="7937" width="14.88671875" style="334" customWidth="1"/>
    <col min="7938" max="7938" width="8.88671875" style="334"/>
    <col min="7939" max="7939" width="14.33203125" style="334" customWidth="1"/>
    <col min="7940" max="7940" width="8.88671875" style="334"/>
    <col min="7941" max="7941" width="10.44140625" style="334" customWidth="1"/>
    <col min="7942" max="8186" width="8.88671875" style="334"/>
    <col min="8187" max="8187" width="3" style="334" customWidth="1"/>
    <col min="8188" max="8188" width="4.33203125" style="334" customWidth="1"/>
    <col min="8189" max="8189" width="39.44140625" style="334" customWidth="1"/>
    <col min="8190" max="8190" width="8.88671875" style="334" customWidth="1"/>
    <col min="8191" max="8191" width="10.44140625" style="334" customWidth="1"/>
    <col min="8192" max="8192" width="12.33203125" style="334" customWidth="1"/>
    <col min="8193" max="8193" width="14.88671875" style="334" customWidth="1"/>
    <col min="8194" max="8194" width="8.88671875" style="334"/>
    <col min="8195" max="8195" width="14.33203125" style="334" customWidth="1"/>
    <col min="8196" max="8196" width="8.88671875" style="334"/>
    <col min="8197" max="8197" width="10.44140625" style="334" customWidth="1"/>
    <col min="8198" max="8442" width="8.88671875" style="334"/>
    <col min="8443" max="8443" width="3" style="334" customWidth="1"/>
    <col min="8444" max="8444" width="4.33203125" style="334" customWidth="1"/>
    <col min="8445" max="8445" width="39.44140625" style="334" customWidth="1"/>
    <col min="8446" max="8446" width="8.88671875" style="334" customWidth="1"/>
    <col min="8447" max="8447" width="10.44140625" style="334" customWidth="1"/>
    <col min="8448" max="8448" width="12.33203125" style="334" customWidth="1"/>
    <col min="8449" max="8449" width="14.88671875" style="334" customWidth="1"/>
    <col min="8450" max="8450" width="8.88671875" style="334"/>
    <col min="8451" max="8451" width="14.33203125" style="334" customWidth="1"/>
    <col min="8452" max="8452" width="8.88671875" style="334"/>
    <col min="8453" max="8453" width="10.44140625" style="334" customWidth="1"/>
    <col min="8454" max="8698" width="8.88671875" style="334"/>
    <col min="8699" max="8699" width="3" style="334" customWidth="1"/>
    <col min="8700" max="8700" width="4.33203125" style="334" customWidth="1"/>
    <col min="8701" max="8701" width="39.44140625" style="334" customWidth="1"/>
    <col min="8702" max="8702" width="8.88671875" style="334" customWidth="1"/>
    <col min="8703" max="8703" width="10.44140625" style="334" customWidth="1"/>
    <col min="8704" max="8704" width="12.33203125" style="334" customWidth="1"/>
    <col min="8705" max="8705" width="14.88671875" style="334" customWidth="1"/>
    <col min="8706" max="8706" width="8.88671875" style="334"/>
    <col min="8707" max="8707" width="14.33203125" style="334" customWidth="1"/>
    <col min="8708" max="8708" width="8.88671875" style="334"/>
    <col min="8709" max="8709" width="10.44140625" style="334" customWidth="1"/>
    <col min="8710" max="8954" width="8.88671875" style="334"/>
    <col min="8955" max="8955" width="3" style="334" customWidth="1"/>
    <col min="8956" max="8956" width="4.33203125" style="334" customWidth="1"/>
    <col min="8957" max="8957" width="39.44140625" style="334" customWidth="1"/>
    <col min="8958" max="8958" width="8.88671875" style="334" customWidth="1"/>
    <col min="8959" max="8959" width="10.44140625" style="334" customWidth="1"/>
    <col min="8960" max="8960" width="12.33203125" style="334" customWidth="1"/>
    <col min="8961" max="8961" width="14.88671875" style="334" customWidth="1"/>
    <col min="8962" max="8962" width="8.88671875" style="334"/>
    <col min="8963" max="8963" width="14.33203125" style="334" customWidth="1"/>
    <col min="8964" max="8964" width="8.88671875" style="334"/>
    <col min="8965" max="8965" width="10.44140625" style="334" customWidth="1"/>
    <col min="8966" max="9210" width="8.88671875" style="334"/>
    <col min="9211" max="9211" width="3" style="334" customWidth="1"/>
    <col min="9212" max="9212" width="4.33203125" style="334" customWidth="1"/>
    <col min="9213" max="9213" width="39.44140625" style="334" customWidth="1"/>
    <col min="9214" max="9214" width="8.88671875" style="334" customWidth="1"/>
    <col min="9215" max="9215" width="10.44140625" style="334" customWidth="1"/>
    <col min="9216" max="9216" width="12.33203125" style="334" customWidth="1"/>
    <col min="9217" max="9217" width="14.88671875" style="334" customWidth="1"/>
    <col min="9218" max="9218" width="8.88671875" style="334"/>
    <col min="9219" max="9219" width="14.33203125" style="334" customWidth="1"/>
    <col min="9220" max="9220" width="8.88671875" style="334"/>
    <col min="9221" max="9221" width="10.44140625" style="334" customWidth="1"/>
    <col min="9222" max="9466" width="8.88671875" style="334"/>
    <col min="9467" max="9467" width="3" style="334" customWidth="1"/>
    <col min="9468" max="9468" width="4.33203125" style="334" customWidth="1"/>
    <col min="9469" max="9469" width="39.44140625" style="334" customWidth="1"/>
    <col min="9470" max="9470" width="8.88671875" style="334" customWidth="1"/>
    <col min="9471" max="9471" width="10.44140625" style="334" customWidth="1"/>
    <col min="9472" max="9472" width="12.33203125" style="334" customWidth="1"/>
    <col min="9473" max="9473" width="14.88671875" style="334" customWidth="1"/>
    <col min="9474" max="9474" width="8.88671875" style="334"/>
    <col min="9475" max="9475" width="14.33203125" style="334" customWidth="1"/>
    <col min="9476" max="9476" width="8.88671875" style="334"/>
    <col min="9477" max="9477" width="10.44140625" style="334" customWidth="1"/>
    <col min="9478" max="9722" width="8.88671875" style="334"/>
    <col min="9723" max="9723" width="3" style="334" customWidth="1"/>
    <col min="9724" max="9724" width="4.33203125" style="334" customWidth="1"/>
    <col min="9725" max="9725" width="39.44140625" style="334" customWidth="1"/>
    <col min="9726" max="9726" width="8.88671875" style="334" customWidth="1"/>
    <col min="9727" max="9727" width="10.44140625" style="334" customWidth="1"/>
    <col min="9728" max="9728" width="12.33203125" style="334" customWidth="1"/>
    <col min="9729" max="9729" width="14.88671875" style="334" customWidth="1"/>
    <col min="9730" max="9730" width="8.88671875" style="334"/>
    <col min="9731" max="9731" width="14.33203125" style="334" customWidth="1"/>
    <col min="9732" max="9732" width="8.88671875" style="334"/>
    <col min="9733" max="9733" width="10.44140625" style="334" customWidth="1"/>
    <col min="9734" max="9978" width="8.88671875" style="334"/>
    <col min="9979" max="9979" width="3" style="334" customWidth="1"/>
    <col min="9980" max="9980" width="4.33203125" style="334" customWidth="1"/>
    <col min="9981" max="9981" width="39.44140625" style="334" customWidth="1"/>
    <col min="9982" max="9982" width="8.88671875" style="334" customWidth="1"/>
    <col min="9983" max="9983" width="10.44140625" style="334" customWidth="1"/>
    <col min="9984" max="9984" width="12.33203125" style="334" customWidth="1"/>
    <col min="9985" max="9985" width="14.88671875" style="334" customWidth="1"/>
    <col min="9986" max="9986" width="8.88671875" style="334"/>
    <col min="9987" max="9987" width="14.33203125" style="334" customWidth="1"/>
    <col min="9988" max="9988" width="8.88671875" style="334"/>
    <col min="9989" max="9989" width="10.44140625" style="334" customWidth="1"/>
    <col min="9990" max="10234" width="8.88671875" style="334"/>
    <col min="10235" max="10235" width="3" style="334" customWidth="1"/>
    <col min="10236" max="10236" width="4.33203125" style="334" customWidth="1"/>
    <col min="10237" max="10237" width="39.44140625" style="334" customWidth="1"/>
    <col min="10238" max="10238" width="8.88671875" style="334" customWidth="1"/>
    <col min="10239" max="10239" width="10.44140625" style="334" customWidth="1"/>
    <col min="10240" max="10240" width="12.33203125" style="334" customWidth="1"/>
    <col min="10241" max="10241" width="14.88671875" style="334" customWidth="1"/>
    <col min="10242" max="10242" width="8.88671875" style="334"/>
    <col min="10243" max="10243" width="14.33203125" style="334" customWidth="1"/>
    <col min="10244" max="10244" width="8.88671875" style="334"/>
    <col min="10245" max="10245" width="10.44140625" style="334" customWidth="1"/>
    <col min="10246" max="10490" width="8.88671875" style="334"/>
    <col min="10491" max="10491" width="3" style="334" customWidth="1"/>
    <col min="10492" max="10492" width="4.33203125" style="334" customWidth="1"/>
    <col min="10493" max="10493" width="39.44140625" style="334" customWidth="1"/>
    <col min="10494" max="10494" width="8.88671875" style="334" customWidth="1"/>
    <col min="10495" max="10495" width="10.44140625" style="334" customWidth="1"/>
    <col min="10496" max="10496" width="12.33203125" style="334" customWidth="1"/>
    <col min="10497" max="10497" width="14.88671875" style="334" customWidth="1"/>
    <col min="10498" max="10498" width="8.88671875" style="334"/>
    <col min="10499" max="10499" width="14.33203125" style="334" customWidth="1"/>
    <col min="10500" max="10500" width="8.88671875" style="334"/>
    <col min="10501" max="10501" width="10.44140625" style="334" customWidth="1"/>
    <col min="10502" max="10746" width="8.88671875" style="334"/>
    <col min="10747" max="10747" width="3" style="334" customWidth="1"/>
    <col min="10748" max="10748" width="4.33203125" style="334" customWidth="1"/>
    <col min="10749" max="10749" width="39.44140625" style="334" customWidth="1"/>
    <col min="10750" max="10750" width="8.88671875" style="334" customWidth="1"/>
    <col min="10751" max="10751" width="10.44140625" style="334" customWidth="1"/>
    <col min="10752" max="10752" width="12.33203125" style="334" customWidth="1"/>
    <col min="10753" max="10753" width="14.88671875" style="334" customWidth="1"/>
    <col min="10754" max="10754" width="8.88671875" style="334"/>
    <col min="10755" max="10755" width="14.33203125" style="334" customWidth="1"/>
    <col min="10756" max="10756" width="8.88671875" style="334"/>
    <col min="10757" max="10757" width="10.44140625" style="334" customWidth="1"/>
    <col min="10758" max="11002" width="8.88671875" style="334"/>
    <col min="11003" max="11003" width="3" style="334" customWidth="1"/>
    <col min="11004" max="11004" width="4.33203125" style="334" customWidth="1"/>
    <col min="11005" max="11005" width="39.44140625" style="334" customWidth="1"/>
    <col min="11006" max="11006" width="8.88671875" style="334" customWidth="1"/>
    <col min="11007" max="11007" width="10.44140625" style="334" customWidth="1"/>
    <col min="11008" max="11008" width="12.33203125" style="334" customWidth="1"/>
    <col min="11009" max="11009" width="14.88671875" style="334" customWidth="1"/>
    <col min="11010" max="11010" width="8.88671875" style="334"/>
    <col min="11011" max="11011" width="14.33203125" style="334" customWidth="1"/>
    <col min="11012" max="11012" width="8.88671875" style="334"/>
    <col min="11013" max="11013" width="10.44140625" style="334" customWidth="1"/>
    <col min="11014" max="11258" width="8.88671875" style="334"/>
    <col min="11259" max="11259" width="3" style="334" customWidth="1"/>
    <col min="11260" max="11260" width="4.33203125" style="334" customWidth="1"/>
    <col min="11261" max="11261" width="39.44140625" style="334" customWidth="1"/>
    <col min="11262" max="11262" width="8.88671875" style="334" customWidth="1"/>
    <col min="11263" max="11263" width="10.44140625" style="334" customWidth="1"/>
    <col min="11264" max="11264" width="12.33203125" style="334" customWidth="1"/>
    <col min="11265" max="11265" width="14.88671875" style="334" customWidth="1"/>
    <col min="11266" max="11266" width="8.88671875" style="334"/>
    <col min="11267" max="11267" width="14.33203125" style="334" customWidth="1"/>
    <col min="11268" max="11268" width="8.88671875" style="334"/>
    <col min="11269" max="11269" width="10.44140625" style="334" customWidth="1"/>
    <col min="11270" max="11514" width="8.88671875" style="334"/>
    <col min="11515" max="11515" width="3" style="334" customWidth="1"/>
    <col min="11516" max="11516" width="4.33203125" style="334" customWidth="1"/>
    <col min="11517" max="11517" width="39.44140625" style="334" customWidth="1"/>
    <col min="11518" max="11518" width="8.88671875" style="334" customWidth="1"/>
    <col min="11519" max="11519" width="10.44140625" style="334" customWidth="1"/>
    <col min="11520" max="11520" width="12.33203125" style="334" customWidth="1"/>
    <col min="11521" max="11521" width="14.88671875" style="334" customWidth="1"/>
    <col min="11522" max="11522" width="8.88671875" style="334"/>
    <col min="11523" max="11523" width="14.33203125" style="334" customWidth="1"/>
    <col min="11524" max="11524" width="8.88671875" style="334"/>
    <col min="11525" max="11525" width="10.44140625" style="334" customWidth="1"/>
    <col min="11526" max="11770" width="8.88671875" style="334"/>
    <col min="11771" max="11771" width="3" style="334" customWidth="1"/>
    <col min="11772" max="11772" width="4.33203125" style="334" customWidth="1"/>
    <col min="11773" max="11773" width="39.44140625" style="334" customWidth="1"/>
    <col min="11774" max="11774" width="8.88671875" style="334" customWidth="1"/>
    <col min="11775" max="11775" width="10.44140625" style="334" customWidth="1"/>
    <col min="11776" max="11776" width="12.33203125" style="334" customWidth="1"/>
    <col min="11777" max="11777" width="14.88671875" style="334" customWidth="1"/>
    <col min="11778" max="11778" width="8.88671875" style="334"/>
    <col min="11779" max="11779" width="14.33203125" style="334" customWidth="1"/>
    <col min="11780" max="11780" width="8.88671875" style="334"/>
    <col min="11781" max="11781" width="10.44140625" style="334" customWidth="1"/>
    <col min="11782" max="12026" width="8.88671875" style="334"/>
    <col min="12027" max="12027" width="3" style="334" customWidth="1"/>
    <col min="12028" max="12028" width="4.33203125" style="334" customWidth="1"/>
    <col min="12029" max="12029" width="39.44140625" style="334" customWidth="1"/>
    <col min="12030" max="12030" width="8.88671875" style="334" customWidth="1"/>
    <col min="12031" max="12031" width="10.44140625" style="334" customWidth="1"/>
    <col min="12032" max="12032" width="12.33203125" style="334" customWidth="1"/>
    <col min="12033" max="12033" width="14.88671875" style="334" customWidth="1"/>
    <col min="12034" max="12034" width="8.88671875" style="334"/>
    <col min="12035" max="12035" width="14.33203125" style="334" customWidth="1"/>
    <col min="12036" max="12036" width="8.88671875" style="334"/>
    <col min="12037" max="12037" width="10.44140625" style="334" customWidth="1"/>
    <col min="12038" max="12282" width="8.88671875" style="334"/>
    <col min="12283" max="12283" width="3" style="334" customWidth="1"/>
    <col min="12284" max="12284" width="4.33203125" style="334" customWidth="1"/>
    <col min="12285" max="12285" width="39.44140625" style="334" customWidth="1"/>
    <col min="12286" max="12286" width="8.88671875" style="334" customWidth="1"/>
    <col min="12287" max="12287" width="10.44140625" style="334" customWidth="1"/>
    <col min="12288" max="12288" width="12.33203125" style="334" customWidth="1"/>
    <col min="12289" max="12289" width="14.88671875" style="334" customWidth="1"/>
    <col min="12290" max="12290" width="8.88671875" style="334"/>
    <col min="12291" max="12291" width="14.33203125" style="334" customWidth="1"/>
    <col min="12292" max="12292" width="8.88671875" style="334"/>
    <col min="12293" max="12293" width="10.44140625" style="334" customWidth="1"/>
    <col min="12294" max="12538" width="8.88671875" style="334"/>
    <col min="12539" max="12539" width="3" style="334" customWidth="1"/>
    <col min="12540" max="12540" width="4.33203125" style="334" customWidth="1"/>
    <col min="12541" max="12541" width="39.44140625" style="334" customWidth="1"/>
    <col min="12542" max="12542" width="8.88671875" style="334" customWidth="1"/>
    <col min="12543" max="12543" width="10.44140625" style="334" customWidth="1"/>
    <col min="12544" max="12544" width="12.33203125" style="334" customWidth="1"/>
    <col min="12545" max="12545" width="14.88671875" style="334" customWidth="1"/>
    <col min="12546" max="12546" width="8.88671875" style="334"/>
    <col min="12547" max="12547" width="14.33203125" style="334" customWidth="1"/>
    <col min="12548" max="12548" width="8.88671875" style="334"/>
    <col min="12549" max="12549" width="10.44140625" style="334" customWidth="1"/>
    <col min="12550" max="12794" width="8.88671875" style="334"/>
    <col min="12795" max="12795" width="3" style="334" customWidth="1"/>
    <col min="12796" max="12796" width="4.33203125" style="334" customWidth="1"/>
    <col min="12797" max="12797" width="39.44140625" style="334" customWidth="1"/>
    <col min="12798" max="12798" width="8.88671875" style="334" customWidth="1"/>
    <col min="12799" max="12799" width="10.44140625" style="334" customWidth="1"/>
    <col min="12800" max="12800" width="12.33203125" style="334" customWidth="1"/>
    <col min="12801" max="12801" width="14.88671875" style="334" customWidth="1"/>
    <col min="12802" max="12802" width="8.88671875" style="334"/>
    <col min="12803" max="12803" width="14.33203125" style="334" customWidth="1"/>
    <col min="12804" max="12804" width="8.88671875" style="334"/>
    <col min="12805" max="12805" width="10.44140625" style="334" customWidth="1"/>
    <col min="12806" max="13050" width="8.88671875" style="334"/>
    <col min="13051" max="13051" width="3" style="334" customWidth="1"/>
    <col min="13052" max="13052" width="4.33203125" style="334" customWidth="1"/>
    <col min="13053" max="13053" width="39.44140625" style="334" customWidth="1"/>
    <col min="13054" max="13054" width="8.88671875" style="334" customWidth="1"/>
    <col min="13055" max="13055" width="10.44140625" style="334" customWidth="1"/>
    <col min="13056" max="13056" width="12.33203125" style="334" customWidth="1"/>
    <col min="13057" max="13057" width="14.88671875" style="334" customWidth="1"/>
    <col min="13058" max="13058" width="8.88671875" style="334"/>
    <col min="13059" max="13059" width="14.33203125" style="334" customWidth="1"/>
    <col min="13060" max="13060" width="8.88671875" style="334"/>
    <col min="13061" max="13061" width="10.44140625" style="334" customWidth="1"/>
    <col min="13062" max="13306" width="8.88671875" style="334"/>
    <col min="13307" max="13307" width="3" style="334" customWidth="1"/>
    <col min="13308" max="13308" width="4.33203125" style="334" customWidth="1"/>
    <col min="13309" max="13309" width="39.44140625" style="334" customWidth="1"/>
    <col min="13310" max="13310" width="8.88671875" style="334" customWidth="1"/>
    <col min="13311" max="13311" width="10.44140625" style="334" customWidth="1"/>
    <col min="13312" max="13312" width="12.33203125" style="334" customWidth="1"/>
    <col min="13313" max="13313" width="14.88671875" style="334" customWidth="1"/>
    <col min="13314" max="13314" width="8.88671875" style="334"/>
    <col min="13315" max="13315" width="14.33203125" style="334" customWidth="1"/>
    <col min="13316" max="13316" width="8.88671875" style="334"/>
    <col min="13317" max="13317" width="10.44140625" style="334" customWidth="1"/>
    <col min="13318" max="13562" width="8.88671875" style="334"/>
    <col min="13563" max="13563" width="3" style="334" customWidth="1"/>
    <col min="13564" max="13564" width="4.33203125" style="334" customWidth="1"/>
    <col min="13565" max="13565" width="39.44140625" style="334" customWidth="1"/>
    <col min="13566" max="13566" width="8.88671875" style="334" customWidth="1"/>
    <col min="13567" max="13567" width="10.44140625" style="334" customWidth="1"/>
    <col min="13568" max="13568" width="12.33203125" style="334" customWidth="1"/>
    <col min="13569" max="13569" width="14.88671875" style="334" customWidth="1"/>
    <col min="13570" max="13570" width="8.88671875" style="334"/>
    <col min="13571" max="13571" width="14.33203125" style="334" customWidth="1"/>
    <col min="13572" max="13572" width="8.88671875" style="334"/>
    <col min="13573" max="13573" width="10.44140625" style="334" customWidth="1"/>
    <col min="13574" max="13818" width="8.88671875" style="334"/>
    <col min="13819" max="13819" width="3" style="334" customWidth="1"/>
    <col min="13820" max="13820" width="4.33203125" style="334" customWidth="1"/>
    <col min="13821" max="13821" width="39.44140625" style="334" customWidth="1"/>
    <col min="13822" max="13822" width="8.88671875" style="334" customWidth="1"/>
    <col min="13823" max="13823" width="10.44140625" style="334" customWidth="1"/>
    <col min="13824" max="13824" width="12.33203125" style="334" customWidth="1"/>
    <col min="13825" max="13825" width="14.88671875" style="334" customWidth="1"/>
    <col min="13826" max="13826" width="8.88671875" style="334"/>
    <col min="13827" max="13827" width="14.33203125" style="334" customWidth="1"/>
    <col min="13828" max="13828" width="8.88671875" style="334"/>
    <col min="13829" max="13829" width="10.44140625" style="334" customWidth="1"/>
    <col min="13830" max="14074" width="8.88671875" style="334"/>
    <col min="14075" max="14075" width="3" style="334" customWidth="1"/>
    <col min="14076" max="14076" width="4.33203125" style="334" customWidth="1"/>
    <col min="14077" max="14077" width="39.44140625" style="334" customWidth="1"/>
    <col min="14078" max="14078" width="8.88671875" style="334" customWidth="1"/>
    <col min="14079" max="14079" width="10.44140625" style="334" customWidth="1"/>
    <col min="14080" max="14080" width="12.33203125" style="334" customWidth="1"/>
    <col min="14081" max="14081" width="14.88671875" style="334" customWidth="1"/>
    <col min="14082" max="14082" width="8.88671875" style="334"/>
    <col min="14083" max="14083" width="14.33203125" style="334" customWidth="1"/>
    <col min="14084" max="14084" width="8.88671875" style="334"/>
    <col min="14085" max="14085" width="10.44140625" style="334" customWidth="1"/>
    <col min="14086" max="14330" width="8.88671875" style="334"/>
    <col min="14331" max="14331" width="3" style="334" customWidth="1"/>
    <col min="14332" max="14332" width="4.33203125" style="334" customWidth="1"/>
    <col min="14333" max="14333" width="39.44140625" style="334" customWidth="1"/>
    <col min="14334" max="14334" width="8.88671875" style="334" customWidth="1"/>
    <col min="14335" max="14335" width="10.44140625" style="334" customWidth="1"/>
    <col min="14336" max="14336" width="12.33203125" style="334" customWidth="1"/>
    <col min="14337" max="14337" width="14.88671875" style="334" customWidth="1"/>
    <col min="14338" max="14338" width="8.88671875" style="334"/>
    <col min="14339" max="14339" width="14.33203125" style="334" customWidth="1"/>
    <col min="14340" max="14340" width="8.88671875" style="334"/>
    <col min="14341" max="14341" width="10.44140625" style="334" customWidth="1"/>
    <col min="14342" max="14586" width="8.88671875" style="334"/>
    <col min="14587" max="14587" width="3" style="334" customWidth="1"/>
    <col min="14588" max="14588" width="4.33203125" style="334" customWidth="1"/>
    <col min="14589" max="14589" width="39.44140625" style="334" customWidth="1"/>
    <col min="14590" max="14590" width="8.88671875" style="334" customWidth="1"/>
    <col min="14591" max="14591" width="10.44140625" style="334" customWidth="1"/>
    <col min="14592" max="14592" width="12.33203125" style="334" customWidth="1"/>
    <col min="14593" max="14593" width="14.88671875" style="334" customWidth="1"/>
    <col min="14594" max="14594" width="8.88671875" style="334"/>
    <col min="14595" max="14595" width="14.33203125" style="334" customWidth="1"/>
    <col min="14596" max="14596" width="8.88671875" style="334"/>
    <col min="14597" max="14597" width="10.44140625" style="334" customWidth="1"/>
    <col min="14598" max="14842" width="8.88671875" style="334"/>
    <col min="14843" max="14843" width="3" style="334" customWidth="1"/>
    <col min="14844" max="14844" width="4.33203125" style="334" customWidth="1"/>
    <col min="14845" max="14845" width="39.44140625" style="334" customWidth="1"/>
    <col min="14846" max="14846" width="8.88671875" style="334" customWidth="1"/>
    <col min="14847" max="14847" width="10.44140625" style="334" customWidth="1"/>
    <col min="14848" max="14848" width="12.33203125" style="334" customWidth="1"/>
    <col min="14849" max="14849" width="14.88671875" style="334" customWidth="1"/>
    <col min="14850" max="14850" width="8.88671875" style="334"/>
    <col min="14851" max="14851" width="14.33203125" style="334" customWidth="1"/>
    <col min="14852" max="14852" width="8.88671875" style="334"/>
    <col min="14853" max="14853" width="10.44140625" style="334" customWidth="1"/>
    <col min="14854" max="15098" width="8.88671875" style="334"/>
    <col min="15099" max="15099" width="3" style="334" customWidth="1"/>
    <col min="15100" max="15100" width="4.33203125" style="334" customWidth="1"/>
    <col min="15101" max="15101" width="39.44140625" style="334" customWidth="1"/>
    <col min="15102" max="15102" width="8.88671875" style="334" customWidth="1"/>
    <col min="15103" max="15103" width="10.44140625" style="334" customWidth="1"/>
    <col min="15104" max="15104" width="12.33203125" style="334" customWidth="1"/>
    <col min="15105" max="15105" width="14.88671875" style="334" customWidth="1"/>
    <col min="15106" max="15106" width="8.88671875" style="334"/>
    <col min="15107" max="15107" width="14.33203125" style="334" customWidth="1"/>
    <col min="15108" max="15108" width="8.88671875" style="334"/>
    <col min="15109" max="15109" width="10.44140625" style="334" customWidth="1"/>
    <col min="15110" max="15354" width="8.88671875" style="334"/>
    <col min="15355" max="15355" width="3" style="334" customWidth="1"/>
    <col min="15356" max="15356" width="4.33203125" style="334" customWidth="1"/>
    <col min="15357" max="15357" width="39.44140625" style="334" customWidth="1"/>
    <col min="15358" max="15358" width="8.88671875" style="334" customWidth="1"/>
    <col min="15359" max="15359" width="10.44140625" style="334" customWidth="1"/>
    <col min="15360" max="15360" width="12.33203125" style="334" customWidth="1"/>
    <col min="15361" max="15361" width="14.88671875" style="334" customWidth="1"/>
    <col min="15362" max="15362" width="8.88671875" style="334"/>
    <col min="15363" max="15363" width="14.33203125" style="334" customWidth="1"/>
    <col min="15364" max="15364" width="8.88671875" style="334"/>
    <col min="15365" max="15365" width="10.44140625" style="334" customWidth="1"/>
    <col min="15366" max="15610" width="8.88671875" style="334"/>
    <col min="15611" max="15611" width="3" style="334" customWidth="1"/>
    <col min="15612" max="15612" width="4.33203125" style="334" customWidth="1"/>
    <col min="15613" max="15613" width="39.44140625" style="334" customWidth="1"/>
    <col min="15614" max="15614" width="8.88671875" style="334" customWidth="1"/>
    <col min="15615" max="15615" width="10.44140625" style="334" customWidth="1"/>
    <col min="15616" max="15616" width="12.33203125" style="334" customWidth="1"/>
    <col min="15617" max="15617" width="14.88671875" style="334" customWidth="1"/>
    <col min="15618" max="15618" width="8.88671875" style="334"/>
    <col min="15619" max="15619" width="14.33203125" style="334" customWidth="1"/>
    <col min="15620" max="15620" width="8.88671875" style="334"/>
    <col min="15621" max="15621" width="10.44140625" style="334" customWidth="1"/>
    <col min="15622" max="15866" width="8.88671875" style="334"/>
    <col min="15867" max="15867" width="3" style="334" customWidth="1"/>
    <col min="15868" max="15868" width="4.33203125" style="334" customWidth="1"/>
    <col min="15869" max="15869" width="39.44140625" style="334" customWidth="1"/>
    <col min="15870" max="15870" width="8.88671875" style="334" customWidth="1"/>
    <col min="15871" max="15871" width="10.44140625" style="334" customWidth="1"/>
    <col min="15872" max="15872" width="12.33203125" style="334" customWidth="1"/>
    <col min="15873" max="15873" width="14.88671875" style="334" customWidth="1"/>
    <col min="15874" max="15874" width="8.88671875" style="334"/>
    <col min="15875" max="15875" width="14.33203125" style="334" customWidth="1"/>
    <col min="15876" max="15876" width="8.88671875" style="334"/>
    <col min="15877" max="15877" width="10.44140625" style="334" customWidth="1"/>
    <col min="15878" max="16122" width="8.88671875" style="334"/>
    <col min="16123" max="16123" width="3" style="334" customWidth="1"/>
    <col min="16124" max="16124" width="4.33203125" style="334" customWidth="1"/>
    <col min="16125" max="16125" width="39.44140625" style="334" customWidth="1"/>
    <col min="16126" max="16126" width="8.88671875" style="334" customWidth="1"/>
    <col min="16127" max="16127" width="10.44140625" style="334" customWidth="1"/>
    <col min="16128" max="16128" width="12.33203125" style="334" customWidth="1"/>
    <col min="16129" max="16129" width="14.88671875" style="334" customWidth="1"/>
    <col min="16130" max="16130" width="8.88671875" style="334"/>
    <col min="16131" max="16131" width="14.33203125" style="334" customWidth="1"/>
    <col min="16132" max="16132" width="8.88671875" style="334"/>
    <col min="16133" max="16133" width="10.44140625" style="334" customWidth="1"/>
    <col min="16134" max="16383" width="8.88671875" style="334"/>
    <col min="16384" max="16384" width="9.109375" style="334" customWidth="1"/>
  </cols>
  <sheetData>
    <row r="1" spans="1:7" s="252" customFormat="1" ht="15.6" x14ac:dyDescent="0.25">
      <c r="A1" s="1515" t="s">
        <v>690</v>
      </c>
      <c r="B1" s="1516"/>
      <c r="C1" s="462"/>
      <c r="D1" s="463"/>
      <c r="E1" s="464"/>
      <c r="F1" s="465"/>
    </row>
    <row r="2" spans="1:7" s="252" customFormat="1" ht="15.6" x14ac:dyDescent="0.25">
      <c r="A2" s="466" t="s">
        <v>688</v>
      </c>
      <c r="B2" s="457"/>
      <c r="C2" s="467"/>
      <c r="D2" s="468"/>
      <c r="E2" s="469"/>
      <c r="F2" s="355"/>
    </row>
    <row r="3" spans="1:7" s="252" customFormat="1" ht="15.6" x14ac:dyDescent="0.25">
      <c r="A3" s="1517" t="s">
        <v>691</v>
      </c>
      <c r="B3" s="1518"/>
      <c r="C3" s="467"/>
      <c r="D3" s="468"/>
      <c r="E3" s="469"/>
      <c r="F3" s="355"/>
    </row>
    <row r="4" spans="1:7" s="365" customFormat="1" ht="15.6" x14ac:dyDescent="0.3">
      <c r="A4" s="470"/>
      <c r="B4" s="323"/>
      <c r="C4" s="471"/>
      <c r="D4" s="472"/>
      <c r="E4" s="473"/>
      <c r="F4" s="474"/>
    </row>
    <row r="5" spans="1:7" s="329" customFormat="1" x14ac:dyDescent="0.25">
      <c r="A5" s="326" t="s">
        <v>174</v>
      </c>
      <c r="B5" s="324" t="s">
        <v>175</v>
      </c>
      <c r="C5" s="325" t="s">
        <v>180</v>
      </c>
      <c r="D5" s="326" t="s">
        <v>182</v>
      </c>
      <c r="E5" s="366" t="s">
        <v>737</v>
      </c>
      <c r="F5" s="327" t="s">
        <v>738</v>
      </c>
    </row>
    <row r="6" spans="1:7" s="329" customFormat="1" x14ac:dyDescent="0.25">
      <c r="A6" s="331"/>
      <c r="B6" s="367"/>
      <c r="C6" s="330"/>
      <c r="D6" s="331"/>
      <c r="E6" s="333"/>
      <c r="F6" s="332"/>
    </row>
    <row r="7" spans="1:7" s="329" customFormat="1" x14ac:dyDescent="0.25">
      <c r="A7" s="331"/>
      <c r="B7" s="445" t="s">
        <v>739</v>
      </c>
      <c r="C7" s="330"/>
      <c r="D7" s="331"/>
      <c r="E7" s="333"/>
      <c r="F7" s="332"/>
    </row>
    <row r="8" spans="1:7" s="329" customFormat="1" x14ac:dyDescent="0.25">
      <c r="A8" s="331"/>
      <c r="B8" s="367"/>
      <c r="C8" s="330"/>
      <c r="D8" s="331"/>
      <c r="E8" s="333"/>
      <c r="F8" s="332"/>
    </row>
    <row r="9" spans="1:7" s="374" customFormat="1" ht="47.4" customHeight="1" x14ac:dyDescent="0.25">
      <c r="A9" s="368"/>
      <c r="B9" s="369" t="s">
        <v>692</v>
      </c>
      <c r="C9" s="370"/>
      <c r="D9" s="371"/>
      <c r="E9" s="372"/>
      <c r="F9" s="341"/>
      <c r="G9" s="373"/>
    </row>
    <row r="10" spans="1:7" x14ac:dyDescent="0.25">
      <c r="A10" s="335"/>
      <c r="B10" s="375"/>
      <c r="D10" s="336"/>
      <c r="F10" s="341"/>
      <c r="G10" s="328"/>
    </row>
    <row r="11" spans="1:7" ht="27.6" x14ac:dyDescent="0.25">
      <c r="A11" s="340"/>
      <c r="B11" s="359" t="s">
        <v>693</v>
      </c>
      <c r="D11" s="316" t="s">
        <v>621</v>
      </c>
      <c r="F11" s="341"/>
      <c r="G11" s="328"/>
    </row>
    <row r="12" spans="1:7" x14ac:dyDescent="0.25">
      <c r="A12" s="340"/>
      <c r="B12" s="359"/>
      <c r="D12" s="337"/>
      <c r="F12" s="341"/>
      <c r="G12" s="328"/>
    </row>
    <row r="13" spans="1:7" ht="27.6" x14ac:dyDescent="0.25">
      <c r="A13" s="340"/>
      <c r="B13" s="359" t="s">
        <v>675</v>
      </c>
      <c r="C13" s="348"/>
      <c r="D13" s="174" t="s">
        <v>621</v>
      </c>
      <c r="F13" s="341"/>
      <c r="G13" s="328"/>
    </row>
    <row r="14" spans="1:7" x14ac:dyDescent="0.25">
      <c r="A14" s="340"/>
      <c r="B14" s="359"/>
      <c r="C14" s="348"/>
      <c r="D14" s="174"/>
      <c r="F14" s="341"/>
      <c r="G14" s="328"/>
    </row>
    <row r="15" spans="1:7" ht="27.6" x14ac:dyDescent="0.25">
      <c r="A15" s="340"/>
      <c r="B15" s="359" t="s">
        <v>694</v>
      </c>
      <c r="C15" s="348"/>
      <c r="D15" s="174" t="s">
        <v>621</v>
      </c>
      <c r="F15" s="341"/>
      <c r="G15" s="328"/>
    </row>
    <row r="16" spans="1:7" x14ac:dyDescent="0.25">
      <c r="A16" s="340"/>
      <c r="B16" s="359"/>
      <c r="C16" s="348"/>
      <c r="D16" s="174"/>
      <c r="F16" s="341"/>
      <c r="G16" s="328"/>
    </row>
    <row r="17" spans="1:7" ht="55.2" x14ac:dyDescent="0.25">
      <c r="A17" s="340"/>
      <c r="B17" s="359" t="s">
        <v>674</v>
      </c>
      <c r="C17" s="348"/>
      <c r="D17" s="174" t="s">
        <v>621</v>
      </c>
      <c r="F17" s="341"/>
      <c r="G17" s="328"/>
    </row>
    <row r="18" spans="1:7" x14ac:dyDescent="0.25">
      <c r="A18" s="340"/>
      <c r="B18" s="359"/>
      <c r="C18" s="348"/>
      <c r="D18" s="174"/>
      <c r="F18" s="341"/>
      <c r="G18" s="328"/>
    </row>
    <row r="19" spans="1:7" ht="55.2" x14ac:dyDescent="0.25">
      <c r="A19" s="340"/>
      <c r="B19" s="359" t="s">
        <v>695</v>
      </c>
      <c r="C19" s="348"/>
      <c r="D19" s="174" t="s">
        <v>621</v>
      </c>
      <c r="F19" s="341"/>
      <c r="G19" s="328"/>
    </row>
    <row r="20" spans="1:7" x14ac:dyDescent="0.25">
      <c r="A20" s="340"/>
      <c r="B20" s="359"/>
      <c r="C20" s="348"/>
      <c r="D20" s="174"/>
      <c r="F20" s="341"/>
      <c r="G20" s="328"/>
    </row>
    <row r="21" spans="1:7" ht="27.6" x14ac:dyDescent="0.25">
      <c r="A21" s="340"/>
      <c r="B21" s="359" t="s">
        <v>696</v>
      </c>
      <c r="C21" s="348"/>
      <c r="D21" s="174" t="s">
        <v>621</v>
      </c>
      <c r="F21" s="341"/>
      <c r="G21" s="328"/>
    </row>
    <row r="22" spans="1:7" x14ac:dyDescent="0.25">
      <c r="A22" s="340"/>
      <c r="B22" s="359"/>
      <c r="C22" s="348"/>
      <c r="D22" s="174"/>
      <c r="F22" s="341"/>
      <c r="G22" s="328"/>
    </row>
    <row r="23" spans="1:7" ht="41.4" x14ac:dyDescent="0.25">
      <c r="A23" s="340"/>
      <c r="B23" s="359" t="s">
        <v>697</v>
      </c>
      <c r="C23" s="348"/>
      <c r="D23" s="174" t="s">
        <v>621</v>
      </c>
      <c r="F23" s="341"/>
      <c r="G23" s="328"/>
    </row>
    <row r="24" spans="1:7" x14ac:dyDescent="0.25">
      <c r="A24" s="340"/>
      <c r="B24" s="359"/>
      <c r="C24" s="348"/>
      <c r="D24" s="174"/>
      <c r="F24" s="341"/>
      <c r="G24" s="328"/>
    </row>
    <row r="25" spans="1:7" ht="41.4" x14ac:dyDescent="0.25">
      <c r="A25" s="340"/>
      <c r="B25" s="359" t="s">
        <v>689</v>
      </c>
      <c r="C25" s="348"/>
      <c r="D25" s="174" t="s">
        <v>621</v>
      </c>
      <c r="F25" s="341"/>
      <c r="G25" s="328"/>
    </row>
    <row r="26" spans="1:7" x14ac:dyDescent="0.25">
      <c r="A26" s="340"/>
      <c r="B26" s="359"/>
      <c r="C26" s="348"/>
      <c r="D26" s="174"/>
      <c r="E26" s="316"/>
      <c r="F26" s="376"/>
      <c r="G26" s="328"/>
    </row>
    <row r="27" spans="1:7" ht="41.4" x14ac:dyDescent="0.25">
      <c r="A27" s="340"/>
      <c r="B27" s="359" t="s">
        <v>676</v>
      </c>
      <c r="C27" s="348"/>
      <c r="D27" s="174" t="s">
        <v>621</v>
      </c>
      <c r="E27" s="316"/>
      <c r="F27" s="341"/>
      <c r="G27" s="328"/>
    </row>
    <row r="28" spans="1:7" x14ac:dyDescent="0.25">
      <c r="A28" s="340"/>
      <c r="B28" s="359"/>
      <c r="C28" s="348"/>
      <c r="D28" s="377"/>
      <c r="E28" s="316"/>
      <c r="F28" s="341"/>
      <c r="G28" s="328"/>
    </row>
    <row r="29" spans="1:7" x14ac:dyDescent="0.25">
      <c r="A29" s="362"/>
      <c r="B29" s="378" t="s">
        <v>698</v>
      </c>
      <c r="C29" s="348"/>
      <c r="D29" s="377"/>
      <c r="E29" s="316"/>
      <c r="F29" s="341"/>
      <c r="G29" s="328"/>
    </row>
    <row r="30" spans="1:7" x14ac:dyDescent="0.25">
      <c r="A30" s="340"/>
      <c r="B30" s="359"/>
      <c r="C30" s="348"/>
      <c r="D30" s="174"/>
      <c r="E30" s="316"/>
      <c r="F30" s="341"/>
      <c r="G30" s="328"/>
    </row>
    <row r="31" spans="1:7" ht="27.6" x14ac:dyDescent="0.25">
      <c r="A31" s="340"/>
      <c r="B31" s="359" t="s">
        <v>699</v>
      </c>
      <c r="C31" s="348"/>
      <c r="D31" s="174"/>
      <c r="E31" s="316"/>
      <c r="F31" s="341"/>
      <c r="G31" s="328"/>
    </row>
    <row r="32" spans="1:7" x14ac:dyDescent="0.25">
      <c r="A32" s="340"/>
      <c r="B32" s="359"/>
      <c r="C32" s="348"/>
      <c r="D32" s="174"/>
      <c r="E32" s="316"/>
      <c r="F32" s="341"/>
      <c r="G32" s="328"/>
    </row>
    <row r="33" spans="1:7" ht="27.6" x14ac:dyDescent="0.25">
      <c r="A33" s="340"/>
      <c r="B33" s="359" t="s">
        <v>700</v>
      </c>
      <c r="C33" s="348"/>
      <c r="D33" s="174"/>
      <c r="E33" s="316"/>
      <c r="F33" s="341"/>
      <c r="G33" s="328"/>
    </row>
    <row r="34" spans="1:7" x14ac:dyDescent="0.25">
      <c r="A34" s="340"/>
      <c r="B34" s="359"/>
      <c r="C34" s="348"/>
      <c r="D34" s="174"/>
      <c r="E34" s="316"/>
      <c r="F34" s="341"/>
      <c r="G34" s="328"/>
    </row>
    <row r="35" spans="1:7" ht="27.6" x14ac:dyDescent="0.25">
      <c r="A35" s="450"/>
      <c r="B35" s="475" t="s">
        <v>701</v>
      </c>
      <c r="C35" s="446"/>
      <c r="D35" s="476"/>
      <c r="E35" s="447"/>
      <c r="F35" s="360"/>
      <c r="G35" s="328"/>
    </row>
    <row r="36" spans="1:7" x14ac:dyDescent="0.25">
      <c r="A36" s="451"/>
      <c r="B36" s="477"/>
      <c r="C36" s="458"/>
      <c r="D36" s="478"/>
      <c r="E36" s="449"/>
      <c r="F36" s="361"/>
      <c r="G36" s="328"/>
    </row>
    <row r="37" spans="1:7" ht="27.6" x14ac:dyDescent="0.25">
      <c r="A37" s="340"/>
      <c r="B37" s="359" t="s">
        <v>702</v>
      </c>
      <c r="C37" s="348"/>
      <c r="D37" s="174"/>
      <c r="E37" s="316"/>
      <c r="F37" s="341"/>
      <c r="G37" s="328"/>
    </row>
    <row r="38" spans="1:7" x14ac:dyDescent="0.25">
      <c r="A38" s="340"/>
      <c r="B38" s="359"/>
      <c r="C38" s="348"/>
      <c r="D38" s="174"/>
      <c r="E38" s="316"/>
      <c r="F38" s="341"/>
      <c r="G38" s="328"/>
    </row>
    <row r="39" spans="1:7" ht="41.4" x14ac:dyDescent="0.25">
      <c r="A39" s="340"/>
      <c r="B39" s="359" t="s">
        <v>703</v>
      </c>
      <c r="C39" s="348"/>
      <c r="D39" s="174"/>
      <c r="E39" s="316"/>
      <c r="F39" s="341"/>
      <c r="G39" s="328"/>
    </row>
    <row r="40" spans="1:7" x14ac:dyDescent="0.25">
      <c r="A40" s="340"/>
      <c r="B40" s="359"/>
      <c r="C40" s="348"/>
      <c r="D40" s="174"/>
      <c r="E40" s="316"/>
      <c r="F40" s="341"/>
      <c r="G40" s="328"/>
    </row>
    <row r="41" spans="1:7" ht="41.4" x14ac:dyDescent="0.25">
      <c r="A41" s="340"/>
      <c r="B41" s="359" t="s">
        <v>704</v>
      </c>
      <c r="C41" s="348"/>
      <c r="D41" s="174"/>
      <c r="E41" s="316"/>
      <c r="F41" s="341"/>
      <c r="G41" s="328"/>
    </row>
    <row r="42" spans="1:7" s="384" customFormat="1" x14ac:dyDescent="0.25">
      <c r="A42" s="379"/>
      <c r="B42" s="380"/>
      <c r="C42" s="358"/>
      <c r="D42" s="381"/>
      <c r="E42" s="382"/>
      <c r="F42" s="383"/>
    </row>
    <row r="43" spans="1:7" s="384" customFormat="1" ht="41.4" x14ac:dyDescent="0.25">
      <c r="A43" s="379"/>
      <c r="B43" s="281" t="s">
        <v>705</v>
      </c>
      <c r="C43" s="385"/>
      <c r="D43" s="381"/>
      <c r="E43" s="382"/>
      <c r="F43" s="383"/>
    </row>
    <row r="44" spans="1:7" s="384" customFormat="1" x14ac:dyDescent="0.25">
      <c r="A44" s="379"/>
      <c r="B44" s="380"/>
      <c r="C44" s="385"/>
      <c r="D44" s="381"/>
      <c r="E44" s="382"/>
      <c r="F44" s="383"/>
    </row>
    <row r="45" spans="1:7" ht="27.6" x14ac:dyDescent="0.25">
      <c r="A45" s="340"/>
      <c r="B45" s="386" t="s">
        <v>706</v>
      </c>
      <c r="C45" s="387"/>
      <c r="D45" s="174"/>
      <c r="E45" s="316"/>
      <c r="F45" s="341"/>
      <c r="G45" s="328"/>
    </row>
    <row r="46" spans="1:7" x14ac:dyDescent="0.25">
      <c r="A46" s="340"/>
      <c r="B46" s="386"/>
      <c r="C46" s="388"/>
      <c r="D46" s="174"/>
      <c r="E46" s="389"/>
      <c r="F46" s="341"/>
      <c r="G46" s="328"/>
    </row>
    <row r="47" spans="1:7" ht="27.6" x14ac:dyDescent="0.25">
      <c r="A47" s="340"/>
      <c r="B47" s="386" t="s">
        <v>707</v>
      </c>
      <c r="C47" s="388"/>
      <c r="D47" s="174"/>
      <c r="E47" s="389"/>
      <c r="F47" s="341"/>
      <c r="G47" s="328"/>
    </row>
    <row r="48" spans="1:7" s="384" customFormat="1" x14ac:dyDescent="0.25">
      <c r="A48" s="379"/>
      <c r="B48" s="390"/>
      <c r="C48" s="385"/>
      <c r="D48" s="381"/>
      <c r="E48" s="382"/>
      <c r="F48" s="383"/>
    </row>
    <row r="49" spans="1:25" s="384" customFormat="1" x14ac:dyDescent="0.25">
      <c r="A49" s="379"/>
      <c r="B49" s="380"/>
      <c r="C49" s="385"/>
      <c r="D49" s="460"/>
      <c r="E49" s="333"/>
      <c r="F49" s="461"/>
    </row>
    <row r="50" spans="1:25" s="357" customFormat="1" ht="15.6" x14ac:dyDescent="0.25">
      <c r="A50" s="337"/>
      <c r="B50" s="391" t="s">
        <v>708</v>
      </c>
      <c r="C50" s="392"/>
      <c r="D50" s="393"/>
      <c r="E50" s="394"/>
      <c r="F50" s="395"/>
      <c r="G50" s="396"/>
      <c r="H50" s="397"/>
      <c r="I50" s="397"/>
      <c r="J50" s="397"/>
      <c r="K50" s="397"/>
      <c r="L50" s="397"/>
      <c r="M50" s="397"/>
      <c r="N50" s="397"/>
      <c r="O50" s="397"/>
      <c r="P50" s="397"/>
      <c r="Q50" s="397"/>
      <c r="R50" s="397"/>
      <c r="S50" s="397"/>
      <c r="T50" s="397"/>
      <c r="U50" s="397"/>
      <c r="V50" s="397"/>
      <c r="W50" s="398"/>
      <c r="X50" s="399"/>
      <c r="Y50" s="398"/>
    </row>
    <row r="51" spans="1:25" x14ac:dyDescent="0.25">
      <c r="A51" s="400"/>
      <c r="B51" s="317"/>
      <c r="C51" s="348"/>
      <c r="D51" s="174"/>
      <c r="F51" s="341"/>
      <c r="G51" s="328"/>
      <c r="S51" s="338"/>
      <c r="T51" s="339"/>
      <c r="U51" s="338"/>
    </row>
    <row r="52" spans="1:25" s="29" customFormat="1" ht="87.6" customHeight="1" x14ac:dyDescent="0.25">
      <c r="A52" s="342">
        <f>IF(C52&gt;0,COUNT(C$12:C52),"")</f>
        <v>1</v>
      </c>
      <c r="B52" s="133" t="s">
        <v>709</v>
      </c>
      <c r="C52" s="401">
        <v>14</v>
      </c>
      <c r="D52" s="174" t="s">
        <v>0</v>
      </c>
      <c r="E52" s="316">
        <v>37250</v>
      </c>
      <c r="F52" s="402">
        <f>E52*C52</f>
        <v>521500</v>
      </c>
    </row>
    <row r="53" spans="1:25" x14ac:dyDescent="0.25">
      <c r="A53" s="342" t="str">
        <f>IF(C53&gt;0,COUNT(C$12:C53),"")</f>
        <v/>
      </c>
      <c r="B53" s="317"/>
      <c r="C53" s="348"/>
      <c r="D53" s="174"/>
      <c r="F53" s="341"/>
      <c r="G53" s="328"/>
      <c r="S53" s="338"/>
      <c r="T53" s="339"/>
      <c r="U53" s="338"/>
    </row>
    <row r="54" spans="1:25" ht="88.8" customHeight="1" x14ac:dyDescent="0.25">
      <c r="A54" s="342">
        <f>IF(C54&gt;0,COUNT(C$12:C54),"")</f>
        <v>2</v>
      </c>
      <c r="B54" s="317" t="s">
        <v>710</v>
      </c>
      <c r="C54" s="348">
        <v>4</v>
      </c>
      <c r="D54" s="174" t="s">
        <v>0</v>
      </c>
      <c r="E54" s="316">
        <v>37250</v>
      </c>
      <c r="F54" s="402">
        <f>E54*C54</f>
        <v>149000</v>
      </c>
      <c r="G54" s="328"/>
      <c r="S54" s="338"/>
      <c r="T54" s="339"/>
      <c r="U54" s="338"/>
    </row>
    <row r="55" spans="1:25" x14ac:dyDescent="0.25">
      <c r="A55" s="342"/>
      <c r="B55" s="317"/>
      <c r="C55" s="348"/>
      <c r="D55" s="174"/>
      <c r="E55" s="316"/>
      <c r="F55" s="402"/>
      <c r="G55" s="328"/>
      <c r="S55" s="338"/>
      <c r="T55" s="339"/>
      <c r="U55" s="338"/>
    </row>
    <row r="56" spans="1:25" ht="129" customHeight="1" x14ac:dyDescent="0.25">
      <c r="A56" s="342">
        <f>IF(C56&gt;0,COUNT(C$12:C56),"")</f>
        <v>3</v>
      </c>
      <c r="B56" s="317" t="s">
        <v>711</v>
      </c>
      <c r="C56" s="348">
        <v>1</v>
      </c>
      <c r="D56" s="174" t="s">
        <v>0</v>
      </c>
      <c r="E56" s="316">
        <v>37250</v>
      </c>
      <c r="F56" s="402">
        <f>E56*C56</f>
        <v>37250</v>
      </c>
      <c r="G56" s="328"/>
      <c r="S56" s="338"/>
      <c r="T56" s="339"/>
      <c r="U56" s="338"/>
    </row>
    <row r="57" spans="1:25" x14ac:dyDescent="0.25">
      <c r="A57" s="452" t="str">
        <f>IF(C57&gt;0,COUNT(C$12:C57),"")</f>
        <v/>
      </c>
      <c r="B57" s="479"/>
      <c r="C57" s="446"/>
      <c r="D57" s="476"/>
      <c r="E57" s="447"/>
      <c r="F57" s="480"/>
      <c r="G57" s="328"/>
      <c r="S57" s="338"/>
      <c r="T57" s="339"/>
      <c r="U57" s="338"/>
    </row>
    <row r="58" spans="1:25" s="403" customFormat="1" ht="117.6" customHeight="1" x14ac:dyDescent="0.25">
      <c r="A58" s="453">
        <f>IF(C58&gt;0,COUNT(C$12:C58),"")</f>
        <v>4</v>
      </c>
      <c r="B58" s="481" t="s">
        <v>712</v>
      </c>
      <c r="C58" s="448">
        <v>1</v>
      </c>
      <c r="D58" s="478" t="s">
        <v>10</v>
      </c>
      <c r="E58" s="449">
        <v>425000</v>
      </c>
      <c r="F58" s="482">
        <f>E58*C58</f>
        <v>425000</v>
      </c>
    </row>
    <row r="59" spans="1:25" x14ac:dyDescent="0.25">
      <c r="A59" s="342" t="str">
        <f>IF(C59&gt;0,COUNT(C$12:C59),"")</f>
        <v/>
      </c>
      <c r="B59" s="317"/>
      <c r="C59" s="348"/>
      <c r="D59" s="174"/>
      <c r="F59" s="341"/>
      <c r="G59" s="328"/>
      <c r="S59" s="338"/>
      <c r="T59" s="339"/>
      <c r="U59" s="338"/>
    </row>
    <row r="60" spans="1:25" s="29" customFormat="1" ht="48" customHeight="1" x14ac:dyDescent="0.25">
      <c r="A60" s="342">
        <f>IF(C60&gt;0,COUNT(C$12:C60),"")</f>
        <v>5</v>
      </c>
      <c r="B60" s="133" t="s">
        <v>713</v>
      </c>
      <c r="C60" s="401">
        <v>1</v>
      </c>
      <c r="D60" s="174" t="s">
        <v>10</v>
      </c>
      <c r="E60" s="316">
        <v>292000</v>
      </c>
      <c r="F60" s="402">
        <f>E60*C60</f>
        <v>292000</v>
      </c>
    </row>
    <row r="61" spans="1:25" x14ac:dyDescent="0.25">
      <c r="A61" s="342" t="str">
        <f>IF(C61&gt;0,COUNT(C$12:C61),"")</f>
        <v/>
      </c>
      <c r="B61" s="317"/>
      <c r="C61" s="348"/>
      <c r="D61" s="174"/>
      <c r="F61" s="341"/>
      <c r="G61" s="328"/>
      <c r="S61" s="338"/>
      <c r="T61" s="339"/>
      <c r="U61" s="338"/>
    </row>
    <row r="62" spans="1:25" s="29" customFormat="1" ht="87.6" customHeight="1" x14ac:dyDescent="0.25">
      <c r="A62" s="342">
        <f>IF(C62&gt;0,COUNT(C$12:C62),"")</f>
        <v>6</v>
      </c>
      <c r="B62" s="86" t="s">
        <v>714</v>
      </c>
      <c r="C62" s="401">
        <v>1</v>
      </c>
      <c r="D62" s="174" t="s">
        <v>0</v>
      </c>
      <c r="E62" s="316">
        <v>162500</v>
      </c>
      <c r="F62" s="402">
        <f>E62*C62</f>
        <v>162500</v>
      </c>
    </row>
    <row r="63" spans="1:25" s="29" customFormat="1" x14ac:dyDescent="0.25">
      <c r="A63" s="342"/>
      <c r="B63" s="86"/>
      <c r="C63" s="401"/>
      <c r="D63" s="174"/>
      <c r="E63" s="316"/>
      <c r="F63" s="402"/>
    </row>
    <row r="64" spans="1:25" s="403" customFormat="1" ht="73.2" customHeight="1" x14ac:dyDescent="0.25">
      <c r="A64" s="342">
        <v>7</v>
      </c>
      <c r="B64" s="138" t="s">
        <v>715</v>
      </c>
      <c r="C64" s="401">
        <v>1</v>
      </c>
      <c r="D64" s="174" t="s">
        <v>10</v>
      </c>
      <c r="E64" s="316">
        <v>260000</v>
      </c>
      <c r="F64" s="402">
        <f>E64*C64</f>
        <v>260000</v>
      </c>
    </row>
    <row r="65" spans="1:6" s="403" customFormat="1" x14ac:dyDescent="0.25">
      <c r="A65" s="342"/>
      <c r="B65" s="138"/>
      <c r="C65" s="401"/>
      <c r="D65" s="174"/>
      <c r="E65" s="316"/>
      <c r="F65" s="402"/>
    </row>
    <row r="66" spans="1:6" s="403" customFormat="1" ht="62.4" customHeight="1" x14ac:dyDescent="0.25">
      <c r="A66" s="342">
        <v>8</v>
      </c>
      <c r="B66" s="138" t="s">
        <v>716</v>
      </c>
      <c r="C66" s="401">
        <v>1</v>
      </c>
      <c r="D66" s="174" t="s">
        <v>10</v>
      </c>
      <c r="E66" s="316">
        <v>360000</v>
      </c>
      <c r="F66" s="402">
        <f>E66*C66</f>
        <v>360000</v>
      </c>
    </row>
    <row r="67" spans="1:6" s="29" customFormat="1" x14ac:dyDescent="0.25">
      <c r="A67" s="342" t="str">
        <f>IF(C67&gt;0,COUNT(C$12:C67),"")</f>
        <v/>
      </c>
      <c r="B67" s="138"/>
      <c r="C67" s="401"/>
      <c r="D67" s="174"/>
      <c r="E67" s="316"/>
      <c r="F67" s="404"/>
    </row>
    <row r="68" spans="1:6" s="407" customFormat="1" ht="132.6" customHeight="1" x14ac:dyDescent="0.25">
      <c r="A68" s="342">
        <f>IF(C68&gt;0,COUNT(C$12:C68),"")</f>
        <v>9</v>
      </c>
      <c r="B68" s="405" t="s">
        <v>717</v>
      </c>
      <c r="C68" s="401">
        <v>1</v>
      </c>
      <c r="D68" s="174" t="s">
        <v>10</v>
      </c>
      <c r="E68" s="406">
        <v>800000</v>
      </c>
      <c r="F68" s="402">
        <f>E68*C68</f>
        <v>800000</v>
      </c>
    </row>
    <row r="69" spans="1:6" s="407" customFormat="1" x14ac:dyDescent="0.25">
      <c r="A69" s="342"/>
      <c r="B69" s="405"/>
      <c r="C69" s="401"/>
      <c r="D69" s="174"/>
      <c r="E69" s="406"/>
      <c r="F69" s="402"/>
    </row>
    <row r="70" spans="1:6" s="407" customFormat="1" ht="74.400000000000006" customHeight="1" x14ac:dyDescent="0.25">
      <c r="A70" s="342">
        <f>IF(C70&gt;0,COUNT(C$12:C70),"")</f>
        <v>10</v>
      </c>
      <c r="B70" s="405" t="s">
        <v>718</v>
      </c>
      <c r="C70" s="401">
        <v>1</v>
      </c>
      <c r="D70" s="174" t="s">
        <v>10</v>
      </c>
      <c r="E70" s="406">
        <v>560000</v>
      </c>
      <c r="F70" s="402">
        <f>E70*C70</f>
        <v>560000</v>
      </c>
    </row>
    <row r="71" spans="1:6" s="407" customFormat="1" x14ac:dyDescent="0.25">
      <c r="A71" s="452"/>
      <c r="B71" s="483"/>
      <c r="C71" s="484"/>
      <c r="D71" s="476"/>
      <c r="E71" s="485"/>
      <c r="F71" s="486"/>
    </row>
    <row r="72" spans="1:6" s="29" customFormat="1" ht="106.2" customHeight="1" x14ac:dyDescent="0.25">
      <c r="A72" s="453">
        <f>IF(C72&gt;0,COUNT(C$12:C72),"")</f>
        <v>11</v>
      </c>
      <c r="B72" s="481" t="s">
        <v>719</v>
      </c>
      <c r="C72" s="448">
        <v>1</v>
      </c>
      <c r="D72" s="487" t="s">
        <v>10</v>
      </c>
      <c r="E72" s="488">
        <v>60000</v>
      </c>
      <c r="F72" s="482">
        <f>E72*C72</f>
        <v>60000</v>
      </c>
    </row>
    <row r="73" spans="1:6" s="29" customFormat="1" x14ac:dyDescent="0.25">
      <c r="A73" s="342" t="str">
        <f>IF(C73&gt;0,COUNT(C$12:C73),"")</f>
        <v/>
      </c>
      <c r="B73" s="138"/>
      <c r="C73" s="409"/>
      <c r="D73" s="410"/>
      <c r="E73" s="408"/>
      <c r="F73" s="408"/>
    </row>
    <row r="74" spans="1:6" s="29" customFormat="1" ht="33" customHeight="1" x14ac:dyDescent="0.25">
      <c r="A74" s="342" t="str">
        <f>IF(C74&gt;0,COUNT(C$12:C74),"")</f>
        <v/>
      </c>
      <c r="B74" s="138" t="s">
        <v>720</v>
      </c>
      <c r="C74" s="401"/>
      <c r="D74" s="174" t="s">
        <v>621</v>
      </c>
      <c r="E74" s="316"/>
      <c r="F74" s="402"/>
    </row>
    <row r="75" spans="1:6" s="29" customFormat="1" x14ac:dyDescent="0.25">
      <c r="A75" s="342" t="str">
        <f>IF(C75&gt;0,COUNT(C$12:C75),"")</f>
        <v/>
      </c>
      <c r="B75" s="138"/>
      <c r="C75" s="409"/>
      <c r="D75" s="410"/>
      <c r="E75" s="408"/>
      <c r="F75" s="408"/>
    </row>
    <row r="76" spans="1:6" s="29" customFormat="1" ht="49.8" customHeight="1" x14ac:dyDescent="0.25">
      <c r="A76" s="342" t="str">
        <f>IF(C76&gt;0,COUNT(C$12:C76),"")</f>
        <v/>
      </c>
      <c r="B76" s="138" t="s">
        <v>721</v>
      </c>
      <c r="C76" s="401"/>
      <c r="D76" s="174" t="s">
        <v>621</v>
      </c>
      <c r="E76" s="316"/>
      <c r="F76" s="402"/>
    </row>
    <row r="77" spans="1:6" s="29" customFormat="1" x14ac:dyDescent="0.25">
      <c r="A77" s="342"/>
      <c r="B77" s="138"/>
      <c r="C77" s="401"/>
      <c r="D77" s="174"/>
      <c r="E77" s="316"/>
      <c r="F77" s="402"/>
    </row>
    <row r="78" spans="1:6" s="29" customFormat="1" ht="46.2" customHeight="1" x14ac:dyDescent="0.25">
      <c r="A78" s="342" t="str">
        <f>IF(C78&gt;0,COUNT(C$12:C78),"")</f>
        <v/>
      </c>
      <c r="B78" s="138" t="s">
        <v>677</v>
      </c>
      <c r="C78" s="401"/>
      <c r="D78" s="174" t="s">
        <v>621</v>
      </c>
      <c r="E78" s="316"/>
      <c r="F78" s="402"/>
    </row>
    <row r="79" spans="1:6" s="29" customFormat="1" x14ac:dyDescent="0.25">
      <c r="A79" s="342"/>
      <c r="B79" s="138"/>
      <c r="C79" s="401"/>
      <c r="D79" s="411"/>
      <c r="E79" s="316"/>
      <c r="F79" s="402"/>
    </row>
    <row r="80" spans="1:6" s="344" customFormat="1" x14ac:dyDescent="0.25">
      <c r="A80" s="342" t="str">
        <f>IF(C80&gt;0,COUNT(C$12:C80),"")</f>
        <v/>
      </c>
      <c r="B80" s="363" t="s">
        <v>678</v>
      </c>
      <c r="C80" s="401"/>
      <c r="D80" s="358"/>
      <c r="E80" s="412"/>
      <c r="F80" s="413"/>
    </row>
    <row r="81" spans="1:23" s="415" customFormat="1" ht="49.8" customHeight="1" x14ac:dyDescent="0.2">
      <c r="A81" s="342">
        <f>IF(C81&gt;0,COUNT(C$12:C81),"")</f>
        <v>12</v>
      </c>
      <c r="B81" s="317" t="s">
        <v>679</v>
      </c>
      <c r="C81" s="401">
        <v>1</v>
      </c>
      <c r="D81" s="358" t="s">
        <v>10</v>
      </c>
      <c r="E81" s="414">
        <v>80000</v>
      </c>
      <c r="F81" s="402">
        <f>E81*C81</f>
        <v>80000</v>
      </c>
    </row>
    <row r="82" spans="1:23" s="415" customFormat="1" x14ac:dyDescent="0.2">
      <c r="A82" s="342" t="str">
        <f>IF(C82&gt;0,COUNT(C$12:C82),"")</f>
        <v/>
      </c>
      <c r="B82" s="315"/>
      <c r="C82" s="416"/>
      <c r="D82" s="417"/>
      <c r="E82" s="414"/>
      <c r="F82" s="418"/>
    </row>
    <row r="83" spans="1:23" s="415" customFormat="1" x14ac:dyDescent="0.2">
      <c r="A83" s="342" t="str">
        <f>IF(C83&gt;0,COUNT(C$12:C83),"")</f>
        <v/>
      </c>
      <c r="B83" s="343" t="s">
        <v>680</v>
      </c>
      <c r="C83" s="401"/>
      <c r="D83" s="358"/>
      <c r="E83" s="414"/>
      <c r="F83" s="418"/>
    </row>
    <row r="84" spans="1:23" s="415" customFormat="1" ht="31.2" customHeight="1" x14ac:dyDescent="0.2">
      <c r="A84" s="342">
        <f>IF(C84&gt;0,COUNT(C$12:C84),"")</f>
        <v>13</v>
      </c>
      <c r="B84" s="315" t="s">
        <v>681</v>
      </c>
      <c r="C84" s="401">
        <v>1</v>
      </c>
      <c r="D84" s="358" t="s">
        <v>10</v>
      </c>
      <c r="E84" s="414">
        <v>100000</v>
      </c>
      <c r="F84" s="402">
        <f>E84*C84</f>
        <v>100000</v>
      </c>
    </row>
    <row r="85" spans="1:23" s="415" customFormat="1" x14ac:dyDescent="0.2">
      <c r="A85" s="342" t="str">
        <f>IF(C85&gt;0,COUNT(C$12:C85),"")</f>
        <v/>
      </c>
      <c r="B85" s="315"/>
      <c r="C85" s="416"/>
      <c r="D85" s="417"/>
      <c r="E85" s="414"/>
      <c r="F85" s="418"/>
    </row>
    <row r="86" spans="1:23" s="415" customFormat="1" x14ac:dyDescent="0.2">
      <c r="A86" s="342" t="str">
        <f>IF(C86&gt;0,COUNT(C$12:C86),"")</f>
        <v/>
      </c>
      <c r="B86" s="343" t="s">
        <v>682</v>
      </c>
      <c r="C86" s="401"/>
      <c r="D86" s="358"/>
      <c r="E86" s="414"/>
      <c r="F86" s="418"/>
    </row>
    <row r="87" spans="1:23" s="415" customFormat="1" ht="75" customHeight="1" x14ac:dyDescent="0.2">
      <c r="A87" s="342">
        <f>IF(C87&gt;0,COUNT(C$12:C87),"")</f>
        <v>14</v>
      </c>
      <c r="B87" s="315" t="s">
        <v>722</v>
      </c>
      <c r="C87" s="401">
        <v>1</v>
      </c>
      <c r="D87" s="358" t="s">
        <v>10</v>
      </c>
      <c r="E87" s="414"/>
      <c r="F87" s="402">
        <f>E87*C87</f>
        <v>0</v>
      </c>
    </row>
    <row r="88" spans="1:23" s="423" customFormat="1" x14ac:dyDescent="0.2">
      <c r="A88" s="419"/>
      <c r="B88" s="345"/>
      <c r="C88" s="416"/>
      <c r="D88" s="420"/>
      <c r="E88" s="421"/>
      <c r="F88" s="422"/>
    </row>
    <row r="89" spans="1:23" s="429" customFormat="1" ht="14.4" thickBot="1" x14ac:dyDescent="0.3">
      <c r="A89" s="424" t="str">
        <f>IF(C89&gt;0,COUNT(C89:C$115),"")</f>
        <v/>
      </c>
      <c r="B89" s="425" t="s">
        <v>683</v>
      </c>
      <c r="C89" s="346"/>
      <c r="D89" s="426"/>
      <c r="E89" s="427" t="s">
        <v>28</v>
      </c>
      <c r="F89" s="428">
        <f>SUM(F52:F88)</f>
        <v>3807250</v>
      </c>
      <c r="U89" s="430"/>
      <c r="V89" s="431"/>
      <c r="W89" s="430"/>
    </row>
    <row r="90" spans="1:23" s="429" customFormat="1" ht="14.4" thickTop="1" x14ac:dyDescent="0.25">
      <c r="A90" s="489"/>
      <c r="B90" s="432"/>
      <c r="C90" s="347"/>
      <c r="D90" s="433"/>
      <c r="E90" s="434"/>
      <c r="F90" s="490"/>
      <c r="U90" s="430"/>
      <c r="V90" s="431"/>
      <c r="W90" s="430"/>
    </row>
    <row r="91" spans="1:23" s="429" customFormat="1" x14ac:dyDescent="0.25">
      <c r="A91" s="489"/>
      <c r="B91" s="432"/>
      <c r="C91" s="347"/>
      <c r="D91" s="433"/>
      <c r="E91" s="434"/>
      <c r="F91" s="490"/>
      <c r="U91" s="430"/>
      <c r="V91" s="431"/>
      <c r="W91" s="430"/>
    </row>
    <row r="92" spans="1:23" s="429" customFormat="1" ht="27.6" x14ac:dyDescent="0.25">
      <c r="A92" s="489"/>
      <c r="B92" s="435" t="s">
        <v>723</v>
      </c>
      <c r="C92" s="347"/>
      <c r="D92" s="433"/>
      <c r="E92" s="434"/>
      <c r="F92" s="490"/>
      <c r="U92" s="430"/>
      <c r="V92" s="431"/>
      <c r="W92" s="430"/>
    </row>
    <row r="93" spans="1:23" s="29" customFormat="1" x14ac:dyDescent="0.25">
      <c r="A93" s="455" t="str">
        <f>IF(C93&gt;0,COUNT(C$64:C93),"")</f>
        <v/>
      </c>
      <c r="C93" s="16"/>
      <c r="D93" s="27"/>
      <c r="E93" s="436"/>
      <c r="F93" s="491"/>
    </row>
    <row r="94" spans="1:23" s="29" customFormat="1" x14ac:dyDescent="0.25">
      <c r="A94" s="455"/>
      <c r="B94" s="437" t="s">
        <v>724</v>
      </c>
      <c r="C94" s="16"/>
      <c r="D94" s="27"/>
      <c r="E94" s="350"/>
      <c r="F94" s="491"/>
    </row>
    <row r="95" spans="1:23" s="29" customFormat="1" x14ac:dyDescent="0.25">
      <c r="A95" s="455"/>
      <c r="B95" s="437"/>
      <c r="C95" s="16"/>
      <c r="D95" s="27"/>
      <c r="E95" s="350"/>
      <c r="F95" s="491"/>
    </row>
    <row r="96" spans="1:23" s="29" customFormat="1" x14ac:dyDescent="0.25">
      <c r="A96" s="455"/>
      <c r="B96" s="437" t="s">
        <v>725</v>
      </c>
      <c r="C96" s="16"/>
      <c r="D96" s="27"/>
      <c r="E96" s="350"/>
      <c r="F96" s="491"/>
    </row>
    <row r="97" spans="1:6" s="29" customFormat="1" x14ac:dyDescent="0.25">
      <c r="A97" s="455"/>
      <c r="B97" s="437"/>
      <c r="C97" s="16"/>
      <c r="D97" s="27"/>
      <c r="E97" s="350"/>
      <c r="F97" s="491"/>
    </row>
    <row r="98" spans="1:6" s="29" customFormat="1" x14ac:dyDescent="0.25">
      <c r="A98" s="455"/>
      <c r="B98" s="437" t="s">
        <v>726</v>
      </c>
      <c r="C98" s="16"/>
      <c r="D98" s="27"/>
      <c r="E98" s="350"/>
      <c r="F98" s="491"/>
    </row>
    <row r="99" spans="1:6" s="29" customFormat="1" x14ac:dyDescent="0.25">
      <c r="A99" s="455"/>
      <c r="B99" s="437"/>
      <c r="C99" s="16"/>
      <c r="D99" s="27"/>
      <c r="E99" s="350"/>
      <c r="F99" s="491"/>
    </row>
    <row r="100" spans="1:6" s="29" customFormat="1" x14ac:dyDescent="0.25">
      <c r="A100" s="455"/>
      <c r="B100" s="437" t="s">
        <v>727</v>
      </c>
      <c r="C100" s="16"/>
      <c r="D100" s="27"/>
      <c r="E100" s="350"/>
      <c r="F100" s="491"/>
    </row>
    <row r="101" spans="1:6" s="29" customFormat="1" x14ac:dyDescent="0.25">
      <c r="A101" s="455"/>
      <c r="B101" s="437"/>
      <c r="C101" s="16"/>
      <c r="D101" s="27"/>
      <c r="E101" s="350"/>
      <c r="F101" s="491"/>
    </row>
    <row r="102" spans="1:6" s="29" customFormat="1" x14ac:dyDescent="0.25">
      <c r="A102" s="455"/>
      <c r="B102" s="437" t="s">
        <v>728</v>
      </c>
      <c r="C102" s="16"/>
      <c r="D102" s="27"/>
      <c r="E102" s="350"/>
      <c r="F102" s="491"/>
    </row>
    <row r="103" spans="1:6" s="29" customFormat="1" x14ac:dyDescent="0.25">
      <c r="A103" s="455" t="s">
        <v>536</v>
      </c>
      <c r="B103" s="437"/>
      <c r="C103" s="16"/>
      <c r="D103" s="27"/>
      <c r="E103" s="350"/>
      <c r="F103" s="491"/>
    </row>
    <row r="104" spans="1:6" s="29" customFormat="1" x14ac:dyDescent="0.25">
      <c r="A104" s="455"/>
      <c r="B104" s="437" t="s">
        <v>729</v>
      </c>
      <c r="C104" s="16"/>
      <c r="D104" s="27"/>
      <c r="E104" s="350"/>
      <c r="F104" s="491"/>
    </row>
    <row r="105" spans="1:6" s="29" customFormat="1" x14ac:dyDescent="0.25">
      <c r="A105" s="455"/>
      <c r="B105" s="437"/>
      <c r="C105" s="16"/>
      <c r="D105" s="27"/>
      <c r="E105" s="350"/>
      <c r="F105" s="491"/>
    </row>
    <row r="106" spans="1:6" s="29" customFormat="1" x14ac:dyDescent="0.25">
      <c r="A106" s="492"/>
      <c r="B106" s="493" t="s">
        <v>730</v>
      </c>
      <c r="C106" s="494"/>
      <c r="D106" s="495"/>
      <c r="E106" s="456"/>
      <c r="F106" s="496"/>
    </row>
    <row r="107" spans="1:6" s="29" customFormat="1" x14ac:dyDescent="0.25">
      <c r="A107" s="454" t="s">
        <v>744</v>
      </c>
      <c r="B107" s="497"/>
      <c r="C107" s="498"/>
      <c r="D107" s="499"/>
      <c r="E107" s="500"/>
      <c r="F107" s="501"/>
    </row>
    <row r="108" spans="1:6" s="29" customFormat="1" x14ac:dyDescent="0.25">
      <c r="A108" s="455"/>
      <c r="B108" s="364" t="s">
        <v>731</v>
      </c>
      <c r="C108" s="16"/>
      <c r="D108" s="27"/>
      <c r="E108" s="350"/>
      <c r="F108" s="491"/>
    </row>
    <row r="109" spans="1:6" s="29" customFormat="1" x14ac:dyDescent="0.25">
      <c r="A109" s="455"/>
      <c r="B109" s="438"/>
      <c r="C109" s="16"/>
      <c r="D109" s="27"/>
      <c r="E109" s="350"/>
      <c r="F109" s="491"/>
    </row>
    <row r="110" spans="1:6" s="29" customFormat="1" x14ac:dyDescent="0.25">
      <c r="A110" s="455"/>
      <c r="B110" s="364" t="s">
        <v>732</v>
      </c>
      <c r="C110" s="16"/>
      <c r="D110" s="27"/>
      <c r="E110" s="350"/>
      <c r="F110" s="491"/>
    </row>
    <row r="111" spans="1:6" s="29" customFormat="1" x14ac:dyDescent="0.25">
      <c r="A111" s="455"/>
      <c r="B111" s="364"/>
      <c r="C111" s="16"/>
      <c r="D111" s="27"/>
      <c r="E111" s="350"/>
      <c r="F111" s="491"/>
    </row>
    <row r="112" spans="1:6" s="29" customFormat="1" x14ac:dyDescent="0.25">
      <c r="A112" s="455"/>
      <c r="B112" s="364" t="s">
        <v>733</v>
      </c>
      <c r="C112" s="16"/>
      <c r="D112" s="27"/>
      <c r="E112" s="350"/>
      <c r="F112" s="491"/>
    </row>
    <row r="113" spans="1:6" s="29" customFormat="1" x14ac:dyDescent="0.25">
      <c r="A113" s="455"/>
      <c r="B113" s="364"/>
      <c r="C113" s="16"/>
      <c r="D113" s="27"/>
      <c r="E113" s="350"/>
      <c r="F113" s="491"/>
    </row>
    <row r="114" spans="1:6" s="29" customFormat="1" ht="55.2" x14ac:dyDescent="0.25">
      <c r="A114" s="455" t="str">
        <f>IF(C114&gt;0,COUNT(C114:C$116),"")</f>
        <v/>
      </c>
      <c r="B114" s="439" t="s">
        <v>734</v>
      </c>
      <c r="C114" s="439"/>
      <c r="D114" s="439"/>
      <c r="E114" s="440"/>
      <c r="F114" s="502"/>
    </row>
    <row r="115" spans="1:6" s="29" customFormat="1" x14ac:dyDescent="0.25">
      <c r="A115" s="455" t="str">
        <f>IF(C115&gt;0,COUNT(C115:C$116),"")</f>
        <v/>
      </c>
      <c r="B115" s="441"/>
      <c r="C115" s="16"/>
      <c r="D115" s="27"/>
      <c r="E115" s="350"/>
      <c r="F115" s="503"/>
    </row>
    <row r="116" spans="1:6" s="29" customFormat="1" ht="41.4" x14ac:dyDescent="0.25">
      <c r="A116" s="455" t="str">
        <f>IF(C116&gt;0,COUNT(C116:C$116),"")</f>
        <v/>
      </c>
      <c r="B116" s="439" t="s">
        <v>735</v>
      </c>
      <c r="C116" s="439"/>
      <c r="D116" s="439"/>
      <c r="E116" s="442"/>
      <c r="F116" s="504"/>
    </row>
    <row r="117" spans="1:6" s="29" customFormat="1" x14ac:dyDescent="0.25">
      <c r="A117" s="455" t="str">
        <f>IF(C117&gt;0,COUNT(C$116:C117),"")</f>
        <v/>
      </c>
      <c r="B117" s="441"/>
      <c r="C117" s="16"/>
      <c r="D117" s="27"/>
      <c r="E117" s="350"/>
      <c r="F117" s="503"/>
    </row>
    <row r="118" spans="1:6" s="29" customFormat="1" ht="41.4" x14ac:dyDescent="0.25">
      <c r="A118" s="455" t="str">
        <f>IF(C118&gt;0,COUNT(C$116:C118),"")</f>
        <v/>
      </c>
      <c r="B118" s="443" t="s">
        <v>736</v>
      </c>
      <c r="C118" s="443"/>
      <c r="D118" s="443"/>
      <c r="E118" s="396"/>
      <c r="F118" s="505"/>
    </row>
    <row r="119" spans="1:6" s="29" customFormat="1" x14ac:dyDescent="0.25">
      <c r="A119" s="455" t="str">
        <f>IF(C119&gt;0,COUNT(C$64:C119),"")</f>
        <v/>
      </c>
      <c r="C119" s="16"/>
      <c r="D119" s="27"/>
      <c r="E119" s="350"/>
      <c r="F119" s="491"/>
    </row>
    <row r="120" spans="1:6" s="29" customFormat="1" x14ac:dyDescent="0.25">
      <c r="A120" s="455"/>
      <c r="C120" s="16"/>
      <c r="D120" s="27"/>
      <c r="E120" s="350"/>
      <c r="F120" s="491"/>
    </row>
    <row r="121" spans="1:6" s="29" customFormat="1" x14ac:dyDescent="0.25">
      <c r="A121" s="455" t="str">
        <f>IF(C121&gt;0,COUNT(C$64:C121),"")</f>
        <v/>
      </c>
      <c r="B121" s="438" t="s">
        <v>684</v>
      </c>
      <c r="C121" s="16"/>
      <c r="D121" s="27"/>
      <c r="E121" s="350"/>
      <c r="F121" s="491"/>
    </row>
    <row r="122" spans="1:6" s="29" customFormat="1" x14ac:dyDescent="0.25">
      <c r="A122" s="455" t="str">
        <f>IF(C122&gt;0,COUNT(C$64:C122),"")</f>
        <v/>
      </c>
      <c r="B122" s="438"/>
      <c r="C122" s="16"/>
      <c r="D122" s="27"/>
      <c r="E122" s="350"/>
      <c r="F122" s="491"/>
    </row>
    <row r="123" spans="1:6" s="29" customFormat="1" x14ac:dyDescent="0.25">
      <c r="A123" s="455" t="str">
        <f>IF(C123&gt;0,COUNT(C$64:C123),"")</f>
        <v/>
      </c>
      <c r="B123" s="438"/>
      <c r="C123" s="16"/>
      <c r="D123" s="27"/>
      <c r="E123" s="350"/>
      <c r="F123" s="491"/>
    </row>
    <row r="124" spans="1:6" s="29" customFormat="1" x14ac:dyDescent="0.25">
      <c r="A124" s="455" t="str">
        <f>IF(C124&gt;0,COUNT(C$64:C124),"")</f>
        <v/>
      </c>
      <c r="B124" s="438"/>
      <c r="C124" s="16"/>
      <c r="D124" s="27"/>
      <c r="E124" s="350"/>
      <c r="F124" s="491"/>
    </row>
    <row r="125" spans="1:6" s="29" customFormat="1" x14ac:dyDescent="0.25">
      <c r="A125" s="455" t="str">
        <f>IF(C125&gt;0,COUNT(C$64:C125),"")</f>
        <v/>
      </c>
      <c r="B125" s="438" t="s">
        <v>685</v>
      </c>
      <c r="C125" s="16"/>
      <c r="D125" s="27"/>
      <c r="E125" s="350"/>
      <c r="F125" s="491"/>
    </row>
    <row r="126" spans="1:6" s="29" customFormat="1" x14ac:dyDescent="0.25">
      <c r="A126" s="455" t="str">
        <f>IF(C126&gt;0,COUNT(C$64:C126),"")</f>
        <v/>
      </c>
      <c r="B126" s="438"/>
      <c r="C126" s="16"/>
      <c r="D126" s="27"/>
      <c r="E126" s="350"/>
      <c r="F126" s="491"/>
    </row>
    <row r="127" spans="1:6" s="29" customFormat="1" x14ac:dyDescent="0.25">
      <c r="A127" s="455" t="str">
        <f>IF(C127&gt;0,COUNT(C$64:C127),"")</f>
        <v/>
      </c>
      <c r="B127" s="438"/>
      <c r="C127" s="16"/>
      <c r="D127" s="27"/>
      <c r="E127" s="350"/>
      <c r="F127" s="506"/>
    </row>
    <row r="128" spans="1:6" s="29" customFormat="1" x14ac:dyDescent="0.25">
      <c r="A128" s="455" t="str">
        <f>IF(C128&gt;0,COUNT(C$64:C128),"")</f>
        <v/>
      </c>
      <c r="B128" s="438"/>
      <c r="C128" s="16"/>
      <c r="D128" s="27"/>
      <c r="E128" s="350"/>
      <c r="F128" s="506"/>
    </row>
    <row r="129" spans="1:6" s="29" customFormat="1" x14ac:dyDescent="0.25">
      <c r="A129" s="455" t="str">
        <f>IF(C129&gt;0,COUNT(C$64:C129),"")</f>
        <v/>
      </c>
      <c r="B129" s="438" t="s">
        <v>686</v>
      </c>
      <c r="C129" s="16"/>
      <c r="D129" s="27"/>
      <c r="E129" s="350"/>
      <c r="F129" s="506"/>
    </row>
    <row r="130" spans="1:6" s="29" customFormat="1" x14ac:dyDescent="0.25">
      <c r="A130" s="455" t="str">
        <f>IF(C130&gt;0,COUNT(C$64:C130),"")</f>
        <v/>
      </c>
      <c r="B130" s="438"/>
      <c r="C130" s="16"/>
      <c r="D130" s="27"/>
      <c r="E130" s="350"/>
      <c r="F130" s="506"/>
    </row>
    <row r="131" spans="1:6" s="29" customFormat="1" x14ac:dyDescent="0.25">
      <c r="A131" s="455" t="str">
        <f>IF(C131&gt;0,COUNT(C$64:C131),"")</f>
        <v/>
      </c>
      <c r="B131" s="438"/>
      <c r="C131" s="16"/>
      <c r="D131" s="27"/>
      <c r="E131" s="350"/>
      <c r="F131" s="506"/>
    </row>
    <row r="132" spans="1:6" s="29" customFormat="1" x14ac:dyDescent="0.25">
      <c r="A132" s="455" t="str">
        <f>IF(C132&gt;0,COUNT(C$64:C132),"")</f>
        <v/>
      </c>
      <c r="B132" s="438"/>
      <c r="C132" s="16"/>
      <c r="D132" s="27"/>
      <c r="E132" s="350"/>
      <c r="F132" s="506"/>
    </row>
    <row r="133" spans="1:6" s="29" customFormat="1" x14ac:dyDescent="0.25">
      <c r="A133" s="492" t="str">
        <f>IF(C133&gt;0,COUNT(C$64:C133),"")</f>
        <v/>
      </c>
      <c r="B133" s="459" t="s">
        <v>687</v>
      </c>
      <c r="C133" s="494"/>
      <c r="D133" s="495"/>
      <c r="E133" s="456"/>
      <c r="F133" s="496"/>
    </row>
  </sheetData>
  <protectedRanges>
    <protectedRange password="D55D" sqref="B30:B41 B94:B106" name="Range1_3_1_1"/>
    <protectedRange sqref="E50 G50" name="Range1_2_1_1_1_1_2_1_1_1"/>
    <protectedRange sqref="G52 G58 G62:G65 G72:G79" name="Range1_4_1_1_2_1_1_2_1"/>
    <protectedRange sqref="G67" name="Range1_4_1_1_2_1_1_2_1_1"/>
    <protectedRange sqref="G60" name="Range1_4_1_1_2_1_1_2_4"/>
    <protectedRange password="D55D" sqref="B43 B108" name="Range1_3_1_1_6_3"/>
    <protectedRange password="D55D" sqref="B13:B14 B16:B28" name="Range1_3_1_1_9"/>
    <protectedRange password="D55D" sqref="B15" name="Range1_3_1_1_3_2"/>
    <protectedRange password="D55D" sqref="B45:B47 B110:B113" name="Range1_3_1_1_6_3_1"/>
    <protectedRange password="D55D" sqref="B29" name="Range1_3_1_1_6_1_1_1"/>
    <protectedRange sqref="G66" name="Range1_4_1_1_2_1_1_2_1_1_1"/>
    <protectedRange sqref="G68:G71" name="Range1_4_1_1_2_1_1_2_1_1_1_1"/>
  </protectedRanges>
  <mergeCells count="2">
    <mergeCell ref="A1:B1"/>
    <mergeCell ref="A3:B3"/>
  </mergeCells>
  <pageMargins left="0.7" right="0.7" top="0.75" bottom="0.75" header="0.3" footer="0.3"/>
  <pageSetup paperSize="9" scale="9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19</vt:i4>
      </vt:variant>
    </vt:vector>
  </HeadingPairs>
  <TitlesOfParts>
    <vt:vector size="40" baseType="lpstr">
      <vt:lpstr>front</vt:lpstr>
      <vt:lpstr>summary</vt:lpstr>
      <vt:lpstr>prelims</vt:lpstr>
      <vt:lpstr>waterprof</vt:lpstr>
      <vt:lpstr>concrete</vt:lpstr>
      <vt:lpstr>RBD</vt:lpstr>
      <vt:lpstr>masnry</vt:lpstr>
      <vt:lpstr>plumbing</vt:lpstr>
      <vt:lpstr>metal</vt:lpstr>
      <vt:lpstr>tile</vt:lpstr>
      <vt:lpstr>RBD Material</vt:lpstr>
      <vt:lpstr>floring</vt:lpstr>
      <vt:lpstr>exca</vt:lpstr>
      <vt:lpstr>plastering</vt:lpstr>
      <vt:lpstr>paint</vt:lpstr>
      <vt:lpstr>electicle </vt:lpstr>
      <vt:lpstr>Rate Breakdowns</vt:lpstr>
      <vt:lpstr>grnd summry- tender</vt:lpstr>
      <vt:lpstr>m shet Mr Ratheshon</vt:lpstr>
      <vt:lpstr>Ps</vt:lpstr>
      <vt:lpstr>cctv</vt:lpstr>
      <vt:lpstr>concrete!Print_Area</vt:lpstr>
      <vt:lpstr>'electicle '!Print_Area</vt:lpstr>
      <vt:lpstr>exca!Print_Area</vt:lpstr>
      <vt:lpstr>floring!Print_Area</vt:lpstr>
      <vt:lpstr>front!Print_Area</vt:lpstr>
      <vt:lpstr>'grnd summry- tender'!Print_Area</vt:lpstr>
      <vt:lpstr>'m shet Mr Ratheshon'!Print_Area</vt:lpstr>
      <vt:lpstr>masnry!Print_Area</vt:lpstr>
      <vt:lpstr>metal!Print_Area</vt:lpstr>
      <vt:lpstr>paint!Print_Area</vt:lpstr>
      <vt:lpstr>plastering!Print_Area</vt:lpstr>
      <vt:lpstr>plumbing!Print_Area</vt:lpstr>
      <vt:lpstr>prelims!Print_Area</vt:lpstr>
      <vt:lpstr>Ps!Print_Area</vt:lpstr>
      <vt:lpstr>RBD!Print_Area</vt:lpstr>
      <vt:lpstr>'RBD Material'!Print_Area</vt:lpstr>
      <vt:lpstr>summary!Print_Area</vt:lpstr>
      <vt:lpstr>tile!Print_Area</vt:lpstr>
      <vt:lpstr>waterprof!Print_Area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HB User</cp:lastModifiedBy>
  <cp:lastPrinted>2023-11-27T12:29:20Z</cp:lastPrinted>
  <dcterms:created xsi:type="dcterms:W3CDTF">2017-08-09T00:03:19Z</dcterms:created>
  <dcterms:modified xsi:type="dcterms:W3CDTF">2023-12-04T03:00:49Z</dcterms:modified>
</cp:coreProperties>
</file>