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20" activeTab="1"/>
  </bookViews>
  <sheets>
    <sheet name="Valu frnt page" sheetId="8" r:id="rId1"/>
    <sheet name="BOQ " sheetId="7" r:id="rId2"/>
    <sheet name="Total Measurement" sheetId="6" state="hidden" r:id="rId3"/>
  </sheets>
  <externalReferences>
    <externalReference r:id="rId4"/>
    <externalReference r:id="rId5"/>
    <externalReference r:id="rId6"/>
    <externalReference r:id="rId7"/>
    <externalReference r:id="rId8"/>
    <externalReference r:id="rId9"/>
    <externalReference r:id="rId10"/>
  </externalReferences>
  <definedNames>
    <definedName name="____pg119" localSheetId="0">[1]BOQ!#REF!</definedName>
    <definedName name="____pg119">[1]BOQ!#REF!</definedName>
    <definedName name="___pg119" localSheetId="0">[2]BOQ!#REF!</definedName>
    <definedName name="___pg119">[2]BOQ!#REF!</definedName>
    <definedName name="__123Graph_ACURRENT" localSheetId="1" hidden="1">[3]FitOutConfCentre!#REF!</definedName>
    <definedName name="__123Graph_ACURRENT" localSheetId="0" hidden="1">[3]FitOutConfCentre!#REF!</definedName>
    <definedName name="__123Graph_ACURRENT" hidden="1">[3]FitOutConfCentre!#REF!</definedName>
    <definedName name="__pg119" localSheetId="0">[2]BOQ!#REF!</definedName>
    <definedName name="__pg119">[4]BOQ!#REF!</definedName>
    <definedName name="__pg21" localSheetId="0">#REF!</definedName>
    <definedName name="__pg21">#REF!</definedName>
    <definedName name="__pg22" localSheetId="0">#REF!</definedName>
    <definedName name="__pg22">#REF!</definedName>
    <definedName name="__pg23" localSheetId="0">#REF!</definedName>
    <definedName name="__pg23">#REF!</definedName>
    <definedName name="_xlnm._FilterDatabase" localSheetId="1" hidden="1">'BOQ '!$D$1:$D$892</definedName>
    <definedName name="_pg119">[5]BOQ!#REF!</definedName>
    <definedName name="_pg21" localSheetId="0">#REF!</definedName>
    <definedName name="_pg21">#REF!</definedName>
    <definedName name="_pg22" localSheetId="0">#REF!</definedName>
    <definedName name="_pg22">#REF!</definedName>
    <definedName name="_pg23" localSheetId="0">#REF!</definedName>
    <definedName name="_pg23">#REF!</definedName>
    <definedName name="A" localSheetId="1">#REF!</definedName>
    <definedName name="A" localSheetId="0">[6]CASHFLOW!$J$18</definedName>
    <definedName name="A">#REF!</definedName>
    <definedName name="AnnexureC" localSheetId="0">#REF!</definedName>
    <definedName name="AnnexureC">#REF!</definedName>
    <definedName name="B">[6]CASHFLOW!$J$19</definedName>
    <definedName name="b4p01" localSheetId="0">#REF!</definedName>
    <definedName name="b4p01">#REF!</definedName>
    <definedName name="b4p02" localSheetId="0">#REF!</definedName>
    <definedName name="b4p02">#REF!</definedName>
    <definedName name="b4p03" localSheetId="0">#REF!</definedName>
    <definedName name="b4p03">#REF!</definedName>
    <definedName name="b4p05" localSheetId="0">#REF!</definedName>
    <definedName name="b4p05">#REF!</definedName>
    <definedName name="b4p06" localSheetId="0">#REF!</definedName>
    <definedName name="b4p06">#REF!</definedName>
    <definedName name="b4p07" localSheetId="0">#REF!</definedName>
    <definedName name="b4p07">#REF!</definedName>
    <definedName name="b4p08" localSheetId="0">#REF!</definedName>
    <definedName name="b4p08">#REF!</definedName>
    <definedName name="b4p14" localSheetId="0">#REF!</definedName>
    <definedName name="b4p14">#REF!</definedName>
    <definedName name="b4p15" localSheetId="0">#REF!</definedName>
    <definedName name="b4p15">#REF!</definedName>
    <definedName name="b4p16" localSheetId="0">#REF!</definedName>
    <definedName name="b4p16">#REF!</definedName>
    <definedName name="b4p17" localSheetId="0">#REF!</definedName>
    <definedName name="b4p17">#REF!</definedName>
    <definedName name="b4p18" localSheetId="0">#REF!</definedName>
    <definedName name="b4p18">#REF!</definedName>
    <definedName name="b4p19" localSheetId="0">#REF!</definedName>
    <definedName name="b4p19">#REF!</definedName>
    <definedName name="b4p20" localSheetId="0">#REF!</definedName>
    <definedName name="b4p20">#REF!</definedName>
    <definedName name="Biill7Page4" localSheetId="0">#REF!</definedName>
    <definedName name="Biill7Page4">#REF!</definedName>
    <definedName name="Bill10Page1" localSheetId="0">#REF!</definedName>
    <definedName name="Bill10Page1">#REF!</definedName>
    <definedName name="BIll10Page2" localSheetId="0">#REF!</definedName>
    <definedName name="BIll10Page2">#REF!</definedName>
    <definedName name="Bill10Page3" localSheetId="0">#REF!</definedName>
    <definedName name="Bill10Page3">#REF!</definedName>
    <definedName name="Bill10Page4" localSheetId="0">#REF!</definedName>
    <definedName name="Bill10Page4">#REF!</definedName>
    <definedName name="Bill11Page1" localSheetId="0">#REF!</definedName>
    <definedName name="Bill11Page1">#REF!</definedName>
    <definedName name="Bill11Page2" localSheetId="0">#REF!</definedName>
    <definedName name="Bill11Page2">#REF!</definedName>
    <definedName name="Bill11Page3" localSheetId="0">#REF!</definedName>
    <definedName name="Bill11Page3">#REF!</definedName>
    <definedName name="Bill11Page4" localSheetId="0">#REF!</definedName>
    <definedName name="Bill11Page4">#REF!</definedName>
    <definedName name="Bill11Page5" localSheetId="0">#REF!</definedName>
    <definedName name="Bill11Page5">#REF!</definedName>
    <definedName name="Bill11Page6" localSheetId="0">#REF!</definedName>
    <definedName name="Bill11Page6">#REF!</definedName>
    <definedName name="Bill13Page1" localSheetId="0">#REF!</definedName>
    <definedName name="Bill13Page1">#REF!</definedName>
    <definedName name="Bill13Page2" localSheetId="0">#REF!</definedName>
    <definedName name="Bill13Page2">#REF!</definedName>
    <definedName name="Bill13Page3" localSheetId="0">#REF!</definedName>
    <definedName name="Bill13Page3">#REF!</definedName>
    <definedName name="Bill13Page4" localSheetId="0">#REF!</definedName>
    <definedName name="Bill13Page4">#REF!</definedName>
    <definedName name="Bill13Page5" localSheetId="0">#REF!</definedName>
    <definedName name="Bill13Page5">#REF!</definedName>
    <definedName name="BILL2Page1" localSheetId="0">'[7]PLUMBING WORK ADDITIONS'!#REF!</definedName>
    <definedName name="BILL2Page1">'[7]PLUMBING WORK ADDITIONS'!#REF!</definedName>
    <definedName name="Bill2Page10" localSheetId="0">'[7]PLUMBING WORK ADDITIONS'!#REF!</definedName>
    <definedName name="Bill2Page10">'[7]PLUMBING WORK ADDITIONS'!#REF!</definedName>
    <definedName name="Bill2Page11" localSheetId="0">'[7]PLUMBING WORK ADDITIONS'!#REF!</definedName>
    <definedName name="Bill2Page11">'[7]PLUMBING WORK ADDITIONS'!#REF!</definedName>
    <definedName name="Bill2Page12" localSheetId="0">'[7]PLUMBING WORK ADDITIONS'!#REF!</definedName>
    <definedName name="Bill2Page12">'[7]PLUMBING WORK ADDITIONS'!#REF!</definedName>
    <definedName name="Bill2Page13">'[7]PLUMBING WORK ADDITIONS'!#REF!</definedName>
    <definedName name="Bill2Page14">'[7]PLUMBING WORK ADDITIONS'!#REF!</definedName>
    <definedName name="Bill2Page15">'[7]PLUMBING WORK ADDITIONS'!#REF!</definedName>
    <definedName name="Bill2Page16">'[7]PLUMBING WORK ADDITIONS'!#REF!</definedName>
    <definedName name="Bill2Page17">'[7]PLUMBING WORK ADDITIONS'!#REF!</definedName>
    <definedName name="Bill2Page18">'[7]PLUMBING WORK ADDITIONS'!#REF!</definedName>
    <definedName name="Bill2Page19">'[7]PLUMBING WORK ADDITIONS'!#REF!</definedName>
    <definedName name="Bill2Page2">'[7]PLUMBING WORK ADDITIONS'!#REF!</definedName>
    <definedName name="Bill2Page20">'[7]PLUMBING WORK ADDITIONS'!#REF!</definedName>
    <definedName name="Bill2Page21">'[7]PLUMBING WORK ADDITIONS'!#REF!</definedName>
    <definedName name="Bill2Page22">'[7]PLUMBING WORK ADDITIONS'!#REF!</definedName>
    <definedName name="bill2Page23">'[7]PLUMBING WORK ADDITIONS'!#REF!</definedName>
    <definedName name="Bill2Page24">'[7]PLUMBING WORK ADDITIONS'!#REF!</definedName>
    <definedName name="Bill2Page25">'[7]PLUMBING WORK ADDITIONS'!#REF!</definedName>
    <definedName name="Bill2Page26">'[7]PLUMBING WORK ADDITIONS'!#REF!</definedName>
    <definedName name="Bill2Page27">'[7]PLUMBING WORK ADDITIONS'!#REF!</definedName>
    <definedName name="Bill2Page28">'[7]PLUMBING WORK ADDITIONS'!#REF!</definedName>
    <definedName name="Bill2Page29">'[7]PLUMBING WORK ADDITIONS'!#REF!</definedName>
    <definedName name="Bill2Page3">'[7]PLUMBING WORK ADDITIONS'!#REF!</definedName>
    <definedName name="Bill2Page30">'[7]PLUMBING WORK ADDITIONS'!#REF!</definedName>
    <definedName name="Bill2Page31">'[7]PLUMBING WORK ADDITIONS'!#REF!</definedName>
    <definedName name="Bill2Page32">'[7]PLUMBING WORK ADDITIONS'!#REF!</definedName>
    <definedName name="Bill2Page33">'[7]PLUMBING WORK ADDITIONS'!#REF!</definedName>
    <definedName name="Bill2Page34">'[7]PLUMBING WORK ADDITIONS'!#REF!</definedName>
    <definedName name="Bill2Page35">'[7]PLUMBING WORK ADDITIONS'!#REF!</definedName>
    <definedName name="Bill2Page36">'[7]PLUMBING WORK ADDITIONS'!#REF!</definedName>
    <definedName name="Bill2Page37">'[7]PLUMBING WORK ADDITIONS'!#REF!</definedName>
    <definedName name="Bill2Page4">'[7]PLUMBING WORK ADDITIONS'!#REF!</definedName>
    <definedName name="Bill2Page5">'[7]PLUMBING WORK ADDITIONS'!#REF!</definedName>
    <definedName name="Bill2Page58">'[7]PLUMBING WORK ADDITIONS'!#REF!</definedName>
    <definedName name="Bill2Page6">'[7]PLUMBING WORK ADDITIONS'!#REF!</definedName>
    <definedName name="Bill2Page7">'[7]PLUMBING WORK ADDITIONS'!#REF!</definedName>
    <definedName name="Bill2Page8">'[7]PLUMBING WORK ADDITIONS'!#REF!</definedName>
    <definedName name="Bill2Page9">'[7]PLUMBING WORK ADDITIONS'!#REF!</definedName>
    <definedName name="Bill3Page1" localSheetId="0">#REF!</definedName>
    <definedName name="Bill3Page1">#REF!</definedName>
    <definedName name="Bill3Page10" localSheetId="0">#REF!</definedName>
    <definedName name="Bill3Page10">#REF!</definedName>
    <definedName name="Bill3Page11" localSheetId="0">#REF!</definedName>
    <definedName name="Bill3Page11">#REF!</definedName>
    <definedName name="Bill3Page12" localSheetId="0">#REF!</definedName>
    <definedName name="Bill3Page12">#REF!</definedName>
    <definedName name="Bill3Page13" localSheetId="0">#REF!</definedName>
    <definedName name="Bill3Page13">#REF!</definedName>
    <definedName name="Bill3Page14" localSheetId="0">#REF!</definedName>
    <definedName name="Bill3Page14">#REF!</definedName>
    <definedName name="Bill3page15" localSheetId="0">#REF!</definedName>
    <definedName name="Bill3Page15">#REF!</definedName>
    <definedName name="Bill3Page16" localSheetId="0">#REF!</definedName>
    <definedName name="Bill3Page16">#REF!</definedName>
    <definedName name="Bill3Page17" localSheetId="0">#REF!</definedName>
    <definedName name="Bill3Page17">#REF!</definedName>
    <definedName name="Bill3Page2" localSheetId="0">#REF!</definedName>
    <definedName name="Bill3Page2">#REF!</definedName>
    <definedName name="Bill3Page3" localSheetId="0">#REF!</definedName>
    <definedName name="Bill3Page3">#REF!</definedName>
    <definedName name="Bill3Page4" localSheetId="0">#REF!</definedName>
    <definedName name="Bill3Page4">#REF!</definedName>
    <definedName name="Bill3Page5" localSheetId="0">#REF!</definedName>
    <definedName name="Bill3Page5">#REF!</definedName>
    <definedName name="Bill3Page6" localSheetId="0">#REF!</definedName>
    <definedName name="Bill3Page6">#REF!</definedName>
    <definedName name="Bill3Page7" localSheetId="0">#REF!</definedName>
    <definedName name="Bill3Page7">#REF!</definedName>
    <definedName name="Bill3Page8" localSheetId="0">#REF!</definedName>
    <definedName name="Bill3Page8">#REF!</definedName>
    <definedName name="Bill3Page9" localSheetId="0">#REF!</definedName>
    <definedName name="Bill3Page9">#REF!</definedName>
    <definedName name="Bill4Page1" localSheetId="0">#REF!</definedName>
    <definedName name="Bill4Page1">#REF!</definedName>
    <definedName name="Bill4Page10" localSheetId="0">#REF!</definedName>
    <definedName name="Bill4Page10">#REF!</definedName>
    <definedName name="Bill4Page11" localSheetId="0">#REF!</definedName>
    <definedName name="Bill4Page11">#REF!</definedName>
    <definedName name="Bill4Page12" localSheetId="0">#REF!</definedName>
    <definedName name="Bill4Page12">#REF!</definedName>
    <definedName name="Bill4Page2" localSheetId="0">#REF!</definedName>
    <definedName name="Bill4Page2">#REF!</definedName>
    <definedName name="Bill4Page3" localSheetId="0">#REF!</definedName>
    <definedName name="Bill4Page3">#REF!</definedName>
    <definedName name="Bill4Page4" localSheetId="0">#REF!</definedName>
    <definedName name="Bill4Page4">#REF!</definedName>
    <definedName name="Bill4Page5" localSheetId="0">#REF!</definedName>
    <definedName name="Bill4Page5">#REF!</definedName>
    <definedName name="Bill4Page6" localSheetId="0">#REF!</definedName>
    <definedName name="Bill4Page6">#REF!</definedName>
    <definedName name="Bill4Page7" localSheetId="0">#REF!</definedName>
    <definedName name="Bill4Page7">#REF!</definedName>
    <definedName name="Bill4Page8" localSheetId="0">#REF!</definedName>
    <definedName name="Bill4Page8">#REF!</definedName>
    <definedName name="Bill4Page9" localSheetId="0">#REF!</definedName>
    <definedName name="Bill4Page9">#REF!</definedName>
    <definedName name="Bill5Page1" localSheetId="0">#REF!</definedName>
    <definedName name="Bill5Page1">#REF!</definedName>
    <definedName name="Bill5Page10" localSheetId="0">#REF!</definedName>
    <definedName name="Bill5Page10">#REF!</definedName>
    <definedName name="Bill5Page2" localSheetId="0">#REF!</definedName>
    <definedName name="Bill5Page2">#REF!</definedName>
    <definedName name="Bill5Page3" localSheetId="0">#REF!</definedName>
    <definedName name="Bill5Page3">#REF!</definedName>
    <definedName name="Bill5Page4" localSheetId="0">#REF!</definedName>
    <definedName name="Bill5Page4">#REF!</definedName>
    <definedName name="Bill5Page5" localSheetId="0">#REF!</definedName>
    <definedName name="Bill5Page5">#REF!</definedName>
    <definedName name="Bill5Page6" localSheetId="0">#REF!</definedName>
    <definedName name="Bill5Page6">#REF!</definedName>
    <definedName name="Bill5Page7" localSheetId="0">#REF!</definedName>
    <definedName name="Bill5Page7">#REF!</definedName>
    <definedName name="Bill5Page8" localSheetId="0">#REF!</definedName>
    <definedName name="Bill5Page8">#REF!</definedName>
    <definedName name="Bill5Page9" localSheetId="0">#REF!</definedName>
    <definedName name="Bill5Page9">#REF!</definedName>
    <definedName name="Bill6Page1" localSheetId="0">#REF!</definedName>
    <definedName name="Bill6Page1">#REF!</definedName>
    <definedName name="Bill6Page10" localSheetId="0">#REF!</definedName>
    <definedName name="Bill6Page10">#REF!</definedName>
    <definedName name="Bill6Page11" localSheetId="0">#REF!</definedName>
    <definedName name="Bill6Page11">#REF!</definedName>
    <definedName name="Bill6Page12" localSheetId="0">#REF!</definedName>
    <definedName name="Bill6Page12">#REF!</definedName>
    <definedName name="Bill6Page13" localSheetId="0">#REF!</definedName>
    <definedName name="Bill6Page13">#REF!</definedName>
    <definedName name="Bill6Page14" localSheetId="0">#REF!</definedName>
    <definedName name="Bill6Page14">#REF!</definedName>
    <definedName name="Bill6Page15" localSheetId="0">#REF!</definedName>
    <definedName name="Bill6Page15">#REF!</definedName>
    <definedName name="Bill6Page16" localSheetId="0">#REF!</definedName>
    <definedName name="Bill6Page16">#REF!</definedName>
    <definedName name="Bill6Page17" localSheetId="0">#REF!</definedName>
    <definedName name="Bill6Page17">#REF!</definedName>
    <definedName name="Bill6Page18" localSheetId="0">#REF!</definedName>
    <definedName name="Bill6Page18">#REF!</definedName>
    <definedName name="Bill6page19" localSheetId="0">#REF!</definedName>
    <definedName name="Bill6page19">#REF!</definedName>
    <definedName name="Bill6Page2" localSheetId="0">#REF!</definedName>
    <definedName name="Bill6Page2">#REF!</definedName>
    <definedName name="Bill6Page20" localSheetId="0">#REF!</definedName>
    <definedName name="Bill6Page20">#REF!</definedName>
    <definedName name="Bill6Page21" localSheetId="0">#REF!</definedName>
    <definedName name="Bill6Page21">#REF!</definedName>
    <definedName name="Bill6Page22" localSheetId="0">#REF!</definedName>
    <definedName name="Bill6Page22">#REF!</definedName>
    <definedName name="Bill6Page23" localSheetId="0">#REF!</definedName>
    <definedName name="Bill6Page23">#REF!</definedName>
    <definedName name="Bill6Page24" localSheetId="0">#REF!</definedName>
    <definedName name="Bill6Page24">#REF!</definedName>
    <definedName name="Bill6Page25" localSheetId="0">#REF!</definedName>
    <definedName name="Bill6Page25">#REF!</definedName>
    <definedName name="Bill6Page26" localSheetId="0">#REF!</definedName>
    <definedName name="Bill6Page26">#REF!</definedName>
    <definedName name="Bill6Page27" localSheetId="0">#REF!</definedName>
    <definedName name="Bill6Page27">#REF!</definedName>
    <definedName name="Bill6Page3" localSheetId="0">#REF!</definedName>
    <definedName name="Bill6Page3">#REF!</definedName>
    <definedName name="Bill6Page4" localSheetId="0">#REF!</definedName>
    <definedName name="Bill6Page4">#REF!</definedName>
    <definedName name="Bill6Page5" localSheetId="0">#REF!</definedName>
    <definedName name="Bill6Page5">#REF!</definedName>
    <definedName name="Bill6Page6" localSheetId="0">#REF!</definedName>
    <definedName name="Bill6Page6">#REF!</definedName>
    <definedName name="Bill6Page7" localSheetId="0">#REF!</definedName>
    <definedName name="Bill6Page7">#REF!</definedName>
    <definedName name="Bill6Page8" localSheetId="0">#REF!</definedName>
    <definedName name="Bill6Page8">#REF!</definedName>
    <definedName name="Bill6Page9" localSheetId="0">#REF!</definedName>
    <definedName name="Bill6Page9">#REF!</definedName>
    <definedName name="Bill7Page1" localSheetId="0">#REF!</definedName>
    <definedName name="Bill7Page1">#REF!</definedName>
    <definedName name="Bill7Page2" localSheetId="0">#REF!</definedName>
    <definedName name="Bill7Page2">#REF!</definedName>
    <definedName name="Bill7Page3" localSheetId="0">#REF!</definedName>
    <definedName name="Bill7Page3">#REF!</definedName>
    <definedName name="Bill7Page4" localSheetId="0">#REF!</definedName>
    <definedName name="Bill7Page4">#REF!</definedName>
    <definedName name="Bill7Page5" localSheetId="0">#REF!</definedName>
    <definedName name="Bill7Page5">#REF!</definedName>
    <definedName name="Bill7Page6" localSheetId="0">#REF!</definedName>
    <definedName name="Bill7Page6">#REF!</definedName>
    <definedName name="Bill8Page1" localSheetId="0">#REF!</definedName>
    <definedName name="Bill8Page1">#REF!</definedName>
    <definedName name="Bill8Page10" localSheetId="0">#REF!</definedName>
    <definedName name="Bill8Page10">#REF!</definedName>
    <definedName name="Bill8Page11" localSheetId="0">#REF!</definedName>
    <definedName name="Bill8Page11">#REF!</definedName>
    <definedName name="Bill8Page2" localSheetId="0">#REF!</definedName>
    <definedName name="Bill8Page2">#REF!</definedName>
    <definedName name="Bill8Page3" localSheetId="0">#REF!</definedName>
    <definedName name="Bill8Page3">#REF!</definedName>
    <definedName name="Bill8Page4" localSheetId="0">#REF!</definedName>
    <definedName name="Bill8Page4">#REF!</definedName>
    <definedName name="Bill8Page5" localSheetId="0">#REF!</definedName>
    <definedName name="Bill8Page5">#REF!</definedName>
    <definedName name="Bill8Page6" localSheetId="0">#REF!</definedName>
    <definedName name="Bill8Page6">#REF!</definedName>
    <definedName name="Bill8Page7" localSheetId="0">#REF!</definedName>
    <definedName name="Bill8Page7">#REF!</definedName>
    <definedName name="Bill8Page8" localSheetId="0">#REF!</definedName>
    <definedName name="Bill8Page8">#REF!</definedName>
    <definedName name="Bill8Page9" localSheetId="0">#REF!</definedName>
    <definedName name="Bill8Page9">#REF!</definedName>
    <definedName name="Bill9Page1" localSheetId="0">#REF!</definedName>
    <definedName name="Bill9Page1">#REF!</definedName>
    <definedName name="Billl3Page17" localSheetId="0">#REF!</definedName>
    <definedName name="Billl3Page17">#REF!</definedName>
    <definedName name="GenSumm" localSheetId="0">#REF!</definedName>
    <definedName name="GenSumm">#REF!</definedName>
    <definedName name="kkk" localSheetId="0">#REF!</definedName>
    <definedName name="kkk">#REF!</definedName>
    <definedName name="PAGE_1" localSheetId="0">#REF!</definedName>
    <definedName name="PAGE_1">#REF!</definedName>
    <definedName name="PAGE_2" localSheetId="0">#REF!</definedName>
    <definedName name="PAGE_2">#REF!</definedName>
    <definedName name="PAGE_3" localSheetId="0">#REF!</definedName>
    <definedName name="PAGE_3">#REF!</definedName>
    <definedName name="PAGE_4" localSheetId="0">#REF!</definedName>
    <definedName name="PAGE_4">#REF!</definedName>
    <definedName name="Page1" localSheetId="0">#REF!</definedName>
    <definedName name="Page1">#REF!</definedName>
    <definedName name="page10" localSheetId="0">#REF!</definedName>
    <definedName name="page10">#REF!</definedName>
    <definedName name="page11" localSheetId="0">#REF!</definedName>
    <definedName name="page11">#REF!</definedName>
    <definedName name="page12" localSheetId="0">#REF!</definedName>
    <definedName name="page12">#REF!</definedName>
    <definedName name="page19" localSheetId="0">#REF!</definedName>
    <definedName name="page19">#REF!</definedName>
    <definedName name="Page2" localSheetId="0">#REF!</definedName>
    <definedName name="Page2">#REF!</definedName>
    <definedName name="page20" localSheetId="0">#REF!</definedName>
    <definedName name="page20">#REF!</definedName>
    <definedName name="page26" localSheetId="0">#REF!</definedName>
    <definedName name="page26">#REF!</definedName>
    <definedName name="Page3" localSheetId="0">#REF!</definedName>
    <definedName name="Page3">#REF!</definedName>
    <definedName name="page32" localSheetId="0">#REF!</definedName>
    <definedName name="page32">#REF!</definedName>
    <definedName name="page33" localSheetId="0">#REF!</definedName>
    <definedName name="page33">#REF!</definedName>
    <definedName name="page34" localSheetId="0">#REF!</definedName>
    <definedName name="page34">#REF!</definedName>
    <definedName name="page36" localSheetId="0">#REF!</definedName>
    <definedName name="page36">#REF!</definedName>
    <definedName name="page37" localSheetId="0">#REF!</definedName>
    <definedName name="page37">#REF!</definedName>
    <definedName name="page38" localSheetId="0">#REF!</definedName>
    <definedName name="page38">#REF!</definedName>
    <definedName name="page39" localSheetId="0">#REF!</definedName>
    <definedName name="page39">#REF!</definedName>
    <definedName name="page4" localSheetId="0">#REF!</definedName>
    <definedName name="page4">#REF!</definedName>
    <definedName name="page40" localSheetId="0">#REF!</definedName>
    <definedName name="page40">#REF!</definedName>
    <definedName name="page41" localSheetId="0">#REF!</definedName>
    <definedName name="page41">#REF!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ge8" localSheetId="0">#REF!</definedName>
    <definedName name="page8">#REF!</definedName>
    <definedName name="page9" localSheetId="0">#REF!</definedName>
    <definedName name="page9">#REF!</definedName>
    <definedName name="PAYCERT" localSheetId="0">#REF!</definedName>
    <definedName name="PAYCERT">#REF!</definedName>
    <definedName name="PRELIM" localSheetId="0">#REF!</definedName>
    <definedName name="PRELIM">#REF!</definedName>
    <definedName name="_xlnm.Print_Area" localSheetId="1">'BOQ '!$A$1:$F$892</definedName>
    <definedName name="_xlnm.Print_Area" localSheetId="2">'Total Measurement'!$A$2:$F$711</definedName>
    <definedName name="_xlnm.Print_Area" localSheetId="0">'Valu frnt page'!$A$1:$G$40</definedName>
    <definedName name="_xlnm.Print_Titles" localSheetId="1">'BOQ '!$1:$7</definedName>
    <definedName name="Print_Titles_MI" localSheetId="1">#REF!</definedName>
    <definedName name="Print_Titles_MI" localSheetId="0">#REF!</definedName>
    <definedName name="Print_Titles_MI">#REF!</definedName>
    <definedName name="Q" localSheetId="0">#REF!</definedName>
    <definedName name="Q">#REF!</definedName>
    <definedName name="RA" localSheetId="0">#REF!</definedName>
    <definedName name="RA">#REF!</definedName>
    <definedName name="RB" localSheetId="0">#REF!</definedName>
    <definedName name="RB">#REF!</definedName>
    <definedName name="RD" localSheetId="0">#REF!</definedName>
    <definedName name="RD">#REF!</definedName>
    <definedName name="RE" localSheetId="0">#REF!</definedName>
    <definedName name="RE">#REF!</definedName>
    <definedName name="RF" localSheetId="0">#REF!</definedName>
    <definedName name="RF">#REF!</definedName>
    <definedName name="RG" localSheetId="0">#REF!</definedName>
    <definedName name="RG">#REF!</definedName>
    <definedName name="RH" localSheetId="0">#REF!</definedName>
    <definedName name="RH">#REF!</definedName>
    <definedName name="RI" localSheetId="0">#REF!</definedName>
    <definedName name="RI">#REF!</definedName>
    <definedName name="RJ" localSheetId="0">#REF!</definedName>
    <definedName name="RJ">#REF!</definedName>
    <definedName name="S" localSheetId="0">#REF!</definedName>
    <definedName name="S">#REF!</definedName>
    <definedName name="SampleMockup" localSheetId="0">#REF!</definedName>
    <definedName name="SampleMockup">#REF!</definedName>
    <definedName name="SumAnnC" localSheetId="0">#REF!</definedName>
    <definedName name="SumAnnC">#REF!</definedName>
    <definedName name="SummAnnexureA" localSheetId="0">#REF!</definedName>
    <definedName name="SummAnnexureA">#REF!</definedName>
    <definedName name="SummAnnexureC" localSheetId="0">#REF!</definedName>
    <definedName name="SummAnnexureC">#REF!</definedName>
    <definedName name="T">[6]CASHFLOW!$J$17</definedName>
    <definedName name="U" localSheetId="0">#REF!</definedName>
    <definedName name="U">#REF!</definedName>
    <definedName name="V" localSheetId="0">#REF!</definedName>
    <definedName name="V">#REF!</definedName>
    <definedName name="VariatBill10" localSheetId="0">#REF!</definedName>
    <definedName name="VariatBill10">#REF!</definedName>
    <definedName name="VariatBill13" localSheetId="0">#REF!</definedName>
    <definedName name="VariatBill13">#REF!</definedName>
    <definedName name="VariatBill3" localSheetId="0">#REF!</definedName>
    <definedName name="VariatBill3">#REF!</definedName>
    <definedName name="VariatBill4" localSheetId="0">#REF!</definedName>
    <definedName name="VariatBill4">#REF!</definedName>
    <definedName name="VariatBill5" localSheetId="0">#REF!</definedName>
    <definedName name="VariatBill5">#REF!</definedName>
    <definedName name="VariatBill6" localSheetId="0">#REF!</definedName>
    <definedName name="VariatBill6">#REF!</definedName>
    <definedName name="VariatBill7" localSheetId="0">#REF!</definedName>
    <definedName name="VariatBill7">#REF!</definedName>
    <definedName name="VariatBill8" localSheetId="0">#REF!</definedName>
    <definedName name="VariatBill8">#REF!</definedName>
    <definedName name="VariatBill9" localSheetId="0">#REF!</definedName>
    <definedName name="VariatBill9">#REF!</definedName>
    <definedName name="VariatLPH" localSheetId="0">#REF!</definedName>
    <definedName name="VariatLPH">#REF!</definedName>
    <definedName name="VariatLPHExter" localSheetId="0">#REF!</definedName>
    <definedName name="VariatLPHExter">#REF!</definedName>
    <definedName name="w" localSheetId="0">#REF!</definedName>
    <definedName name="w">#REF!</definedName>
    <definedName name="Y" localSheetId="0">#REF!</definedName>
    <definedName name="Y">#REF!</definedName>
    <definedName name="Ya" localSheetId="0">#REF!</definedName>
    <definedName name="Ya">#REF!</definedName>
    <definedName name="Yb" localSheetId="0">#REF!</definedName>
    <definedName name="Yb">#REF!</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<sst xmlns="http://schemas.openxmlformats.org/spreadsheetml/2006/main" count="1511" uniqueCount="595">
  <si>
    <t xml:space="preserve">BILL OF QUANTITIES  </t>
  </si>
  <si>
    <t xml:space="preserve">PROPOSSED HOUSE FOR  MR. S.M.C.S. SIRIWARDANA </t>
  </si>
  <si>
    <t>AT</t>
  </si>
  <si>
    <t xml:space="preserve"> ASSMT NO. 48/14, WIDURUWANA MAWATHA, SUBADRAMA ROAD, NUGEGODA.</t>
  </si>
  <si>
    <t xml:space="preserve">PROPOSED HOUSE FOR  MR. S.M.C.S. SIRIWARDANA </t>
  </si>
  <si>
    <t>AT ASSMT NO. 48/14, WIDURUWANA MAWATHA, SUBADRARAMA ROAD, NUGEGODA.</t>
  </si>
  <si>
    <t>Item</t>
  </si>
  <si>
    <t>Description</t>
  </si>
  <si>
    <t>Qty</t>
  </si>
  <si>
    <t>Unit</t>
  </si>
  <si>
    <t>Rate</t>
  </si>
  <si>
    <t>Amount</t>
  </si>
  <si>
    <t>#</t>
  </si>
  <si>
    <t>Rs.</t>
  </si>
  <si>
    <t>BILL NO. 01- PRELIMINARIES &amp; DEMOLITION WORK</t>
  </si>
  <si>
    <t>A- PRELIMINARIES</t>
  </si>
  <si>
    <t>A</t>
  </si>
  <si>
    <t>Allow for Setting out of work, temporary stores and labour hut facilities</t>
  </si>
  <si>
    <t>Lump Sum</t>
  </si>
  <si>
    <t>B</t>
  </si>
  <si>
    <t>Allow for  temporary electricity and water connection</t>
  </si>
  <si>
    <t>Total  Carried to Collection</t>
  </si>
  <si>
    <t>B- DEMOLITION WORK</t>
  </si>
  <si>
    <t>C</t>
  </si>
  <si>
    <t>Demolition of existing house and cart away the debris within 10km</t>
  </si>
  <si>
    <t>D</t>
  </si>
  <si>
    <t>Demolition of existing boundary wall and cart away the debris within 10km</t>
  </si>
  <si>
    <t>Total Bill No. 01- Carried to Summary</t>
  </si>
  <si>
    <t>COLLECTION - BILL NO. 01</t>
  </si>
  <si>
    <t>BILL NO. 02- SUBSTRUCTURE</t>
  </si>
  <si>
    <t>C- EXCAVATION AND EARTH WORK</t>
  </si>
  <si>
    <t xml:space="preserve">Excavation for columns/ Staircase  foundation </t>
  </si>
  <si>
    <t>Cube</t>
  </si>
  <si>
    <t xml:space="preserve">Excavation for wall/ Boundary Wall  foundation </t>
  </si>
  <si>
    <t>Well compacted, approved imported earth filling,</t>
  </si>
  <si>
    <t>D- CONCRETE WORK</t>
  </si>
  <si>
    <t>POURED CONCRETE</t>
  </si>
  <si>
    <t>Insitu plain, poured and vibrated ordinary Portland cement concrete grade C15/20 as specified</t>
  </si>
  <si>
    <t xml:space="preserve">2" thk. concrete under columns/Staircase base </t>
  </si>
  <si>
    <t>Sqr.</t>
  </si>
  <si>
    <t>E</t>
  </si>
  <si>
    <t>2" thk. concrete under  rubble work</t>
  </si>
  <si>
    <t>F</t>
  </si>
  <si>
    <t>3" thk. Concrete floor slab</t>
  </si>
  <si>
    <t>Reinforced, poured and vibrated ordinary Portland cement concrete grade C25/20</t>
  </si>
  <si>
    <t>column sectional areas and beams and slabs up to GF</t>
  </si>
  <si>
    <t>G</t>
  </si>
  <si>
    <t>columns/Staircase base</t>
  </si>
  <si>
    <t>H</t>
  </si>
  <si>
    <t xml:space="preserve">column/Staircase shaft  </t>
  </si>
  <si>
    <t>J</t>
  </si>
  <si>
    <t>12"  x 4"  plinth beams</t>
  </si>
  <si>
    <t>REINFORCEMENT</t>
  </si>
  <si>
    <t>High yield deformed steel bar reinforcement yield stress not less than 460N/mm2</t>
  </si>
  <si>
    <t>K</t>
  </si>
  <si>
    <t xml:space="preserve">columns/Staircase base </t>
  </si>
  <si>
    <t>Kg</t>
  </si>
  <si>
    <t>Total C/F</t>
  </si>
  <si>
    <t>Total B/F</t>
  </si>
  <si>
    <t>REINFORCEMENT Cont.d</t>
  </si>
  <si>
    <t>Columns up to plinth beam level</t>
  </si>
  <si>
    <t>Plinth beams</t>
  </si>
  <si>
    <t>FORMWORK</t>
  </si>
  <si>
    <t>Formwork to give 'as struck' finish</t>
  </si>
  <si>
    <t>Column base and column shaft up to plinth level</t>
  </si>
  <si>
    <t>E- MASONRY WORK</t>
  </si>
  <si>
    <t>Random rubble masonry in cement and sand 1:5 mix in wall foundation.</t>
  </si>
  <si>
    <t>F- ASPHALT WORK</t>
  </si>
  <si>
    <t xml:space="preserve">Supply and lay 1000 gauge polythene sheet </t>
  </si>
  <si>
    <t>Damp Proof Course</t>
  </si>
  <si>
    <t>Applying 2 coat of DPC tar for Ground Wall Foundation</t>
  </si>
  <si>
    <t>COLLECTION - BILL NO. 02</t>
  </si>
  <si>
    <t>Total Bill No. 02- Carried to Summary</t>
  </si>
  <si>
    <t>BILL NO. 03- SUPERSTRUCTURE</t>
  </si>
  <si>
    <t>A- CONCRETE WORK</t>
  </si>
  <si>
    <t>column sectional areas and beams and slabs from Ground floor to First Floor Level</t>
  </si>
  <si>
    <t>columns up to first floor slab level</t>
  </si>
  <si>
    <t>Slab beams at first floor slab level</t>
  </si>
  <si>
    <t>first floor slab</t>
  </si>
  <si>
    <t>stair case  from Ground floor to First Floor Level</t>
  </si>
  <si>
    <t xml:space="preserve">4.5 " x 6" Lintels reinforced with 02 nos 10mm </t>
  </si>
  <si>
    <t>Ft.</t>
  </si>
  <si>
    <t>Deleted</t>
  </si>
  <si>
    <t xml:space="preserve">9 " x 6" Lintels reinforced with 04 nos 10mm </t>
  </si>
  <si>
    <t>column sectional areas and beams and slabs from First floor to 2nd Floor Level and roof level</t>
  </si>
  <si>
    <t>columns up to 2nd floor slab level</t>
  </si>
  <si>
    <t>Slab beams at  2nd floor slab level</t>
  </si>
  <si>
    <t xml:space="preserve"> 2nd floor slab</t>
  </si>
  <si>
    <t>Columns up to roof level</t>
  </si>
  <si>
    <t>stair case  from First floor to Second Floor Level</t>
  </si>
  <si>
    <t>4.5 " x 6" Lintels reinforced with 02 nos 10mm in FFL</t>
  </si>
  <si>
    <t>M</t>
  </si>
  <si>
    <t>9 " x 6" Lintels reinforced with 04 nos 10mm   FFL</t>
  </si>
  <si>
    <t>N</t>
  </si>
  <si>
    <t>4.5 " x 6" Lintels reinforced with 02 nos 10mm in 2nd F</t>
  </si>
  <si>
    <t>P</t>
  </si>
  <si>
    <t>9 " x 6" Lintels reinforced with 04 nos 10mm  in 2nd F</t>
  </si>
  <si>
    <t>Columns up to first floor slab level</t>
  </si>
  <si>
    <t>Beams  in first floor level</t>
  </si>
  <si>
    <t>Slab in first floor level</t>
  </si>
  <si>
    <t>stair cases in ground to first floor</t>
  </si>
  <si>
    <t>Columns up to 2nd floor slab level</t>
  </si>
  <si>
    <t>Beams  in 2nd floor level</t>
  </si>
  <si>
    <t>Slab in 2nd floor level</t>
  </si>
  <si>
    <t>stair cases in first floor to 2nd floor</t>
  </si>
  <si>
    <t>L</t>
  </si>
  <si>
    <t>Beams in first floor level</t>
  </si>
  <si>
    <t>Stair cases from ground floor to first floor</t>
  </si>
  <si>
    <t>Slabs  in 2nd floor level</t>
  </si>
  <si>
    <t>Stair cases from  first floor to 2nd Floor</t>
  </si>
  <si>
    <t>B- MASONRY WORK</t>
  </si>
  <si>
    <t>Ground floor</t>
  </si>
  <si>
    <t>4.5" thick brick work 1:5 in cement sand mortar-</t>
  </si>
  <si>
    <t>Nil</t>
  </si>
  <si>
    <t xml:space="preserve">9" thick brick work 1:5 in cement sand mortar </t>
  </si>
  <si>
    <t>First  floor</t>
  </si>
  <si>
    <t>4.5" thick brick work 1:5 in cement sand mortar</t>
  </si>
  <si>
    <t>9" thick brick work 1:5 in cement sand mortar</t>
  </si>
  <si>
    <t>Second floor</t>
  </si>
  <si>
    <t xml:space="preserve">4.5" thick brick work 1:5 in cement sand mortar </t>
  </si>
  <si>
    <t>C- ASPHALT WORK</t>
  </si>
  <si>
    <t>Brush applied "Tharoseal"  waterproofing system, applied strictly in accordance with manufacturer's printed instructions including all necessary additional strips at angles and duct outlet openings, bath room walls and floor intersections etc., complete pointed with sealant all as specified (contractor to allow for 10 year guarantee and minimum 24 hour flood test)all as approved by client,</t>
  </si>
  <si>
    <t>Bathroom floor and Walls in First Floor</t>
  </si>
  <si>
    <t>Bathroom floor and Walls in 2nd Floor</t>
  </si>
  <si>
    <t xml:space="preserve">Roof Water tank and Gutter slab </t>
  </si>
  <si>
    <t>D- ROOFER AND ROOF PLUMBING</t>
  </si>
  <si>
    <t xml:space="preserve">0.47mm Zn/Al  roof with lunumidella exposed rafter ceiling rate shall including rafters 2X5 , 3 x 8 purling , 3 x 4 wall plates 1 x 2 reapers  , 5mm double side foil , polysheet and painting roof with one coat of wood preservative and one coat of wood sheen pine and one coat of mat varnish. </t>
  </si>
  <si>
    <t xml:space="preserve">Supply and fix 0.47mm Zn/Al valance board  </t>
  </si>
  <si>
    <t xml:space="preserve">Supply and fix 0.47mm Zn/Al gutter </t>
  </si>
  <si>
    <t xml:space="preserve">Supply and fix 0.47mm Zn/Al bardge flashing and wall flashing </t>
  </si>
  <si>
    <t xml:space="preserve">Supply &amp; lay 0.47mm Zn/Al  rain water down pipes </t>
  </si>
  <si>
    <t>E- METAL WORK</t>
  </si>
  <si>
    <t>STAIRCASE HANDRAIL</t>
  </si>
  <si>
    <t>3'-0" high hand rails consisting of 2" diameter Epoxy painted MS top rail, 1.5" diameter MS verticals and 0.5" diameter MS internal horizontal rails including necessary fixing methods as per detail drawings.</t>
  </si>
  <si>
    <t>GRILL WORK</t>
  </si>
  <si>
    <t>Fabricate and fixing Grill Work Type GW1 size 38'-7" x 9'-0" of Epoxy painted 4"x 2" Box Iron frame work with 2"x 2" box iron verticals fix to frame.</t>
  </si>
  <si>
    <t>No.</t>
  </si>
  <si>
    <t>Fabricate and fixing Grill Work Type GW1 size 38'-7" x 13'-9" of Epoxy painted 4"x 2" Box Iron frame work with 2"x 2" box iron verticals fix to frame.</t>
  </si>
  <si>
    <t>F- DOORS AND WINDOWS</t>
  </si>
  <si>
    <t>GROUND, FIRST FLOOR AND SECOND FLOOR</t>
  </si>
  <si>
    <t>TIMBER DOORS</t>
  </si>
  <si>
    <t xml:space="preserve">Door type D2, size 3'-6" X 8'-0" high, Solid timber paneled Single Sash Door . As per detail drawing. Rate shall include for locks and all necessary ironmongery, and all as per detail drawings and specifications. </t>
  </si>
  <si>
    <t>Nos.</t>
  </si>
  <si>
    <t xml:space="preserve">Door type D3, size 2'-9" X 8'-0" high, Solid timber paneled Single Sash Door . As per detail drawing. Rate shall include for locks and all necessary ironmongery, and all as per detail drawings and specifications. </t>
  </si>
  <si>
    <t>ALUMINIUM GLAZED DOORS AND WINDOWS</t>
  </si>
  <si>
    <t>Powder coated approved colour aluminum framed doors, windows units consisting of aluminium frames, transoms, mullians, aluminum framed glazed panels, aluminum louvered panels  including necessary hardware such as hinges, floor hinges, fasteners, stays, bolts, locks, handles and the like all as detail drawing, iron mongery schedule and specification.</t>
  </si>
  <si>
    <t>Single sash sliding Door type SD4, size 9'-10"x 8'-0" high overall aluminum framed glazed door and fixed glass window as per detail drawing.</t>
  </si>
  <si>
    <t>Single sash sliding Door type SD5, size 10'-4"x 8'-0" high overall aluminum framed glazed door and fixed glass window  as per detail drawing.</t>
  </si>
  <si>
    <t>Two sash sliding Window type SW3, size 7'-6"x 8'-0" high overall aluminum framed glazed window as per detail drawing.</t>
  </si>
  <si>
    <t>Two sash sliding Window type SW4, size 7'-0"x 8'-0" high overall aluminum framed glazed window as per detail drawing.</t>
  </si>
  <si>
    <t>Two sash sliding Window type SW5, size 5'-0"x 4'-9" high overall aluminum framed glazed window as per detail drawing.</t>
  </si>
  <si>
    <t>Two sash sliding Window type SW6, size 6'-0"x 5'-0" high overall aluminum framed glazed window as per detail drawing.</t>
  </si>
  <si>
    <t>Fixed Glass Window type FG1, size 4'-0"x 5'-0" high overall aluminum framed glazed window as per detail drawing.</t>
  </si>
  <si>
    <t>Fixed Glass Window type F3, size 2'-6"x 3'-0" high overall aluminum framed glazed window as per detail drawing.</t>
  </si>
  <si>
    <t>ROLLER DOOR</t>
  </si>
  <si>
    <t>Roller door type RD1, size 35'-0' x 8'-0" high overall roller door with powder coated aluminum box cover as per detail drawing.</t>
  </si>
  <si>
    <t>G- FINISHES</t>
  </si>
  <si>
    <t>FLOOR FINISHES</t>
  </si>
  <si>
    <t>Wall tiles</t>
  </si>
  <si>
    <t>Lay 18''x12" wall tiles with tile adhesive finish with grouting in toilet walls. PC Rate per tile sqft Rs. 300</t>
  </si>
  <si>
    <t>In Ground floor</t>
  </si>
  <si>
    <t>Sqr</t>
  </si>
  <si>
    <t>In first floor</t>
  </si>
  <si>
    <t>In 2nd floor</t>
  </si>
  <si>
    <t>Floor tiling</t>
  </si>
  <si>
    <t xml:space="preserve">To approved design and colour and including 20mm thick cement and sand (1:3) screed bedding level </t>
  </si>
  <si>
    <t>Lay 18"x18" floor tiles with tile adhesive finish with grouting. Rate per tile sqft Rs. 260.00</t>
  </si>
  <si>
    <t>in Ground floor</t>
  </si>
  <si>
    <t>4" height skirting</t>
  </si>
  <si>
    <t>Ft</t>
  </si>
  <si>
    <t>10" Wide Steps</t>
  </si>
  <si>
    <t>6" Height Riser</t>
  </si>
  <si>
    <t>Pantry worktop</t>
  </si>
  <si>
    <t>Internal plaster</t>
  </si>
  <si>
    <t>16mm thick 1:5  cement sand plastering Ground floor</t>
  </si>
  <si>
    <t>16 mm thick 1:5  cement sand plastering-First floor</t>
  </si>
  <si>
    <t>16mm thick 1:5  cement sand plastering -2nd floor</t>
  </si>
  <si>
    <t>Beam  and column plaster</t>
  </si>
  <si>
    <t>16mm thick 1:5 cement sand plastering - Ground floor</t>
  </si>
  <si>
    <t>Q</t>
  </si>
  <si>
    <t>16mm thick 1:5ement sand plastering - First floor</t>
  </si>
  <si>
    <t>R</t>
  </si>
  <si>
    <t>16mm thick 1:5  cement sand plastering-2nd floor</t>
  </si>
  <si>
    <t xml:space="preserve">Revil plaster </t>
  </si>
  <si>
    <t>S</t>
  </si>
  <si>
    <t>16mm thick 1:5  cement sand plastering finishing GF</t>
  </si>
  <si>
    <t>T</t>
  </si>
  <si>
    <t xml:space="preserve">16mm thick 1:5 cement sand plastering  - F F </t>
  </si>
  <si>
    <t>U</t>
  </si>
  <si>
    <t>16mm thick 1:5  cement sand plastering 2nd F</t>
  </si>
  <si>
    <t>Soffit Plastering</t>
  </si>
  <si>
    <t>16mm thick 1:5  cement sand plastering finishing semi rough under  faces of slabs- G F floor</t>
  </si>
  <si>
    <t>16mm thick 1:5  cement sand  soffit plastering finishing semi rough on surfaces  of slab -First floor</t>
  </si>
  <si>
    <t>External plaster</t>
  </si>
  <si>
    <t>16mm thick 1:5  cement sand plastering finishing semi rough on external faces of walls - Ground floor</t>
  </si>
  <si>
    <t>M2</t>
  </si>
  <si>
    <t>16 mm thick 1:5  cement sand plastering finishing semi rough on external faces of walls -First floor</t>
  </si>
  <si>
    <t>16mm thick 1:5  cement sand plastering finishing semi rough on external faces of walls -2nd floor</t>
  </si>
  <si>
    <t xml:space="preserve">External Revil plaster </t>
  </si>
  <si>
    <t>16mm thick 1:5  cement sand plastering finishing semi rough on Revils - ground floor</t>
  </si>
  <si>
    <t>16mm thick 1:5 cement sand plastering finishing semi rough on Revils - F F floor</t>
  </si>
  <si>
    <t>16mm thick 1:5  cement sand plastering finishing semi rough on Revils - 2nd floor</t>
  </si>
  <si>
    <t>Plinth Plaster</t>
  </si>
  <si>
    <t>20mm Thick plinth plaster in cement and  sand 1:1 finished smooth with neat cement</t>
  </si>
  <si>
    <t>PAINTING AND DECORATING</t>
  </si>
  <si>
    <t>Two coat of emulsion paint &amp; one coat acrylic filler &amp; suitable under coat as per manufacture's instructions to internal plastered walls. Paint shall be used by CIC and wall piller by Asian Paints</t>
  </si>
  <si>
    <t>Internal painting</t>
  </si>
  <si>
    <t>Ground Floor</t>
  </si>
  <si>
    <t>First Floor</t>
  </si>
  <si>
    <t>2ndFloor</t>
  </si>
  <si>
    <r>
      <rPr>
        <u/>
        <sz val="11"/>
        <rFont val="Arial"/>
        <charset val="134"/>
      </rPr>
      <t xml:space="preserve">Two coat of emulsion paint &amp; one coat acrylic filler &amp; suitable under coat as per manufacture's instructions to internal </t>
    </r>
    <r>
      <rPr>
        <b/>
        <u/>
        <sz val="11"/>
        <rFont val="Arial"/>
        <charset val="134"/>
      </rPr>
      <t>plastered soffits.</t>
    </r>
  </si>
  <si>
    <t>First floor</t>
  </si>
  <si>
    <t>Staircase Ground to 2nd Floor</t>
  </si>
  <si>
    <r>
      <rPr>
        <u/>
        <sz val="11"/>
        <rFont val="Arial"/>
        <charset val="134"/>
      </rPr>
      <t xml:space="preserve">Two coat of emulsion paint, one coat acrylic filler &amp; two coat of skim coat &amp; suitable under coat as per manufacture's instructions to internal </t>
    </r>
    <r>
      <rPr>
        <b/>
        <u/>
        <sz val="11"/>
        <rFont val="Arial"/>
        <charset val="134"/>
      </rPr>
      <t xml:space="preserve">plastered revils. </t>
    </r>
  </si>
  <si>
    <t>External painting</t>
  </si>
  <si>
    <r>
      <rPr>
        <u/>
        <sz val="11"/>
        <rFont val="Arial"/>
        <charset val="134"/>
      </rPr>
      <t xml:space="preserve">Two coat of weather shield paint &amp; one coat of primer under coat paint, as per manufacture's instructions to </t>
    </r>
    <r>
      <rPr>
        <b/>
        <u/>
        <sz val="11"/>
        <rFont val="Arial"/>
        <charset val="134"/>
      </rPr>
      <t>external plastered walls</t>
    </r>
    <r>
      <rPr>
        <u/>
        <sz val="11"/>
        <rFont val="Arial"/>
        <charset val="134"/>
      </rPr>
      <t>.</t>
    </r>
  </si>
  <si>
    <t>2nd Floor</t>
  </si>
  <si>
    <r>
      <rPr>
        <u/>
        <sz val="11"/>
        <rFont val="Arial"/>
        <charset val="134"/>
      </rPr>
      <t xml:space="preserve">Two coat of weather shield paint, one coat of primer &amp; two coat of skim under coat paint, as per manufacture's instructions to </t>
    </r>
    <r>
      <rPr>
        <b/>
        <u/>
        <sz val="11"/>
        <rFont val="Arial"/>
        <charset val="134"/>
      </rPr>
      <t xml:space="preserve">external plastered revils. </t>
    </r>
  </si>
  <si>
    <t>H - ELECTRICAL WORK</t>
  </si>
  <si>
    <t>Lamp point with Switch</t>
  </si>
  <si>
    <t>Wiring of all lamp points one way or two way including  PVC conduit, with 2x1mm2 Cu/PVC/PVC wires and supply and fixing of switches all as show in approved drawings and all materials approved by client.</t>
  </si>
  <si>
    <t>Light Point including external wall light</t>
  </si>
  <si>
    <t>nr</t>
  </si>
  <si>
    <t>Two way light point</t>
  </si>
  <si>
    <t>Bell push point with Switch</t>
  </si>
  <si>
    <t xml:space="preserve">Wiring of bell push  point including  PVC conduit, with 2x1mm2 Cu/PVC/PVC wires and supply and fixing of Bell push switched all as show in approved drawings </t>
  </si>
  <si>
    <t>Fixing of light fittings</t>
  </si>
  <si>
    <t>fixing of any type of Pendent lamp, Wall lamp, Spot light or any other light fittings complete with screws, anchor bolts, role plugs all materials approved by client. ( cost for fitting Rs: 2500.00)</t>
  </si>
  <si>
    <t>Pendent  light</t>
  </si>
  <si>
    <t>Wall  lamp</t>
  </si>
  <si>
    <t>External Wall  lamp</t>
  </si>
  <si>
    <t>Socket outlet(5A/5A W/P/multi Socket)with Wiring</t>
  </si>
  <si>
    <t>Wiring of 5A,5A W/P , Multi  Socket outlet including  PVC conduit, 2x1.5mm2 Cu/PVC/PVC  with  2.5mm2 earth wires and supply and fixing of Socket outlet(5A/5A W/P/multi Socket all as show in approved drawings and all materials approved by client.</t>
  </si>
  <si>
    <t>Socket outlet(13A/13A W/P)with Wiring</t>
  </si>
  <si>
    <t>Wiring of 13A/13A W/P Socket outlet including  PVC conduit, 2x2.5mm2 Cu/PVC/PVC  with  2.5mm2 earth wires and supply and fixing of Socket outlet(13A/13A W/P) all as show in approved drawings and all materials approved by client.</t>
  </si>
  <si>
    <t>Socket outlet(15A/15A W/P)with Wiring</t>
  </si>
  <si>
    <t>Wiring of 15A/15A W/P Socket outlet including  PVC conduit, 2x2.5mm2 Cu/PVC/PVC  with  2.5mm2 earth wires and supply and fixing of Socket outlet(15A/15A W/P) all as show in approved drawings and all materials approved by client.</t>
  </si>
  <si>
    <t>External garden light</t>
  </si>
  <si>
    <t>Wiring of External garden light in two way, including  PVC conduit, with 2x1mm2 Cu/PVC/PVC wires and supply and fixing of switches (fixing of  switches in house ,location approved by client) including fixing of any type of garden light fitting (cost of the fitting Rs: 5000.00), all as show in approved drawings or instruct by client and all materials approved by client.</t>
  </si>
  <si>
    <t>Telephone/Data/Pro TV Socket outlet with Wiring</t>
  </si>
  <si>
    <t>Wiring of  Telephone/Data/Pro TV Socket outlet including  PVC conduit, 8x0.50mm2 Cu/PVC/PVC  4pair (cat5)cable and supply and fixing of Telephone/Data/Pro TV  Socket outlet all as show in approved drawings and all materials approved by client.</t>
  </si>
  <si>
    <t>TV Socket outlet with Wiring</t>
  </si>
  <si>
    <t>Wiring of TV Socket outlet including  PVC conduit, RG6 cable and supply and fixing of TV Socket outlet all as show in approved drawings and all materials approved by client.</t>
  </si>
  <si>
    <t>CCTV system  Wiring</t>
  </si>
  <si>
    <t>Wiring of CCTV system including  PVC conduit,RG6+Hat.twin cable all as show in approved drawings and all materials approved by client.</t>
  </si>
  <si>
    <t xml:space="preserve">Main Distribution Unit complete with wiring and testing </t>
  </si>
  <si>
    <t xml:space="preserve">Supply and Fixing of Main DB ,including RCCB,MCB,Isolator all as approved by Client ,complete with wiring and testing </t>
  </si>
  <si>
    <t xml:space="preserve">1 flush type panel 400x700X125mm </t>
  </si>
  <si>
    <t>13 MCB SP 10A brand Hanger</t>
  </si>
  <si>
    <t>03 MCB SP 16A</t>
  </si>
  <si>
    <t>01 MCB TP  40A</t>
  </si>
  <si>
    <t>01 MCB 4P  20A</t>
  </si>
  <si>
    <t>01 MCB 4P  63A</t>
  </si>
  <si>
    <t>04 RCCB DP 40A 30mA</t>
  </si>
  <si>
    <t>Internal wiring and other accessories</t>
  </si>
  <si>
    <t>Incoming main Cable from CEB meter to main DB</t>
  </si>
  <si>
    <t>Supply install &amp; connected 4x16mm2 Cable+ 6mm2 earth cable from Incoming main Cable from CEB meter to main DB including  PVC conduit and all materials approved by client.</t>
  </si>
  <si>
    <t xml:space="preserve">Meter box enclosure for CEB meter </t>
  </si>
  <si>
    <t>Supply and fixing of powder coated metering box wall mounted panel 400x500X200mm flush type</t>
  </si>
  <si>
    <t>Earth Electrode</t>
  </si>
  <si>
    <t>Supply &amp; installation of Earth Electrode (16mm copper bounded)as approved by the Client including 6mm earth wires</t>
  </si>
  <si>
    <t>CEB Power Connection</t>
  </si>
  <si>
    <t>Allow Provisional Sum to get the CEB Power connection</t>
  </si>
  <si>
    <t>J- PLUMBING WORK</t>
  </si>
  <si>
    <t>Pipe Laying ( For Water Supply)</t>
  </si>
  <si>
    <t>Supply and install high pressure PVC water supply pipe work with fittings (below ground or above ground) complete with excavation if required or connections, supports and accessories; all in accordance with the drawings and approved by client (rate to include for complete pressure testing)</t>
  </si>
  <si>
    <t>Using 20mm(1/2") (Type1000) pipes For Water Distribution Inside of the Bath Rooms &amp; others</t>
  </si>
  <si>
    <t>Using 32mm(1") (Type1000) pipes For Water  Distribution Inside of the Bath Rooms &amp; others</t>
  </si>
  <si>
    <t>Pipe laying (for waste water line)</t>
  </si>
  <si>
    <t>Supply and PVC waste water line (T - 600 )pipe work with fittings (below ground or above ground) complete with excavation if required or connections, supports and accessories; all in accordance with the drawings and approved by client (rate to include for complete pressure testing)</t>
  </si>
  <si>
    <t>Using 40mm(1 1/4")(Type600) pipes For Waste water line from wash basin to floor gully</t>
  </si>
  <si>
    <t>Using 63mm(2")(Type600) pipes For Waste Water line from floor gully to waste water gully, kitchen sink to kitchen gullies.</t>
  </si>
  <si>
    <t>Using 75mm(2 1/2")(Type600) pipes For Waste water line among kitchen gullies.</t>
  </si>
  <si>
    <t>Pipe Laying (For sewerage &amp; Waste Water Lines)</t>
  </si>
  <si>
    <t>Using 110mm (4")(Type 600) Pipes For Sewerage lines &amp; waste water lines between water closets &amp; man holes, waste water gullies(All pip</t>
  </si>
  <si>
    <t>Gullies</t>
  </si>
  <si>
    <t xml:space="preserve">Sealed gully , (300x300x 300 to 450 deep ) as specified and detailed on drawing (for Waste Water
Gullies) (as approved by client) including cover slab </t>
  </si>
  <si>
    <t>Nos</t>
  </si>
  <si>
    <t xml:space="preserve">Sealed gully , (300x300x 300 to 450 deep ) as specified and detailed on drawing (for Rain Water
gullies) (as approved by client) including cover slab </t>
  </si>
  <si>
    <t>Sealed gully , (300x300x 300 to 450 deep ) as specified and detailed on drawing (for Kitchen Waste Water gullies) (as approved by client) including cover
slab.</t>
  </si>
  <si>
    <t>Man Holes</t>
  </si>
  <si>
    <t>Internal size 375mm x 375mm average 450 mm deep to invert, including all associated work all as specified
and shown on drawings (as approved by client)
including cover slab.</t>
  </si>
  <si>
    <t>Water Tank</t>
  </si>
  <si>
    <t xml:space="preserve">Supply and Fixing the Plastic Water tank 1500 ltrs including all fitting &amp; accessories </t>
  </si>
  <si>
    <t>Supply and Fixing of Bath Room Fittings / Accessories</t>
  </si>
  <si>
    <t>Basin Mixer tap</t>
  </si>
  <si>
    <t>telephone Shower pipe</t>
  </si>
  <si>
    <t>Sink Mixer tap</t>
  </si>
  <si>
    <t xml:space="preserve">Bidet Spray </t>
  </si>
  <si>
    <t xml:space="preserve">6 pcs. Essentials Accessory Set </t>
  </si>
  <si>
    <t xml:space="preserve"> Wash Basin</t>
  </si>
  <si>
    <t xml:space="preserve">Water Closet </t>
  </si>
  <si>
    <t>6"x6" Floor Gullies</t>
  </si>
  <si>
    <t>Bath Room Mirror</t>
  </si>
  <si>
    <t>Supply and Fixing of Bath Room Fittings / Accessories Contd..</t>
  </si>
  <si>
    <t>Bottle Traps</t>
  </si>
  <si>
    <t>gate valve pegler 1" dia</t>
  </si>
  <si>
    <t>Waste Water, Kitchen waste and Rain water Pit</t>
  </si>
  <si>
    <t>Supply and placing of precast soakage pit with precast cover slab , Excavation  5ft Dia X 7ft Height for  Waste Water Pit   with back filling with 3/4" thick metal layer for filter material . As per the approved Location by client. Including  laying &amp; connecting the Pipe work inlet &amp; outlet. placing of cover slab and making slab opening in 450X450 size brick wall up to finish floor level with smooth plaster  for covering  around the opening  and placing concrete cover slab  for top cover all as approved by Client</t>
  </si>
  <si>
    <t>Septic Tank with Soakage Pit</t>
  </si>
  <si>
    <t>Supply and placing of precast Precast Septic
Tank 8'X3' dia and soakage pit with cover slab 3' dia Excavation 9'x4'x5'for Septic Tank &amp; 4ft Dia X 7ft Height for Soakage pit. Including 6" thick sand Bed for Septic Tank. Placing of Precast Septic Tank back filling with approved available soil. and soakage pit back filling with 3/4" thick metal layer for filter material . As per the approved Location by Client. Including , laying &amp; connecting the Pipe work inlet &amp; outlets. placing of cover slab and making slab opening in 450X450 size brick wall up to finish floor level with smooth plaster  for covering  around the opening  and placing concrete cover slab  for top cover all as approved by Client</t>
  </si>
  <si>
    <t xml:space="preserve"> Water Supply connection from NWS&amp;DB</t>
  </si>
  <si>
    <t>Allow Provisional Amount to  Water Supply connection from NWS&amp;DB</t>
  </si>
  <si>
    <t>COLLECTION - BILL NO. 03</t>
  </si>
  <si>
    <t>Total Bill No. 03- Carried to Summary</t>
  </si>
  <si>
    <t>SUMMARY</t>
  </si>
  <si>
    <t xml:space="preserve">Sub Total Bill No. 01- </t>
  </si>
  <si>
    <t xml:space="preserve">Sub Total Bill No. 02- </t>
  </si>
  <si>
    <t xml:space="preserve">Sub Total Bill No. 03- </t>
  </si>
  <si>
    <t>GRAND TOTAL</t>
  </si>
  <si>
    <t>Amount in Wards: Rupees Fourteen Million Two Thousand and Four Hundred and Fifty Eight and Cents Twenty Seven only.</t>
  </si>
  <si>
    <t>Certified by:</t>
  </si>
  <si>
    <t>…………………………</t>
  </si>
  <si>
    <t>A.D. Amith Priyantha,</t>
  </si>
  <si>
    <t>BSc(Hons) Quantity Surveying &amp;</t>
  </si>
  <si>
    <t>Construction Management.</t>
  </si>
  <si>
    <t xml:space="preserve">No.3/81, Gangarama Road, Wewala,            
</t>
  </si>
  <si>
    <t>Piliyandala. Tel: 0777 23945</t>
  </si>
  <si>
    <t>Date: 02.09.2019</t>
  </si>
  <si>
    <t>double wall with every thing , external finishes same as lot 9</t>
  </si>
  <si>
    <t>Client Supply Material</t>
  </si>
  <si>
    <t>W</t>
  </si>
  <si>
    <t>Final Qty</t>
  </si>
  <si>
    <t>Floor and Wall tile</t>
  </si>
  <si>
    <t>Floor Carpert</t>
  </si>
  <si>
    <t>Light fittings</t>
  </si>
  <si>
    <t>Sanitary fittings</t>
  </si>
  <si>
    <t>EXCAVATION AND EARTH WORK</t>
  </si>
  <si>
    <t>A1</t>
  </si>
  <si>
    <t>Column</t>
  </si>
  <si>
    <t>Staircase</t>
  </si>
  <si>
    <t>A2</t>
  </si>
  <si>
    <t xml:space="preserve">Excavation for wall/ Boundry Wall  foundation </t>
  </si>
  <si>
    <t>C/C Wall Fdn</t>
  </si>
  <si>
    <t>B.Wall Fdn</t>
  </si>
  <si>
    <t>Ret. Wall</t>
  </si>
  <si>
    <t>A3</t>
  </si>
  <si>
    <t>TOTAL FOR EXCAVATION</t>
  </si>
  <si>
    <t>CONCRETE WORKS</t>
  </si>
  <si>
    <t>Foundation up to DPC Level</t>
  </si>
  <si>
    <t>Grade 15 Concrete in the following.</t>
  </si>
  <si>
    <t>B1</t>
  </si>
  <si>
    <t>B2</t>
  </si>
  <si>
    <t>B3</t>
  </si>
  <si>
    <t>Grade 25 R.C. Concrete in the following.</t>
  </si>
  <si>
    <t>B4</t>
  </si>
  <si>
    <t>column sectional areas and beams and slabs in GF</t>
  </si>
  <si>
    <t>B4-01</t>
  </si>
  <si>
    <t>columns/Staircase base  concreting</t>
  </si>
  <si>
    <t>Ret. Wall Column</t>
  </si>
  <si>
    <t>B4-02</t>
  </si>
  <si>
    <t>column/Staircase shaft  concreting up to plinth beam level</t>
  </si>
  <si>
    <t>B4-04</t>
  </si>
  <si>
    <t>B5</t>
  </si>
  <si>
    <t>column sectional areas and beams and slabs in FFL</t>
  </si>
  <si>
    <t>B5-01</t>
  </si>
  <si>
    <t>B5-02</t>
  </si>
  <si>
    <t>Rent Beam</t>
  </si>
  <si>
    <t>Beam</t>
  </si>
  <si>
    <t>B5-03</t>
  </si>
  <si>
    <t>Rent Slab</t>
  </si>
  <si>
    <t>Slab</t>
  </si>
  <si>
    <t>B5-04</t>
  </si>
  <si>
    <t>stair case concrete</t>
  </si>
  <si>
    <t>waSTE</t>
  </si>
  <si>
    <t>B6</t>
  </si>
  <si>
    <t>column sectional areas and beams and slabs in 2nd FL</t>
  </si>
  <si>
    <t>B6-01</t>
  </si>
  <si>
    <t>B6-02</t>
  </si>
  <si>
    <t>B6-03</t>
  </si>
  <si>
    <t>Rent Slab Gutter</t>
  </si>
  <si>
    <t>W.tank slab</t>
  </si>
  <si>
    <t>B6-04</t>
  </si>
  <si>
    <t>Rent Column</t>
  </si>
  <si>
    <t>B6-05</t>
  </si>
  <si>
    <t>B7</t>
  </si>
  <si>
    <t>lintels and window cills</t>
  </si>
  <si>
    <t>iii</t>
  </si>
  <si>
    <t>ii</t>
  </si>
  <si>
    <t>first floor</t>
  </si>
  <si>
    <t>vi</t>
  </si>
  <si>
    <t>vii</t>
  </si>
  <si>
    <t>B8</t>
  </si>
  <si>
    <t xml:space="preserve">TOTAL FOR CONCRETE WORK </t>
  </si>
  <si>
    <t>c-01</t>
  </si>
  <si>
    <t>c-02</t>
  </si>
  <si>
    <t>c-03</t>
  </si>
  <si>
    <t>c-04</t>
  </si>
  <si>
    <t>c-05</t>
  </si>
  <si>
    <t>c-06</t>
  </si>
  <si>
    <t>c-07</t>
  </si>
  <si>
    <t>c-08</t>
  </si>
  <si>
    <t>c-09</t>
  </si>
  <si>
    <t>TOTAL FOR REINFORCEMENT WORK</t>
  </si>
  <si>
    <t>FORM WORKS</t>
  </si>
  <si>
    <t>d-01</t>
  </si>
  <si>
    <t>d-02</t>
  </si>
  <si>
    <t>d-03</t>
  </si>
  <si>
    <t>d-04</t>
  </si>
  <si>
    <t>Less col</t>
  </si>
  <si>
    <t>waSTE side</t>
  </si>
  <si>
    <t>d-05</t>
  </si>
  <si>
    <t>Less beam</t>
  </si>
  <si>
    <t>d-07</t>
  </si>
  <si>
    <t xml:space="preserve">TOTAL FOR FORM WORK </t>
  </si>
  <si>
    <t>MASONRY WORK</t>
  </si>
  <si>
    <t>e-01</t>
  </si>
  <si>
    <t xml:space="preserve">Random rubble masonry work </t>
  </si>
  <si>
    <t>ground floor</t>
  </si>
  <si>
    <t>e-02</t>
  </si>
  <si>
    <t>e-03</t>
  </si>
  <si>
    <t>first  floor</t>
  </si>
  <si>
    <t>e-05</t>
  </si>
  <si>
    <t>e-07</t>
  </si>
  <si>
    <t>e-09</t>
  </si>
  <si>
    <t>e-10</t>
  </si>
  <si>
    <t xml:space="preserve">TOTAL FOR MASONARY  WORK </t>
  </si>
  <si>
    <t>ASPHALT WORK</t>
  </si>
  <si>
    <t>f-01</t>
  </si>
  <si>
    <t>f-02</t>
  </si>
  <si>
    <t>f-05</t>
  </si>
  <si>
    <t>Brush applied "Tharoseal"  waterproofing system, applied strictly in accordance with manufacturer's printed instructions including all necessary additional strips at angles and duct outlet openings,bath room walls and floor intersections etc., complete pointed with sealant all as specified (contractor to allow for 10 year guarantee and minimum 24 hour flood test)all as approved by client,</t>
  </si>
  <si>
    <t>B.Floor</t>
  </si>
  <si>
    <t>B.Wall</t>
  </si>
  <si>
    <t>Up stand</t>
  </si>
  <si>
    <t xml:space="preserve">TOTAL FOR ASPHALT WORK </t>
  </si>
  <si>
    <t>ROOFER AND ROOF PLUMBING</t>
  </si>
  <si>
    <t>g-01</t>
  </si>
  <si>
    <t>Roof</t>
  </si>
  <si>
    <t>g-02</t>
  </si>
  <si>
    <t>g-03</t>
  </si>
  <si>
    <t>g-04</t>
  </si>
  <si>
    <t>g-05</t>
  </si>
  <si>
    <t>TOTAL FOR ROOF AND ROOF PLUMBING</t>
  </si>
  <si>
    <t>WALL FINISHING AND FLOOR FINISHING WORK</t>
  </si>
  <si>
    <t>h-01</t>
  </si>
  <si>
    <t>G/F</t>
  </si>
  <si>
    <t>h-02</t>
  </si>
  <si>
    <t>FF</t>
  </si>
  <si>
    <t>h-03</t>
  </si>
  <si>
    <t>2/f</t>
  </si>
  <si>
    <t>h-04</t>
  </si>
  <si>
    <t>h-05</t>
  </si>
  <si>
    <t>h-06</t>
  </si>
  <si>
    <t>h-07</t>
  </si>
  <si>
    <t>h-08</t>
  </si>
  <si>
    <t>h-09</t>
  </si>
  <si>
    <t>h-10</t>
  </si>
  <si>
    <t>16mm thick 1:5  cement sand plastering finishing semirough under  faces of slabs- G F floor</t>
  </si>
  <si>
    <t>h-11</t>
  </si>
  <si>
    <t>16mm thick 1:5  cement sand  soffit plastering finishing semirough on surfaces  of slab -First floor</t>
  </si>
  <si>
    <t>h-18</t>
  </si>
  <si>
    <t>16mm thick 1:5  cement sand plastering finishing semirough on external faces of walls - Ground floor</t>
  </si>
  <si>
    <t>Front side</t>
  </si>
  <si>
    <t>Court yard</t>
  </si>
  <si>
    <t>B Wall</t>
  </si>
  <si>
    <t>h-19</t>
  </si>
  <si>
    <t>16 mm thick 1:5  cement sand plastering finishing semirough on external faces of walls -First floor</t>
  </si>
  <si>
    <t>DDT</t>
  </si>
  <si>
    <t>h-20</t>
  </si>
  <si>
    <t>16mm thick 1:5  cement sand plastering finishing semirough on external faces of walls -2nd floor</t>
  </si>
  <si>
    <t>h-21</t>
  </si>
  <si>
    <t>16mm thick 1:5  cement sand plastering finishing semirough on Revils - ground floor</t>
  </si>
  <si>
    <t>h-22</t>
  </si>
  <si>
    <t>16mm thick 1:5 cement sand plastering finishing semirough on Revils - F F floor</t>
  </si>
  <si>
    <t>h-23</t>
  </si>
  <si>
    <t>16mm thick 1:5  cement sand plastering finishing semirough on Revils - 2nd floor</t>
  </si>
  <si>
    <t>Wall and Floor finishing</t>
  </si>
  <si>
    <t>h-24</t>
  </si>
  <si>
    <t>Lay 18''x12" wall tiles with tile adasive finish with grouting in toilet walls. PC Rate per tile sqft Rs. 300</t>
  </si>
  <si>
    <t>in first floor</t>
  </si>
  <si>
    <t>Toilet</t>
  </si>
  <si>
    <t>Less door</t>
  </si>
  <si>
    <t>in 2nd floor</t>
  </si>
  <si>
    <t>h-26</t>
  </si>
  <si>
    <t>Lay 18"x18" floor tiles with tile adasive finish with grouting. Rate per tile sqft Rs. 260.00</t>
  </si>
  <si>
    <t>Stair landing</t>
  </si>
  <si>
    <t>Stair steps</t>
  </si>
  <si>
    <t>Stair Riser</t>
  </si>
  <si>
    <t>Skirting</t>
  </si>
  <si>
    <t>Floor</t>
  </si>
  <si>
    <t>Wall</t>
  </si>
  <si>
    <t>TOTAL FOR WALL FINISHING AND FLOOR FINISHING WORK</t>
  </si>
  <si>
    <t>Note - Painting and decorating  products shall be CIC applied in accordance with manufacture's recommendations including surface preparation, number of coats and specialized applicators, wall piller used by Asian paints.</t>
  </si>
  <si>
    <r>
      <rPr>
        <i/>
        <sz val="10"/>
        <color rgb="FFFF0000"/>
        <rFont val="Arial Narrow"/>
        <charset val="134"/>
      </rPr>
      <t xml:space="preserve">Two coat of emulsion paint &amp; one coat acrylic filler &amp; suitable under coat as per manufactuer's instructions to </t>
    </r>
    <r>
      <rPr>
        <b/>
        <i/>
        <u/>
        <sz val="10"/>
        <color rgb="FFFF0000"/>
        <rFont val="Arial Narrow"/>
        <charset val="134"/>
      </rPr>
      <t>internal plastered walls</t>
    </r>
    <r>
      <rPr>
        <i/>
        <sz val="10"/>
        <color rgb="FFFF0000"/>
        <rFont val="Arial Narrow"/>
        <charset val="134"/>
      </rPr>
      <t>. Paint shall be used by CIC and wall piller by Asian Paints</t>
    </r>
  </si>
  <si>
    <t>j-01</t>
  </si>
  <si>
    <t>Internal painting, Ground Floor</t>
  </si>
  <si>
    <t>j-02</t>
  </si>
  <si>
    <t>Internal painting, First Floor</t>
  </si>
  <si>
    <t>j-03</t>
  </si>
  <si>
    <t>Internal painting,2ndFloor</t>
  </si>
  <si>
    <r>
      <rPr>
        <i/>
        <sz val="10"/>
        <color rgb="FFFF0000"/>
        <rFont val="Arial Narrow"/>
        <charset val="134"/>
      </rPr>
      <t xml:space="preserve">Two coat of emulsion paint &amp; one coat acrylic filler &amp; suitable under coat as per manufactuer's instructions to </t>
    </r>
    <r>
      <rPr>
        <b/>
        <i/>
        <u/>
        <sz val="10"/>
        <color rgb="FFFF0000"/>
        <rFont val="Arial Narrow"/>
        <charset val="134"/>
      </rPr>
      <t>internal plastered sofits</t>
    </r>
    <r>
      <rPr>
        <i/>
        <sz val="10"/>
        <color rgb="FFFF0000"/>
        <rFont val="Arial Narrow"/>
        <charset val="134"/>
      </rPr>
      <t>.</t>
    </r>
  </si>
  <si>
    <t>j-04</t>
  </si>
  <si>
    <t>Sofit painting, Ground floor</t>
  </si>
  <si>
    <t>j-05</t>
  </si>
  <si>
    <t>Sofit painting, First floor</t>
  </si>
  <si>
    <t>j-06</t>
  </si>
  <si>
    <t>Stair Case Ground to 2nd Floor</t>
  </si>
  <si>
    <r>
      <rPr>
        <i/>
        <sz val="10"/>
        <color rgb="FFFF0000"/>
        <rFont val="Arial Narrow"/>
        <charset val="134"/>
      </rPr>
      <t xml:space="preserve">Two coat of emulsion paint, one coat acrylic filler &amp; two coat of skim coat &amp; suitable under coat as per manufactuer's instructions to </t>
    </r>
    <r>
      <rPr>
        <b/>
        <i/>
        <u/>
        <sz val="10"/>
        <color rgb="FFFF0000"/>
        <rFont val="Arial Narrow"/>
        <charset val="134"/>
      </rPr>
      <t xml:space="preserve">internal plastered revils. </t>
    </r>
  </si>
  <si>
    <t>j-07</t>
  </si>
  <si>
    <t>j-08</t>
  </si>
  <si>
    <t>j-09</t>
  </si>
  <si>
    <t>Internal painting, 2ndFloor</t>
  </si>
  <si>
    <r>
      <rPr>
        <i/>
        <sz val="10"/>
        <color rgb="FFFF0000"/>
        <rFont val="Arial Narrow"/>
        <charset val="134"/>
      </rPr>
      <t xml:space="preserve">Two coat of weather shield paint &amp; one coat of primer under coat paint, as per manufactuer's instructions to </t>
    </r>
    <r>
      <rPr>
        <b/>
        <i/>
        <u/>
        <sz val="10"/>
        <color rgb="FFFF0000"/>
        <rFont val="Arial Narrow"/>
        <charset val="134"/>
      </rPr>
      <t>external plastered walls</t>
    </r>
    <r>
      <rPr>
        <i/>
        <sz val="10"/>
        <color rgb="FFFF0000"/>
        <rFont val="Arial Narrow"/>
        <charset val="134"/>
      </rPr>
      <t>.</t>
    </r>
  </si>
  <si>
    <t>j-10</t>
  </si>
  <si>
    <t>External painting , Ground floor</t>
  </si>
  <si>
    <t>j-11</t>
  </si>
  <si>
    <t>External painting, First Floor</t>
  </si>
  <si>
    <t>j-12</t>
  </si>
  <si>
    <t>External painting, 2nd Floor</t>
  </si>
  <si>
    <r>
      <rPr>
        <i/>
        <sz val="10"/>
        <color rgb="FFFF0000"/>
        <rFont val="Arial Narrow"/>
        <charset val="134"/>
      </rPr>
      <t xml:space="preserve">Two coat of weather shield paint, one coat of primer &amp; two coat of skim under coat paint, as per manufactuer's instructions to </t>
    </r>
    <r>
      <rPr>
        <b/>
        <i/>
        <u/>
        <sz val="10"/>
        <color rgb="FFFF0000"/>
        <rFont val="Arial Narrow"/>
        <charset val="134"/>
      </rPr>
      <t>external plastered revils</t>
    </r>
    <r>
      <rPr>
        <i/>
        <sz val="10"/>
        <color rgb="FFFF0000"/>
        <rFont val="Arial Narrow"/>
        <charset val="134"/>
      </rPr>
      <t xml:space="preserve">. </t>
    </r>
  </si>
  <si>
    <t>j-13</t>
  </si>
  <si>
    <t>j-14</t>
  </si>
  <si>
    <t>j-15</t>
  </si>
  <si>
    <t>External painting, Loft Floor</t>
  </si>
  <si>
    <t>TOTAL FOR PAINTING AND DECORATING</t>
  </si>
  <si>
    <t>ELECTRICAL WORK</t>
  </si>
  <si>
    <t>k-01</t>
  </si>
  <si>
    <t>i</t>
  </si>
  <si>
    <t>k-02</t>
  </si>
  <si>
    <t>k-03</t>
  </si>
  <si>
    <t>k-04</t>
  </si>
  <si>
    <t>k-05</t>
  </si>
  <si>
    <t>k-06</t>
  </si>
  <si>
    <t>k-07</t>
  </si>
  <si>
    <t>k-08</t>
  </si>
  <si>
    <t>k-09</t>
  </si>
  <si>
    <t>k-10</t>
  </si>
  <si>
    <t>k-12</t>
  </si>
  <si>
    <t>Internal wireing and other accessories</t>
  </si>
  <si>
    <t>k-14</t>
  </si>
  <si>
    <t>k--20</t>
  </si>
  <si>
    <t xml:space="preserve">Meter box for CEB meter </t>
  </si>
  <si>
    <t>k-20</t>
  </si>
  <si>
    <t>.</t>
  </si>
  <si>
    <t>k-21</t>
  </si>
  <si>
    <t>item</t>
  </si>
  <si>
    <t>allow</t>
  </si>
  <si>
    <t>sum</t>
  </si>
  <si>
    <t>TOTAL FOR ELECTRICAL WORK</t>
  </si>
  <si>
    <t>PLUMBING WORK</t>
  </si>
  <si>
    <t>L-02</t>
  </si>
  <si>
    <t>Supply and install high pressure PVC water supply pipe work with fittings (below ground or above ground) complete with excavation if required or connections, supports and accessries; all in accordance with the drawings and approved by client (rate to include for complete pressure testing)</t>
  </si>
  <si>
    <t>02. (a)</t>
  </si>
  <si>
    <t>02. (b)</t>
  </si>
  <si>
    <t>L-04</t>
  </si>
  <si>
    <t>Supply and PVC waste water line (T - 600 )pipe work with fittings (below ground or above ground) complete with excavation if required or connections, supports and accessries; all in accordance with the drawings and approved by client (rate to include for complete pressure testing)</t>
  </si>
  <si>
    <t>04. (a)</t>
  </si>
  <si>
    <t>04. (b)</t>
  </si>
  <si>
    <t>Using 63mm(2")(Type600) pipes For Waste Water line from floor gilly to waste water gully, kitchen sink to kitchen gullies.</t>
  </si>
  <si>
    <t>04. (C )</t>
  </si>
  <si>
    <t>L-05</t>
  </si>
  <si>
    <t>05. (b)</t>
  </si>
  <si>
    <t>L-06</t>
  </si>
  <si>
    <t>06. a)</t>
  </si>
  <si>
    <t>06. (b)</t>
  </si>
  <si>
    <t>06. ©</t>
  </si>
  <si>
    <t>L-07</t>
  </si>
  <si>
    <t>07. (a)</t>
  </si>
  <si>
    <t>L-09</t>
  </si>
  <si>
    <t>09. (a)</t>
  </si>
  <si>
    <t>L-10</t>
  </si>
  <si>
    <t xml:space="preserve"> Basin Mixer tap</t>
  </si>
  <si>
    <t>10. (e)</t>
  </si>
  <si>
    <t>10. (f)</t>
  </si>
  <si>
    <t xml:space="preserve"> 6 pcs. Essentials Accessory Set </t>
  </si>
  <si>
    <t>10. (i)</t>
  </si>
  <si>
    <t>10. (j)</t>
  </si>
  <si>
    <t>Water Closet  for servent and driver</t>
  </si>
  <si>
    <t>10. (p)</t>
  </si>
  <si>
    <t>6x6 Floor Gullies</t>
  </si>
  <si>
    <t>10. (s)</t>
  </si>
  <si>
    <t>10. (t)</t>
  </si>
  <si>
    <t>L-11</t>
  </si>
  <si>
    <t>11. (a)</t>
  </si>
  <si>
    <t>Supply and placing of precast soakage pit with precast cover slab , Excavation  5ft Dia X 7ft Height for  Waste Water Pit   with back filling with 3/4" thick metal layer for filter material . As per the approved Location by client.Including  laying &amp; connecting the Pipe work inlet &amp; outlet. placing of cover slab and making slab opening in 450X450 size brick wall up to finish floor level with smooth plaster  for covering  around the opening  and placing concrete cover slab  for top cover all as approved by Client</t>
  </si>
  <si>
    <t>L-15</t>
  </si>
  <si>
    <t>15. (a)</t>
  </si>
  <si>
    <t>Supply and placing of precast Precast Septic
Tank 8'X3' dia and soakage pit with cover slab 3' dia Excavation 9'x4'x5'for Septic Tank &amp; 4ft Dia X 7ft Height for Soakage pit. Including 6" thick sand Bed for Septic Tank. Placing of Precast Septic Tank back filling with approved available soil. and soakage pit back filling with 3/4" thick metal layer for filter material . As per the approved Location by Client.Including , laying &amp; connecting the Pipe work inlet &amp; outlets. placing of cover slab and making slab opening in 450X450 size brick wall up to finish floor level with smooth plaster  for covering  around the opening  and placing concrete cover slab  for top cover all as approved by Client</t>
  </si>
  <si>
    <t>TOTAL FOR PLUMBING WORK</t>
  </si>
  <si>
    <t>DOORS AND WINDOWS</t>
  </si>
  <si>
    <t xml:space="preserve">Door type D2, size 3'-6" X 8'-0" high, Solid timber panelled Single Sash Door . As per detail drawing. Rate shall include for locks and all necessary ironmongery, and all as per detail drawings and specifications. </t>
  </si>
  <si>
    <t xml:space="preserve">Door type D3, size 2'-9" X 8'-0" high, Solid timber panelled Single Sash Door . As per detail drawing. Rate shall include for locks and all necessary ironmongery, and all as per detail drawings and specifications. </t>
  </si>
  <si>
    <t>Powder coated approved colour aluminium framed doors, windows units consisting of aluminium frames, transoms, mullians, aluminium framed glazed panels, aluminium louvered panels  including necessary hardware such as hinges, floor hinges, fasteners, stays, bolts, locks, handles and the like all as detail drawing, iron mongery schedule and specification.</t>
  </si>
  <si>
    <t>Single sash sliding Door type SD4, size 9'-10"x 8'-0" high overall aluminium framed glazed door and fixed glass window as per detail drawing.</t>
  </si>
  <si>
    <t>Single sash sliding Door type SD5, size 10'-4"x 8'-0" high overall aluminium framed glazed door and fixed glass window  as per detail drawing.</t>
  </si>
  <si>
    <t>Two sash sliding WIndoor type SW3, size 7'-6"x 8'-0" high overall aluminium framed glazed window as per detail drawing.</t>
  </si>
  <si>
    <t>Two sash sliding WIndoor type SW4, size 7'-0"x 8'-0" high overall aluminium framed glazed window as per detail drawing.</t>
  </si>
  <si>
    <t>Two sash sliding WIndoor type SW5, size 5'-0"x 4'-9" high overall aluminium framed glazed window as per detail drawing.</t>
  </si>
  <si>
    <t>Two sash sliding WIndoor type SW6, size 6'-0"x 5'-0" high overall aluminium framed glazed window as per detail drawing.</t>
  </si>
  <si>
    <t>Fixed Glass WIndoor type FG1, size 4'-0"x 5'-0" high overall aluminium framed glazed window as per detail drawing.</t>
  </si>
  <si>
    <t>Fixed Glass WIndoor type F3, size 2'-6"x 3'-0" high overall aluminium framed glazed window as per detail drawing.</t>
  </si>
  <si>
    <t>Roller door type RD1, size 35'-0' x 8'-0" high overall roller door with powder coated aluminium box cover as per detail drawing.</t>
  </si>
  <si>
    <t>TOTAL FOR TIMBER DECORATIONS</t>
  </si>
  <si>
    <t>METAL WORK</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</si>
</sst>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_);_(* \(#,##0\);_(* &quot;-&quot;??_);_(@_)"/>
    <numFmt numFmtId="178" formatCode="_(* #,##0.000_);_(* \(#,##0.000\);_(* &quot;-&quot;???_);_(@_)"/>
    <numFmt numFmtId="179" formatCode="_-* #,##0.00_-;\-* #,##0.00_-;_-* &quot;-&quot;??_-;_-@_-"/>
    <numFmt numFmtId="180" formatCode="_(* #,##0.000_);_(* \(#,##0.000\);_(* &quot;-&quot;??_);_(@_)"/>
    <numFmt numFmtId="181" formatCode="_(&quot;R.O.&quot;* #,##0.00_);_(&quot;R.O.&quot;* \(#,##0.00\);_(&quot;R.O.&quot;* &quot;-&quot;??_);_(@_)"/>
    <numFmt numFmtId="182" formatCode="0.00_);\(0.00\)"/>
    <numFmt numFmtId="183" formatCode="_-* #,##0_-;\-* #,##0_-;_-* &quot;-&quot;??_-;_-@_-"/>
  </numFmts>
  <fonts count="62">
    <font>
      <sz val="10"/>
      <name val="Arial"/>
      <charset val="134"/>
    </font>
    <font>
      <sz val="10"/>
      <name val="Arial Narrow"/>
      <charset val="134"/>
    </font>
    <font>
      <b/>
      <sz val="10"/>
      <name val="Arial Narrow"/>
      <charset val="134"/>
    </font>
    <font>
      <b/>
      <u/>
      <sz val="10"/>
      <name val="Arial Narrow"/>
      <charset val="134"/>
    </font>
    <font>
      <sz val="10"/>
      <color rgb="FFFF0000"/>
      <name val="Arial Narrow"/>
      <charset val="134"/>
    </font>
    <font>
      <b/>
      <sz val="10"/>
      <color rgb="FFFF0000"/>
      <name val="Arial Narrow"/>
      <charset val="134"/>
    </font>
    <font>
      <b/>
      <u/>
      <sz val="10"/>
      <color rgb="FFFF0000"/>
      <name val="Arial Narrow"/>
      <charset val="134"/>
    </font>
    <font>
      <sz val="10"/>
      <color theme="1"/>
      <name val="Arial Narrow"/>
      <charset val="134"/>
    </font>
    <font>
      <b/>
      <sz val="10"/>
      <color theme="1"/>
      <name val="Arial Narrow"/>
      <charset val="134"/>
    </font>
    <font>
      <u/>
      <sz val="10"/>
      <color rgb="FFFF0000"/>
      <name val="Arial Narrow"/>
      <charset val="134"/>
    </font>
    <font>
      <i/>
      <sz val="10"/>
      <color rgb="FFFF0000"/>
      <name val="Arial Narrow"/>
      <charset val="134"/>
    </font>
    <font>
      <b/>
      <u/>
      <sz val="10"/>
      <color theme="1"/>
      <name val="Arial Narrow"/>
      <charset val="134"/>
    </font>
    <font>
      <sz val="11"/>
      <name val="Arial"/>
      <charset val="134"/>
    </font>
    <font>
      <sz val="10"/>
      <name val="Arial"/>
      <charset val="134"/>
    </font>
    <font>
      <b/>
      <sz val="11"/>
      <name val="Arial"/>
      <charset val="134"/>
    </font>
    <font>
      <sz val="10"/>
      <color theme="1"/>
      <name val="Arial"/>
      <charset val="134"/>
    </font>
    <font>
      <b/>
      <u/>
      <sz val="11"/>
      <color theme="1"/>
      <name val="Arial"/>
      <charset val="134"/>
    </font>
    <font>
      <b/>
      <sz val="12"/>
      <color theme="1"/>
      <name val="Arial"/>
      <charset val="134"/>
    </font>
    <font>
      <b/>
      <u/>
      <sz val="11"/>
      <name val="Arial"/>
      <charset val="134"/>
    </font>
    <font>
      <u/>
      <sz val="11"/>
      <name val="Arial"/>
      <charset val="134"/>
    </font>
    <font>
      <b/>
      <u/>
      <sz val="16"/>
      <name val="Arial"/>
      <charset val="134"/>
    </font>
    <font>
      <b/>
      <sz val="9"/>
      <name val="Arial"/>
      <charset val="134"/>
    </font>
    <font>
      <b/>
      <sz val="16"/>
      <name val="Arial"/>
      <charset val="134"/>
    </font>
    <font>
      <b/>
      <i/>
      <u/>
      <sz val="16"/>
      <name val="Book Antiqua"/>
      <charset val="134"/>
    </font>
    <font>
      <b/>
      <sz val="22"/>
      <name val="Arial"/>
      <charset val="134"/>
    </font>
    <font>
      <b/>
      <i/>
      <u/>
      <sz val="20"/>
      <name val="Book Antiqua"/>
      <charset val="134"/>
    </font>
    <font>
      <b/>
      <i/>
      <sz val="18"/>
      <name val="Book Antiqua"/>
      <charset val="134"/>
    </font>
    <font>
      <b/>
      <sz val="20"/>
      <name val="Arial"/>
      <charset val="134"/>
    </font>
    <font>
      <b/>
      <sz val="18"/>
      <name val="Arial"/>
      <charset val="134"/>
    </font>
    <font>
      <b/>
      <sz val="22"/>
      <name val="Monotype Corsiva"/>
      <charset val="134"/>
    </font>
    <font>
      <b/>
      <sz val="12"/>
      <name val="Arial"/>
      <charset val="134"/>
    </font>
    <font>
      <b/>
      <sz val="12"/>
      <name val="Century Gothic"/>
      <charset val="134"/>
    </font>
    <font>
      <b/>
      <sz val="10"/>
      <name val="Arial"/>
      <charset val="134"/>
    </font>
    <font>
      <b/>
      <sz val="14"/>
      <name val="Century Gothic"/>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Arial Narrow"/>
      <charset val="134"/>
    </font>
    <font>
      <sz val="11"/>
      <color indexed="8"/>
      <name val="Calibri"/>
      <charset val="134"/>
    </font>
    <font>
      <sz val="12"/>
      <color rgb="FF006100"/>
      <name val="Arial Narrow"/>
      <charset val="134"/>
    </font>
    <font>
      <b/>
      <sz val="11"/>
      <color theme="3"/>
      <name val="Arial Narrow"/>
      <charset val="134"/>
    </font>
    <font>
      <sz val="11"/>
      <color theme="1"/>
      <name val="Calibri"/>
      <charset val="134"/>
      <scheme val="minor"/>
    </font>
    <font>
      <b/>
      <sz val="11"/>
      <color rgb="FF3F3F3F"/>
      <name val="Calibri"/>
      <charset val="134"/>
      <scheme val="minor"/>
    </font>
    <font>
      <sz val="13"/>
      <name val="Arial Narrow"/>
      <charset val="134"/>
    </font>
    <font>
      <b/>
      <i/>
      <u/>
      <sz val="10"/>
      <color rgb="FFFF0000"/>
      <name val="Arial Narrow"/>
      <charset val="134"/>
    </font>
  </fonts>
  <fills count="38">
    <fill>
      <patternFill patternType="none"/>
    </fill>
    <fill>
      <patternFill patternType="gray125"/>
    </fill>
    <fill>
      <patternFill patternType="solid">
        <fgColor theme="0" tint="-0.149998474074526"/>
        <bgColor indexed="64"/>
      </patternFill>
    </fill>
    <fill>
      <patternFill patternType="solid">
        <fgColor rgb="FFFFFF00"/>
        <bgColor indexed="64"/>
      </patternFill>
    </fill>
    <fill>
      <patternFill patternType="gray06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C6EFCE"/>
        <bgColor indexed="64"/>
      </patternFill>
    </fill>
    <fill>
      <patternFill patternType="solid">
        <fgColor rgb="FFF2F2F2"/>
        <bgColor indexed="64"/>
      </patternFill>
    </fill>
  </fills>
  <borders count="65">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style="hair">
        <color auto="1"/>
      </left>
      <right style="thin">
        <color auto="1"/>
      </right>
      <top style="thin">
        <color auto="1"/>
      </top>
      <bottom style="double">
        <color auto="1"/>
      </bottom>
      <diagonal/>
    </border>
    <border>
      <left style="hair">
        <color auto="1"/>
      </left>
      <right style="thin">
        <color auto="1"/>
      </right>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bottom/>
      <diagonal/>
    </border>
    <border>
      <left style="thin">
        <color auto="1"/>
      </left>
      <right/>
      <top/>
      <bottom/>
      <diagonal/>
    </border>
    <border>
      <left style="thin">
        <color auto="1"/>
      </left>
      <right style="thin">
        <color auto="1"/>
      </right>
      <top/>
      <bottom/>
      <diagonal/>
    </border>
    <border>
      <left/>
      <right style="medium">
        <color auto="1"/>
      </right>
      <top style="thin">
        <color auto="1"/>
      </top>
      <bottom style="double">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double">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medium">
        <color auto="1"/>
      </left>
      <right style="thin">
        <color auto="1"/>
      </right>
      <top/>
      <bottom style="double">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399975585192419"/>
      </bottom>
      <diagonal/>
    </border>
  </borders>
  <cellStyleXfs count="81">
    <xf numFmtId="0" fontId="0" fillId="0" borderId="0"/>
    <xf numFmtId="43" fontId="13" fillId="0" borderId="0" applyFont="0" applyFill="0" applyBorder="0" applyAlignment="0" applyProtection="0"/>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176"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5" borderId="56"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57" applyNumberFormat="0" applyFill="0" applyAlignment="0" applyProtection="0">
      <alignment vertical="center"/>
    </xf>
    <xf numFmtId="0" fontId="41" fillId="0" borderId="57" applyNumberFormat="0" applyFill="0" applyAlignment="0" applyProtection="0">
      <alignment vertical="center"/>
    </xf>
    <xf numFmtId="0" fontId="42" fillId="0" borderId="58" applyNumberFormat="0" applyFill="0" applyAlignment="0" applyProtection="0">
      <alignment vertical="center"/>
    </xf>
    <xf numFmtId="0" fontId="42" fillId="0" borderId="0" applyNumberFormat="0" applyFill="0" applyBorder="0" applyAlignment="0" applyProtection="0">
      <alignment vertical="center"/>
    </xf>
    <xf numFmtId="0" fontId="43" fillId="6" borderId="59" applyNumberFormat="0" applyAlignment="0" applyProtection="0">
      <alignment vertical="center"/>
    </xf>
    <xf numFmtId="0" fontId="44" fillId="7" borderId="60" applyNumberFormat="0" applyAlignment="0" applyProtection="0">
      <alignment vertical="center"/>
    </xf>
    <xf numFmtId="0" fontId="45" fillId="7" borderId="59" applyNumberFormat="0" applyAlignment="0" applyProtection="0">
      <alignment vertical="center"/>
    </xf>
    <xf numFmtId="0" fontId="46" fillId="8" borderId="61" applyNumberFormat="0" applyAlignment="0" applyProtection="0">
      <alignment vertical="center"/>
    </xf>
    <xf numFmtId="0" fontId="47" fillId="0" borderId="62" applyNumberFormat="0" applyFill="0" applyAlignment="0" applyProtection="0">
      <alignment vertical="center"/>
    </xf>
    <xf numFmtId="0" fontId="48" fillId="0" borderId="63" applyNumberFormat="0" applyFill="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3" fillId="14"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4" fillId="13" borderId="0" applyNumberFormat="0" applyBorder="0" applyAlignment="0" applyProtection="0"/>
    <xf numFmtId="43" fontId="55" fillId="0" borderId="0" applyFont="0" applyFill="0" applyBorder="0" applyAlignment="0" applyProtection="0"/>
    <xf numFmtId="43" fontId="55" fillId="0" borderId="0" applyFont="0" applyFill="0" applyBorder="0" applyAlignment="0" applyProtection="0"/>
    <xf numFmtId="177" fontId="13" fillId="0" borderId="0" applyFont="0" applyFill="0" applyBorder="0" applyAlignment="0" applyProtection="0"/>
    <xf numFmtId="43" fontId="13" fillId="0" borderId="0" applyFont="0" applyFill="0" applyBorder="0" applyAlignment="0" applyProtection="0"/>
    <xf numFmtId="43" fontId="55" fillId="0" borderId="0" applyFont="0" applyFill="0" applyBorder="0" applyAlignment="0" applyProtection="0"/>
    <xf numFmtId="0" fontId="13" fillId="0" borderId="0" applyFont="0" applyFill="0" applyBorder="0" applyAlignment="0" applyProtection="0"/>
    <xf numFmtId="43"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178" fontId="13" fillId="0" borderId="0" applyFont="0" applyFill="0" applyBorder="0" applyAlignment="0" applyProtection="0"/>
    <xf numFmtId="43"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44" fontId="13" fillId="0" borderId="0" applyFont="0" applyFill="0" applyBorder="0" applyAlignment="0" applyProtection="0"/>
    <xf numFmtId="181" fontId="13" fillId="0" borderId="0" applyFont="0" applyFill="0" applyBorder="0" applyAlignment="0" applyProtection="0"/>
    <xf numFmtId="0" fontId="13" fillId="0" borderId="0" applyFont="0" applyFill="0" applyBorder="0" applyAlignment="0" applyProtection="0"/>
    <xf numFmtId="0" fontId="56" fillId="36" borderId="0" applyNumberFormat="0" applyBorder="0" applyAlignment="0" applyProtection="0"/>
    <xf numFmtId="0" fontId="57" fillId="0" borderId="64" applyNumberFormat="0" applyFill="0" applyAlignment="0" applyProtection="0"/>
    <xf numFmtId="0" fontId="13" fillId="0" borderId="0"/>
    <xf numFmtId="0" fontId="13" fillId="0" borderId="0"/>
    <xf numFmtId="0" fontId="13" fillId="0" borderId="0"/>
    <xf numFmtId="0" fontId="13" fillId="0" borderId="0"/>
    <xf numFmtId="0" fontId="58" fillId="0" borderId="0"/>
    <xf numFmtId="0" fontId="13" fillId="0" borderId="0"/>
    <xf numFmtId="0" fontId="13" fillId="0" borderId="0"/>
    <xf numFmtId="0" fontId="13" fillId="0" borderId="0"/>
    <xf numFmtId="0" fontId="59" fillId="37" borderId="60" applyNumberFormat="0" applyAlignment="0" applyProtection="0"/>
    <xf numFmtId="9" fontId="13" fillId="0" borderId="0" applyFont="0" applyFill="0" applyBorder="0" applyAlignment="0" applyProtection="0"/>
    <xf numFmtId="9" fontId="58" fillId="0" borderId="0" applyFont="0" applyFill="0" applyBorder="0" applyAlignment="0" applyProtection="0"/>
    <xf numFmtId="0" fontId="60" fillId="13" borderId="21">
      <alignment horizontal="center"/>
    </xf>
    <xf numFmtId="0" fontId="8" fillId="0" borderId="63" applyNumberFormat="0" applyFill="0" applyAlignment="0" applyProtection="0"/>
  </cellStyleXfs>
  <cellXfs count="359">
    <xf numFmtId="0" fontId="0" fillId="0" borderId="0" xfId="0"/>
    <xf numFmtId="43" fontId="1" fillId="0" borderId="0" xfId="1" applyFont="1" applyBorder="1"/>
    <xf numFmtId="0" fontId="1" fillId="0" borderId="0" xfId="0" applyFont="1" applyFill="1" applyBorder="1"/>
    <xf numFmtId="0" fontId="1" fillId="0" borderId="0" xfId="0" applyFont="1" applyBorder="1"/>
    <xf numFmtId="43" fontId="1" fillId="0" borderId="0" xfId="1" applyFont="1" applyBorder="1" applyAlignment="1">
      <alignment horizontal="center"/>
    </xf>
    <xf numFmtId="0" fontId="2" fillId="0" borderId="0" xfId="0" applyFont="1" applyBorder="1" applyAlignment="1">
      <alignment horizontal="center" wrapText="1"/>
    </xf>
    <xf numFmtId="43" fontId="2" fillId="0" borderId="0" xfId="0" applyNumberFormat="1" applyFont="1" applyBorder="1" applyAlignment="1">
      <alignment horizont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43" fontId="2" fillId="2" borderId="2" xfId="1" applyFont="1" applyFill="1" applyBorder="1" applyAlignment="1">
      <alignment horizontal="center"/>
    </xf>
    <xf numFmtId="43" fontId="2" fillId="2" borderId="3" xfId="1" applyFont="1" applyFill="1" applyBorder="1" applyAlignment="1">
      <alignment horizontal="center"/>
    </xf>
    <xf numFmtId="43" fontId="2" fillId="2" borderId="0" xfId="1" applyFont="1" applyFill="1" applyBorder="1" applyAlignment="1">
      <alignment horizontal="center"/>
    </xf>
    <xf numFmtId="1" fontId="2" fillId="0" borderId="4" xfId="0" applyNumberFormat="1" applyFont="1" applyFill="1" applyBorder="1" applyAlignment="1">
      <alignment horizontal="center" vertical="center"/>
    </xf>
    <xf numFmtId="0" fontId="3" fillId="0" borderId="5" xfId="0" applyNumberFormat="1" applyFont="1" applyFill="1" applyBorder="1"/>
    <xf numFmtId="43" fontId="1" fillId="0" borderId="5" xfId="1" applyFont="1" applyBorder="1"/>
    <xf numFmtId="43" fontId="1" fillId="0" borderId="5" xfId="1" applyFont="1" applyBorder="1" applyAlignment="1">
      <alignment horizontal="center"/>
    </xf>
    <xf numFmtId="43" fontId="1" fillId="0" borderId="6" xfId="1" applyFont="1" applyBorder="1"/>
    <xf numFmtId="0" fontId="2" fillId="0" borderId="5" xfId="0" applyNumberFormat="1" applyFont="1" applyFill="1" applyBorder="1"/>
    <xf numFmtId="1" fontId="1" fillId="0" borderId="4" xfId="0" applyNumberFormat="1" applyFont="1" applyFill="1" applyBorder="1" applyAlignment="1">
      <alignment horizontal="center" vertical="center"/>
    </xf>
    <xf numFmtId="0" fontId="1" fillId="0" borderId="5" xfId="0" applyNumberFormat="1" applyFont="1" applyFill="1" applyBorder="1" applyAlignment="1">
      <alignment horizontal="justify"/>
    </xf>
    <xf numFmtId="43" fontId="1" fillId="3" borderId="5" xfId="1" applyFont="1" applyFill="1" applyBorder="1" applyAlignment="1">
      <alignment horizontal="right"/>
    </xf>
    <xf numFmtId="43" fontId="1" fillId="0" borderId="5" xfId="1" applyFont="1" applyFill="1" applyBorder="1" applyAlignment="1">
      <alignment horizontal="center"/>
    </xf>
    <xf numFmtId="43" fontId="1" fillId="3" borderId="5" xfId="1" applyFont="1" applyFill="1" applyBorder="1"/>
    <xf numFmtId="43" fontId="1" fillId="0" borderId="5" xfId="1" applyFont="1" applyFill="1" applyBorder="1" applyAlignment="1">
      <alignment horizontal="right"/>
    </xf>
    <xf numFmtId="0" fontId="1" fillId="0" borderId="5" xfId="0" applyNumberFormat="1" applyFont="1" applyFill="1" applyBorder="1" applyAlignment="1">
      <alignment horizontal="justify" vertical="top" wrapText="1"/>
    </xf>
    <xf numFmtId="43" fontId="1" fillId="0" borderId="7" xfId="1" applyFont="1" applyBorder="1"/>
    <xf numFmtId="0" fontId="2" fillId="0" borderId="5" xfId="0" applyFont="1" applyFill="1" applyBorder="1" applyAlignment="1">
      <alignment horizontal="justify" wrapText="1"/>
    </xf>
    <xf numFmtId="43" fontId="2" fillId="0" borderId="8" xfId="1" applyFont="1" applyBorder="1"/>
    <xf numFmtId="43" fontId="2" fillId="0" borderId="0" xfId="1" applyFont="1" applyBorder="1"/>
    <xf numFmtId="0" fontId="1" fillId="0" borderId="4" xfId="0" applyFont="1" applyBorder="1"/>
    <xf numFmtId="0" fontId="1" fillId="0" borderId="5" xfId="0" applyFont="1" applyBorder="1"/>
    <xf numFmtId="43" fontId="1" fillId="0" borderId="9" xfId="1" applyFont="1" applyBorder="1"/>
    <xf numFmtId="0" fontId="2" fillId="0" borderId="4" xfId="0" applyFont="1" applyFill="1" applyBorder="1" applyAlignment="1">
      <alignment horizontal="center" vertical="center"/>
    </xf>
    <xf numFmtId="0" fontId="3" fillId="0" borderId="5" xfId="0" applyFont="1" applyFill="1" applyBorder="1"/>
    <xf numFmtId="0" fontId="3" fillId="0" borderId="5" xfId="0" applyFont="1" applyFill="1" applyBorder="1" applyAlignment="1">
      <alignment horizontal="left" wrapText="1"/>
    </xf>
    <xf numFmtId="0" fontId="3" fillId="0" borderId="5" xfId="0" applyFont="1" applyFill="1" applyBorder="1" applyAlignment="1">
      <alignment horizontal="justify" wrapText="1"/>
    </xf>
    <xf numFmtId="0" fontId="1" fillId="0" borderId="4" xfId="0" applyFont="1" applyFill="1" applyBorder="1" applyAlignment="1">
      <alignment horizontal="center" vertical="center"/>
    </xf>
    <xf numFmtId="0" fontId="1" fillId="0" borderId="5" xfId="0" applyFont="1" applyFill="1" applyBorder="1" applyAlignment="1">
      <alignment horizontal="justify" wrapText="1"/>
    </xf>
    <xf numFmtId="43" fontId="1" fillId="3" borderId="5" xfId="1" applyFont="1" applyFill="1" applyBorder="1" applyAlignment="1"/>
    <xf numFmtId="43" fontId="1" fillId="0" borderId="5" xfId="1" applyFont="1" applyFill="1" applyBorder="1" applyAlignment="1"/>
    <xf numFmtId="43" fontId="1" fillId="0" borderId="5" xfId="1" applyFont="1" applyFill="1" applyBorder="1"/>
    <xf numFmtId="0" fontId="4" fillId="0" borderId="5" xfId="0" applyFont="1" applyFill="1" applyBorder="1" applyAlignment="1">
      <alignment horizontal="justify" wrapText="1"/>
    </xf>
    <xf numFmtId="43" fontId="4" fillId="3" borderId="5" xfId="1" applyFont="1" applyFill="1" applyBorder="1" applyAlignment="1">
      <alignment horizontal="right"/>
    </xf>
    <xf numFmtId="43" fontId="4" fillId="0" borderId="5" xfId="1" applyFont="1" applyFill="1" applyBorder="1" applyAlignment="1">
      <alignment horizontal="center"/>
    </xf>
    <xf numFmtId="43" fontId="4" fillId="0" borderId="5" xfId="1" applyFont="1" applyBorder="1"/>
    <xf numFmtId="43" fontId="4" fillId="0" borderId="6" xfId="1" applyFont="1" applyBorder="1"/>
    <xf numFmtId="43" fontId="4" fillId="0" borderId="5" xfId="1" applyFont="1" applyFill="1" applyBorder="1" applyAlignment="1">
      <alignment horizontal="right"/>
    </xf>
    <xf numFmtId="0" fontId="5" fillId="0" borderId="5" xfId="0" applyFont="1" applyFill="1" applyBorder="1" applyAlignment="1">
      <alignment horizontal="justify" wrapText="1"/>
    </xf>
    <xf numFmtId="43" fontId="4" fillId="0" borderId="5" xfId="1" applyFont="1" applyBorder="1" applyAlignment="1">
      <alignment horizontal="center"/>
    </xf>
    <xf numFmtId="0" fontId="1" fillId="0" borderId="0" xfId="0" applyFont="1" applyBorder="1" applyAlignment="1">
      <alignment horizontal="center"/>
    </xf>
    <xf numFmtId="1" fontId="1" fillId="0" borderId="0" xfId="1" applyNumberFormat="1" applyFont="1" applyBorder="1" applyAlignment="1">
      <alignment horizontal="center"/>
    </xf>
    <xf numFmtId="1" fontId="1" fillId="0" borderId="10" xfId="1" applyNumberFormat="1" applyFont="1" applyBorder="1" applyAlignment="1">
      <alignment horizontal="center"/>
    </xf>
    <xf numFmtId="43" fontId="1" fillId="0" borderId="10" xfId="1" applyFont="1" applyBorder="1"/>
    <xf numFmtId="43" fontId="4" fillId="0" borderId="10" xfId="1" applyFont="1" applyBorder="1"/>
    <xf numFmtId="43" fontId="4" fillId="0" borderId="0" xfId="1" applyFont="1" applyBorder="1"/>
    <xf numFmtId="0" fontId="3" fillId="0" borderId="5" xfId="75" applyFont="1" applyFill="1" applyBorder="1" applyAlignment="1">
      <alignment horizontal="left" vertical="top" wrapText="1"/>
    </xf>
    <xf numFmtId="0" fontId="4" fillId="0" borderId="5" xfId="0" applyFont="1" applyFill="1" applyBorder="1" applyAlignment="1">
      <alignment horizontal="left" wrapText="1"/>
    </xf>
    <xf numFmtId="43" fontId="4" fillId="0" borderId="5" xfId="1" applyFont="1" applyFill="1" applyBorder="1"/>
    <xf numFmtId="0" fontId="1" fillId="0" borderId="5" xfId="0" applyFont="1" applyFill="1" applyBorder="1" applyAlignment="1">
      <alignment horizontal="left" wrapText="1"/>
    </xf>
    <xf numFmtId="182" fontId="4" fillId="0" borderId="5" xfId="0" applyNumberFormat="1" applyFont="1" applyFill="1" applyBorder="1" applyAlignment="1">
      <alignment horizontal="left" wrapText="1"/>
    </xf>
    <xf numFmtId="0" fontId="1" fillId="0" borderId="5" xfId="75" applyFont="1" applyFill="1" applyBorder="1" applyAlignment="1">
      <alignment horizontal="left" vertical="top" wrapText="1"/>
    </xf>
    <xf numFmtId="43" fontId="1" fillId="0" borderId="5" xfId="50" applyFont="1" applyFill="1" applyBorder="1"/>
    <xf numFmtId="0" fontId="3" fillId="0" borderId="5" xfId="0" applyFont="1" applyFill="1" applyBorder="1" applyAlignment="1">
      <alignment horizontal="justify" vertical="top" wrapText="1"/>
    </xf>
    <xf numFmtId="0" fontId="4" fillId="0" borderId="5" xfId="0" applyFont="1" applyFill="1" applyBorder="1"/>
    <xf numFmtId="177" fontId="4" fillId="3" borderId="5" xfId="1" applyNumberFormat="1" applyFont="1" applyFill="1" applyBorder="1" applyAlignment="1">
      <alignment horizontal="right"/>
    </xf>
    <xf numFmtId="0" fontId="4" fillId="0" borderId="5" xfId="0" applyFont="1" applyFill="1" applyBorder="1" applyAlignment="1">
      <alignment horizontal="center"/>
    </xf>
    <xf numFmtId="177" fontId="1" fillId="0" borderId="10" xfId="1" applyNumberFormat="1" applyFont="1" applyBorder="1"/>
    <xf numFmtId="0" fontId="1" fillId="0" borderId="5" xfId="0" applyFont="1" applyFill="1" applyBorder="1"/>
    <xf numFmtId="177" fontId="1" fillId="0" borderId="5" xfId="1" applyNumberFormat="1" applyFont="1" applyFill="1" applyBorder="1" applyAlignment="1">
      <alignment horizontal="right"/>
    </xf>
    <xf numFmtId="0" fontId="1" fillId="0" borderId="5" xfId="0" applyFont="1" applyFill="1" applyBorder="1" applyAlignment="1">
      <alignment horizontal="center"/>
    </xf>
    <xf numFmtId="0" fontId="1" fillId="0" borderId="4" xfId="0" applyFont="1" applyFill="1" applyBorder="1"/>
    <xf numFmtId="43" fontId="4" fillId="0" borderId="5" xfId="1" applyFont="1" applyFill="1" applyBorder="1" applyAlignment="1"/>
    <xf numFmtId="43" fontId="4" fillId="3" borderId="5" xfId="1" applyFont="1" applyFill="1" applyBorder="1" applyAlignment="1"/>
    <xf numFmtId="177" fontId="1" fillId="0" borderId="0" xfId="1" applyNumberFormat="1" applyFont="1" applyBorder="1"/>
    <xf numFmtId="0" fontId="5" fillId="0" borderId="4" xfId="0" applyFont="1" applyFill="1" applyBorder="1" applyAlignment="1">
      <alignment horizontal="center" vertical="center"/>
    </xf>
    <xf numFmtId="0" fontId="6" fillId="0" borderId="5" xfId="0" applyFont="1" applyFill="1" applyBorder="1" applyAlignment="1">
      <alignment wrapText="1"/>
    </xf>
    <xf numFmtId="0" fontId="4" fillId="0" borderId="4" xfId="0" applyFont="1" applyFill="1" applyBorder="1" applyAlignment="1">
      <alignment horizontal="center" vertical="center"/>
    </xf>
    <xf numFmtId="0" fontId="4" fillId="0" borderId="5" xfId="0" applyFont="1" applyFill="1" applyBorder="1" applyAlignment="1">
      <alignment horizontal="left" vertical="center" wrapText="1"/>
    </xf>
    <xf numFmtId="43" fontId="4" fillId="3" borderId="5" xfId="1" applyFont="1" applyFill="1" applyBorder="1"/>
    <xf numFmtId="0" fontId="1" fillId="0" borderId="5" xfId="0" applyFont="1" applyFill="1" applyBorder="1" applyAlignment="1">
      <alignment horizontal="left" vertical="center" wrapText="1"/>
    </xf>
    <xf numFmtId="0" fontId="6" fillId="0" borderId="5" xfId="0" applyFont="1" applyFill="1" applyBorder="1"/>
    <xf numFmtId="0" fontId="4" fillId="0" borderId="5" xfId="75"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0" xfId="0" applyFont="1" applyBorder="1"/>
    <xf numFmtId="43" fontId="2" fillId="0" borderId="5" xfId="1" applyFont="1" applyBorder="1"/>
    <xf numFmtId="43" fontId="2" fillId="0" borderId="5" xfId="1" applyFont="1" applyBorder="1" applyAlignment="1">
      <alignment horizontal="center"/>
    </xf>
    <xf numFmtId="0" fontId="4" fillId="0" borderId="5" xfId="0" applyNumberFormat="1" applyFont="1" applyFill="1" applyBorder="1" applyAlignment="1">
      <alignment vertical="top" wrapText="1"/>
    </xf>
    <xf numFmtId="0" fontId="1" fillId="0" borderId="4" xfId="0" applyFont="1" applyFill="1" applyBorder="1" applyAlignment="1">
      <alignment horizontal="center" vertical="top"/>
    </xf>
    <xf numFmtId="0" fontId="4" fillId="0" borderId="5" xfId="0" applyFont="1" applyFill="1" applyBorder="1" applyAlignment="1">
      <alignment wrapText="1"/>
    </xf>
    <xf numFmtId="0" fontId="1" fillId="0" borderId="5" xfId="0" applyFont="1" applyFill="1" applyBorder="1" applyAlignment="1">
      <alignment wrapText="1"/>
    </xf>
    <xf numFmtId="0" fontId="4" fillId="0" borderId="5" xfId="0" applyFont="1" applyBorder="1" applyAlignment="1">
      <alignment horizontal="left" vertical="center" wrapText="1"/>
    </xf>
    <xf numFmtId="0" fontId="7" fillId="0" borderId="5" xfId="0" applyFont="1" applyBorder="1" applyAlignment="1">
      <alignment horizontal="left" vertical="center" wrapText="1"/>
    </xf>
    <xf numFmtId="0" fontId="1" fillId="0" borderId="5" xfId="0" applyNumberFormat="1" applyFont="1" applyFill="1" applyBorder="1" applyAlignment="1">
      <alignment vertical="top" wrapText="1"/>
    </xf>
    <xf numFmtId="0" fontId="4" fillId="0" borderId="5" xfId="0" applyFont="1" applyFill="1" applyBorder="1" applyAlignment="1">
      <alignment horizontal="justify" vertical="top"/>
    </xf>
    <xf numFmtId="43" fontId="4" fillId="0" borderId="5" xfId="1" applyNumberFormat="1" applyFont="1" applyBorder="1" applyAlignment="1">
      <alignment horizontal="center"/>
    </xf>
    <xf numFmtId="0" fontId="4" fillId="0" borderId="5" xfId="0" applyFont="1" applyFill="1" applyBorder="1" applyAlignment="1">
      <alignment horizontal="justify" vertical="top" wrapText="1"/>
    </xf>
    <xf numFmtId="0" fontId="7" fillId="0" borderId="5" xfId="0" applyFont="1" applyBorder="1" applyAlignment="1">
      <alignment wrapText="1"/>
    </xf>
    <xf numFmtId="0" fontId="3" fillId="0" borderId="5" xfId="0" applyFont="1" applyFill="1" applyBorder="1" applyAlignment="1">
      <alignment horizontal="left" vertical="top" wrapText="1"/>
    </xf>
    <xf numFmtId="0" fontId="6" fillId="0" borderId="5" xfId="75" applyFont="1" applyFill="1" applyBorder="1" applyAlignment="1">
      <alignment horizontal="left" vertical="top" wrapText="1"/>
    </xf>
    <xf numFmtId="0" fontId="4" fillId="0" borderId="5" xfId="0" applyFont="1" applyBorder="1"/>
    <xf numFmtId="0" fontId="8" fillId="0" borderId="4" xfId="0" applyFont="1" applyBorder="1" applyAlignment="1">
      <alignment horizontal="center"/>
    </xf>
    <xf numFmtId="0" fontId="7" fillId="0" borderId="4" xfId="0" applyFont="1" applyBorder="1" applyAlignment="1">
      <alignment horizontal="center" vertical="top"/>
    </xf>
    <xf numFmtId="43" fontId="4" fillId="3" borderId="5" xfId="1" applyFont="1" applyFill="1" applyBorder="1" applyAlignment="1">
      <alignment horizontal="center"/>
    </xf>
    <xf numFmtId="0" fontId="1" fillId="0" borderId="6" xfId="0" applyFont="1" applyBorder="1"/>
    <xf numFmtId="0" fontId="7" fillId="0" borderId="5" xfId="0" applyFont="1" applyFill="1" applyBorder="1" applyAlignment="1">
      <alignment wrapText="1"/>
    </xf>
    <xf numFmtId="43" fontId="1" fillId="3" borderId="0" xfId="1" applyFont="1" applyFill="1" applyBorder="1"/>
    <xf numFmtId="43" fontId="1" fillId="0" borderId="0" xfId="0" applyNumberFormat="1" applyFont="1" applyBorder="1"/>
    <xf numFmtId="43" fontId="1" fillId="0" borderId="0" xfId="1" applyFont="1" applyFill="1" applyBorder="1"/>
    <xf numFmtId="0" fontId="7" fillId="0" borderId="4" xfId="0" applyFont="1" applyFill="1" applyBorder="1" applyAlignment="1">
      <alignment horizontal="center" vertical="top"/>
    </xf>
    <xf numFmtId="0" fontId="7" fillId="0" borderId="5" xfId="0" applyFont="1" applyFill="1" applyBorder="1" applyAlignment="1">
      <alignment horizontal="left"/>
    </xf>
    <xf numFmtId="43" fontId="1" fillId="0" borderId="7" xfId="1" applyFont="1" applyFill="1" applyBorder="1"/>
    <xf numFmtId="0" fontId="2" fillId="0" borderId="5" xfId="0" applyFont="1" applyFill="1" applyBorder="1" applyAlignment="1">
      <alignment horizontal="left" vertical="top" wrapText="1"/>
    </xf>
    <xf numFmtId="43" fontId="2" fillId="0" borderId="8" xfId="1" applyFont="1" applyFill="1" applyBorder="1"/>
    <xf numFmtId="43" fontId="2" fillId="0" borderId="0" xfId="1" applyFont="1" applyFill="1" applyBorder="1"/>
    <xf numFmtId="0" fontId="6" fillId="0" borderId="5" xfId="0" applyFont="1" applyBorder="1" applyAlignment="1">
      <alignment horizontal="left" wrapText="1"/>
    </xf>
    <xf numFmtId="0" fontId="9" fillId="0" borderId="5" xfId="0" applyFont="1" applyBorder="1" applyAlignment="1">
      <alignment horizontal="left" wrapText="1"/>
    </xf>
    <xf numFmtId="0" fontId="8" fillId="0" borderId="4" xfId="0" applyFont="1" applyBorder="1" applyAlignment="1">
      <alignment horizontal="center" vertical="top"/>
    </xf>
    <xf numFmtId="0" fontId="10" fillId="0" borderId="5" xfId="0" applyFont="1" applyBorder="1" applyAlignment="1">
      <alignment vertical="top" wrapText="1"/>
    </xf>
    <xf numFmtId="0" fontId="4" fillId="0" borderId="5" xfId="0" applyFont="1" applyBorder="1" applyAlignment="1">
      <alignment vertical="top" wrapText="1"/>
    </xf>
    <xf numFmtId="0" fontId="7" fillId="0" borderId="4" xfId="0" applyFont="1" applyBorder="1" applyAlignment="1">
      <alignment horizontal="center"/>
    </xf>
    <xf numFmtId="2" fontId="7" fillId="0" borderId="4" xfId="0" applyNumberFormat="1" applyFont="1" applyBorder="1" applyAlignment="1">
      <alignment horizontal="center" vertical="top"/>
    </xf>
    <xf numFmtId="0" fontId="7" fillId="0" borderId="5" xfId="0" applyFont="1" applyBorder="1"/>
    <xf numFmtId="0" fontId="8" fillId="0" borderId="5" xfId="0" applyFont="1" applyBorder="1" applyAlignment="1">
      <alignment horizontal="left" wrapText="1"/>
    </xf>
    <xf numFmtId="0" fontId="6" fillId="0" borderId="5" xfId="0" applyFont="1" applyBorder="1"/>
    <xf numFmtId="0" fontId="6" fillId="0" borderId="5" xfId="0" applyFont="1" applyBorder="1" applyAlignment="1">
      <alignment horizontal="center"/>
    </xf>
    <xf numFmtId="0" fontId="4" fillId="0" borderId="5" xfId="0" applyFont="1" applyBorder="1" applyAlignment="1">
      <alignment wrapText="1"/>
    </xf>
    <xf numFmtId="0" fontId="4" fillId="0" borderId="5" xfId="0" applyFont="1" applyBorder="1" applyAlignment="1">
      <alignment horizontal="center" wrapText="1"/>
    </xf>
    <xf numFmtId="0" fontId="4" fillId="0" borderId="5" xfId="0" applyFont="1" applyBorder="1" applyAlignment="1">
      <alignment horizontal="center"/>
    </xf>
    <xf numFmtId="0" fontId="4" fillId="0" borderId="5" xfId="0" applyFont="1" applyBorder="1" applyAlignment="1">
      <alignment horizontal="left" vertical="top" wrapText="1"/>
    </xf>
    <xf numFmtId="0" fontId="4" fillId="3" borderId="5" xfId="0" applyFont="1" applyFill="1" applyBorder="1" applyAlignment="1">
      <alignment horizontal="center"/>
    </xf>
    <xf numFmtId="0" fontId="4" fillId="0" borderId="5" xfId="0" applyFont="1" applyBorder="1" applyAlignment="1">
      <alignment horizontal="left" wrapText="1"/>
    </xf>
    <xf numFmtId="0" fontId="4" fillId="3" borderId="5" xfId="0" applyFont="1" applyFill="1" applyBorder="1" applyAlignment="1">
      <alignment horizontal="center" wrapText="1"/>
    </xf>
    <xf numFmtId="0" fontId="1" fillId="0" borderId="4" xfId="0" applyFont="1" applyBorder="1" applyAlignment="1">
      <alignment horizontal="center"/>
    </xf>
    <xf numFmtId="0" fontId="6" fillId="0" borderId="5" xfId="0" applyFont="1" applyBorder="1" applyAlignment="1">
      <alignment horizontal="left" vertical="center" wrapText="1"/>
    </xf>
    <xf numFmtId="0" fontId="6" fillId="0" borderId="5" xfId="0" applyFont="1" applyBorder="1" applyAlignment="1">
      <alignment horizontal="center" vertical="center" wrapText="1"/>
    </xf>
    <xf numFmtId="0" fontId="6" fillId="0" borderId="5" xfId="0" applyFont="1" applyBorder="1" applyAlignment="1">
      <alignment horizontal="center" wrapText="1"/>
    </xf>
    <xf numFmtId="0" fontId="6" fillId="0" borderId="5" xfId="0" applyFont="1" applyFill="1" applyBorder="1" applyAlignment="1">
      <alignment horizontal="center"/>
    </xf>
    <xf numFmtId="0" fontId="4" fillId="0" borderId="5" xfId="0" applyFont="1" applyFill="1" applyBorder="1" applyAlignment="1">
      <alignment horizontal="center" wrapText="1"/>
    </xf>
    <xf numFmtId="0" fontId="3" fillId="0" borderId="5" xfId="0" applyFont="1" applyBorder="1" applyAlignment="1">
      <alignment wrapText="1"/>
    </xf>
    <xf numFmtId="0" fontId="3" fillId="0" borderId="5" xfId="0" applyFont="1" applyBorder="1" applyAlignment="1">
      <alignment horizontal="center" wrapText="1"/>
    </xf>
    <xf numFmtId="0" fontId="11" fillId="0" borderId="5" xfId="0" applyFont="1" applyBorder="1" applyAlignment="1">
      <alignment horizontal="left" wrapText="1"/>
    </xf>
    <xf numFmtId="0" fontId="7" fillId="0" borderId="4" xfId="0" applyFont="1" applyBorder="1" applyAlignment="1">
      <alignment horizontal="center" vertical="top" wrapText="1"/>
    </xf>
    <xf numFmtId="0" fontId="1" fillId="0" borderId="5" xfId="0" applyFont="1" applyBorder="1" applyAlignment="1">
      <alignment vertical="top" wrapText="1"/>
    </xf>
    <xf numFmtId="43" fontId="7" fillId="0" borderId="5" xfId="1" applyFont="1" applyBorder="1" applyAlignment="1">
      <alignment horizontal="center" vertical="center"/>
    </xf>
    <xf numFmtId="0" fontId="7" fillId="0" borderId="5" xfId="0" applyFont="1" applyBorder="1" applyAlignment="1">
      <alignment horizontal="center" vertical="center"/>
    </xf>
    <xf numFmtId="0" fontId="8" fillId="0" borderId="4" xfId="0" applyFont="1" applyBorder="1" applyAlignment="1">
      <alignment horizontal="center" vertical="top" wrapText="1"/>
    </xf>
    <xf numFmtId="0" fontId="3" fillId="0" borderId="5" xfId="0" applyFont="1" applyBorder="1" applyAlignment="1">
      <alignment vertical="top" wrapText="1"/>
    </xf>
    <xf numFmtId="43" fontId="7" fillId="0" borderId="5" xfId="1" applyFont="1" applyBorder="1" applyAlignment="1">
      <alignment horizontal="center"/>
    </xf>
    <xf numFmtId="0" fontId="7" fillId="0" borderId="5" xfId="0" applyFont="1" applyBorder="1" applyAlignment="1">
      <alignment horizontal="center"/>
    </xf>
    <xf numFmtId="43" fontId="1" fillId="0" borderId="5" xfId="1" applyFont="1" applyBorder="1" applyAlignment="1"/>
    <xf numFmtId="0" fontId="11" fillId="0" borderId="4" xfId="0" applyFont="1" applyBorder="1" applyAlignment="1">
      <alignment horizontal="center" vertical="top" wrapText="1"/>
    </xf>
    <xf numFmtId="0" fontId="1" fillId="0" borderId="5" xfId="0" applyFont="1" applyBorder="1" applyAlignment="1">
      <alignment wrapText="1"/>
    </xf>
    <xf numFmtId="43" fontId="7" fillId="3" borderId="5" xfId="1" applyFont="1" applyFill="1" applyBorder="1" applyAlignment="1">
      <alignment horizontal="center"/>
    </xf>
    <xf numFmtId="43" fontId="1" fillId="0" borderId="6" xfId="1" applyFont="1" applyBorder="1" applyAlignment="1"/>
    <xf numFmtId="43" fontId="1" fillId="0" borderId="0" xfId="1" applyFont="1" applyBorder="1" applyAlignment="1"/>
    <xf numFmtId="0" fontId="7" fillId="0" borderId="4" xfId="0" applyFont="1" applyFill="1" applyBorder="1" applyAlignment="1">
      <alignment horizontal="center" vertical="top" wrapText="1"/>
    </xf>
    <xf numFmtId="0" fontId="1" fillId="0" borderId="5" xfId="0" applyFont="1" applyBorder="1" applyAlignment="1"/>
    <xf numFmtId="0" fontId="7" fillId="0" borderId="4" xfId="0" applyFont="1" applyBorder="1" applyAlignment="1">
      <alignment horizontal="center" vertical="center" wrapText="1"/>
    </xf>
    <xf numFmtId="0" fontId="1" fillId="0" borderId="5" xfId="0" applyFont="1" applyBorder="1" applyAlignment="1">
      <alignment vertical="center" wrapText="1"/>
    </xf>
    <xf numFmtId="0" fontId="1" fillId="0" borderId="5" xfId="0" applyFont="1" applyFill="1" applyBorder="1" applyAlignment="1">
      <alignment vertical="top" wrapText="1"/>
    </xf>
    <xf numFmtId="0" fontId="7" fillId="0" borderId="5" xfId="0" applyFont="1" applyFill="1" applyBorder="1" applyAlignment="1">
      <alignment horizontal="center"/>
    </xf>
    <xf numFmtId="43" fontId="7" fillId="0" borderId="5" xfId="1" applyFont="1" applyFill="1" applyBorder="1" applyAlignment="1">
      <alignment horizontal="center"/>
    </xf>
    <xf numFmtId="43" fontId="1" fillId="0" borderId="7" xfId="1" applyFont="1" applyBorder="1" applyAlignment="1"/>
    <xf numFmtId="43" fontId="2" fillId="0" borderId="8" xfId="1" applyFont="1" applyBorder="1" applyAlignment="1"/>
    <xf numFmtId="43" fontId="2" fillId="0" borderId="0" xfId="1" applyFont="1" applyBorder="1" applyAlignment="1"/>
    <xf numFmtId="43" fontId="1" fillId="0" borderId="9" xfId="1" applyFont="1" applyBorder="1" applyAlignment="1"/>
    <xf numFmtId="43" fontId="1" fillId="0" borderId="11" xfId="1" applyFont="1" applyBorder="1" applyAlignment="1"/>
    <xf numFmtId="0" fontId="8" fillId="0" borderId="4" xfId="0" applyFont="1" applyFill="1" applyBorder="1" applyAlignment="1">
      <alignment horizontal="center" vertical="top"/>
    </xf>
    <xf numFmtId="0" fontId="6" fillId="0" borderId="5" xfId="0" applyFont="1" applyFill="1" applyBorder="1" applyAlignment="1">
      <alignment horizontal="left"/>
    </xf>
    <xf numFmtId="43" fontId="4" fillId="0" borderId="5" xfId="1" applyFont="1" applyBorder="1" applyAlignment="1"/>
    <xf numFmtId="0" fontId="4" fillId="0" borderId="5" xfId="0" applyNumberFormat="1" applyFont="1" applyFill="1" applyBorder="1" applyAlignment="1">
      <alignment horizontal="left" wrapText="1"/>
    </xf>
    <xf numFmtId="0" fontId="11" fillId="0" borderId="5" xfId="0" applyFont="1" applyFill="1" applyBorder="1" applyAlignment="1">
      <alignment horizontal="left"/>
    </xf>
    <xf numFmtId="0" fontId="8" fillId="0" borderId="5" xfId="0" applyFont="1" applyFill="1" applyBorder="1" applyAlignment="1">
      <alignment horizontal="left"/>
    </xf>
    <xf numFmtId="0" fontId="5" fillId="0" borderId="5" xfId="0" applyFont="1" applyBorder="1"/>
    <xf numFmtId="0" fontId="1" fillId="0" borderId="12" xfId="0" applyFont="1" applyBorder="1"/>
    <xf numFmtId="0" fontId="1" fillId="0" borderId="13" xfId="0" applyFont="1" applyBorder="1"/>
    <xf numFmtId="43" fontId="1" fillId="0" borderId="13" xfId="1" applyFont="1" applyBorder="1" applyAlignment="1"/>
    <xf numFmtId="43" fontId="1" fillId="0" borderId="13" xfId="1" applyFont="1" applyBorder="1" applyAlignment="1">
      <alignment horizontal="center"/>
    </xf>
    <xf numFmtId="43" fontId="1" fillId="0" borderId="14" xfId="1" applyFont="1" applyBorder="1" applyAlignment="1"/>
    <xf numFmtId="0" fontId="12" fillId="0" borderId="0" xfId="68" applyFont="1" applyFill="1"/>
    <xf numFmtId="0" fontId="12" fillId="0" borderId="0" xfId="68" applyFont="1" applyFill="1" applyAlignment="1">
      <alignment vertical="top"/>
    </xf>
    <xf numFmtId="0" fontId="12" fillId="0" borderId="0" xfId="68" applyFont="1" applyFill="1" applyAlignment="1">
      <alignment vertical="center"/>
    </xf>
    <xf numFmtId="0" fontId="12" fillId="0" borderId="0" xfId="68" applyFont="1" applyAlignment="1">
      <alignment vertical="top"/>
    </xf>
    <xf numFmtId="0" fontId="12" fillId="0" borderId="0" xfId="68" applyFont="1"/>
    <xf numFmtId="183" fontId="12" fillId="0" borderId="0" xfId="57" applyNumberFormat="1" applyFont="1" applyAlignment="1">
      <alignment horizontal="center"/>
    </xf>
    <xf numFmtId="0" fontId="12" fillId="0" borderId="0" xfId="68" applyFont="1" applyAlignment="1"/>
    <xf numFmtId="43" fontId="12" fillId="0" borderId="0" xfId="1" applyFont="1"/>
    <xf numFmtId="0" fontId="12" fillId="4" borderId="15" xfId="68" applyFont="1" applyFill="1" applyBorder="1"/>
    <xf numFmtId="0" fontId="12" fillId="4" borderId="16" xfId="68" applyFont="1" applyFill="1" applyBorder="1" applyAlignment="1">
      <alignment wrapText="1"/>
    </xf>
    <xf numFmtId="0" fontId="12" fillId="4" borderId="16" xfId="68" applyFont="1" applyFill="1" applyBorder="1"/>
    <xf numFmtId="43" fontId="12" fillId="4" borderId="16" xfId="1" applyFont="1" applyFill="1" applyBorder="1"/>
    <xf numFmtId="43" fontId="13" fillId="4" borderId="17" xfId="1" applyFont="1" applyFill="1" applyBorder="1"/>
    <xf numFmtId="0" fontId="14" fillId="4" borderId="18" xfId="68" applyFont="1" applyFill="1" applyBorder="1" applyAlignment="1">
      <alignment horizontal="left" vertical="top"/>
    </xf>
    <xf numFmtId="0" fontId="12" fillId="4" borderId="0" xfId="68" applyFont="1" applyFill="1" applyBorder="1" applyAlignment="1">
      <alignment wrapText="1"/>
    </xf>
    <xf numFmtId="0" fontId="14" fillId="4" borderId="0" xfId="68" applyFont="1" applyFill="1" applyBorder="1" applyAlignment="1"/>
    <xf numFmtId="0" fontId="14" fillId="4" borderId="0" xfId="68" applyFont="1" applyFill="1" applyBorder="1"/>
    <xf numFmtId="0" fontId="14" fillId="4" borderId="0" xfId="68" applyFont="1" applyFill="1" applyBorder="1" applyAlignment="1">
      <alignment horizontal="center"/>
    </xf>
    <xf numFmtId="0" fontId="14" fillId="4" borderId="19" xfId="68" applyFont="1" applyFill="1" applyBorder="1" applyAlignment="1">
      <alignment horizontal="center"/>
    </xf>
    <xf numFmtId="0" fontId="14" fillId="4" borderId="0" xfId="68" applyFont="1" applyFill="1" applyBorder="1" applyAlignment="1">
      <alignment wrapText="1"/>
    </xf>
    <xf numFmtId="0" fontId="14" fillId="4" borderId="0" xfId="68" applyFont="1" applyFill="1" applyBorder="1" applyAlignment="1">
      <alignment horizontal="left" indent="4"/>
    </xf>
    <xf numFmtId="43" fontId="14" fillId="4" borderId="0" xfId="1" applyFont="1" applyFill="1" applyBorder="1" applyAlignment="1"/>
    <xf numFmtId="43" fontId="13" fillId="4" borderId="19" xfId="1" applyFont="1" applyFill="1" applyBorder="1" applyAlignment="1">
      <alignment horizontal="center"/>
    </xf>
    <xf numFmtId="0" fontId="14" fillId="4" borderId="18" xfId="68" applyFont="1" applyFill="1" applyBorder="1"/>
    <xf numFmtId="43" fontId="14" fillId="4" borderId="0" xfId="1" applyFont="1" applyFill="1" applyBorder="1" applyAlignment="1">
      <alignment wrapText="1"/>
    </xf>
    <xf numFmtId="0" fontId="12" fillId="4" borderId="0" xfId="68" applyFont="1" applyFill="1" applyBorder="1"/>
    <xf numFmtId="43" fontId="14" fillId="4" borderId="0" xfId="1" applyFont="1" applyFill="1" applyBorder="1"/>
    <xf numFmtId="43" fontId="13" fillId="4" borderId="20" xfId="1" applyFont="1" applyFill="1" applyBorder="1" applyAlignment="1">
      <alignment horizontal="center"/>
    </xf>
    <xf numFmtId="0" fontId="12" fillId="0" borderId="21" xfId="68" applyFont="1" applyFill="1" applyBorder="1" applyAlignment="1">
      <alignment horizontal="center" vertical="top"/>
    </xf>
    <xf numFmtId="0" fontId="12" fillId="0" borderId="22" xfId="68" applyFont="1" applyFill="1" applyBorder="1" applyAlignment="1">
      <alignment horizontal="center"/>
    </xf>
    <xf numFmtId="183" fontId="12" fillId="0" borderId="23" xfId="57" applyNumberFormat="1" applyFont="1" applyFill="1" applyBorder="1" applyAlignment="1">
      <alignment horizontal="center"/>
    </xf>
    <xf numFmtId="0" fontId="12" fillId="0" borderId="23" xfId="68" applyFont="1" applyFill="1" applyBorder="1" applyAlignment="1">
      <alignment horizontal="center"/>
    </xf>
    <xf numFmtId="43" fontId="12" fillId="0" borderId="23" xfId="1" applyFont="1" applyFill="1" applyBorder="1" applyAlignment="1">
      <alignment horizontal="center"/>
    </xf>
    <xf numFmtId="43" fontId="12" fillId="0" borderId="24" xfId="1" applyFont="1" applyFill="1" applyBorder="1" applyAlignment="1">
      <alignment horizontal="center"/>
    </xf>
    <xf numFmtId="0" fontId="12" fillId="0" borderId="25" xfId="68" applyFont="1" applyFill="1" applyBorder="1" applyAlignment="1">
      <alignment horizontal="center" vertical="top"/>
    </xf>
    <xf numFmtId="0" fontId="12" fillId="0" borderId="26" xfId="68" applyFont="1" applyFill="1" applyBorder="1" applyAlignment="1">
      <alignment horizontal="center"/>
    </xf>
    <xf numFmtId="183" fontId="12" fillId="0" borderId="27" xfId="57" applyNumberFormat="1" applyFont="1" applyFill="1" applyBorder="1" applyAlignment="1">
      <alignment horizontal="center"/>
    </xf>
    <xf numFmtId="0" fontId="12" fillId="0" borderId="27" xfId="68" applyFont="1" applyFill="1" applyBorder="1" applyAlignment="1">
      <alignment horizontal="center"/>
    </xf>
    <xf numFmtId="43" fontId="12" fillId="0" borderId="27" xfId="1" applyFont="1" applyFill="1" applyBorder="1" applyAlignment="1">
      <alignment horizontal="center"/>
    </xf>
    <xf numFmtId="43" fontId="12" fillId="0" borderId="20" xfId="1" applyFont="1" applyFill="1" applyBorder="1" applyAlignment="1">
      <alignment horizontal="center"/>
    </xf>
    <xf numFmtId="0" fontId="12" fillId="0" borderId="28" xfId="68" applyFont="1" applyFill="1" applyBorder="1" applyAlignment="1">
      <alignment horizontal="center" vertical="top"/>
    </xf>
    <xf numFmtId="0" fontId="15" fillId="0" borderId="29" xfId="68" applyFont="1" applyBorder="1" applyAlignment="1">
      <alignment vertical="center"/>
    </xf>
    <xf numFmtId="0" fontId="12" fillId="0" borderId="30" xfId="68" applyFont="1" applyFill="1" applyBorder="1" applyAlignment="1">
      <alignment horizontal="center"/>
    </xf>
    <xf numFmtId="43" fontId="12" fillId="0" borderId="30" xfId="1" applyFont="1" applyFill="1" applyBorder="1" applyAlignment="1">
      <alignment horizontal="center"/>
    </xf>
    <xf numFmtId="43" fontId="12" fillId="0" borderId="19" xfId="1" applyFont="1" applyFill="1" applyBorder="1" applyAlignment="1">
      <alignment horizontal="center"/>
    </xf>
    <xf numFmtId="49" fontId="16" fillId="0" borderId="29" xfId="68" applyNumberFormat="1" applyFont="1" applyBorder="1" applyAlignment="1">
      <alignment vertical="center"/>
    </xf>
    <xf numFmtId="49" fontId="17" fillId="0" borderId="0" xfId="68" applyNumberFormat="1" applyFont="1" applyBorder="1" applyAlignment="1">
      <alignment vertical="center"/>
    </xf>
    <xf numFmtId="0" fontId="12" fillId="0" borderId="28" xfId="68" applyFont="1" applyFill="1" applyBorder="1" applyAlignment="1" applyProtection="1">
      <alignment horizontal="center" vertical="top"/>
    </xf>
    <xf numFmtId="0" fontId="18" fillId="0" borderId="0" xfId="68" applyFont="1" applyFill="1" applyBorder="1" applyAlignment="1" applyProtection="1">
      <alignment horizontal="left" vertical="center"/>
    </xf>
    <xf numFmtId="0" fontId="12" fillId="0" borderId="30" xfId="68" applyFont="1" applyFill="1" applyBorder="1" applyAlignment="1" applyProtection="1">
      <alignment horizontal="center"/>
    </xf>
    <xf numFmtId="0" fontId="12" fillId="0" borderId="0" xfId="68" applyFont="1" applyFill="1" applyBorder="1" applyAlignment="1" applyProtection="1">
      <alignment horizontal="center" vertical="center"/>
    </xf>
    <xf numFmtId="0" fontId="12" fillId="0" borderId="0" xfId="68" applyFont="1" applyFill="1" applyBorder="1" applyAlignment="1" applyProtection="1">
      <alignment horizontal="left" vertical="center" wrapText="1"/>
    </xf>
    <xf numFmtId="43" fontId="13" fillId="0" borderId="30" xfId="1" applyFont="1" applyFill="1" applyBorder="1" applyAlignment="1">
      <alignment horizontal="center"/>
    </xf>
    <xf numFmtId="0" fontId="19" fillId="0" borderId="0" xfId="68" applyFont="1" applyFill="1" applyBorder="1" applyAlignment="1" applyProtection="1">
      <alignment horizontal="left" vertical="center"/>
    </xf>
    <xf numFmtId="0" fontId="14" fillId="0" borderId="0" xfId="68" applyFont="1" applyFill="1" applyBorder="1" applyAlignment="1">
      <alignment vertical="justify" wrapText="1"/>
    </xf>
    <xf numFmtId="43" fontId="14" fillId="0" borderId="31" xfId="1" applyFont="1" applyFill="1" applyBorder="1" applyAlignment="1">
      <alignment horizontal="center"/>
    </xf>
    <xf numFmtId="0" fontId="12" fillId="0" borderId="0" xfId="68" applyFont="1" applyFill="1" applyBorder="1" applyAlignment="1" applyProtection="1">
      <alignment horizontal="left" vertical="center"/>
    </xf>
    <xf numFmtId="0" fontId="12" fillId="0" borderId="0" xfId="68" applyFont="1" applyFill="1" applyBorder="1" applyAlignment="1" applyProtection="1">
      <alignment vertical="center"/>
    </xf>
    <xf numFmtId="0" fontId="12" fillId="0" borderId="0" xfId="68" applyFont="1" applyFill="1" applyBorder="1" applyAlignment="1">
      <alignment vertical="justify" wrapText="1"/>
    </xf>
    <xf numFmtId="0" fontId="12" fillId="0" borderId="25" xfId="68" applyFont="1" applyFill="1" applyBorder="1" applyAlignment="1" applyProtection="1">
      <alignment horizontal="center" vertical="top"/>
    </xf>
    <xf numFmtId="0" fontId="12" fillId="0" borderId="26" xfId="68" applyFont="1" applyFill="1" applyBorder="1" applyAlignment="1">
      <alignment vertical="justify" wrapText="1"/>
    </xf>
    <xf numFmtId="0" fontId="14" fillId="0" borderId="0" xfId="68" applyFont="1" applyFill="1" applyBorder="1" applyAlignment="1">
      <alignment horizontal="center" vertical="justify" wrapText="1"/>
    </xf>
    <xf numFmtId="0" fontId="19" fillId="0" borderId="26" xfId="68" applyFont="1" applyFill="1" applyBorder="1" applyAlignment="1">
      <alignment horizontal="left" vertical="justify" wrapText="1" indent="2"/>
    </xf>
    <xf numFmtId="0" fontId="19" fillId="0" borderId="0" xfId="68" applyFont="1" applyFill="1" applyBorder="1" applyAlignment="1">
      <alignment horizontal="left" vertical="justify" wrapText="1" indent="2"/>
    </xf>
    <xf numFmtId="0" fontId="19" fillId="0" borderId="0" xfId="68" applyFont="1" applyFill="1" applyBorder="1" applyAlignment="1">
      <alignment vertical="justify" wrapText="1"/>
    </xf>
    <xf numFmtId="0" fontId="18" fillId="0" borderId="0" xfId="68" applyFont="1" applyFill="1" applyBorder="1" applyAlignment="1">
      <alignment vertical="justify" wrapText="1"/>
    </xf>
    <xf numFmtId="0" fontId="12" fillId="0" borderId="0" xfId="68" applyFont="1" applyFill="1" applyBorder="1" applyAlignment="1">
      <alignment horizontal="left" vertical="justify" wrapText="1"/>
    </xf>
    <xf numFmtId="43" fontId="12" fillId="0" borderId="32" xfId="1" applyFont="1" applyFill="1" applyBorder="1" applyAlignment="1">
      <alignment horizontal="center"/>
    </xf>
    <xf numFmtId="0" fontId="12" fillId="0" borderId="26" xfId="68" applyFont="1" applyFill="1" applyBorder="1" applyAlignment="1">
      <alignment horizontal="left" vertical="justify" wrapText="1"/>
    </xf>
    <xf numFmtId="0" fontId="12" fillId="0" borderId="23" xfId="68" applyFont="1" applyFill="1" applyBorder="1" applyAlignment="1">
      <alignment horizontal="left" vertical="justify" wrapText="1"/>
    </xf>
    <xf numFmtId="2" fontId="12" fillId="0" borderId="30" xfId="68" applyNumberFormat="1" applyFont="1" applyFill="1" applyBorder="1" applyAlignment="1">
      <alignment horizontal="center"/>
    </xf>
    <xf numFmtId="0" fontId="12" fillId="0" borderId="0" xfId="68" applyFont="1" applyFill="1" applyBorder="1" applyAlignment="1">
      <alignment vertical="top" wrapText="1"/>
    </xf>
    <xf numFmtId="0" fontId="12" fillId="0" borderId="30" xfId="68" applyFont="1" applyFill="1" applyBorder="1" applyAlignment="1">
      <alignment horizontal="center" vertical="top"/>
    </xf>
    <xf numFmtId="43" fontId="12" fillId="0" borderId="30" xfId="1" applyFont="1" applyFill="1" applyBorder="1" applyAlignment="1">
      <alignment horizontal="center" vertical="top"/>
    </xf>
    <xf numFmtId="43" fontId="12" fillId="0" borderId="19" xfId="1" applyFont="1" applyFill="1" applyBorder="1" applyAlignment="1">
      <alignment horizontal="center" vertical="top"/>
    </xf>
    <xf numFmtId="0" fontId="12" fillId="0" borderId="0" xfId="68" applyFont="1" applyFill="1" applyBorder="1" applyAlignment="1">
      <alignment horizontal="left" vertical="justify" wrapText="1" indent="2"/>
    </xf>
    <xf numFmtId="0" fontId="12" fillId="0" borderId="30" xfId="68" applyFont="1" applyFill="1" applyBorder="1" applyAlignment="1"/>
    <xf numFmtId="43" fontId="12" fillId="0" borderId="30" xfId="1" applyFont="1" applyFill="1" applyBorder="1" applyAlignment="1"/>
    <xf numFmtId="0" fontId="12" fillId="0" borderId="28" xfId="68" applyFont="1" applyFill="1" applyBorder="1" applyAlignment="1" applyProtection="1">
      <alignment horizontal="center" vertical="center"/>
    </xf>
    <xf numFmtId="0" fontId="12" fillId="0" borderId="0" xfId="68" applyFont="1" applyFill="1" applyBorder="1" applyAlignment="1">
      <alignment vertical="center" wrapText="1"/>
    </xf>
    <xf numFmtId="0" fontId="12" fillId="0" borderId="30" xfId="68" applyFont="1" applyFill="1" applyBorder="1" applyAlignment="1">
      <alignment horizontal="center" vertical="center"/>
    </xf>
    <xf numFmtId="0" fontId="12" fillId="0" borderId="30" xfId="68" applyFont="1" applyFill="1" applyBorder="1" applyAlignment="1">
      <alignment vertical="center"/>
    </xf>
    <xf numFmtId="43" fontId="12" fillId="0" borderId="30" xfId="1" applyFont="1" applyFill="1" applyBorder="1" applyAlignment="1">
      <alignment vertical="center"/>
    </xf>
    <xf numFmtId="0" fontId="12" fillId="0" borderId="30" xfId="68" applyFont="1" applyFill="1" applyBorder="1" applyAlignment="1">
      <alignment horizontal="left" vertical="justify" wrapText="1"/>
    </xf>
    <xf numFmtId="0" fontId="12" fillId="0" borderId="30" xfId="68" applyFont="1" applyFill="1" applyBorder="1" applyAlignment="1">
      <alignment horizontal="left"/>
    </xf>
    <xf numFmtId="0" fontId="14" fillId="0" borderId="0" xfId="68" applyFont="1" applyFill="1" applyBorder="1" applyAlignment="1" applyProtection="1">
      <alignment horizontal="left" vertical="center"/>
    </xf>
    <xf numFmtId="43" fontId="12" fillId="0" borderId="19" xfId="1" applyFont="1" applyFill="1" applyBorder="1" applyAlignment="1">
      <alignment horizontal="center" vertical="center"/>
    </xf>
    <xf numFmtId="0" fontId="12" fillId="0" borderId="30" xfId="68" applyFont="1" applyFill="1" applyBorder="1" applyAlignment="1">
      <alignment vertical="top"/>
    </xf>
    <xf numFmtId="43" fontId="12" fillId="0" borderId="30" xfId="1" applyFont="1" applyFill="1" applyBorder="1" applyAlignment="1">
      <alignment vertical="top"/>
    </xf>
    <xf numFmtId="43" fontId="12" fillId="0" borderId="32" xfId="1" applyFont="1" applyFill="1" applyBorder="1" applyAlignment="1">
      <alignment horizontal="center" vertical="top"/>
    </xf>
    <xf numFmtId="0" fontId="19" fillId="0" borderId="25" xfId="68" applyFont="1" applyFill="1" applyBorder="1" applyAlignment="1" applyProtection="1">
      <alignment horizontal="center" vertical="top"/>
    </xf>
    <xf numFmtId="0" fontId="19" fillId="0" borderId="27" xfId="68" applyFont="1" applyFill="1" applyBorder="1" applyAlignment="1">
      <alignment horizontal="center"/>
    </xf>
    <xf numFmtId="43" fontId="19" fillId="0" borderId="27" xfId="1" applyFont="1" applyFill="1" applyBorder="1" applyAlignment="1">
      <alignment horizontal="center"/>
    </xf>
    <xf numFmtId="43" fontId="19" fillId="0" borderId="20" xfId="1" applyFont="1" applyFill="1" applyBorder="1" applyAlignment="1">
      <alignment horizontal="center"/>
    </xf>
    <xf numFmtId="0" fontId="12" fillId="0" borderId="27" xfId="68" applyFont="1" applyFill="1" applyBorder="1" applyAlignment="1">
      <alignment horizontal="center" vertical="top"/>
    </xf>
    <xf numFmtId="43" fontId="12" fillId="0" borderId="27" xfId="1" applyFont="1" applyFill="1" applyBorder="1" applyAlignment="1">
      <alignment horizontal="center" vertical="top"/>
    </xf>
    <xf numFmtId="43" fontId="12" fillId="0" borderId="20" xfId="1" applyFont="1" applyFill="1" applyBorder="1" applyAlignment="1">
      <alignment horizontal="center" vertical="top"/>
    </xf>
    <xf numFmtId="43" fontId="14" fillId="0" borderId="33" xfId="1" applyFont="1" applyFill="1" applyBorder="1" applyAlignment="1">
      <alignment horizontal="center"/>
    </xf>
    <xf numFmtId="0" fontId="20" fillId="0" borderId="29" xfId="68" applyFont="1" applyFill="1" applyBorder="1" applyAlignment="1">
      <alignment horizontal="center" vertical="center" wrapText="1"/>
    </xf>
    <xf numFmtId="0" fontId="20" fillId="0" borderId="0" xfId="68" applyFont="1" applyFill="1" applyBorder="1" applyAlignment="1">
      <alignment horizontal="center" vertical="center" wrapText="1"/>
    </xf>
    <xf numFmtId="0" fontId="20" fillId="0" borderId="34" xfId="68" applyFont="1" applyFill="1" applyBorder="1" applyAlignment="1">
      <alignment horizontal="center" vertical="center" wrapText="1"/>
    </xf>
    <xf numFmtId="0" fontId="20" fillId="0" borderId="19" xfId="68" applyFont="1" applyFill="1" applyBorder="1" applyAlignment="1">
      <alignment vertical="center" wrapText="1"/>
    </xf>
    <xf numFmtId="0" fontId="12" fillId="0" borderId="0" xfId="68" applyFont="1" applyFill="1" applyBorder="1" applyAlignment="1">
      <alignment horizontal="center"/>
    </xf>
    <xf numFmtId="43" fontId="12" fillId="0" borderId="34" xfId="1" applyFont="1" applyFill="1" applyBorder="1" applyAlignment="1">
      <alignment horizontal="center"/>
    </xf>
    <xf numFmtId="43" fontId="12" fillId="0" borderId="0" xfId="68" applyNumberFormat="1" applyFont="1" applyFill="1" applyBorder="1" applyAlignment="1">
      <alignment horizontal="center"/>
    </xf>
    <xf numFmtId="0" fontId="12" fillId="0" borderId="34" xfId="68" applyFont="1" applyFill="1" applyBorder="1" applyAlignment="1">
      <alignment horizontal="center"/>
    </xf>
    <xf numFmtId="43" fontId="12" fillId="0" borderId="35" xfId="1" applyFont="1" applyFill="1" applyBorder="1" applyAlignment="1">
      <alignment horizontal="center"/>
    </xf>
    <xf numFmtId="0" fontId="14" fillId="0" borderId="0" xfId="68" applyFont="1" applyFill="1" applyBorder="1" applyAlignment="1">
      <alignment horizontal="right" vertical="justify" wrapText="1"/>
    </xf>
    <xf numFmtId="43" fontId="14" fillId="0" borderId="22" xfId="68" applyNumberFormat="1" applyFont="1" applyFill="1" applyBorder="1" applyAlignment="1">
      <alignment horizontal="center"/>
    </xf>
    <xf numFmtId="0" fontId="14" fillId="0" borderId="36" xfId="68" applyFont="1" applyFill="1" applyBorder="1" applyAlignment="1">
      <alignment horizontal="center"/>
    </xf>
    <xf numFmtId="43" fontId="14" fillId="0" borderId="19" xfId="1" applyFont="1" applyFill="1" applyBorder="1" applyAlignment="1">
      <alignment horizontal="center"/>
    </xf>
    <xf numFmtId="0" fontId="12" fillId="0" borderId="37" xfId="68" applyFont="1" applyFill="1" applyBorder="1" applyAlignment="1" applyProtection="1">
      <alignment horizontal="center" vertical="top"/>
    </xf>
    <xf numFmtId="0" fontId="14" fillId="0" borderId="38" xfId="68" applyFont="1" applyFill="1" applyBorder="1" applyAlignment="1">
      <alignment horizontal="center" vertical="justify" wrapText="1"/>
    </xf>
    <xf numFmtId="0" fontId="14" fillId="0" borderId="39" xfId="68" applyFont="1" applyFill="1" applyBorder="1" applyAlignment="1">
      <alignment horizontal="center" vertical="justify" wrapText="1"/>
    </xf>
    <xf numFmtId="0" fontId="14" fillId="0" borderId="40" xfId="68" applyFont="1" applyFill="1" applyBorder="1" applyAlignment="1">
      <alignment horizontal="center" vertical="justify" wrapText="1"/>
    </xf>
    <xf numFmtId="43" fontId="14" fillId="0" borderId="41" xfId="1" applyFont="1" applyFill="1" applyBorder="1" applyAlignment="1">
      <alignment horizontal="center"/>
    </xf>
    <xf numFmtId="43" fontId="12" fillId="0" borderId="0" xfId="68" applyNumberFormat="1" applyFont="1" applyFill="1"/>
    <xf numFmtId="0" fontId="12" fillId="0" borderId="42" xfId="68" applyFont="1" applyFill="1" applyBorder="1" applyAlignment="1" applyProtection="1">
      <alignment horizontal="center" vertical="top"/>
    </xf>
    <xf numFmtId="0" fontId="19" fillId="0" borderId="43" xfId="68" applyFont="1" applyFill="1" applyBorder="1" applyAlignment="1">
      <alignment horizontal="left" vertical="justify" wrapText="1" indent="2"/>
    </xf>
    <xf numFmtId="0" fontId="12" fillId="0" borderId="43" xfId="68" applyFont="1" applyFill="1" applyBorder="1" applyAlignment="1">
      <alignment horizontal="center"/>
    </xf>
    <xf numFmtId="43" fontId="12" fillId="0" borderId="43" xfId="1" applyFont="1" applyFill="1" applyBorder="1" applyAlignment="1">
      <alignment horizontal="center"/>
    </xf>
    <xf numFmtId="43" fontId="12" fillId="0" borderId="44" xfId="1" applyFont="1" applyFill="1" applyBorder="1" applyAlignment="1">
      <alignment horizontal="center"/>
    </xf>
    <xf numFmtId="0" fontId="12" fillId="0" borderId="18" xfId="68" applyFont="1" applyFill="1" applyBorder="1" applyAlignment="1" applyProtection="1">
      <alignment horizontal="center" vertical="top"/>
    </xf>
    <xf numFmtId="43" fontId="12" fillId="0" borderId="0" xfId="1" applyFont="1" applyFill="1" applyBorder="1" applyAlignment="1">
      <alignment horizontal="center"/>
    </xf>
    <xf numFmtId="0" fontId="18" fillId="0" borderId="0" xfId="68" applyFont="1" applyFill="1" applyBorder="1" applyAlignment="1">
      <alignment horizontal="left" vertical="justify" wrapText="1"/>
    </xf>
    <xf numFmtId="0" fontId="18" fillId="0" borderId="19" xfId="68" applyFont="1" applyFill="1" applyBorder="1" applyAlignment="1">
      <alignment horizontal="left" vertical="justify" wrapText="1"/>
    </xf>
    <xf numFmtId="0" fontId="12" fillId="0" borderId="0" xfId="68" applyFont="1" applyFill="1" applyBorder="1" applyAlignment="1" applyProtection="1">
      <alignment horizontal="right" vertical="center"/>
    </xf>
    <xf numFmtId="0" fontId="19" fillId="0" borderId="0" xfId="68" applyFont="1" applyFill="1" applyBorder="1" applyAlignment="1">
      <alignment horizontal="left" vertical="justify" indent="2"/>
    </xf>
    <xf numFmtId="0" fontId="12" fillId="0" borderId="0" xfId="68" applyFont="1" applyFill="1" applyBorder="1" applyAlignment="1">
      <alignment horizontal="left"/>
    </xf>
    <xf numFmtId="0" fontId="14" fillId="0" borderId="0" xfId="68" applyFont="1" applyFill="1" applyBorder="1" applyAlignment="1">
      <alignment horizontal="left"/>
    </xf>
    <xf numFmtId="0" fontId="12" fillId="0" borderId="0" xfId="0" applyFont="1" applyBorder="1" applyAlignment="1"/>
    <xf numFmtId="0" fontId="12" fillId="0" borderId="0" xfId="0" applyFont="1" applyBorder="1"/>
    <xf numFmtId="0" fontId="12" fillId="0" borderId="0" xfId="68" applyFont="1" applyFill="1" applyBorder="1" applyAlignment="1"/>
    <xf numFmtId="0" fontId="12" fillId="0" borderId="45" xfId="68" applyFont="1" applyFill="1" applyBorder="1" applyAlignment="1" applyProtection="1">
      <alignment horizontal="center" vertical="top"/>
    </xf>
    <xf numFmtId="0" fontId="19" fillId="0" borderId="46" xfId="68" applyFont="1" applyFill="1" applyBorder="1" applyAlignment="1">
      <alignment horizontal="left" vertical="justify" wrapText="1" indent="2"/>
    </xf>
    <xf numFmtId="0" fontId="12" fillId="0" borderId="46" xfId="68" applyFont="1" applyFill="1" applyBorder="1" applyAlignment="1">
      <alignment horizontal="center"/>
    </xf>
    <xf numFmtId="43" fontId="12" fillId="0" borderId="46" xfId="1" applyFont="1" applyFill="1" applyBorder="1" applyAlignment="1">
      <alignment horizontal="center"/>
    </xf>
    <xf numFmtId="43" fontId="12" fillId="0" borderId="47" xfId="1" applyFont="1" applyFill="1" applyBorder="1" applyAlignment="1">
      <alignment horizontal="center"/>
    </xf>
    <xf numFmtId="0" fontId="13" fillId="0" borderId="0" xfId="68"/>
    <xf numFmtId="0" fontId="13" fillId="0" borderId="48" xfId="68" applyBorder="1"/>
    <xf numFmtId="0" fontId="13" fillId="0" borderId="49" xfId="68" applyBorder="1"/>
    <xf numFmtId="0" fontId="14" fillId="0" borderId="50" xfId="68" applyFont="1" applyBorder="1"/>
    <xf numFmtId="0" fontId="14" fillId="0" borderId="0" xfId="68" applyFont="1"/>
    <xf numFmtId="0" fontId="13" fillId="0" borderId="51" xfId="68" applyBorder="1"/>
    <xf numFmtId="0" fontId="13" fillId="0" borderId="0" xfId="68" applyBorder="1"/>
    <xf numFmtId="0" fontId="14" fillId="0" borderId="52" xfId="68" applyFont="1" applyBorder="1"/>
    <xf numFmtId="0" fontId="21" fillId="0" borderId="52" xfId="68" applyFont="1" applyBorder="1"/>
    <xf numFmtId="0" fontId="21" fillId="0" borderId="0" xfId="68" applyFont="1"/>
    <xf numFmtId="0" fontId="13" fillId="0" borderId="52" xfId="68" applyBorder="1"/>
    <xf numFmtId="0" fontId="22" fillId="0" borderId="0" xfId="68" applyFont="1" applyBorder="1"/>
    <xf numFmtId="0" fontId="23" fillId="0" borderId="51" xfId="69" applyFont="1" applyFill="1" applyBorder="1" applyAlignment="1">
      <alignment horizontal="center" vertical="top" wrapText="1"/>
    </xf>
    <xf numFmtId="0" fontId="23" fillId="0" borderId="0" xfId="69" applyFont="1" applyFill="1" applyBorder="1" applyAlignment="1">
      <alignment horizontal="center" vertical="top" wrapText="1"/>
    </xf>
    <xf numFmtId="0" fontId="23" fillId="0" borderId="52" xfId="69" applyFont="1" applyFill="1" applyBorder="1" applyAlignment="1">
      <alignment horizontal="center" vertical="top" wrapText="1"/>
    </xf>
    <xf numFmtId="0" fontId="24" fillId="0" borderId="51" xfId="68" applyFont="1" applyBorder="1" applyAlignment="1">
      <alignment horizontal="center" vertical="center"/>
    </xf>
    <xf numFmtId="0" fontId="24" fillId="0" borderId="0" xfId="68" applyFont="1" applyBorder="1" applyAlignment="1">
      <alignment horizontal="center" vertical="center"/>
    </xf>
    <xf numFmtId="0" fontId="24" fillId="0" borderId="52" xfId="68" applyFont="1" applyBorder="1" applyAlignment="1">
      <alignment horizontal="center" vertical="center"/>
    </xf>
    <xf numFmtId="0" fontId="25" fillId="0" borderId="51" xfId="69" applyFont="1" applyFill="1" applyBorder="1" applyAlignment="1">
      <alignment vertical="top"/>
    </xf>
    <xf numFmtId="0" fontId="26" fillId="0" borderId="0" xfId="69" applyFont="1" applyFill="1" applyBorder="1" applyAlignment="1">
      <alignment horizontal="center"/>
    </xf>
    <xf numFmtId="0" fontId="25" fillId="0" borderId="52" xfId="69" applyFont="1" applyFill="1" applyBorder="1" applyAlignment="1">
      <alignment vertical="top"/>
    </xf>
    <xf numFmtId="0" fontId="27" fillId="0" borderId="51" xfId="68" applyFont="1" applyFill="1" applyBorder="1" applyAlignment="1">
      <alignment horizontal="center" vertical="center" wrapText="1"/>
    </xf>
    <xf numFmtId="0" fontId="27" fillId="0" borderId="0" xfId="68" applyFont="1" applyFill="1" applyBorder="1" applyAlignment="1">
      <alignment horizontal="center" vertical="center" wrapText="1"/>
    </xf>
    <xf numFmtId="0" fontId="27" fillId="0" borderId="52" xfId="68" applyFont="1" applyFill="1" applyBorder="1" applyAlignment="1">
      <alignment horizontal="center" vertical="center" wrapText="1"/>
    </xf>
    <xf numFmtId="0" fontId="27" fillId="0" borderId="51" xfId="68" applyFont="1" applyFill="1" applyBorder="1" applyAlignment="1">
      <alignment vertical="center" wrapText="1"/>
    </xf>
    <xf numFmtId="0" fontId="27" fillId="0" borderId="0" xfId="68" applyFont="1" applyFill="1" applyBorder="1" applyAlignment="1">
      <alignment vertical="center" wrapText="1"/>
    </xf>
    <xf numFmtId="0" fontId="27" fillId="0" borderId="52" xfId="68" applyFont="1" applyFill="1" applyBorder="1" applyAlignment="1">
      <alignment vertical="center" wrapText="1"/>
    </xf>
    <xf numFmtId="0" fontId="13" fillId="0" borderId="51" xfId="68" applyFill="1" applyBorder="1" applyAlignment="1"/>
    <xf numFmtId="0" fontId="13" fillId="0" borderId="0" xfId="68" applyFill="1" applyBorder="1" applyAlignment="1"/>
    <xf numFmtId="0" fontId="28" fillId="0" borderId="0" xfId="68" applyFont="1" applyFill="1" applyBorder="1" applyAlignment="1"/>
    <xf numFmtId="0" fontId="13" fillId="0" borderId="52" xfId="68" applyFill="1" applyBorder="1" applyAlignment="1"/>
    <xf numFmtId="0" fontId="29" fillId="0" borderId="0" xfId="68" applyFont="1" applyBorder="1" applyAlignment="1"/>
    <xf numFmtId="0" fontId="30" fillId="0" borderId="0" xfId="68" applyFont="1" applyBorder="1"/>
    <xf numFmtId="0" fontId="31" fillId="0" borderId="51" xfId="68" applyFont="1" applyBorder="1"/>
    <xf numFmtId="0" fontId="32" fillId="0" borderId="51" xfId="68" applyFont="1" applyBorder="1"/>
    <xf numFmtId="0" fontId="31" fillId="0" borderId="0" xfId="68" applyFont="1" applyBorder="1"/>
    <xf numFmtId="0" fontId="32" fillId="0" borderId="0" xfId="68" applyFont="1" applyBorder="1"/>
    <xf numFmtId="0" fontId="33" fillId="0" borderId="0" xfId="68" applyFont="1" applyBorder="1"/>
    <xf numFmtId="0" fontId="32" fillId="0" borderId="53" xfId="68" applyFont="1" applyBorder="1"/>
    <xf numFmtId="0" fontId="13" fillId="0" borderId="54" xfId="68" applyBorder="1"/>
    <xf numFmtId="0" fontId="13" fillId="0" borderId="55" xfId="68" applyBorder="1"/>
    <xf numFmtId="0" fontId="21" fillId="0" borderId="0" xfId="68" applyFont="1" applyBorder="1"/>
  </cellXfs>
  <cellStyles count="8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20% - Accent1 2" xfId="49"/>
    <cellStyle name="Comma 2" xfId="50"/>
    <cellStyle name="Comma 2 2" xfId="51"/>
    <cellStyle name="Comma 2 3" xfId="52"/>
    <cellStyle name="Comma 3" xfId="53"/>
    <cellStyle name="Comma 3 2" xfId="54"/>
    <cellStyle name="Comma 3_Stru BOQ ,The Wave Muscat (By Sheran)" xfId="55"/>
    <cellStyle name="Comma 4" xfId="56"/>
    <cellStyle name="Comma 4 2" xfId="57"/>
    <cellStyle name="Comma 5" xfId="58"/>
    <cellStyle name="Comma 6" xfId="59"/>
    <cellStyle name="Comma 7" xfId="60"/>
    <cellStyle name="Comma 8" xfId="61"/>
    <cellStyle name="Currency 2" xfId="62"/>
    <cellStyle name="Currency 2 2" xfId="63"/>
    <cellStyle name="Currency 2 3" xfId="64"/>
    <cellStyle name="Currency 3" xfId="65"/>
    <cellStyle name="Good 2" xfId="66"/>
    <cellStyle name="Heading 3 2" xfId="67"/>
    <cellStyle name="Normal 2" xfId="68"/>
    <cellStyle name="Normal 2 2" xfId="69"/>
    <cellStyle name="Normal 2 3" xfId="70"/>
    <cellStyle name="Normal 3" xfId="71"/>
    <cellStyle name="Normal 4" xfId="72"/>
    <cellStyle name="Normal 4 2" xfId="73"/>
    <cellStyle name="Normal 7" xfId="74"/>
    <cellStyle name="Normal_BOQQ" xfId="75"/>
    <cellStyle name="Output 2" xfId="76"/>
    <cellStyle name="Percent 2" xfId="77"/>
    <cellStyle name="Percent 3" xfId="78"/>
    <cellStyle name="Style 1" xfId="79"/>
    <cellStyle name="Total 2" xfId="8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6.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externalLink" Target="externalLinks/externalLink7.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te\439-v25\MyDir\Toto\Wijepala\ANCILLA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nna\e\MyDir\Toto\Wijepala\ANCILLA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e\MyDir\Toto\Wijepala\ANCILLA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hanna\d\MyDir\Toto\Wijepala\ANCILLA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HUZAIR%20BACKUP\359-FISHERIES-REMEDIAL\VALUATION\CASHFLOW-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HUZAIR%20BACKUP\359-FISHERIES-REMEDIAL\VALUATION\HUZAIR%20BACKUP\HUZ\FINAL-ACCT\VALUATION\EI-31-PLUMB.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OQ"/>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OQ"/>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OQ"/>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BOQ"/>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A.CERT.-JUNE (2)"/>
      <sheetName val="LTR "/>
      <sheetName val="CASHFLOW"/>
      <sheetName val="CASHFLOW (2)"/>
      <sheetName val="PA.CERT.-JAN"/>
      <sheetName val="PA.CERT.-FEB"/>
      <sheetName val="PA.CERT.-MARCH"/>
      <sheetName val="PA.CERT.-APRIL"/>
      <sheetName val="PA.CERT.-MAY"/>
      <sheetName val="PA.CERT.-JUNE"/>
      <sheetName val="PA.CERT.-JULY"/>
      <sheetName val="PA.CERT.-AUG"/>
      <sheetName val="PA.CERT.-SEPT"/>
      <sheetName val="PA.CERT.-OCT"/>
      <sheetName val="PA.CERT.-NOV."/>
      <sheetName val="PA.CERT.-DEC."/>
      <sheetName val="PA.CERT.-JAN-2002"/>
      <sheetName val="PA.CERT.-FEB-2002"/>
      <sheetName val="PA.CERT.-MAR-2002"/>
      <sheetName val="SUMM.FOR-CASHFLOW"/>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LETTER"/>
      <sheetName val="GENERAL SUMMARY"/>
      <sheetName val="PLUMBING WORK ADDITIONS"/>
      <sheetName val="PLUMBING WORK OMISSIONS"/>
      <sheetName val="D.I.MANHOLE COVER."/>
      <sheetName val="ACO FULBORA - GRATING"/>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0"/>
  <sheetViews>
    <sheetView showGridLines="0" zoomScale="75" zoomScaleNormal="75" topLeftCell="A7" workbookViewId="0">
      <selection activeCell="A20" sqref="A20:G22"/>
    </sheetView>
  </sheetViews>
  <sheetFormatPr defaultColWidth="9" defaultRowHeight="18" customHeight="1"/>
  <cols>
    <col min="1" max="1" width="21.4259259259259" style="317" customWidth="1"/>
    <col min="2" max="2" width="10.5740740740741" style="317" customWidth="1"/>
    <col min="3" max="4" width="10.4259259259259" style="317" customWidth="1"/>
    <col min="5" max="6" width="13.8518518518519" style="317" customWidth="1"/>
    <col min="7" max="7" width="18.8518518518519" style="317" customWidth="1"/>
    <col min="8" max="14" width="10.4259259259259" style="317" customWidth="1"/>
    <col min="15" max="17" width="13" style="317" customWidth="1"/>
    <col min="18" max="18" width="11.8518518518519" style="317" customWidth="1"/>
    <col min="19" max="23" width="13" style="317" customWidth="1"/>
    <col min="24" max="25" width="10.4259259259259" style="317" customWidth="1"/>
    <col min="26" max="16384" width="9.13888888888889" style="317"/>
  </cols>
  <sheetData>
    <row r="1" customHeight="1" spans="1:25">
      <c r="A1" s="318"/>
      <c r="B1" s="319"/>
      <c r="C1" s="319"/>
      <c r="D1" s="319"/>
      <c r="E1" s="319"/>
      <c r="F1" s="319"/>
      <c r="G1" s="320"/>
      <c r="H1" s="321"/>
      <c r="I1" s="321"/>
      <c r="J1" s="321"/>
      <c r="K1" s="358"/>
      <c r="L1" s="358"/>
      <c r="M1" s="358"/>
      <c r="N1" s="358"/>
      <c r="O1" s="323"/>
      <c r="P1" s="323"/>
      <c r="Q1" s="323"/>
      <c r="R1" s="323"/>
      <c r="S1" s="323"/>
      <c r="T1" s="323"/>
      <c r="U1" s="323"/>
      <c r="V1" s="323"/>
      <c r="W1" s="323"/>
      <c r="X1" s="323"/>
      <c r="Y1" s="323"/>
    </row>
    <row r="2" ht="13.5" customHeight="1" spans="1:25">
      <c r="A2" s="322"/>
      <c r="B2" s="323"/>
      <c r="C2" s="323"/>
      <c r="D2" s="323"/>
      <c r="E2" s="323"/>
      <c r="F2" s="323"/>
      <c r="G2" s="324"/>
      <c r="H2" s="321"/>
      <c r="I2" s="321"/>
      <c r="J2" s="321"/>
      <c r="K2" s="358"/>
      <c r="L2" s="358"/>
      <c r="M2" s="358"/>
      <c r="N2" s="358"/>
      <c r="O2" s="323"/>
      <c r="P2" s="323"/>
      <c r="Q2" s="323"/>
      <c r="R2" s="323"/>
      <c r="S2" s="323"/>
      <c r="T2" s="323"/>
      <c r="U2" s="323"/>
      <c r="V2" s="323"/>
      <c r="W2" s="323"/>
      <c r="X2" s="323"/>
      <c r="Y2" s="323"/>
    </row>
    <row r="3" customHeight="1" spans="1:25">
      <c r="A3" s="322"/>
      <c r="B3" s="323"/>
      <c r="C3" s="323"/>
      <c r="D3" s="323"/>
      <c r="E3" s="323"/>
      <c r="F3" s="323"/>
      <c r="G3" s="325"/>
      <c r="H3" s="326"/>
      <c r="I3" s="326"/>
      <c r="J3" s="326"/>
      <c r="K3" s="358"/>
      <c r="L3" s="358"/>
      <c r="M3" s="358"/>
      <c r="N3" s="358"/>
      <c r="O3" s="323"/>
      <c r="P3" s="323"/>
      <c r="Q3" s="323"/>
      <c r="R3" s="323"/>
      <c r="S3" s="323"/>
      <c r="T3" s="323"/>
      <c r="U3" s="323"/>
      <c r="V3" s="323"/>
      <c r="W3" s="323"/>
      <c r="X3" s="323"/>
      <c r="Y3" s="323"/>
    </row>
    <row r="4" ht="13.2" spans="1:25">
      <c r="A4" s="322"/>
      <c r="B4" s="323"/>
      <c r="C4" s="323"/>
      <c r="D4" s="323"/>
      <c r="E4" s="323"/>
      <c r="F4" s="323"/>
      <c r="G4" s="327"/>
      <c r="K4" s="323"/>
      <c r="L4" s="323"/>
      <c r="M4" s="323"/>
      <c r="N4" s="323"/>
      <c r="O4" s="323"/>
      <c r="P4" s="323"/>
      <c r="Q4" s="323"/>
      <c r="R4" s="323"/>
      <c r="S4" s="323"/>
      <c r="T4" s="323"/>
      <c r="U4" s="323"/>
      <c r="V4" s="323"/>
      <c r="W4" s="323"/>
      <c r="X4" s="323"/>
      <c r="Y4" s="323"/>
    </row>
    <row r="5" customHeight="1" spans="1:7">
      <c r="A5" s="322"/>
      <c r="B5" s="323"/>
      <c r="C5" s="323"/>
      <c r="D5" s="323"/>
      <c r="E5" s="323"/>
      <c r="F5" s="323"/>
      <c r="G5" s="327"/>
    </row>
    <row r="6" customHeight="1" spans="1:7">
      <c r="A6" s="322"/>
      <c r="B6" s="323"/>
      <c r="C6" s="323"/>
      <c r="D6" s="323"/>
      <c r="E6" s="323"/>
      <c r="F6" s="323"/>
      <c r="G6" s="327"/>
    </row>
    <row r="7" ht="14.25" customHeight="1" spans="1:7">
      <c r="A7" s="322"/>
      <c r="B7" s="323"/>
      <c r="C7" s="323"/>
      <c r="D7" s="323"/>
      <c r="E7" s="323"/>
      <c r="F7" s="323"/>
      <c r="G7" s="327"/>
    </row>
    <row r="8" customHeight="1" spans="1:7">
      <c r="A8" s="322"/>
      <c r="B8" s="323"/>
      <c r="C8" s="323"/>
      <c r="D8" s="323"/>
      <c r="E8" s="323"/>
      <c r="F8" s="323"/>
      <c r="G8" s="327"/>
    </row>
    <row r="9" customHeight="1" spans="1:7">
      <c r="A9" s="322"/>
      <c r="B9" s="323"/>
      <c r="C9" s="328"/>
      <c r="D9" s="323"/>
      <c r="E9" s="323"/>
      <c r="F9" s="323"/>
      <c r="G9" s="327"/>
    </row>
    <row r="10" customHeight="1" spans="1:7">
      <c r="A10" s="322"/>
      <c r="B10" s="323"/>
      <c r="C10" s="328"/>
      <c r="D10" s="323"/>
      <c r="E10" s="323"/>
      <c r="F10" s="323"/>
      <c r="G10" s="327"/>
    </row>
    <row r="11" customHeight="1" spans="1:7">
      <c r="A11" s="322"/>
      <c r="B11" s="323"/>
      <c r="C11" s="328"/>
      <c r="D11" s="323"/>
      <c r="E11" s="323"/>
      <c r="F11" s="323"/>
      <c r="G11" s="327"/>
    </row>
    <row r="12" ht="26.25" customHeight="1" spans="1:7">
      <c r="A12" s="329"/>
      <c r="B12" s="330"/>
      <c r="C12" s="330"/>
      <c r="D12" s="330"/>
      <c r="E12" s="330"/>
      <c r="F12" s="330"/>
      <c r="G12" s="331"/>
    </row>
    <row r="13" ht="25.5" customHeight="1" spans="1:7">
      <c r="A13" s="329"/>
      <c r="B13" s="330"/>
      <c r="C13" s="330"/>
      <c r="D13" s="330"/>
      <c r="E13" s="330"/>
      <c r="F13" s="330"/>
      <c r="G13" s="331"/>
    </row>
    <row r="14" ht="31.5" customHeight="1" spans="1:7">
      <c r="A14" s="332" t="s">
        <v>0</v>
      </c>
      <c r="B14" s="333"/>
      <c r="C14" s="333"/>
      <c r="D14" s="333"/>
      <c r="E14" s="333"/>
      <c r="F14" s="333"/>
      <c r="G14" s="334"/>
    </row>
    <row r="15" ht="21.75" customHeight="1" spans="1:7">
      <c r="A15" s="335"/>
      <c r="B15" s="336"/>
      <c r="C15" s="336"/>
      <c r="D15" s="336"/>
      <c r="E15" s="336"/>
      <c r="F15" s="336"/>
      <c r="G15" s="337"/>
    </row>
    <row r="16" ht="37.5" customHeight="1" spans="1:7">
      <c r="A16" s="338" t="s">
        <v>1</v>
      </c>
      <c r="B16" s="339"/>
      <c r="C16" s="339"/>
      <c r="D16" s="339"/>
      <c r="E16" s="339"/>
      <c r="F16" s="339"/>
      <c r="G16" s="340"/>
    </row>
    <row r="17" ht="21.75" customHeight="1" spans="1:7">
      <c r="A17" s="338"/>
      <c r="B17" s="339"/>
      <c r="C17" s="339"/>
      <c r="D17" s="339"/>
      <c r="E17" s="339"/>
      <c r="F17" s="339"/>
      <c r="G17" s="340"/>
    </row>
    <row r="18" ht="9" customHeight="1" spans="1:7">
      <c r="A18" s="341"/>
      <c r="B18" s="342"/>
      <c r="C18" s="342"/>
      <c r="D18" s="342"/>
      <c r="E18" s="342"/>
      <c r="F18" s="342"/>
      <c r="G18" s="343"/>
    </row>
    <row r="19" ht="24.75" customHeight="1" spans="1:13">
      <c r="A19" s="338" t="s">
        <v>2</v>
      </c>
      <c r="B19" s="339"/>
      <c r="C19" s="339"/>
      <c r="D19" s="339"/>
      <c r="E19" s="339"/>
      <c r="F19" s="339"/>
      <c r="G19" s="340"/>
      <c r="H19" s="323"/>
      <c r="I19" s="323"/>
      <c r="J19" s="323"/>
      <c r="K19" s="323"/>
      <c r="L19" s="323"/>
      <c r="M19" s="323"/>
    </row>
    <row r="20" ht="15" customHeight="1" spans="1:13">
      <c r="A20" s="338" t="s">
        <v>3</v>
      </c>
      <c r="B20" s="339"/>
      <c r="C20" s="339"/>
      <c r="D20" s="339"/>
      <c r="E20" s="339"/>
      <c r="F20" s="339"/>
      <c r="G20" s="340"/>
      <c r="H20" s="323"/>
      <c r="I20" s="323"/>
      <c r="J20" s="323"/>
      <c r="K20" s="323"/>
      <c r="L20" s="323"/>
      <c r="M20" s="323"/>
    </row>
    <row r="21" ht="30.75" customHeight="1" spans="1:13">
      <c r="A21" s="338"/>
      <c r="B21" s="339"/>
      <c r="C21" s="339"/>
      <c r="D21" s="339"/>
      <c r="E21" s="339"/>
      <c r="F21" s="339"/>
      <c r="G21" s="340"/>
      <c r="H21" s="323"/>
      <c r="I21" s="323"/>
      <c r="J21" s="323"/>
      <c r="K21" s="323"/>
      <c r="L21" s="323"/>
      <c r="M21" s="323"/>
    </row>
    <row r="22" ht="24.75" customHeight="1" spans="1:13">
      <c r="A22" s="338"/>
      <c r="B22" s="339"/>
      <c r="C22" s="339"/>
      <c r="D22" s="339"/>
      <c r="E22" s="339"/>
      <c r="F22" s="339"/>
      <c r="G22" s="340"/>
      <c r="H22" s="323"/>
      <c r="I22" s="323"/>
      <c r="J22" s="323"/>
      <c r="K22" s="323"/>
      <c r="L22" s="323"/>
      <c r="M22" s="323"/>
    </row>
    <row r="23" ht="24.75" customHeight="1" spans="1:13">
      <c r="A23" s="335"/>
      <c r="B23" s="336"/>
      <c r="C23" s="336"/>
      <c r="D23" s="336"/>
      <c r="E23" s="336"/>
      <c r="F23" s="336"/>
      <c r="G23" s="337"/>
      <c r="H23" s="323"/>
      <c r="I23" s="323"/>
      <c r="J23" s="323"/>
      <c r="K23" s="323"/>
      <c r="L23" s="323"/>
      <c r="M23" s="323"/>
    </row>
    <row r="24" customHeight="1" spans="1:7">
      <c r="A24" s="344"/>
      <c r="B24" s="345"/>
      <c r="C24" s="345"/>
      <c r="D24" s="346"/>
      <c r="E24" s="345"/>
      <c r="F24" s="345"/>
      <c r="G24" s="347"/>
    </row>
    <row r="25" customHeight="1" spans="1:7">
      <c r="A25" s="335"/>
      <c r="B25" s="336"/>
      <c r="C25" s="336"/>
      <c r="D25" s="336"/>
      <c r="E25" s="336"/>
      <c r="F25" s="336"/>
      <c r="G25" s="337"/>
    </row>
    <row r="26" customHeight="1" spans="1:7">
      <c r="A26" s="344"/>
      <c r="B26" s="345"/>
      <c r="C26" s="345"/>
      <c r="D26" s="346"/>
      <c r="E26" s="345"/>
      <c r="F26" s="345"/>
      <c r="G26" s="347"/>
    </row>
    <row r="27" customHeight="1" spans="1:7">
      <c r="A27" s="322"/>
      <c r="B27" s="323"/>
      <c r="C27" s="323"/>
      <c r="D27" s="323"/>
      <c r="E27" s="323"/>
      <c r="F27" s="323"/>
      <c r="G27" s="327"/>
    </row>
    <row r="28" customHeight="1" spans="1:7">
      <c r="A28" s="322"/>
      <c r="B28" s="323"/>
      <c r="C28" s="323"/>
      <c r="D28" s="323"/>
      <c r="E28" s="323"/>
      <c r="F28" s="323"/>
      <c r="G28" s="327"/>
    </row>
    <row r="29" ht="13.2" spans="1:7">
      <c r="A29" s="322"/>
      <c r="B29" s="323"/>
      <c r="C29" s="323"/>
      <c r="D29" s="323"/>
      <c r="E29" s="323"/>
      <c r="F29" s="323"/>
      <c r="G29" s="327"/>
    </row>
    <row r="30" customHeight="1" spans="1:7">
      <c r="A30" s="322"/>
      <c r="B30" s="323"/>
      <c r="C30" s="323"/>
      <c r="D30" s="323"/>
      <c r="E30" s="323"/>
      <c r="F30" s="323"/>
      <c r="G30" s="327"/>
    </row>
    <row r="31" ht="13.2" spans="1:7">
      <c r="A31" s="322"/>
      <c r="B31" s="323"/>
      <c r="C31" s="323"/>
      <c r="D31" s="323"/>
      <c r="E31" s="323"/>
      <c r="F31" s="323"/>
      <c r="G31" s="327"/>
    </row>
    <row r="32" customHeight="1" spans="1:7">
      <c r="A32" s="322"/>
      <c r="B32" s="323"/>
      <c r="C32" s="323"/>
      <c r="D32" s="323"/>
      <c r="E32" s="323"/>
      <c r="F32" s="323"/>
      <c r="G32" s="327"/>
    </row>
    <row r="33" ht="29.4" spans="1:7">
      <c r="A33" s="322"/>
      <c r="B33" s="348"/>
      <c r="C33" s="323"/>
      <c r="D33" s="323"/>
      <c r="E33" s="323"/>
      <c r="F33" s="323"/>
      <c r="G33" s="327"/>
    </row>
    <row r="34" ht="15.6" spans="1:7">
      <c r="A34" s="322"/>
      <c r="B34" s="349"/>
      <c r="C34" s="323"/>
      <c r="D34" s="323"/>
      <c r="E34" s="349"/>
      <c r="F34" s="323"/>
      <c r="G34" s="327"/>
    </row>
    <row r="35" customHeight="1" spans="1:7">
      <c r="A35" s="322"/>
      <c r="B35" s="323"/>
      <c r="C35" s="323"/>
      <c r="D35" s="323"/>
      <c r="E35" s="323"/>
      <c r="F35" s="323"/>
      <c r="G35" s="327"/>
    </row>
    <row r="36" customHeight="1" spans="1:7">
      <c r="A36" s="322"/>
      <c r="B36" s="323"/>
      <c r="C36" s="323"/>
      <c r="D36" s="323"/>
      <c r="E36" s="323"/>
      <c r="F36" s="323"/>
      <c r="G36" s="327"/>
    </row>
    <row r="37" customHeight="1" spans="1:7">
      <c r="A37" s="350"/>
      <c r="B37" s="323"/>
      <c r="C37" s="323"/>
      <c r="D37" s="323"/>
      <c r="E37" s="323"/>
      <c r="F37" s="323"/>
      <c r="G37" s="327"/>
    </row>
    <row r="38" customHeight="1" spans="1:7">
      <c r="A38" s="351"/>
      <c r="B38" s="352"/>
      <c r="C38" s="352"/>
      <c r="D38" s="323"/>
      <c r="E38" s="323"/>
      <c r="F38" s="323"/>
      <c r="G38" s="327"/>
    </row>
    <row r="39" ht="24" customHeight="1" spans="1:7">
      <c r="A39" s="351"/>
      <c r="B39" s="353"/>
      <c r="C39" s="353"/>
      <c r="D39" s="323"/>
      <c r="E39" s="354"/>
      <c r="F39" s="354"/>
      <c r="G39" s="327"/>
    </row>
    <row r="40" customHeight="1" spans="1:7">
      <c r="A40" s="355"/>
      <c r="B40" s="356"/>
      <c r="C40" s="356"/>
      <c r="D40" s="356"/>
      <c r="E40" s="356"/>
      <c r="F40" s="356"/>
      <c r="G40" s="357"/>
    </row>
  </sheetData>
  <mergeCells count="8">
    <mergeCell ref="A14:G14"/>
    <mergeCell ref="B15:F15"/>
    <mergeCell ref="A19:G19"/>
    <mergeCell ref="B23:F23"/>
    <mergeCell ref="B25:F25"/>
    <mergeCell ref="A12:G13"/>
    <mergeCell ref="A16:G17"/>
    <mergeCell ref="A20:G22"/>
  </mergeCells>
  <printOptions horizontalCentered="1" verticalCentered="1"/>
  <pageMargins left="0.196850393700787" right="0.196850393700787" top="0.196850393700787" bottom="0.196850393700787" header="0.511811023622047" footer="0.511811023622047"/>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892"/>
  <sheetViews>
    <sheetView tabSelected="1" view="pageBreakPreview" zoomScale="85" zoomScaleNormal="100" topLeftCell="A55" workbookViewId="0">
      <selection activeCell="B588" sqref="B588:B593"/>
    </sheetView>
  </sheetViews>
  <sheetFormatPr defaultColWidth="9" defaultRowHeight="13.8" outlineLevelCol="6"/>
  <cols>
    <col min="1" max="1" width="6.28703703703704" style="182" customWidth="1"/>
    <col min="2" max="2" width="52.287037037037" style="183" customWidth="1"/>
    <col min="3" max="3" width="8.28703703703704" style="184" customWidth="1"/>
    <col min="4" max="4" width="5.57407407407407" style="185" customWidth="1"/>
    <col min="5" max="5" width="12.712962962963" style="186" customWidth="1"/>
    <col min="6" max="6" width="15.287037037037" style="186" customWidth="1"/>
    <col min="7" max="7" width="15.712962962963" style="183" customWidth="1"/>
    <col min="8" max="8" width="11.287037037037" style="183" customWidth="1"/>
    <col min="9" max="251" width="9.13888888888889" style="183"/>
    <col min="252" max="252" width="4.85185185185185" style="183" customWidth="1"/>
    <col min="253" max="253" width="0.851851851851852" style="183" customWidth="1"/>
    <col min="254" max="254" width="52" style="183" customWidth="1"/>
    <col min="255" max="255" width="0.287037037037037" style="183" customWidth="1"/>
    <col min="256" max="256" width="8.28703703703704" style="183" customWidth="1"/>
    <col min="257" max="257" width="5.28703703703704" style="183" customWidth="1"/>
    <col min="258" max="258" width="8.42592592592593" style="183" customWidth="1"/>
    <col min="259" max="259" width="5" style="183" customWidth="1"/>
    <col min="260" max="260" width="8.71296296296296" style="183" customWidth="1"/>
    <col min="261" max="262" width="12.712962962963" style="183" customWidth="1"/>
    <col min="263" max="263" width="9.13888888888889" style="183"/>
    <col min="264" max="264" width="11.287037037037" style="183" customWidth="1"/>
    <col min="265" max="507" width="9.13888888888889" style="183"/>
    <col min="508" max="508" width="4.85185185185185" style="183" customWidth="1"/>
    <col min="509" max="509" width="0.851851851851852" style="183" customWidth="1"/>
    <col min="510" max="510" width="52" style="183" customWidth="1"/>
    <col min="511" max="511" width="0.287037037037037" style="183" customWidth="1"/>
    <col min="512" max="512" width="8.28703703703704" style="183" customWidth="1"/>
    <col min="513" max="513" width="5.28703703703704" style="183" customWidth="1"/>
    <col min="514" max="514" width="8.42592592592593" style="183" customWidth="1"/>
    <col min="515" max="515" width="5" style="183" customWidth="1"/>
    <col min="516" max="516" width="8.71296296296296" style="183" customWidth="1"/>
    <col min="517" max="518" width="12.712962962963" style="183" customWidth="1"/>
    <col min="519" max="519" width="9.13888888888889" style="183"/>
    <col min="520" max="520" width="11.287037037037" style="183" customWidth="1"/>
    <col min="521" max="763" width="9.13888888888889" style="183"/>
    <col min="764" max="764" width="4.85185185185185" style="183" customWidth="1"/>
    <col min="765" max="765" width="0.851851851851852" style="183" customWidth="1"/>
    <col min="766" max="766" width="52" style="183" customWidth="1"/>
    <col min="767" max="767" width="0.287037037037037" style="183" customWidth="1"/>
    <col min="768" max="768" width="8.28703703703704" style="183" customWidth="1"/>
    <col min="769" max="769" width="5.28703703703704" style="183" customWidth="1"/>
    <col min="770" max="770" width="8.42592592592593" style="183" customWidth="1"/>
    <col min="771" max="771" width="5" style="183" customWidth="1"/>
    <col min="772" max="772" width="8.71296296296296" style="183" customWidth="1"/>
    <col min="773" max="774" width="12.712962962963" style="183" customWidth="1"/>
    <col min="775" max="775" width="9.13888888888889" style="183"/>
    <col min="776" max="776" width="11.287037037037" style="183" customWidth="1"/>
    <col min="777" max="1019" width="9.13888888888889" style="183"/>
    <col min="1020" max="1020" width="4.85185185185185" style="183" customWidth="1"/>
    <col min="1021" max="1021" width="0.851851851851852" style="183" customWidth="1"/>
    <col min="1022" max="1022" width="52" style="183" customWidth="1"/>
    <col min="1023" max="1023" width="0.287037037037037" style="183" customWidth="1"/>
    <col min="1024" max="1024" width="8.28703703703704" style="183" customWidth="1"/>
    <col min="1025" max="1025" width="5.28703703703704" style="183" customWidth="1"/>
    <col min="1026" max="1026" width="8.42592592592593" style="183" customWidth="1"/>
    <col min="1027" max="1027" width="5" style="183" customWidth="1"/>
    <col min="1028" max="1028" width="8.71296296296296" style="183" customWidth="1"/>
    <col min="1029" max="1030" width="12.712962962963" style="183" customWidth="1"/>
    <col min="1031" max="1031" width="9.13888888888889" style="183"/>
    <col min="1032" max="1032" width="11.287037037037" style="183" customWidth="1"/>
    <col min="1033" max="1275" width="9.13888888888889" style="183"/>
    <col min="1276" max="1276" width="4.85185185185185" style="183" customWidth="1"/>
    <col min="1277" max="1277" width="0.851851851851852" style="183" customWidth="1"/>
    <col min="1278" max="1278" width="52" style="183" customWidth="1"/>
    <col min="1279" max="1279" width="0.287037037037037" style="183" customWidth="1"/>
    <col min="1280" max="1280" width="8.28703703703704" style="183" customWidth="1"/>
    <col min="1281" max="1281" width="5.28703703703704" style="183" customWidth="1"/>
    <col min="1282" max="1282" width="8.42592592592593" style="183" customWidth="1"/>
    <col min="1283" max="1283" width="5" style="183" customWidth="1"/>
    <col min="1284" max="1284" width="8.71296296296296" style="183" customWidth="1"/>
    <col min="1285" max="1286" width="12.712962962963" style="183" customWidth="1"/>
    <col min="1287" max="1287" width="9.13888888888889" style="183"/>
    <col min="1288" max="1288" width="11.287037037037" style="183" customWidth="1"/>
    <col min="1289" max="1531" width="9.13888888888889" style="183"/>
    <col min="1532" max="1532" width="4.85185185185185" style="183" customWidth="1"/>
    <col min="1533" max="1533" width="0.851851851851852" style="183" customWidth="1"/>
    <col min="1534" max="1534" width="52" style="183" customWidth="1"/>
    <col min="1535" max="1535" width="0.287037037037037" style="183" customWidth="1"/>
    <col min="1536" max="1536" width="8.28703703703704" style="183" customWidth="1"/>
    <col min="1537" max="1537" width="5.28703703703704" style="183" customWidth="1"/>
    <col min="1538" max="1538" width="8.42592592592593" style="183" customWidth="1"/>
    <col min="1539" max="1539" width="5" style="183" customWidth="1"/>
    <col min="1540" max="1540" width="8.71296296296296" style="183" customWidth="1"/>
    <col min="1541" max="1542" width="12.712962962963" style="183" customWidth="1"/>
    <col min="1543" max="1543" width="9.13888888888889" style="183"/>
    <col min="1544" max="1544" width="11.287037037037" style="183" customWidth="1"/>
    <col min="1545" max="1787" width="9.13888888888889" style="183"/>
    <col min="1788" max="1788" width="4.85185185185185" style="183" customWidth="1"/>
    <col min="1789" max="1789" width="0.851851851851852" style="183" customWidth="1"/>
    <col min="1790" max="1790" width="52" style="183" customWidth="1"/>
    <col min="1791" max="1791" width="0.287037037037037" style="183" customWidth="1"/>
    <col min="1792" max="1792" width="8.28703703703704" style="183" customWidth="1"/>
    <col min="1793" max="1793" width="5.28703703703704" style="183" customWidth="1"/>
    <col min="1794" max="1794" width="8.42592592592593" style="183" customWidth="1"/>
    <col min="1795" max="1795" width="5" style="183" customWidth="1"/>
    <col min="1796" max="1796" width="8.71296296296296" style="183" customWidth="1"/>
    <col min="1797" max="1798" width="12.712962962963" style="183" customWidth="1"/>
    <col min="1799" max="1799" width="9.13888888888889" style="183"/>
    <col min="1800" max="1800" width="11.287037037037" style="183" customWidth="1"/>
    <col min="1801" max="2043" width="9.13888888888889" style="183"/>
    <col min="2044" max="2044" width="4.85185185185185" style="183" customWidth="1"/>
    <col min="2045" max="2045" width="0.851851851851852" style="183" customWidth="1"/>
    <col min="2046" max="2046" width="52" style="183" customWidth="1"/>
    <col min="2047" max="2047" width="0.287037037037037" style="183" customWidth="1"/>
    <col min="2048" max="2048" width="8.28703703703704" style="183" customWidth="1"/>
    <col min="2049" max="2049" width="5.28703703703704" style="183" customWidth="1"/>
    <col min="2050" max="2050" width="8.42592592592593" style="183" customWidth="1"/>
    <col min="2051" max="2051" width="5" style="183" customWidth="1"/>
    <col min="2052" max="2052" width="8.71296296296296" style="183" customWidth="1"/>
    <col min="2053" max="2054" width="12.712962962963" style="183" customWidth="1"/>
    <col min="2055" max="2055" width="9.13888888888889" style="183"/>
    <col min="2056" max="2056" width="11.287037037037" style="183" customWidth="1"/>
    <col min="2057" max="2299" width="9.13888888888889" style="183"/>
    <col min="2300" max="2300" width="4.85185185185185" style="183" customWidth="1"/>
    <col min="2301" max="2301" width="0.851851851851852" style="183" customWidth="1"/>
    <col min="2302" max="2302" width="52" style="183" customWidth="1"/>
    <col min="2303" max="2303" width="0.287037037037037" style="183" customWidth="1"/>
    <col min="2304" max="2304" width="8.28703703703704" style="183" customWidth="1"/>
    <col min="2305" max="2305" width="5.28703703703704" style="183" customWidth="1"/>
    <col min="2306" max="2306" width="8.42592592592593" style="183" customWidth="1"/>
    <col min="2307" max="2307" width="5" style="183" customWidth="1"/>
    <col min="2308" max="2308" width="8.71296296296296" style="183" customWidth="1"/>
    <col min="2309" max="2310" width="12.712962962963" style="183" customWidth="1"/>
    <col min="2311" max="2311" width="9.13888888888889" style="183"/>
    <col min="2312" max="2312" width="11.287037037037" style="183" customWidth="1"/>
    <col min="2313" max="2555" width="9.13888888888889" style="183"/>
    <col min="2556" max="2556" width="4.85185185185185" style="183" customWidth="1"/>
    <col min="2557" max="2557" width="0.851851851851852" style="183" customWidth="1"/>
    <col min="2558" max="2558" width="52" style="183" customWidth="1"/>
    <col min="2559" max="2559" width="0.287037037037037" style="183" customWidth="1"/>
    <col min="2560" max="2560" width="8.28703703703704" style="183" customWidth="1"/>
    <col min="2561" max="2561" width="5.28703703703704" style="183" customWidth="1"/>
    <col min="2562" max="2562" width="8.42592592592593" style="183" customWidth="1"/>
    <col min="2563" max="2563" width="5" style="183" customWidth="1"/>
    <col min="2564" max="2564" width="8.71296296296296" style="183" customWidth="1"/>
    <col min="2565" max="2566" width="12.712962962963" style="183" customWidth="1"/>
    <col min="2567" max="2567" width="9.13888888888889" style="183"/>
    <col min="2568" max="2568" width="11.287037037037" style="183" customWidth="1"/>
    <col min="2569" max="2811" width="9.13888888888889" style="183"/>
    <col min="2812" max="2812" width="4.85185185185185" style="183" customWidth="1"/>
    <col min="2813" max="2813" width="0.851851851851852" style="183" customWidth="1"/>
    <col min="2814" max="2814" width="52" style="183" customWidth="1"/>
    <col min="2815" max="2815" width="0.287037037037037" style="183" customWidth="1"/>
    <col min="2816" max="2816" width="8.28703703703704" style="183" customWidth="1"/>
    <col min="2817" max="2817" width="5.28703703703704" style="183" customWidth="1"/>
    <col min="2818" max="2818" width="8.42592592592593" style="183" customWidth="1"/>
    <col min="2819" max="2819" width="5" style="183" customWidth="1"/>
    <col min="2820" max="2820" width="8.71296296296296" style="183" customWidth="1"/>
    <col min="2821" max="2822" width="12.712962962963" style="183" customWidth="1"/>
    <col min="2823" max="2823" width="9.13888888888889" style="183"/>
    <col min="2824" max="2824" width="11.287037037037" style="183" customWidth="1"/>
    <col min="2825" max="3067" width="9.13888888888889" style="183"/>
    <col min="3068" max="3068" width="4.85185185185185" style="183" customWidth="1"/>
    <col min="3069" max="3069" width="0.851851851851852" style="183" customWidth="1"/>
    <col min="3070" max="3070" width="52" style="183" customWidth="1"/>
    <col min="3071" max="3071" width="0.287037037037037" style="183" customWidth="1"/>
    <col min="3072" max="3072" width="8.28703703703704" style="183" customWidth="1"/>
    <col min="3073" max="3073" width="5.28703703703704" style="183" customWidth="1"/>
    <col min="3074" max="3074" width="8.42592592592593" style="183" customWidth="1"/>
    <col min="3075" max="3075" width="5" style="183" customWidth="1"/>
    <col min="3076" max="3076" width="8.71296296296296" style="183" customWidth="1"/>
    <col min="3077" max="3078" width="12.712962962963" style="183" customWidth="1"/>
    <col min="3079" max="3079" width="9.13888888888889" style="183"/>
    <col min="3080" max="3080" width="11.287037037037" style="183" customWidth="1"/>
    <col min="3081" max="3323" width="9.13888888888889" style="183"/>
    <col min="3324" max="3324" width="4.85185185185185" style="183" customWidth="1"/>
    <col min="3325" max="3325" width="0.851851851851852" style="183" customWidth="1"/>
    <col min="3326" max="3326" width="52" style="183" customWidth="1"/>
    <col min="3327" max="3327" width="0.287037037037037" style="183" customWidth="1"/>
    <col min="3328" max="3328" width="8.28703703703704" style="183" customWidth="1"/>
    <col min="3329" max="3329" width="5.28703703703704" style="183" customWidth="1"/>
    <col min="3330" max="3330" width="8.42592592592593" style="183" customWidth="1"/>
    <col min="3331" max="3331" width="5" style="183" customWidth="1"/>
    <col min="3332" max="3332" width="8.71296296296296" style="183" customWidth="1"/>
    <col min="3333" max="3334" width="12.712962962963" style="183" customWidth="1"/>
    <col min="3335" max="3335" width="9.13888888888889" style="183"/>
    <col min="3336" max="3336" width="11.287037037037" style="183" customWidth="1"/>
    <col min="3337" max="3579" width="9.13888888888889" style="183"/>
    <col min="3580" max="3580" width="4.85185185185185" style="183" customWidth="1"/>
    <col min="3581" max="3581" width="0.851851851851852" style="183" customWidth="1"/>
    <col min="3582" max="3582" width="52" style="183" customWidth="1"/>
    <col min="3583" max="3583" width="0.287037037037037" style="183" customWidth="1"/>
    <col min="3584" max="3584" width="8.28703703703704" style="183" customWidth="1"/>
    <col min="3585" max="3585" width="5.28703703703704" style="183" customWidth="1"/>
    <col min="3586" max="3586" width="8.42592592592593" style="183" customWidth="1"/>
    <col min="3587" max="3587" width="5" style="183" customWidth="1"/>
    <col min="3588" max="3588" width="8.71296296296296" style="183" customWidth="1"/>
    <col min="3589" max="3590" width="12.712962962963" style="183" customWidth="1"/>
    <col min="3591" max="3591" width="9.13888888888889" style="183"/>
    <col min="3592" max="3592" width="11.287037037037" style="183" customWidth="1"/>
    <col min="3593" max="3835" width="9.13888888888889" style="183"/>
    <col min="3836" max="3836" width="4.85185185185185" style="183" customWidth="1"/>
    <col min="3837" max="3837" width="0.851851851851852" style="183" customWidth="1"/>
    <col min="3838" max="3838" width="52" style="183" customWidth="1"/>
    <col min="3839" max="3839" width="0.287037037037037" style="183" customWidth="1"/>
    <col min="3840" max="3840" width="8.28703703703704" style="183" customWidth="1"/>
    <col min="3841" max="3841" width="5.28703703703704" style="183" customWidth="1"/>
    <col min="3842" max="3842" width="8.42592592592593" style="183" customWidth="1"/>
    <col min="3843" max="3843" width="5" style="183" customWidth="1"/>
    <col min="3844" max="3844" width="8.71296296296296" style="183" customWidth="1"/>
    <col min="3845" max="3846" width="12.712962962963" style="183" customWidth="1"/>
    <col min="3847" max="3847" width="9.13888888888889" style="183"/>
    <col min="3848" max="3848" width="11.287037037037" style="183" customWidth="1"/>
    <col min="3849" max="4091" width="9.13888888888889" style="183"/>
    <col min="4092" max="4092" width="4.85185185185185" style="183" customWidth="1"/>
    <col min="4093" max="4093" width="0.851851851851852" style="183" customWidth="1"/>
    <col min="4094" max="4094" width="52" style="183" customWidth="1"/>
    <col min="4095" max="4095" width="0.287037037037037" style="183" customWidth="1"/>
    <col min="4096" max="4096" width="8.28703703703704" style="183" customWidth="1"/>
    <col min="4097" max="4097" width="5.28703703703704" style="183" customWidth="1"/>
    <col min="4098" max="4098" width="8.42592592592593" style="183" customWidth="1"/>
    <col min="4099" max="4099" width="5" style="183" customWidth="1"/>
    <col min="4100" max="4100" width="8.71296296296296" style="183" customWidth="1"/>
    <col min="4101" max="4102" width="12.712962962963" style="183" customWidth="1"/>
    <col min="4103" max="4103" width="9.13888888888889" style="183"/>
    <col min="4104" max="4104" width="11.287037037037" style="183" customWidth="1"/>
    <col min="4105" max="4347" width="9.13888888888889" style="183"/>
    <col min="4348" max="4348" width="4.85185185185185" style="183" customWidth="1"/>
    <col min="4349" max="4349" width="0.851851851851852" style="183" customWidth="1"/>
    <col min="4350" max="4350" width="52" style="183" customWidth="1"/>
    <col min="4351" max="4351" width="0.287037037037037" style="183" customWidth="1"/>
    <col min="4352" max="4352" width="8.28703703703704" style="183" customWidth="1"/>
    <col min="4353" max="4353" width="5.28703703703704" style="183" customWidth="1"/>
    <col min="4354" max="4354" width="8.42592592592593" style="183" customWidth="1"/>
    <col min="4355" max="4355" width="5" style="183" customWidth="1"/>
    <col min="4356" max="4356" width="8.71296296296296" style="183" customWidth="1"/>
    <col min="4357" max="4358" width="12.712962962963" style="183" customWidth="1"/>
    <col min="4359" max="4359" width="9.13888888888889" style="183"/>
    <col min="4360" max="4360" width="11.287037037037" style="183" customWidth="1"/>
    <col min="4361" max="4603" width="9.13888888888889" style="183"/>
    <col min="4604" max="4604" width="4.85185185185185" style="183" customWidth="1"/>
    <col min="4605" max="4605" width="0.851851851851852" style="183" customWidth="1"/>
    <col min="4606" max="4606" width="52" style="183" customWidth="1"/>
    <col min="4607" max="4607" width="0.287037037037037" style="183" customWidth="1"/>
    <col min="4608" max="4608" width="8.28703703703704" style="183" customWidth="1"/>
    <col min="4609" max="4609" width="5.28703703703704" style="183" customWidth="1"/>
    <col min="4610" max="4610" width="8.42592592592593" style="183" customWidth="1"/>
    <col min="4611" max="4611" width="5" style="183" customWidth="1"/>
    <col min="4612" max="4612" width="8.71296296296296" style="183" customWidth="1"/>
    <col min="4613" max="4614" width="12.712962962963" style="183" customWidth="1"/>
    <col min="4615" max="4615" width="9.13888888888889" style="183"/>
    <col min="4616" max="4616" width="11.287037037037" style="183" customWidth="1"/>
    <col min="4617" max="4859" width="9.13888888888889" style="183"/>
    <col min="4860" max="4860" width="4.85185185185185" style="183" customWidth="1"/>
    <col min="4861" max="4861" width="0.851851851851852" style="183" customWidth="1"/>
    <col min="4862" max="4862" width="52" style="183" customWidth="1"/>
    <col min="4863" max="4863" width="0.287037037037037" style="183" customWidth="1"/>
    <col min="4864" max="4864" width="8.28703703703704" style="183" customWidth="1"/>
    <col min="4865" max="4865" width="5.28703703703704" style="183" customWidth="1"/>
    <col min="4866" max="4866" width="8.42592592592593" style="183" customWidth="1"/>
    <col min="4867" max="4867" width="5" style="183" customWidth="1"/>
    <col min="4868" max="4868" width="8.71296296296296" style="183" customWidth="1"/>
    <col min="4869" max="4870" width="12.712962962963" style="183" customWidth="1"/>
    <col min="4871" max="4871" width="9.13888888888889" style="183"/>
    <col min="4872" max="4872" width="11.287037037037" style="183" customWidth="1"/>
    <col min="4873" max="5115" width="9.13888888888889" style="183"/>
    <col min="5116" max="5116" width="4.85185185185185" style="183" customWidth="1"/>
    <col min="5117" max="5117" width="0.851851851851852" style="183" customWidth="1"/>
    <col min="5118" max="5118" width="52" style="183" customWidth="1"/>
    <col min="5119" max="5119" width="0.287037037037037" style="183" customWidth="1"/>
    <col min="5120" max="5120" width="8.28703703703704" style="183" customWidth="1"/>
    <col min="5121" max="5121" width="5.28703703703704" style="183" customWidth="1"/>
    <col min="5122" max="5122" width="8.42592592592593" style="183" customWidth="1"/>
    <col min="5123" max="5123" width="5" style="183" customWidth="1"/>
    <col min="5124" max="5124" width="8.71296296296296" style="183" customWidth="1"/>
    <col min="5125" max="5126" width="12.712962962963" style="183" customWidth="1"/>
    <col min="5127" max="5127" width="9.13888888888889" style="183"/>
    <col min="5128" max="5128" width="11.287037037037" style="183" customWidth="1"/>
    <col min="5129" max="5371" width="9.13888888888889" style="183"/>
    <col min="5372" max="5372" width="4.85185185185185" style="183" customWidth="1"/>
    <col min="5373" max="5373" width="0.851851851851852" style="183" customWidth="1"/>
    <col min="5374" max="5374" width="52" style="183" customWidth="1"/>
    <col min="5375" max="5375" width="0.287037037037037" style="183" customWidth="1"/>
    <col min="5376" max="5376" width="8.28703703703704" style="183" customWidth="1"/>
    <col min="5377" max="5377" width="5.28703703703704" style="183" customWidth="1"/>
    <col min="5378" max="5378" width="8.42592592592593" style="183" customWidth="1"/>
    <col min="5379" max="5379" width="5" style="183" customWidth="1"/>
    <col min="5380" max="5380" width="8.71296296296296" style="183" customWidth="1"/>
    <col min="5381" max="5382" width="12.712962962963" style="183" customWidth="1"/>
    <col min="5383" max="5383" width="9.13888888888889" style="183"/>
    <col min="5384" max="5384" width="11.287037037037" style="183" customWidth="1"/>
    <col min="5385" max="5627" width="9.13888888888889" style="183"/>
    <col min="5628" max="5628" width="4.85185185185185" style="183" customWidth="1"/>
    <col min="5629" max="5629" width="0.851851851851852" style="183" customWidth="1"/>
    <col min="5630" max="5630" width="52" style="183" customWidth="1"/>
    <col min="5631" max="5631" width="0.287037037037037" style="183" customWidth="1"/>
    <col min="5632" max="5632" width="8.28703703703704" style="183" customWidth="1"/>
    <col min="5633" max="5633" width="5.28703703703704" style="183" customWidth="1"/>
    <col min="5634" max="5634" width="8.42592592592593" style="183" customWidth="1"/>
    <col min="5635" max="5635" width="5" style="183" customWidth="1"/>
    <col min="5636" max="5636" width="8.71296296296296" style="183" customWidth="1"/>
    <col min="5637" max="5638" width="12.712962962963" style="183" customWidth="1"/>
    <col min="5639" max="5639" width="9.13888888888889" style="183"/>
    <col min="5640" max="5640" width="11.287037037037" style="183" customWidth="1"/>
    <col min="5641" max="5883" width="9.13888888888889" style="183"/>
    <col min="5884" max="5884" width="4.85185185185185" style="183" customWidth="1"/>
    <col min="5885" max="5885" width="0.851851851851852" style="183" customWidth="1"/>
    <col min="5886" max="5886" width="52" style="183" customWidth="1"/>
    <col min="5887" max="5887" width="0.287037037037037" style="183" customWidth="1"/>
    <col min="5888" max="5888" width="8.28703703703704" style="183" customWidth="1"/>
    <col min="5889" max="5889" width="5.28703703703704" style="183" customWidth="1"/>
    <col min="5890" max="5890" width="8.42592592592593" style="183" customWidth="1"/>
    <col min="5891" max="5891" width="5" style="183" customWidth="1"/>
    <col min="5892" max="5892" width="8.71296296296296" style="183" customWidth="1"/>
    <col min="5893" max="5894" width="12.712962962963" style="183" customWidth="1"/>
    <col min="5895" max="5895" width="9.13888888888889" style="183"/>
    <col min="5896" max="5896" width="11.287037037037" style="183" customWidth="1"/>
    <col min="5897" max="6139" width="9.13888888888889" style="183"/>
    <col min="6140" max="6140" width="4.85185185185185" style="183" customWidth="1"/>
    <col min="6141" max="6141" width="0.851851851851852" style="183" customWidth="1"/>
    <col min="6142" max="6142" width="52" style="183" customWidth="1"/>
    <col min="6143" max="6143" width="0.287037037037037" style="183" customWidth="1"/>
    <col min="6144" max="6144" width="8.28703703703704" style="183" customWidth="1"/>
    <col min="6145" max="6145" width="5.28703703703704" style="183" customWidth="1"/>
    <col min="6146" max="6146" width="8.42592592592593" style="183" customWidth="1"/>
    <col min="6147" max="6147" width="5" style="183" customWidth="1"/>
    <col min="6148" max="6148" width="8.71296296296296" style="183" customWidth="1"/>
    <col min="6149" max="6150" width="12.712962962963" style="183" customWidth="1"/>
    <col min="6151" max="6151" width="9.13888888888889" style="183"/>
    <col min="6152" max="6152" width="11.287037037037" style="183" customWidth="1"/>
    <col min="6153" max="6395" width="9.13888888888889" style="183"/>
    <col min="6396" max="6396" width="4.85185185185185" style="183" customWidth="1"/>
    <col min="6397" max="6397" width="0.851851851851852" style="183" customWidth="1"/>
    <col min="6398" max="6398" width="52" style="183" customWidth="1"/>
    <col min="6399" max="6399" width="0.287037037037037" style="183" customWidth="1"/>
    <col min="6400" max="6400" width="8.28703703703704" style="183" customWidth="1"/>
    <col min="6401" max="6401" width="5.28703703703704" style="183" customWidth="1"/>
    <col min="6402" max="6402" width="8.42592592592593" style="183" customWidth="1"/>
    <col min="6403" max="6403" width="5" style="183" customWidth="1"/>
    <col min="6404" max="6404" width="8.71296296296296" style="183" customWidth="1"/>
    <col min="6405" max="6406" width="12.712962962963" style="183" customWidth="1"/>
    <col min="6407" max="6407" width="9.13888888888889" style="183"/>
    <col min="6408" max="6408" width="11.287037037037" style="183" customWidth="1"/>
    <col min="6409" max="6651" width="9.13888888888889" style="183"/>
    <col min="6652" max="6652" width="4.85185185185185" style="183" customWidth="1"/>
    <col min="6653" max="6653" width="0.851851851851852" style="183" customWidth="1"/>
    <col min="6654" max="6654" width="52" style="183" customWidth="1"/>
    <col min="6655" max="6655" width="0.287037037037037" style="183" customWidth="1"/>
    <col min="6656" max="6656" width="8.28703703703704" style="183" customWidth="1"/>
    <col min="6657" max="6657" width="5.28703703703704" style="183" customWidth="1"/>
    <col min="6658" max="6658" width="8.42592592592593" style="183" customWidth="1"/>
    <col min="6659" max="6659" width="5" style="183" customWidth="1"/>
    <col min="6660" max="6660" width="8.71296296296296" style="183" customWidth="1"/>
    <col min="6661" max="6662" width="12.712962962963" style="183" customWidth="1"/>
    <col min="6663" max="6663" width="9.13888888888889" style="183"/>
    <col min="6664" max="6664" width="11.287037037037" style="183" customWidth="1"/>
    <col min="6665" max="6907" width="9.13888888888889" style="183"/>
    <col min="6908" max="6908" width="4.85185185185185" style="183" customWidth="1"/>
    <col min="6909" max="6909" width="0.851851851851852" style="183" customWidth="1"/>
    <col min="6910" max="6910" width="52" style="183" customWidth="1"/>
    <col min="6911" max="6911" width="0.287037037037037" style="183" customWidth="1"/>
    <col min="6912" max="6912" width="8.28703703703704" style="183" customWidth="1"/>
    <col min="6913" max="6913" width="5.28703703703704" style="183" customWidth="1"/>
    <col min="6914" max="6914" width="8.42592592592593" style="183" customWidth="1"/>
    <col min="6915" max="6915" width="5" style="183" customWidth="1"/>
    <col min="6916" max="6916" width="8.71296296296296" style="183" customWidth="1"/>
    <col min="6917" max="6918" width="12.712962962963" style="183" customWidth="1"/>
    <col min="6919" max="6919" width="9.13888888888889" style="183"/>
    <col min="6920" max="6920" width="11.287037037037" style="183" customWidth="1"/>
    <col min="6921" max="7163" width="9.13888888888889" style="183"/>
    <col min="7164" max="7164" width="4.85185185185185" style="183" customWidth="1"/>
    <col min="7165" max="7165" width="0.851851851851852" style="183" customWidth="1"/>
    <col min="7166" max="7166" width="52" style="183" customWidth="1"/>
    <col min="7167" max="7167" width="0.287037037037037" style="183" customWidth="1"/>
    <col min="7168" max="7168" width="8.28703703703704" style="183" customWidth="1"/>
    <col min="7169" max="7169" width="5.28703703703704" style="183" customWidth="1"/>
    <col min="7170" max="7170" width="8.42592592592593" style="183" customWidth="1"/>
    <col min="7171" max="7171" width="5" style="183" customWidth="1"/>
    <col min="7172" max="7172" width="8.71296296296296" style="183" customWidth="1"/>
    <col min="7173" max="7174" width="12.712962962963" style="183" customWidth="1"/>
    <col min="7175" max="7175" width="9.13888888888889" style="183"/>
    <col min="7176" max="7176" width="11.287037037037" style="183" customWidth="1"/>
    <col min="7177" max="7419" width="9.13888888888889" style="183"/>
    <col min="7420" max="7420" width="4.85185185185185" style="183" customWidth="1"/>
    <col min="7421" max="7421" width="0.851851851851852" style="183" customWidth="1"/>
    <col min="7422" max="7422" width="52" style="183" customWidth="1"/>
    <col min="7423" max="7423" width="0.287037037037037" style="183" customWidth="1"/>
    <col min="7424" max="7424" width="8.28703703703704" style="183" customWidth="1"/>
    <col min="7425" max="7425" width="5.28703703703704" style="183" customWidth="1"/>
    <col min="7426" max="7426" width="8.42592592592593" style="183" customWidth="1"/>
    <col min="7427" max="7427" width="5" style="183" customWidth="1"/>
    <col min="7428" max="7428" width="8.71296296296296" style="183" customWidth="1"/>
    <col min="7429" max="7430" width="12.712962962963" style="183" customWidth="1"/>
    <col min="7431" max="7431" width="9.13888888888889" style="183"/>
    <col min="7432" max="7432" width="11.287037037037" style="183" customWidth="1"/>
    <col min="7433" max="7675" width="9.13888888888889" style="183"/>
    <col min="7676" max="7676" width="4.85185185185185" style="183" customWidth="1"/>
    <col min="7677" max="7677" width="0.851851851851852" style="183" customWidth="1"/>
    <col min="7678" max="7678" width="52" style="183" customWidth="1"/>
    <col min="7679" max="7679" width="0.287037037037037" style="183" customWidth="1"/>
    <col min="7680" max="7680" width="8.28703703703704" style="183" customWidth="1"/>
    <col min="7681" max="7681" width="5.28703703703704" style="183" customWidth="1"/>
    <col min="7682" max="7682" width="8.42592592592593" style="183" customWidth="1"/>
    <col min="7683" max="7683" width="5" style="183" customWidth="1"/>
    <col min="7684" max="7684" width="8.71296296296296" style="183" customWidth="1"/>
    <col min="7685" max="7686" width="12.712962962963" style="183" customWidth="1"/>
    <col min="7687" max="7687" width="9.13888888888889" style="183"/>
    <col min="7688" max="7688" width="11.287037037037" style="183" customWidth="1"/>
    <col min="7689" max="7931" width="9.13888888888889" style="183"/>
    <col min="7932" max="7932" width="4.85185185185185" style="183" customWidth="1"/>
    <col min="7933" max="7933" width="0.851851851851852" style="183" customWidth="1"/>
    <col min="7934" max="7934" width="52" style="183" customWidth="1"/>
    <col min="7935" max="7935" width="0.287037037037037" style="183" customWidth="1"/>
    <col min="7936" max="7936" width="8.28703703703704" style="183" customWidth="1"/>
    <col min="7937" max="7937" width="5.28703703703704" style="183" customWidth="1"/>
    <col min="7938" max="7938" width="8.42592592592593" style="183" customWidth="1"/>
    <col min="7939" max="7939" width="5" style="183" customWidth="1"/>
    <col min="7940" max="7940" width="8.71296296296296" style="183" customWidth="1"/>
    <col min="7941" max="7942" width="12.712962962963" style="183" customWidth="1"/>
    <col min="7943" max="7943" width="9.13888888888889" style="183"/>
    <col min="7944" max="7944" width="11.287037037037" style="183" customWidth="1"/>
    <col min="7945" max="8187" width="9.13888888888889" style="183"/>
    <col min="8188" max="8188" width="4.85185185185185" style="183" customWidth="1"/>
    <col min="8189" max="8189" width="0.851851851851852" style="183" customWidth="1"/>
    <col min="8190" max="8190" width="52" style="183" customWidth="1"/>
    <col min="8191" max="8191" width="0.287037037037037" style="183" customWidth="1"/>
    <col min="8192" max="8192" width="8.28703703703704" style="183" customWidth="1"/>
    <col min="8193" max="8193" width="5.28703703703704" style="183" customWidth="1"/>
    <col min="8194" max="8194" width="8.42592592592593" style="183" customWidth="1"/>
    <col min="8195" max="8195" width="5" style="183" customWidth="1"/>
    <col min="8196" max="8196" width="8.71296296296296" style="183" customWidth="1"/>
    <col min="8197" max="8198" width="12.712962962963" style="183" customWidth="1"/>
    <col min="8199" max="8199" width="9.13888888888889" style="183"/>
    <col min="8200" max="8200" width="11.287037037037" style="183" customWidth="1"/>
    <col min="8201" max="8443" width="9.13888888888889" style="183"/>
    <col min="8444" max="8444" width="4.85185185185185" style="183" customWidth="1"/>
    <col min="8445" max="8445" width="0.851851851851852" style="183" customWidth="1"/>
    <col min="8446" max="8446" width="52" style="183" customWidth="1"/>
    <col min="8447" max="8447" width="0.287037037037037" style="183" customWidth="1"/>
    <col min="8448" max="8448" width="8.28703703703704" style="183" customWidth="1"/>
    <col min="8449" max="8449" width="5.28703703703704" style="183" customWidth="1"/>
    <col min="8450" max="8450" width="8.42592592592593" style="183" customWidth="1"/>
    <col min="8451" max="8451" width="5" style="183" customWidth="1"/>
    <col min="8452" max="8452" width="8.71296296296296" style="183" customWidth="1"/>
    <col min="8453" max="8454" width="12.712962962963" style="183" customWidth="1"/>
    <col min="8455" max="8455" width="9.13888888888889" style="183"/>
    <col min="8456" max="8456" width="11.287037037037" style="183" customWidth="1"/>
    <col min="8457" max="8699" width="9.13888888888889" style="183"/>
    <col min="8700" max="8700" width="4.85185185185185" style="183" customWidth="1"/>
    <col min="8701" max="8701" width="0.851851851851852" style="183" customWidth="1"/>
    <col min="8702" max="8702" width="52" style="183" customWidth="1"/>
    <col min="8703" max="8703" width="0.287037037037037" style="183" customWidth="1"/>
    <col min="8704" max="8704" width="8.28703703703704" style="183" customWidth="1"/>
    <col min="8705" max="8705" width="5.28703703703704" style="183" customWidth="1"/>
    <col min="8706" max="8706" width="8.42592592592593" style="183" customWidth="1"/>
    <col min="8707" max="8707" width="5" style="183" customWidth="1"/>
    <col min="8708" max="8708" width="8.71296296296296" style="183" customWidth="1"/>
    <col min="8709" max="8710" width="12.712962962963" style="183" customWidth="1"/>
    <col min="8711" max="8711" width="9.13888888888889" style="183"/>
    <col min="8712" max="8712" width="11.287037037037" style="183" customWidth="1"/>
    <col min="8713" max="8955" width="9.13888888888889" style="183"/>
    <col min="8956" max="8956" width="4.85185185185185" style="183" customWidth="1"/>
    <col min="8957" max="8957" width="0.851851851851852" style="183" customWidth="1"/>
    <col min="8958" max="8958" width="52" style="183" customWidth="1"/>
    <col min="8959" max="8959" width="0.287037037037037" style="183" customWidth="1"/>
    <col min="8960" max="8960" width="8.28703703703704" style="183" customWidth="1"/>
    <col min="8961" max="8961" width="5.28703703703704" style="183" customWidth="1"/>
    <col min="8962" max="8962" width="8.42592592592593" style="183" customWidth="1"/>
    <col min="8963" max="8963" width="5" style="183" customWidth="1"/>
    <col min="8964" max="8964" width="8.71296296296296" style="183" customWidth="1"/>
    <col min="8965" max="8966" width="12.712962962963" style="183" customWidth="1"/>
    <col min="8967" max="8967" width="9.13888888888889" style="183"/>
    <col min="8968" max="8968" width="11.287037037037" style="183" customWidth="1"/>
    <col min="8969" max="9211" width="9.13888888888889" style="183"/>
    <col min="9212" max="9212" width="4.85185185185185" style="183" customWidth="1"/>
    <col min="9213" max="9213" width="0.851851851851852" style="183" customWidth="1"/>
    <col min="9214" max="9214" width="52" style="183" customWidth="1"/>
    <col min="9215" max="9215" width="0.287037037037037" style="183" customWidth="1"/>
    <col min="9216" max="9216" width="8.28703703703704" style="183" customWidth="1"/>
    <col min="9217" max="9217" width="5.28703703703704" style="183" customWidth="1"/>
    <col min="9218" max="9218" width="8.42592592592593" style="183" customWidth="1"/>
    <col min="9219" max="9219" width="5" style="183" customWidth="1"/>
    <col min="9220" max="9220" width="8.71296296296296" style="183" customWidth="1"/>
    <col min="9221" max="9222" width="12.712962962963" style="183" customWidth="1"/>
    <col min="9223" max="9223" width="9.13888888888889" style="183"/>
    <col min="9224" max="9224" width="11.287037037037" style="183" customWidth="1"/>
    <col min="9225" max="9467" width="9.13888888888889" style="183"/>
    <col min="9468" max="9468" width="4.85185185185185" style="183" customWidth="1"/>
    <col min="9469" max="9469" width="0.851851851851852" style="183" customWidth="1"/>
    <col min="9470" max="9470" width="52" style="183" customWidth="1"/>
    <col min="9471" max="9471" width="0.287037037037037" style="183" customWidth="1"/>
    <col min="9472" max="9472" width="8.28703703703704" style="183" customWidth="1"/>
    <col min="9473" max="9473" width="5.28703703703704" style="183" customWidth="1"/>
    <col min="9474" max="9474" width="8.42592592592593" style="183" customWidth="1"/>
    <col min="9475" max="9475" width="5" style="183" customWidth="1"/>
    <col min="9476" max="9476" width="8.71296296296296" style="183" customWidth="1"/>
    <col min="9477" max="9478" width="12.712962962963" style="183" customWidth="1"/>
    <col min="9479" max="9479" width="9.13888888888889" style="183"/>
    <col min="9480" max="9480" width="11.287037037037" style="183" customWidth="1"/>
    <col min="9481" max="9723" width="9.13888888888889" style="183"/>
    <col min="9724" max="9724" width="4.85185185185185" style="183" customWidth="1"/>
    <col min="9725" max="9725" width="0.851851851851852" style="183" customWidth="1"/>
    <col min="9726" max="9726" width="52" style="183" customWidth="1"/>
    <col min="9727" max="9727" width="0.287037037037037" style="183" customWidth="1"/>
    <col min="9728" max="9728" width="8.28703703703704" style="183" customWidth="1"/>
    <col min="9729" max="9729" width="5.28703703703704" style="183" customWidth="1"/>
    <col min="9730" max="9730" width="8.42592592592593" style="183" customWidth="1"/>
    <col min="9731" max="9731" width="5" style="183" customWidth="1"/>
    <col min="9732" max="9732" width="8.71296296296296" style="183" customWidth="1"/>
    <col min="9733" max="9734" width="12.712962962963" style="183" customWidth="1"/>
    <col min="9735" max="9735" width="9.13888888888889" style="183"/>
    <col min="9736" max="9736" width="11.287037037037" style="183" customWidth="1"/>
    <col min="9737" max="9979" width="9.13888888888889" style="183"/>
    <col min="9980" max="9980" width="4.85185185185185" style="183" customWidth="1"/>
    <col min="9981" max="9981" width="0.851851851851852" style="183" customWidth="1"/>
    <col min="9982" max="9982" width="52" style="183" customWidth="1"/>
    <col min="9983" max="9983" width="0.287037037037037" style="183" customWidth="1"/>
    <col min="9984" max="9984" width="8.28703703703704" style="183" customWidth="1"/>
    <col min="9985" max="9985" width="5.28703703703704" style="183" customWidth="1"/>
    <col min="9986" max="9986" width="8.42592592592593" style="183" customWidth="1"/>
    <col min="9987" max="9987" width="5" style="183" customWidth="1"/>
    <col min="9988" max="9988" width="8.71296296296296" style="183" customWidth="1"/>
    <col min="9989" max="9990" width="12.712962962963" style="183" customWidth="1"/>
    <col min="9991" max="9991" width="9.13888888888889" style="183"/>
    <col min="9992" max="9992" width="11.287037037037" style="183" customWidth="1"/>
    <col min="9993" max="10235" width="9.13888888888889" style="183"/>
    <col min="10236" max="10236" width="4.85185185185185" style="183" customWidth="1"/>
    <col min="10237" max="10237" width="0.851851851851852" style="183" customWidth="1"/>
    <col min="10238" max="10238" width="52" style="183" customWidth="1"/>
    <col min="10239" max="10239" width="0.287037037037037" style="183" customWidth="1"/>
    <col min="10240" max="10240" width="8.28703703703704" style="183" customWidth="1"/>
    <col min="10241" max="10241" width="5.28703703703704" style="183" customWidth="1"/>
    <col min="10242" max="10242" width="8.42592592592593" style="183" customWidth="1"/>
    <col min="10243" max="10243" width="5" style="183" customWidth="1"/>
    <col min="10244" max="10244" width="8.71296296296296" style="183" customWidth="1"/>
    <col min="10245" max="10246" width="12.712962962963" style="183" customWidth="1"/>
    <col min="10247" max="10247" width="9.13888888888889" style="183"/>
    <col min="10248" max="10248" width="11.287037037037" style="183" customWidth="1"/>
    <col min="10249" max="10491" width="9.13888888888889" style="183"/>
    <col min="10492" max="10492" width="4.85185185185185" style="183" customWidth="1"/>
    <col min="10493" max="10493" width="0.851851851851852" style="183" customWidth="1"/>
    <col min="10494" max="10494" width="52" style="183" customWidth="1"/>
    <col min="10495" max="10495" width="0.287037037037037" style="183" customWidth="1"/>
    <col min="10496" max="10496" width="8.28703703703704" style="183" customWidth="1"/>
    <col min="10497" max="10497" width="5.28703703703704" style="183" customWidth="1"/>
    <col min="10498" max="10498" width="8.42592592592593" style="183" customWidth="1"/>
    <col min="10499" max="10499" width="5" style="183" customWidth="1"/>
    <col min="10500" max="10500" width="8.71296296296296" style="183" customWidth="1"/>
    <col min="10501" max="10502" width="12.712962962963" style="183" customWidth="1"/>
    <col min="10503" max="10503" width="9.13888888888889" style="183"/>
    <col min="10504" max="10504" width="11.287037037037" style="183" customWidth="1"/>
    <col min="10505" max="10747" width="9.13888888888889" style="183"/>
    <col min="10748" max="10748" width="4.85185185185185" style="183" customWidth="1"/>
    <col min="10749" max="10749" width="0.851851851851852" style="183" customWidth="1"/>
    <col min="10750" max="10750" width="52" style="183" customWidth="1"/>
    <col min="10751" max="10751" width="0.287037037037037" style="183" customWidth="1"/>
    <col min="10752" max="10752" width="8.28703703703704" style="183" customWidth="1"/>
    <col min="10753" max="10753" width="5.28703703703704" style="183" customWidth="1"/>
    <col min="10754" max="10754" width="8.42592592592593" style="183" customWidth="1"/>
    <col min="10755" max="10755" width="5" style="183" customWidth="1"/>
    <col min="10756" max="10756" width="8.71296296296296" style="183" customWidth="1"/>
    <col min="10757" max="10758" width="12.712962962963" style="183" customWidth="1"/>
    <col min="10759" max="10759" width="9.13888888888889" style="183"/>
    <col min="10760" max="10760" width="11.287037037037" style="183" customWidth="1"/>
    <col min="10761" max="11003" width="9.13888888888889" style="183"/>
    <col min="11004" max="11004" width="4.85185185185185" style="183" customWidth="1"/>
    <col min="11005" max="11005" width="0.851851851851852" style="183" customWidth="1"/>
    <col min="11006" max="11006" width="52" style="183" customWidth="1"/>
    <col min="11007" max="11007" width="0.287037037037037" style="183" customWidth="1"/>
    <col min="11008" max="11008" width="8.28703703703704" style="183" customWidth="1"/>
    <col min="11009" max="11009" width="5.28703703703704" style="183" customWidth="1"/>
    <col min="11010" max="11010" width="8.42592592592593" style="183" customWidth="1"/>
    <col min="11011" max="11011" width="5" style="183" customWidth="1"/>
    <col min="11012" max="11012" width="8.71296296296296" style="183" customWidth="1"/>
    <col min="11013" max="11014" width="12.712962962963" style="183" customWidth="1"/>
    <col min="11015" max="11015" width="9.13888888888889" style="183"/>
    <col min="11016" max="11016" width="11.287037037037" style="183" customWidth="1"/>
    <col min="11017" max="11259" width="9.13888888888889" style="183"/>
    <col min="11260" max="11260" width="4.85185185185185" style="183" customWidth="1"/>
    <col min="11261" max="11261" width="0.851851851851852" style="183" customWidth="1"/>
    <col min="11262" max="11262" width="52" style="183" customWidth="1"/>
    <col min="11263" max="11263" width="0.287037037037037" style="183" customWidth="1"/>
    <col min="11264" max="11264" width="8.28703703703704" style="183" customWidth="1"/>
    <col min="11265" max="11265" width="5.28703703703704" style="183" customWidth="1"/>
    <col min="11266" max="11266" width="8.42592592592593" style="183" customWidth="1"/>
    <col min="11267" max="11267" width="5" style="183" customWidth="1"/>
    <col min="11268" max="11268" width="8.71296296296296" style="183" customWidth="1"/>
    <col min="11269" max="11270" width="12.712962962963" style="183" customWidth="1"/>
    <col min="11271" max="11271" width="9.13888888888889" style="183"/>
    <col min="11272" max="11272" width="11.287037037037" style="183" customWidth="1"/>
    <col min="11273" max="11515" width="9.13888888888889" style="183"/>
    <col min="11516" max="11516" width="4.85185185185185" style="183" customWidth="1"/>
    <col min="11517" max="11517" width="0.851851851851852" style="183" customWidth="1"/>
    <col min="11518" max="11518" width="52" style="183" customWidth="1"/>
    <col min="11519" max="11519" width="0.287037037037037" style="183" customWidth="1"/>
    <col min="11520" max="11520" width="8.28703703703704" style="183" customWidth="1"/>
    <col min="11521" max="11521" width="5.28703703703704" style="183" customWidth="1"/>
    <col min="11522" max="11522" width="8.42592592592593" style="183" customWidth="1"/>
    <col min="11523" max="11523" width="5" style="183" customWidth="1"/>
    <col min="11524" max="11524" width="8.71296296296296" style="183" customWidth="1"/>
    <col min="11525" max="11526" width="12.712962962963" style="183" customWidth="1"/>
    <col min="11527" max="11527" width="9.13888888888889" style="183"/>
    <col min="11528" max="11528" width="11.287037037037" style="183" customWidth="1"/>
    <col min="11529" max="11771" width="9.13888888888889" style="183"/>
    <col min="11772" max="11772" width="4.85185185185185" style="183" customWidth="1"/>
    <col min="11773" max="11773" width="0.851851851851852" style="183" customWidth="1"/>
    <col min="11774" max="11774" width="52" style="183" customWidth="1"/>
    <col min="11775" max="11775" width="0.287037037037037" style="183" customWidth="1"/>
    <col min="11776" max="11776" width="8.28703703703704" style="183" customWidth="1"/>
    <col min="11777" max="11777" width="5.28703703703704" style="183" customWidth="1"/>
    <col min="11778" max="11778" width="8.42592592592593" style="183" customWidth="1"/>
    <col min="11779" max="11779" width="5" style="183" customWidth="1"/>
    <col min="11780" max="11780" width="8.71296296296296" style="183" customWidth="1"/>
    <col min="11781" max="11782" width="12.712962962963" style="183" customWidth="1"/>
    <col min="11783" max="11783" width="9.13888888888889" style="183"/>
    <col min="11784" max="11784" width="11.287037037037" style="183" customWidth="1"/>
    <col min="11785" max="12027" width="9.13888888888889" style="183"/>
    <col min="12028" max="12028" width="4.85185185185185" style="183" customWidth="1"/>
    <col min="12029" max="12029" width="0.851851851851852" style="183" customWidth="1"/>
    <col min="12030" max="12030" width="52" style="183" customWidth="1"/>
    <col min="12031" max="12031" width="0.287037037037037" style="183" customWidth="1"/>
    <col min="12032" max="12032" width="8.28703703703704" style="183" customWidth="1"/>
    <col min="12033" max="12033" width="5.28703703703704" style="183" customWidth="1"/>
    <col min="12034" max="12034" width="8.42592592592593" style="183" customWidth="1"/>
    <col min="12035" max="12035" width="5" style="183" customWidth="1"/>
    <col min="12036" max="12036" width="8.71296296296296" style="183" customWidth="1"/>
    <col min="12037" max="12038" width="12.712962962963" style="183" customWidth="1"/>
    <col min="12039" max="12039" width="9.13888888888889" style="183"/>
    <col min="12040" max="12040" width="11.287037037037" style="183" customWidth="1"/>
    <col min="12041" max="12283" width="9.13888888888889" style="183"/>
    <col min="12284" max="12284" width="4.85185185185185" style="183" customWidth="1"/>
    <col min="12285" max="12285" width="0.851851851851852" style="183" customWidth="1"/>
    <col min="12286" max="12286" width="52" style="183" customWidth="1"/>
    <col min="12287" max="12287" width="0.287037037037037" style="183" customWidth="1"/>
    <col min="12288" max="12288" width="8.28703703703704" style="183" customWidth="1"/>
    <col min="12289" max="12289" width="5.28703703703704" style="183" customWidth="1"/>
    <col min="12290" max="12290" width="8.42592592592593" style="183" customWidth="1"/>
    <col min="12291" max="12291" width="5" style="183" customWidth="1"/>
    <col min="12292" max="12292" width="8.71296296296296" style="183" customWidth="1"/>
    <col min="12293" max="12294" width="12.712962962963" style="183" customWidth="1"/>
    <col min="12295" max="12295" width="9.13888888888889" style="183"/>
    <col min="12296" max="12296" width="11.287037037037" style="183" customWidth="1"/>
    <col min="12297" max="12539" width="9.13888888888889" style="183"/>
    <col min="12540" max="12540" width="4.85185185185185" style="183" customWidth="1"/>
    <col min="12541" max="12541" width="0.851851851851852" style="183" customWidth="1"/>
    <col min="12542" max="12542" width="52" style="183" customWidth="1"/>
    <col min="12543" max="12543" width="0.287037037037037" style="183" customWidth="1"/>
    <col min="12544" max="12544" width="8.28703703703704" style="183" customWidth="1"/>
    <col min="12545" max="12545" width="5.28703703703704" style="183" customWidth="1"/>
    <col min="12546" max="12546" width="8.42592592592593" style="183" customWidth="1"/>
    <col min="12547" max="12547" width="5" style="183" customWidth="1"/>
    <col min="12548" max="12548" width="8.71296296296296" style="183" customWidth="1"/>
    <col min="12549" max="12550" width="12.712962962963" style="183" customWidth="1"/>
    <col min="12551" max="12551" width="9.13888888888889" style="183"/>
    <col min="12552" max="12552" width="11.287037037037" style="183" customWidth="1"/>
    <col min="12553" max="12795" width="9.13888888888889" style="183"/>
    <col min="12796" max="12796" width="4.85185185185185" style="183" customWidth="1"/>
    <col min="12797" max="12797" width="0.851851851851852" style="183" customWidth="1"/>
    <col min="12798" max="12798" width="52" style="183" customWidth="1"/>
    <col min="12799" max="12799" width="0.287037037037037" style="183" customWidth="1"/>
    <col min="12800" max="12800" width="8.28703703703704" style="183" customWidth="1"/>
    <col min="12801" max="12801" width="5.28703703703704" style="183" customWidth="1"/>
    <col min="12802" max="12802" width="8.42592592592593" style="183" customWidth="1"/>
    <col min="12803" max="12803" width="5" style="183" customWidth="1"/>
    <col min="12804" max="12804" width="8.71296296296296" style="183" customWidth="1"/>
    <col min="12805" max="12806" width="12.712962962963" style="183" customWidth="1"/>
    <col min="12807" max="12807" width="9.13888888888889" style="183"/>
    <col min="12808" max="12808" width="11.287037037037" style="183" customWidth="1"/>
    <col min="12809" max="13051" width="9.13888888888889" style="183"/>
    <col min="13052" max="13052" width="4.85185185185185" style="183" customWidth="1"/>
    <col min="13053" max="13053" width="0.851851851851852" style="183" customWidth="1"/>
    <col min="13054" max="13054" width="52" style="183" customWidth="1"/>
    <col min="13055" max="13055" width="0.287037037037037" style="183" customWidth="1"/>
    <col min="13056" max="13056" width="8.28703703703704" style="183" customWidth="1"/>
    <col min="13057" max="13057" width="5.28703703703704" style="183" customWidth="1"/>
    <col min="13058" max="13058" width="8.42592592592593" style="183" customWidth="1"/>
    <col min="13059" max="13059" width="5" style="183" customWidth="1"/>
    <col min="13060" max="13060" width="8.71296296296296" style="183" customWidth="1"/>
    <col min="13061" max="13062" width="12.712962962963" style="183" customWidth="1"/>
    <col min="13063" max="13063" width="9.13888888888889" style="183"/>
    <col min="13064" max="13064" width="11.287037037037" style="183" customWidth="1"/>
    <col min="13065" max="13307" width="9.13888888888889" style="183"/>
    <col min="13308" max="13308" width="4.85185185185185" style="183" customWidth="1"/>
    <col min="13309" max="13309" width="0.851851851851852" style="183" customWidth="1"/>
    <col min="13310" max="13310" width="52" style="183" customWidth="1"/>
    <col min="13311" max="13311" width="0.287037037037037" style="183" customWidth="1"/>
    <col min="13312" max="13312" width="8.28703703703704" style="183" customWidth="1"/>
    <col min="13313" max="13313" width="5.28703703703704" style="183" customWidth="1"/>
    <col min="13314" max="13314" width="8.42592592592593" style="183" customWidth="1"/>
    <col min="13315" max="13315" width="5" style="183" customWidth="1"/>
    <col min="13316" max="13316" width="8.71296296296296" style="183" customWidth="1"/>
    <col min="13317" max="13318" width="12.712962962963" style="183" customWidth="1"/>
    <col min="13319" max="13319" width="9.13888888888889" style="183"/>
    <col min="13320" max="13320" width="11.287037037037" style="183" customWidth="1"/>
    <col min="13321" max="13563" width="9.13888888888889" style="183"/>
    <col min="13564" max="13564" width="4.85185185185185" style="183" customWidth="1"/>
    <col min="13565" max="13565" width="0.851851851851852" style="183" customWidth="1"/>
    <col min="13566" max="13566" width="52" style="183" customWidth="1"/>
    <col min="13567" max="13567" width="0.287037037037037" style="183" customWidth="1"/>
    <col min="13568" max="13568" width="8.28703703703704" style="183" customWidth="1"/>
    <col min="13569" max="13569" width="5.28703703703704" style="183" customWidth="1"/>
    <col min="13570" max="13570" width="8.42592592592593" style="183" customWidth="1"/>
    <col min="13571" max="13571" width="5" style="183" customWidth="1"/>
    <col min="13572" max="13572" width="8.71296296296296" style="183" customWidth="1"/>
    <col min="13573" max="13574" width="12.712962962963" style="183" customWidth="1"/>
    <col min="13575" max="13575" width="9.13888888888889" style="183"/>
    <col min="13576" max="13576" width="11.287037037037" style="183" customWidth="1"/>
    <col min="13577" max="13819" width="9.13888888888889" style="183"/>
    <col min="13820" max="13820" width="4.85185185185185" style="183" customWidth="1"/>
    <col min="13821" max="13821" width="0.851851851851852" style="183" customWidth="1"/>
    <col min="13822" max="13822" width="52" style="183" customWidth="1"/>
    <col min="13823" max="13823" width="0.287037037037037" style="183" customWidth="1"/>
    <col min="13824" max="13824" width="8.28703703703704" style="183" customWidth="1"/>
    <col min="13825" max="13825" width="5.28703703703704" style="183" customWidth="1"/>
    <col min="13826" max="13826" width="8.42592592592593" style="183" customWidth="1"/>
    <col min="13827" max="13827" width="5" style="183" customWidth="1"/>
    <col min="13828" max="13828" width="8.71296296296296" style="183" customWidth="1"/>
    <col min="13829" max="13830" width="12.712962962963" style="183" customWidth="1"/>
    <col min="13831" max="13831" width="9.13888888888889" style="183"/>
    <col min="13832" max="13832" width="11.287037037037" style="183" customWidth="1"/>
    <col min="13833" max="14075" width="9.13888888888889" style="183"/>
    <col min="14076" max="14076" width="4.85185185185185" style="183" customWidth="1"/>
    <col min="14077" max="14077" width="0.851851851851852" style="183" customWidth="1"/>
    <col min="14078" max="14078" width="52" style="183" customWidth="1"/>
    <col min="14079" max="14079" width="0.287037037037037" style="183" customWidth="1"/>
    <col min="14080" max="14080" width="8.28703703703704" style="183" customWidth="1"/>
    <col min="14081" max="14081" width="5.28703703703704" style="183" customWidth="1"/>
    <col min="14082" max="14082" width="8.42592592592593" style="183" customWidth="1"/>
    <col min="14083" max="14083" width="5" style="183" customWidth="1"/>
    <col min="14084" max="14084" width="8.71296296296296" style="183" customWidth="1"/>
    <col min="14085" max="14086" width="12.712962962963" style="183" customWidth="1"/>
    <col min="14087" max="14087" width="9.13888888888889" style="183"/>
    <col min="14088" max="14088" width="11.287037037037" style="183" customWidth="1"/>
    <col min="14089" max="14331" width="9.13888888888889" style="183"/>
    <col min="14332" max="14332" width="4.85185185185185" style="183" customWidth="1"/>
    <col min="14333" max="14333" width="0.851851851851852" style="183" customWidth="1"/>
    <col min="14334" max="14334" width="52" style="183" customWidth="1"/>
    <col min="14335" max="14335" width="0.287037037037037" style="183" customWidth="1"/>
    <col min="14336" max="14336" width="8.28703703703704" style="183" customWidth="1"/>
    <col min="14337" max="14337" width="5.28703703703704" style="183" customWidth="1"/>
    <col min="14338" max="14338" width="8.42592592592593" style="183" customWidth="1"/>
    <col min="14339" max="14339" width="5" style="183" customWidth="1"/>
    <col min="14340" max="14340" width="8.71296296296296" style="183" customWidth="1"/>
    <col min="14341" max="14342" width="12.712962962963" style="183" customWidth="1"/>
    <col min="14343" max="14343" width="9.13888888888889" style="183"/>
    <col min="14344" max="14344" width="11.287037037037" style="183" customWidth="1"/>
    <col min="14345" max="14587" width="9.13888888888889" style="183"/>
    <col min="14588" max="14588" width="4.85185185185185" style="183" customWidth="1"/>
    <col min="14589" max="14589" width="0.851851851851852" style="183" customWidth="1"/>
    <col min="14590" max="14590" width="52" style="183" customWidth="1"/>
    <col min="14591" max="14591" width="0.287037037037037" style="183" customWidth="1"/>
    <col min="14592" max="14592" width="8.28703703703704" style="183" customWidth="1"/>
    <col min="14593" max="14593" width="5.28703703703704" style="183" customWidth="1"/>
    <col min="14594" max="14594" width="8.42592592592593" style="183" customWidth="1"/>
    <col min="14595" max="14595" width="5" style="183" customWidth="1"/>
    <col min="14596" max="14596" width="8.71296296296296" style="183" customWidth="1"/>
    <col min="14597" max="14598" width="12.712962962963" style="183" customWidth="1"/>
    <col min="14599" max="14599" width="9.13888888888889" style="183"/>
    <col min="14600" max="14600" width="11.287037037037" style="183" customWidth="1"/>
    <col min="14601" max="14843" width="9.13888888888889" style="183"/>
    <col min="14844" max="14844" width="4.85185185185185" style="183" customWidth="1"/>
    <col min="14845" max="14845" width="0.851851851851852" style="183" customWidth="1"/>
    <col min="14846" max="14846" width="52" style="183" customWidth="1"/>
    <col min="14847" max="14847" width="0.287037037037037" style="183" customWidth="1"/>
    <col min="14848" max="14848" width="8.28703703703704" style="183" customWidth="1"/>
    <col min="14849" max="14849" width="5.28703703703704" style="183" customWidth="1"/>
    <col min="14850" max="14850" width="8.42592592592593" style="183" customWidth="1"/>
    <col min="14851" max="14851" width="5" style="183" customWidth="1"/>
    <col min="14852" max="14852" width="8.71296296296296" style="183" customWidth="1"/>
    <col min="14853" max="14854" width="12.712962962963" style="183" customWidth="1"/>
    <col min="14855" max="14855" width="9.13888888888889" style="183"/>
    <col min="14856" max="14856" width="11.287037037037" style="183" customWidth="1"/>
    <col min="14857" max="15099" width="9.13888888888889" style="183"/>
    <col min="15100" max="15100" width="4.85185185185185" style="183" customWidth="1"/>
    <col min="15101" max="15101" width="0.851851851851852" style="183" customWidth="1"/>
    <col min="15102" max="15102" width="52" style="183" customWidth="1"/>
    <col min="15103" max="15103" width="0.287037037037037" style="183" customWidth="1"/>
    <col min="15104" max="15104" width="8.28703703703704" style="183" customWidth="1"/>
    <col min="15105" max="15105" width="5.28703703703704" style="183" customWidth="1"/>
    <col min="15106" max="15106" width="8.42592592592593" style="183" customWidth="1"/>
    <col min="15107" max="15107" width="5" style="183" customWidth="1"/>
    <col min="15108" max="15108" width="8.71296296296296" style="183" customWidth="1"/>
    <col min="15109" max="15110" width="12.712962962963" style="183" customWidth="1"/>
    <col min="15111" max="15111" width="9.13888888888889" style="183"/>
    <col min="15112" max="15112" width="11.287037037037" style="183" customWidth="1"/>
    <col min="15113" max="15355" width="9.13888888888889" style="183"/>
    <col min="15356" max="15356" width="4.85185185185185" style="183" customWidth="1"/>
    <col min="15357" max="15357" width="0.851851851851852" style="183" customWidth="1"/>
    <col min="15358" max="15358" width="52" style="183" customWidth="1"/>
    <col min="15359" max="15359" width="0.287037037037037" style="183" customWidth="1"/>
    <col min="15360" max="15360" width="8.28703703703704" style="183" customWidth="1"/>
    <col min="15361" max="15361" width="5.28703703703704" style="183" customWidth="1"/>
    <col min="15362" max="15362" width="8.42592592592593" style="183" customWidth="1"/>
    <col min="15363" max="15363" width="5" style="183" customWidth="1"/>
    <col min="15364" max="15364" width="8.71296296296296" style="183" customWidth="1"/>
    <col min="15365" max="15366" width="12.712962962963" style="183" customWidth="1"/>
    <col min="15367" max="15367" width="9.13888888888889" style="183"/>
    <col min="15368" max="15368" width="11.287037037037" style="183" customWidth="1"/>
    <col min="15369" max="15611" width="9.13888888888889" style="183"/>
    <col min="15612" max="15612" width="4.85185185185185" style="183" customWidth="1"/>
    <col min="15613" max="15613" width="0.851851851851852" style="183" customWidth="1"/>
    <col min="15614" max="15614" width="52" style="183" customWidth="1"/>
    <col min="15615" max="15615" width="0.287037037037037" style="183" customWidth="1"/>
    <col min="15616" max="15616" width="8.28703703703704" style="183" customWidth="1"/>
    <col min="15617" max="15617" width="5.28703703703704" style="183" customWidth="1"/>
    <col min="15618" max="15618" width="8.42592592592593" style="183" customWidth="1"/>
    <col min="15619" max="15619" width="5" style="183" customWidth="1"/>
    <col min="15620" max="15620" width="8.71296296296296" style="183" customWidth="1"/>
    <col min="15621" max="15622" width="12.712962962963" style="183" customWidth="1"/>
    <col min="15623" max="15623" width="9.13888888888889" style="183"/>
    <col min="15624" max="15624" width="11.287037037037" style="183" customWidth="1"/>
    <col min="15625" max="15867" width="9.13888888888889" style="183"/>
    <col min="15868" max="15868" width="4.85185185185185" style="183" customWidth="1"/>
    <col min="15869" max="15869" width="0.851851851851852" style="183" customWidth="1"/>
    <col min="15870" max="15870" width="52" style="183" customWidth="1"/>
    <col min="15871" max="15871" width="0.287037037037037" style="183" customWidth="1"/>
    <col min="15872" max="15872" width="8.28703703703704" style="183" customWidth="1"/>
    <col min="15873" max="15873" width="5.28703703703704" style="183" customWidth="1"/>
    <col min="15874" max="15874" width="8.42592592592593" style="183" customWidth="1"/>
    <col min="15875" max="15875" width="5" style="183" customWidth="1"/>
    <col min="15876" max="15876" width="8.71296296296296" style="183" customWidth="1"/>
    <col min="15877" max="15878" width="12.712962962963" style="183" customWidth="1"/>
    <col min="15879" max="15879" width="9.13888888888889" style="183"/>
    <col min="15880" max="15880" width="11.287037037037" style="183" customWidth="1"/>
    <col min="15881" max="16123" width="9.13888888888889" style="183"/>
    <col min="16124" max="16124" width="4.85185185185185" style="183" customWidth="1"/>
    <col min="16125" max="16125" width="0.851851851851852" style="183" customWidth="1"/>
    <col min="16126" max="16126" width="52" style="183" customWidth="1"/>
    <col min="16127" max="16127" width="0.287037037037037" style="183" customWidth="1"/>
    <col min="16128" max="16128" width="8.28703703703704" style="183" customWidth="1"/>
    <col min="16129" max="16129" width="5.28703703703704" style="183" customWidth="1"/>
    <col min="16130" max="16130" width="8.42592592592593" style="183" customWidth="1"/>
    <col min="16131" max="16131" width="5" style="183" customWidth="1"/>
    <col min="16132" max="16132" width="8.71296296296296" style="183" customWidth="1"/>
    <col min="16133" max="16134" width="12.712962962963" style="183" customWidth="1"/>
    <col min="16135" max="16135" width="9.13888888888889" style="183"/>
    <col min="16136" max="16136" width="11.287037037037" style="183" customWidth="1"/>
    <col min="16137" max="16384" width="9.13888888888889" style="183"/>
  </cols>
  <sheetData>
    <row r="1" ht="9.75" customHeight="1" spans="1:6">
      <c r="A1" s="187"/>
      <c r="B1" s="188"/>
      <c r="C1" s="189"/>
      <c r="D1" s="189"/>
      <c r="E1" s="190"/>
      <c r="F1" s="191"/>
    </row>
    <row r="2" spans="1:6">
      <c r="A2" s="192" t="s">
        <v>0</v>
      </c>
      <c r="B2" s="193"/>
      <c r="C2" s="194"/>
      <c r="D2" s="195"/>
      <c r="E2" s="196"/>
      <c r="F2" s="197"/>
    </row>
    <row r="3" spans="1:6">
      <c r="A3" s="192" t="s">
        <v>4</v>
      </c>
      <c r="B3" s="198"/>
      <c r="C3" s="194"/>
      <c r="D3" s="199"/>
      <c r="E3" s="200"/>
      <c r="F3" s="201"/>
    </row>
    <row r="4" spans="1:6">
      <c r="A4" s="202" t="s">
        <v>5</v>
      </c>
      <c r="B4" s="198"/>
      <c r="C4" s="198"/>
      <c r="D4" s="198"/>
      <c r="E4" s="203"/>
      <c r="F4" s="201"/>
    </row>
    <row r="5" ht="6" customHeight="1" spans="1:6">
      <c r="A5" s="202"/>
      <c r="B5" s="193"/>
      <c r="C5" s="195"/>
      <c r="D5" s="204"/>
      <c r="E5" s="205"/>
      <c r="F5" s="206"/>
    </row>
    <row r="6" spans="1:6">
      <c r="A6" s="207" t="s">
        <v>6</v>
      </c>
      <c r="B6" s="208" t="s">
        <v>7</v>
      </c>
      <c r="C6" s="209" t="s">
        <v>8</v>
      </c>
      <c r="D6" s="210" t="s">
        <v>9</v>
      </c>
      <c r="E6" s="211" t="s">
        <v>10</v>
      </c>
      <c r="F6" s="212" t="s">
        <v>11</v>
      </c>
    </row>
    <row r="7" spans="1:6">
      <c r="A7" s="213" t="s">
        <v>12</v>
      </c>
      <c r="B7" s="214"/>
      <c r="C7" s="215"/>
      <c r="D7" s="216"/>
      <c r="E7" s="217" t="s">
        <v>13</v>
      </c>
      <c r="F7" s="218" t="s">
        <v>13</v>
      </c>
    </row>
    <row r="8" s="179" customFormat="1" spans="1:6">
      <c r="A8" s="219"/>
      <c r="B8" s="220"/>
      <c r="C8" s="221"/>
      <c r="D8" s="221"/>
      <c r="E8" s="222"/>
      <c r="F8" s="223"/>
    </row>
    <row r="9" s="179" customFormat="1" spans="1:6">
      <c r="A9" s="219"/>
      <c r="B9" s="224" t="s">
        <v>14</v>
      </c>
      <c r="C9" s="221"/>
      <c r="D9" s="221"/>
      <c r="E9" s="222"/>
      <c r="F9" s="223"/>
    </row>
    <row r="10" s="179" customFormat="1" ht="15.6" spans="1:6">
      <c r="A10" s="219"/>
      <c r="B10" s="225"/>
      <c r="C10" s="221"/>
      <c r="D10" s="221"/>
      <c r="E10" s="222"/>
      <c r="F10" s="223"/>
    </row>
    <row r="11" s="179" customFormat="1" spans="1:6">
      <c r="A11" s="226"/>
      <c r="B11" s="227" t="s">
        <v>15</v>
      </c>
      <c r="C11" s="228"/>
      <c r="D11" s="221"/>
      <c r="E11" s="222"/>
      <c r="F11" s="223"/>
    </row>
    <row r="12" s="179" customFormat="1" spans="1:6">
      <c r="A12" s="226"/>
      <c r="B12" s="229"/>
      <c r="C12" s="228"/>
      <c r="D12" s="221"/>
      <c r="E12" s="222"/>
      <c r="F12" s="223"/>
    </row>
    <row r="13" s="179" customFormat="1" ht="27.6" spans="1:6">
      <c r="A13" s="226" t="s">
        <v>16</v>
      </c>
      <c r="B13" s="230" t="s">
        <v>17</v>
      </c>
      <c r="C13" s="228">
        <v>1</v>
      </c>
      <c r="D13" s="221" t="s">
        <v>6</v>
      </c>
      <c r="E13" s="231" t="s">
        <v>18</v>
      </c>
      <c r="F13" s="223">
        <v>50000</v>
      </c>
    </row>
    <row r="14" s="179" customFormat="1" spans="1:6">
      <c r="A14" s="226"/>
      <c r="B14" s="232"/>
      <c r="C14" s="228"/>
      <c r="D14" s="221"/>
      <c r="E14" s="222"/>
      <c r="F14" s="223"/>
    </row>
    <row r="15" s="179" customFormat="1" spans="1:6">
      <c r="A15" s="226" t="s">
        <v>19</v>
      </c>
      <c r="B15" s="230" t="s">
        <v>20</v>
      </c>
      <c r="C15" s="228">
        <v>1</v>
      </c>
      <c r="D15" s="221" t="s">
        <v>6</v>
      </c>
      <c r="E15" s="231" t="s">
        <v>18</v>
      </c>
      <c r="F15" s="223">
        <v>35000</v>
      </c>
    </row>
    <row r="16" s="179" customFormat="1" spans="1:6">
      <c r="A16" s="226"/>
      <c r="B16" s="232"/>
      <c r="C16" s="228"/>
      <c r="D16" s="221"/>
      <c r="E16" s="222"/>
      <c r="F16" s="223"/>
    </row>
    <row r="17" s="179" customFormat="1" ht="14.55" spans="1:6">
      <c r="A17" s="226"/>
      <c r="B17" s="233" t="s">
        <v>21</v>
      </c>
      <c r="C17" s="221"/>
      <c r="D17" s="221"/>
      <c r="E17" s="222"/>
      <c r="F17" s="234">
        <f>SUM(F13:F16)</f>
        <v>85000</v>
      </c>
    </row>
    <row r="18" s="179" customFormat="1" ht="14.55" spans="1:6">
      <c r="A18" s="226"/>
      <c r="B18" s="232"/>
      <c r="C18" s="228"/>
      <c r="D18" s="221"/>
      <c r="E18" s="222"/>
      <c r="F18" s="223"/>
    </row>
    <row r="19" s="179" customFormat="1" spans="1:6">
      <c r="A19" s="226"/>
      <c r="B19" s="232"/>
      <c r="C19" s="228"/>
      <c r="D19" s="221"/>
      <c r="E19" s="222"/>
      <c r="F19" s="223"/>
    </row>
    <row r="20" s="179" customFormat="1" spans="1:6">
      <c r="A20" s="226"/>
      <c r="B20" s="232"/>
      <c r="C20" s="228"/>
      <c r="D20" s="221"/>
      <c r="E20" s="222"/>
      <c r="F20" s="223"/>
    </row>
    <row r="21" s="179" customFormat="1" spans="1:6">
      <c r="A21" s="226"/>
      <c r="B21" s="227" t="s">
        <v>22</v>
      </c>
      <c r="C21" s="228"/>
      <c r="D21" s="221"/>
      <c r="E21" s="222"/>
      <c r="F21" s="223"/>
    </row>
    <row r="22" s="179" customFormat="1" spans="1:6">
      <c r="A22" s="226"/>
      <c r="B22" s="232"/>
      <c r="C22" s="228"/>
      <c r="D22" s="221"/>
      <c r="E22" s="222"/>
      <c r="F22" s="223"/>
    </row>
    <row r="23" s="179" customFormat="1" ht="27.6" spans="1:6">
      <c r="A23" s="226" t="s">
        <v>23</v>
      </c>
      <c r="B23" s="230" t="s">
        <v>24</v>
      </c>
      <c r="C23" s="228">
        <v>1</v>
      </c>
      <c r="D23" s="221" t="s">
        <v>6</v>
      </c>
      <c r="E23" s="231" t="s">
        <v>18</v>
      </c>
      <c r="F23" s="223">
        <v>480000</v>
      </c>
    </row>
    <row r="24" s="179" customFormat="1" spans="1:6">
      <c r="A24" s="226"/>
      <c r="B24" s="235"/>
      <c r="C24" s="228"/>
      <c r="D24" s="221"/>
      <c r="E24" s="222"/>
      <c r="F24" s="223"/>
    </row>
    <row r="25" s="179" customFormat="1" ht="27.6" spans="1:6">
      <c r="A25" s="226" t="s">
        <v>25</v>
      </c>
      <c r="B25" s="230" t="s">
        <v>26</v>
      </c>
      <c r="C25" s="228">
        <v>1</v>
      </c>
      <c r="D25" s="221" t="s">
        <v>6</v>
      </c>
      <c r="E25" s="231" t="s">
        <v>18</v>
      </c>
      <c r="F25" s="223">
        <v>60000</v>
      </c>
    </row>
    <row r="26" s="179" customFormat="1" spans="1:6">
      <c r="A26" s="226"/>
      <c r="B26" s="236"/>
      <c r="C26" s="228"/>
      <c r="D26" s="221"/>
      <c r="E26" s="231"/>
      <c r="F26" s="223"/>
    </row>
    <row r="27" s="179" customFormat="1" spans="1:6">
      <c r="A27" s="226"/>
      <c r="B27" s="237"/>
      <c r="C27" s="221"/>
      <c r="D27" s="221"/>
      <c r="E27" s="222"/>
      <c r="F27" s="223"/>
    </row>
    <row r="28" s="179" customFormat="1" spans="1:6">
      <c r="A28" s="226"/>
      <c r="B28" s="237"/>
      <c r="C28" s="221"/>
      <c r="D28" s="221"/>
      <c r="E28" s="222"/>
      <c r="F28" s="223"/>
    </row>
    <row r="29" s="179" customFormat="1" ht="14.55" spans="1:6">
      <c r="A29" s="226"/>
      <c r="B29" s="233" t="s">
        <v>27</v>
      </c>
      <c r="C29" s="221"/>
      <c r="D29" s="221"/>
      <c r="E29" s="222"/>
      <c r="F29" s="234">
        <f>SUM(F23:F28)</f>
        <v>540000</v>
      </c>
    </row>
    <row r="30" s="179" customFormat="1" ht="14.55" spans="1:6">
      <c r="A30" s="238"/>
      <c r="B30" s="239"/>
      <c r="C30" s="216"/>
      <c r="D30" s="216"/>
      <c r="E30" s="217"/>
      <c r="F30" s="218"/>
    </row>
    <row r="31" s="179" customFormat="1" spans="1:6">
      <c r="A31" s="226"/>
      <c r="B31" s="237"/>
      <c r="C31" s="221"/>
      <c r="D31" s="221"/>
      <c r="E31" s="222"/>
      <c r="F31" s="223"/>
    </row>
    <row r="32" s="179" customFormat="1" spans="1:6">
      <c r="A32" s="226"/>
      <c r="B32" s="237"/>
      <c r="C32" s="221"/>
      <c r="D32" s="221"/>
      <c r="E32" s="222"/>
      <c r="F32" s="223"/>
    </row>
    <row r="33" s="179" customFormat="1" spans="1:6">
      <c r="A33" s="226"/>
      <c r="B33" s="237"/>
      <c r="C33" s="221"/>
      <c r="D33" s="221"/>
      <c r="E33" s="222"/>
      <c r="F33" s="223"/>
    </row>
    <row r="34" s="179" customFormat="1" spans="1:6">
      <c r="A34" s="226"/>
      <c r="B34" s="240" t="s">
        <v>28</v>
      </c>
      <c r="C34" s="221"/>
      <c r="D34" s="221"/>
      <c r="E34" s="222"/>
      <c r="F34" s="223"/>
    </row>
    <row r="35" s="179" customFormat="1" spans="1:6">
      <c r="A35" s="226"/>
      <c r="B35" s="237"/>
      <c r="C35" s="221"/>
      <c r="D35" s="221"/>
      <c r="E35" s="222"/>
      <c r="F35" s="223"/>
    </row>
    <row r="36" s="179" customFormat="1" spans="1:6">
      <c r="A36" s="226"/>
      <c r="B36" s="237" t="s">
        <v>15</v>
      </c>
      <c r="C36" s="221"/>
      <c r="D36" s="221"/>
      <c r="E36" s="222"/>
      <c r="F36" s="223">
        <f>F17</f>
        <v>85000</v>
      </c>
    </row>
    <row r="37" s="179" customFormat="1" spans="1:6">
      <c r="A37" s="226"/>
      <c r="B37" s="237"/>
      <c r="C37" s="221"/>
      <c r="D37" s="221"/>
      <c r="E37" s="222"/>
      <c r="F37" s="223"/>
    </row>
    <row r="38" s="179" customFormat="1" spans="1:6">
      <c r="A38" s="226"/>
      <c r="B38" s="237" t="s">
        <v>22</v>
      </c>
      <c r="C38" s="221"/>
      <c r="D38" s="221"/>
      <c r="E38" s="222"/>
      <c r="F38" s="223">
        <f>F29</f>
        <v>540000</v>
      </c>
    </row>
    <row r="39" s="179" customFormat="1" spans="1:6">
      <c r="A39" s="226"/>
      <c r="B39" s="237"/>
      <c r="C39" s="221"/>
      <c r="D39" s="221"/>
      <c r="E39" s="222"/>
      <c r="F39" s="223"/>
    </row>
    <row r="40" s="179" customFormat="1" spans="1:6">
      <c r="A40" s="226"/>
      <c r="B40" s="237"/>
      <c r="C40" s="221"/>
      <c r="D40" s="221"/>
      <c r="E40" s="222"/>
      <c r="F40" s="223"/>
    </row>
    <row r="41" s="179" customFormat="1" spans="1:6">
      <c r="A41" s="226"/>
      <c r="B41" s="237"/>
      <c r="C41" s="221"/>
      <c r="D41" s="221"/>
      <c r="E41" s="222"/>
      <c r="F41" s="223"/>
    </row>
    <row r="42" s="179" customFormat="1" spans="1:6">
      <c r="A42" s="226"/>
      <c r="B42" s="237"/>
      <c r="C42" s="221"/>
      <c r="D42" s="221"/>
      <c r="E42" s="222"/>
      <c r="F42" s="223"/>
    </row>
    <row r="43" s="179" customFormat="1" spans="1:6">
      <c r="A43" s="226"/>
      <c r="B43" s="237"/>
      <c r="C43" s="221"/>
      <c r="D43" s="221"/>
      <c r="E43" s="222"/>
      <c r="F43" s="223"/>
    </row>
    <row r="44" s="179" customFormat="1" spans="1:6">
      <c r="A44" s="226"/>
      <c r="B44" s="237"/>
      <c r="C44" s="221"/>
      <c r="D44" s="221"/>
      <c r="E44" s="222"/>
      <c r="F44" s="223"/>
    </row>
    <row r="45" s="179" customFormat="1" spans="1:6">
      <c r="A45" s="226"/>
      <c r="B45" s="237"/>
      <c r="C45" s="221"/>
      <c r="D45" s="221"/>
      <c r="E45" s="222"/>
      <c r="F45" s="223"/>
    </row>
    <row r="46" s="179" customFormat="1" spans="1:6">
      <c r="A46" s="226"/>
      <c r="B46" s="237"/>
      <c r="C46" s="221"/>
      <c r="D46" s="221"/>
      <c r="E46" s="222"/>
      <c r="F46" s="223"/>
    </row>
    <row r="47" s="179" customFormat="1" spans="1:6">
      <c r="A47" s="226"/>
      <c r="B47" s="237"/>
      <c r="C47" s="221"/>
      <c r="D47" s="221"/>
      <c r="E47" s="222"/>
      <c r="F47" s="223"/>
    </row>
    <row r="48" s="179" customFormat="1" ht="14.55" spans="1:6">
      <c r="A48" s="226"/>
      <c r="B48" s="233" t="s">
        <v>27</v>
      </c>
      <c r="C48" s="221"/>
      <c r="D48" s="221"/>
      <c r="E48" s="222"/>
      <c r="F48" s="234">
        <f>SUM(F35:F47)</f>
        <v>625000</v>
      </c>
    </row>
    <row r="49" s="179" customFormat="1" ht="14.55" spans="1:6">
      <c r="A49" s="226"/>
      <c r="B49" s="237"/>
      <c r="C49" s="221"/>
      <c r="D49" s="221"/>
      <c r="E49" s="222"/>
      <c r="F49" s="223"/>
    </row>
    <row r="50" s="179" customFormat="1" spans="1:6">
      <c r="A50" s="226"/>
      <c r="B50" s="237"/>
      <c r="C50" s="221"/>
      <c r="D50" s="221"/>
      <c r="E50" s="222"/>
      <c r="F50" s="223"/>
    </row>
    <row r="51" s="179" customFormat="1" spans="1:6">
      <c r="A51" s="226"/>
      <c r="B51" s="237"/>
      <c r="C51" s="221"/>
      <c r="D51" s="221"/>
      <c r="E51" s="222"/>
      <c r="F51" s="223"/>
    </row>
    <row r="52" s="179" customFormat="1" spans="1:6">
      <c r="A52" s="238"/>
      <c r="B52" s="239"/>
      <c r="C52" s="216"/>
      <c r="D52" s="216"/>
      <c r="E52" s="217"/>
      <c r="F52" s="218"/>
    </row>
    <row r="53" s="179" customFormat="1" spans="1:6">
      <c r="A53" s="226"/>
      <c r="B53" s="237"/>
      <c r="C53" s="221"/>
      <c r="D53" s="221"/>
      <c r="E53" s="222"/>
      <c r="F53" s="223"/>
    </row>
    <row r="54" s="179" customFormat="1" spans="1:6">
      <c r="A54" s="226"/>
      <c r="B54" s="237"/>
      <c r="C54" s="221"/>
      <c r="D54" s="221"/>
      <c r="E54" s="222"/>
      <c r="F54" s="223"/>
    </row>
    <row r="55" s="179" customFormat="1" spans="1:6">
      <c r="A55" s="226"/>
      <c r="B55" s="224" t="s">
        <v>29</v>
      </c>
      <c r="C55" s="221"/>
      <c r="D55" s="221"/>
      <c r="E55" s="222"/>
      <c r="F55" s="223"/>
    </row>
    <row r="56" s="179" customFormat="1" spans="1:6">
      <c r="A56" s="226"/>
      <c r="B56" s="237"/>
      <c r="C56" s="221"/>
      <c r="D56" s="221"/>
      <c r="E56" s="222"/>
      <c r="F56" s="223"/>
    </row>
    <row r="57" s="179" customFormat="1" spans="1:6">
      <c r="A57" s="226"/>
      <c r="B57" s="227" t="s">
        <v>30</v>
      </c>
      <c r="C57" s="221"/>
      <c r="D57" s="221"/>
      <c r="E57" s="222"/>
      <c r="F57" s="223"/>
    </row>
    <row r="58" s="179" customFormat="1" spans="1:6">
      <c r="A58" s="226"/>
      <c r="B58" s="237"/>
      <c r="C58" s="221"/>
      <c r="D58" s="221"/>
      <c r="E58" s="222"/>
      <c r="F58" s="223"/>
    </row>
    <row r="59" s="179" customFormat="1" spans="1:6">
      <c r="A59" s="226"/>
      <c r="B59" s="237"/>
      <c r="C59" s="221"/>
      <c r="D59" s="221"/>
      <c r="E59" s="222"/>
      <c r="F59" s="223"/>
    </row>
    <row r="60" s="179" customFormat="1" spans="1:6">
      <c r="A60" s="226" t="s">
        <v>16</v>
      </c>
      <c r="B60" s="237" t="s">
        <v>31</v>
      </c>
      <c r="C60" s="221">
        <v>8</v>
      </c>
      <c r="D60" s="221" t="s">
        <v>32</v>
      </c>
      <c r="E60" s="222">
        <v>3950</v>
      </c>
      <c r="F60" s="223">
        <f>E60*C60</f>
        <v>31600</v>
      </c>
    </row>
    <row r="61" s="179" customFormat="1" spans="1:6">
      <c r="A61" s="226"/>
      <c r="B61" s="237"/>
      <c r="C61" s="221"/>
      <c r="D61" s="221"/>
      <c r="E61" s="222"/>
      <c r="F61" s="223"/>
    </row>
    <row r="62" s="179" customFormat="1" spans="1:6">
      <c r="A62" s="226" t="s">
        <v>19</v>
      </c>
      <c r="B62" s="237" t="s">
        <v>33</v>
      </c>
      <c r="C62" s="221">
        <v>7.8</v>
      </c>
      <c r="D62" s="221" t="s">
        <v>32</v>
      </c>
      <c r="E62" s="222">
        <v>3660</v>
      </c>
      <c r="F62" s="223">
        <f>E62*C62</f>
        <v>28548</v>
      </c>
    </row>
    <row r="63" s="179" customFormat="1" spans="1:6">
      <c r="A63" s="226"/>
      <c r="B63" s="237"/>
      <c r="C63" s="221"/>
      <c r="D63" s="221"/>
      <c r="E63" s="222"/>
      <c r="F63" s="223"/>
    </row>
    <row r="64" s="179" customFormat="1" spans="1:6">
      <c r="A64" s="226" t="s">
        <v>23</v>
      </c>
      <c r="B64" s="237" t="s">
        <v>34</v>
      </c>
      <c r="C64" s="221">
        <v>20.3</v>
      </c>
      <c r="D64" s="221" t="s">
        <v>32</v>
      </c>
      <c r="E64" s="222">
        <v>5700</v>
      </c>
      <c r="F64" s="223">
        <f>E64*C64</f>
        <v>115710</v>
      </c>
    </row>
    <row r="65" s="179" customFormat="1" spans="1:6">
      <c r="A65" s="226"/>
      <c r="B65" s="237"/>
      <c r="C65" s="221"/>
      <c r="D65" s="221"/>
      <c r="E65" s="222"/>
      <c r="F65" s="223"/>
    </row>
    <row r="66" s="179" customFormat="1" ht="14.55" spans="1:6">
      <c r="A66" s="226"/>
      <c r="B66" s="233" t="s">
        <v>21</v>
      </c>
      <c r="C66" s="221"/>
      <c r="D66" s="221"/>
      <c r="E66" s="222"/>
      <c r="F66" s="234">
        <f>SUM(F60:F65)</f>
        <v>175858</v>
      </c>
    </row>
    <row r="67" s="179" customFormat="1" ht="14.55" spans="1:6">
      <c r="A67" s="226"/>
      <c r="B67" s="237"/>
      <c r="C67" s="221"/>
      <c r="D67" s="221"/>
      <c r="E67" s="222"/>
      <c r="F67" s="223"/>
    </row>
    <row r="68" s="179" customFormat="1" spans="1:6">
      <c r="A68" s="238"/>
      <c r="B68" s="241"/>
      <c r="C68" s="216"/>
      <c r="D68" s="216"/>
      <c r="E68" s="217"/>
      <c r="F68" s="218"/>
    </row>
    <row r="69" s="179" customFormat="1" spans="1:6">
      <c r="A69" s="226"/>
      <c r="B69" s="242"/>
      <c r="C69" s="221"/>
      <c r="D69" s="221"/>
      <c r="E69" s="222"/>
      <c r="F69" s="223"/>
    </row>
    <row r="70" s="179" customFormat="1" spans="1:6">
      <c r="A70" s="226"/>
      <c r="B70" s="227" t="s">
        <v>35</v>
      </c>
      <c r="C70" s="221"/>
      <c r="D70" s="221"/>
      <c r="E70" s="222"/>
      <c r="F70" s="223"/>
    </row>
    <row r="71" s="179" customFormat="1" spans="1:6">
      <c r="A71" s="226"/>
      <c r="B71" s="243"/>
      <c r="C71" s="221"/>
      <c r="D71" s="221"/>
      <c r="E71" s="222"/>
      <c r="F71" s="223"/>
    </row>
    <row r="72" s="179" customFormat="1" spans="1:6">
      <c r="A72" s="226"/>
      <c r="B72" s="233" t="s">
        <v>36</v>
      </c>
      <c r="C72" s="221"/>
      <c r="D72" s="221"/>
      <c r="E72" s="222"/>
      <c r="F72" s="223"/>
    </row>
    <row r="73" s="179" customFormat="1" spans="1:6">
      <c r="A73" s="226"/>
      <c r="B73" s="243"/>
      <c r="C73" s="221"/>
      <c r="D73" s="221"/>
      <c r="E73" s="222"/>
      <c r="F73" s="223"/>
    </row>
    <row r="74" s="179" customFormat="1" ht="27.6" spans="1:6">
      <c r="A74" s="226"/>
      <c r="B74" s="243" t="s">
        <v>37</v>
      </c>
      <c r="C74" s="221"/>
      <c r="D74" s="221"/>
      <c r="E74" s="222"/>
      <c r="F74" s="223"/>
    </row>
    <row r="75" s="179" customFormat="1" spans="1:6">
      <c r="A75" s="226"/>
      <c r="B75" s="243"/>
      <c r="C75" s="221"/>
      <c r="D75" s="221"/>
      <c r="E75" s="222"/>
      <c r="F75" s="223"/>
    </row>
    <row r="76" s="179" customFormat="1" spans="1:6">
      <c r="A76" s="226" t="s">
        <v>25</v>
      </c>
      <c r="B76" s="237" t="s">
        <v>38</v>
      </c>
      <c r="C76" s="221">
        <v>2.8</v>
      </c>
      <c r="D76" s="221" t="s">
        <v>39</v>
      </c>
      <c r="E76" s="222">
        <v>6640</v>
      </c>
      <c r="F76" s="223">
        <f>E76*C76</f>
        <v>18592</v>
      </c>
    </row>
    <row r="77" s="179" customFormat="1" spans="1:6">
      <c r="A77" s="226"/>
      <c r="B77" s="237"/>
      <c r="C77" s="221"/>
      <c r="D77" s="221"/>
      <c r="E77" s="222"/>
      <c r="F77" s="223"/>
    </row>
    <row r="78" s="179" customFormat="1" spans="1:6">
      <c r="A78" s="226" t="s">
        <v>40</v>
      </c>
      <c r="B78" s="237" t="s">
        <v>41</v>
      </c>
      <c r="C78" s="221">
        <v>2.3</v>
      </c>
      <c r="D78" s="221" t="s">
        <v>39</v>
      </c>
      <c r="E78" s="222">
        <v>6640</v>
      </c>
      <c r="F78" s="223">
        <f t="shared" ref="F78:F80" si="0">E78*C78</f>
        <v>15272</v>
      </c>
    </row>
    <row r="79" s="179" customFormat="1" spans="1:6">
      <c r="A79" s="226"/>
      <c r="B79" s="237"/>
      <c r="C79" s="221"/>
      <c r="D79" s="221"/>
      <c r="E79" s="222"/>
      <c r="F79" s="223"/>
    </row>
    <row r="80" s="179" customFormat="1" spans="1:6">
      <c r="A80" s="226" t="s">
        <v>42</v>
      </c>
      <c r="B80" s="237" t="s">
        <v>43</v>
      </c>
      <c r="C80" s="221">
        <v>13</v>
      </c>
      <c r="D80" s="221" t="s">
        <v>39</v>
      </c>
      <c r="E80" s="222">
        <v>9910</v>
      </c>
      <c r="F80" s="223">
        <f t="shared" si="0"/>
        <v>128830</v>
      </c>
    </row>
    <row r="81" s="179" customFormat="1" spans="1:6">
      <c r="A81" s="226"/>
      <c r="B81" s="243"/>
      <c r="C81" s="221"/>
      <c r="D81" s="221"/>
      <c r="E81" s="222"/>
      <c r="F81" s="223"/>
    </row>
    <row r="82" s="179" customFormat="1" ht="27.6" spans="1:6">
      <c r="A82" s="226"/>
      <c r="B82" s="243" t="s">
        <v>44</v>
      </c>
      <c r="C82" s="221"/>
      <c r="D82" s="221"/>
      <c r="E82" s="222"/>
      <c r="F82" s="223"/>
    </row>
    <row r="83" s="179" customFormat="1" spans="1:6">
      <c r="A83" s="226"/>
      <c r="B83" s="243"/>
      <c r="C83" s="221"/>
      <c r="D83" s="221"/>
      <c r="E83" s="222"/>
      <c r="F83" s="223"/>
    </row>
    <row r="84" s="179" customFormat="1" ht="24.75" customHeight="1" spans="1:6">
      <c r="A84" s="226"/>
      <c r="B84" s="243" t="s">
        <v>45</v>
      </c>
      <c r="C84" s="221"/>
      <c r="D84" s="221"/>
      <c r="E84" s="222"/>
      <c r="F84" s="223"/>
    </row>
    <row r="85" s="179" customFormat="1" spans="1:6">
      <c r="A85" s="226" t="s">
        <v>46</v>
      </c>
      <c r="B85" s="237" t="s">
        <v>47</v>
      </c>
      <c r="C85" s="221">
        <v>2.4</v>
      </c>
      <c r="D85" s="221" t="s">
        <v>32</v>
      </c>
      <c r="E85" s="222">
        <v>40480</v>
      </c>
      <c r="F85" s="223">
        <f>E85*C85</f>
        <v>97152</v>
      </c>
    </row>
    <row r="86" s="179" customFormat="1" spans="1:6">
      <c r="A86" s="226"/>
      <c r="B86" s="237"/>
      <c r="C86" s="221"/>
      <c r="D86" s="221"/>
      <c r="E86" s="222"/>
      <c r="F86" s="223"/>
    </row>
    <row r="87" s="179" customFormat="1" spans="1:6">
      <c r="A87" s="226" t="s">
        <v>48</v>
      </c>
      <c r="B87" s="237" t="s">
        <v>49</v>
      </c>
      <c r="C87" s="221">
        <v>0.8</v>
      </c>
      <c r="D87" s="221" t="s">
        <v>32</v>
      </c>
      <c r="E87" s="222">
        <v>40480</v>
      </c>
      <c r="F87" s="223">
        <f>E87*C87</f>
        <v>32384</v>
      </c>
    </row>
    <row r="88" s="179" customFormat="1" spans="1:6">
      <c r="A88" s="226"/>
      <c r="B88" s="237"/>
      <c r="C88" s="221"/>
      <c r="D88" s="221"/>
      <c r="E88" s="222"/>
      <c r="F88" s="223"/>
    </row>
    <row r="89" s="179" customFormat="1" spans="1:6">
      <c r="A89" s="226" t="s">
        <v>50</v>
      </c>
      <c r="B89" s="237" t="s">
        <v>51</v>
      </c>
      <c r="C89" s="221">
        <v>1.1</v>
      </c>
      <c r="D89" s="221" t="s">
        <v>32</v>
      </c>
      <c r="E89" s="222">
        <v>40480</v>
      </c>
      <c r="F89" s="223">
        <f>E89*C89</f>
        <v>44528</v>
      </c>
    </row>
    <row r="90" s="179" customFormat="1" spans="1:6">
      <c r="A90" s="226"/>
      <c r="B90" s="243"/>
      <c r="C90" s="221"/>
      <c r="D90" s="221"/>
      <c r="E90" s="222"/>
      <c r="F90" s="223"/>
    </row>
    <row r="91" s="179" customFormat="1" spans="1:6">
      <c r="A91" s="226"/>
      <c r="B91" s="244" t="s">
        <v>52</v>
      </c>
      <c r="C91" s="221"/>
      <c r="D91" s="221"/>
      <c r="E91" s="222"/>
      <c r="F91" s="223"/>
    </row>
    <row r="92" s="179" customFormat="1" ht="31.5" customHeight="1" spans="1:6">
      <c r="A92" s="226"/>
      <c r="B92" s="243" t="s">
        <v>53</v>
      </c>
      <c r="C92" s="221"/>
      <c r="D92" s="221"/>
      <c r="E92" s="222"/>
      <c r="F92" s="223"/>
    </row>
    <row r="93" s="179" customFormat="1" spans="1:6">
      <c r="A93" s="226"/>
      <c r="B93" s="243"/>
      <c r="C93" s="221"/>
      <c r="D93" s="221"/>
      <c r="E93" s="222"/>
      <c r="F93" s="223"/>
    </row>
    <row r="94" s="179" customFormat="1" spans="1:6">
      <c r="A94" s="226"/>
      <c r="B94" s="242"/>
      <c r="C94" s="221"/>
      <c r="D94" s="221"/>
      <c r="E94" s="222"/>
      <c r="F94" s="223"/>
    </row>
    <row r="95" s="179" customFormat="1" spans="1:6">
      <c r="A95" s="226" t="s">
        <v>54</v>
      </c>
      <c r="B95" s="245" t="s">
        <v>55</v>
      </c>
      <c r="C95" s="221">
        <v>984</v>
      </c>
      <c r="D95" s="221" t="s">
        <v>56</v>
      </c>
      <c r="E95" s="222">
        <v>200</v>
      </c>
      <c r="F95" s="223">
        <f>E95*C95</f>
        <v>196800</v>
      </c>
    </row>
    <row r="96" s="179" customFormat="1" spans="1:6">
      <c r="A96" s="226"/>
      <c r="B96" s="245"/>
      <c r="C96" s="221"/>
      <c r="D96" s="221"/>
      <c r="E96" s="222"/>
      <c r="F96" s="246"/>
    </row>
    <row r="97" s="179" customFormat="1" spans="1:6">
      <c r="A97" s="238"/>
      <c r="B97" s="247" t="s">
        <v>57</v>
      </c>
      <c r="C97" s="216"/>
      <c r="D97" s="216"/>
      <c r="E97" s="217"/>
      <c r="F97" s="218">
        <f>SUM(F74:F96)</f>
        <v>533558</v>
      </c>
    </row>
    <row r="98" s="179" customFormat="1" ht="18.75" customHeight="1" spans="1:6">
      <c r="A98" s="226"/>
      <c r="B98" s="248" t="s">
        <v>58</v>
      </c>
      <c r="C98" s="221"/>
      <c r="D98" s="221"/>
      <c r="E98" s="222"/>
      <c r="F98" s="223">
        <f>F97</f>
        <v>533558</v>
      </c>
    </row>
    <row r="99" s="179" customFormat="1" ht="18.75" customHeight="1" spans="1:6">
      <c r="A99" s="226"/>
      <c r="B99" s="245"/>
      <c r="C99" s="221"/>
      <c r="D99" s="221"/>
      <c r="E99" s="222"/>
      <c r="F99" s="223"/>
    </row>
    <row r="100" s="179" customFormat="1" spans="1:6">
      <c r="A100" s="226"/>
      <c r="B100" s="244" t="s">
        <v>59</v>
      </c>
      <c r="C100" s="221"/>
      <c r="D100" s="221"/>
      <c r="E100" s="222"/>
      <c r="F100" s="223"/>
    </row>
    <row r="101" s="179" customFormat="1" ht="27.6" spans="1:6">
      <c r="A101" s="226"/>
      <c r="B101" s="243" t="s">
        <v>53</v>
      </c>
      <c r="C101" s="221"/>
      <c r="D101" s="221"/>
      <c r="E101" s="222"/>
      <c r="F101" s="223"/>
    </row>
    <row r="102" s="179" customFormat="1" spans="1:6">
      <c r="A102" s="226"/>
      <c r="B102" s="245"/>
      <c r="C102" s="221"/>
      <c r="D102" s="221"/>
      <c r="E102" s="222"/>
      <c r="F102" s="223"/>
    </row>
    <row r="103" s="179" customFormat="1" spans="1:6">
      <c r="A103" s="226" t="s">
        <v>16</v>
      </c>
      <c r="B103" s="245" t="s">
        <v>60</v>
      </c>
      <c r="C103" s="221">
        <v>400</v>
      </c>
      <c r="D103" s="221" t="s">
        <v>56</v>
      </c>
      <c r="E103" s="222">
        <v>200</v>
      </c>
      <c r="F103" s="223">
        <f>E103*C103</f>
        <v>80000</v>
      </c>
    </row>
    <row r="104" s="179" customFormat="1" spans="1:6">
      <c r="A104" s="226"/>
      <c r="B104" s="245"/>
      <c r="C104" s="221"/>
      <c r="D104" s="221"/>
      <c r="E104" s="222"/>
      <c r="F104" s="223"/>
    </row>
    <row r="105" s="179" customFormat="1" spans="1:6">
      <c r="A105" s="226" t="s">
        <v>19</v>
      </c>
      <c r="B105" s="245" t="s">
        <v>61</v>
      </c>
      <c r="C105" s="221">
        <v>297</v>
      </c>
      <c r="D105" s="221" t="s">
        <v>56</v>
      </c>
      <c r="E105" s="222">
        <v>200</v>
      </c>
      <c r="F105" s="223">
        <f>E105*C105</f>
        <v>59400</v>
      </c>
    </row>
    <row r="106" s="179" customFormat="1" spans="1:6">
      <c r="A106" s="226"/>
      <c r="B106" s="242"/>
      <c r="C106" s="221"/>
      <c r="D106" s="221"/>
      <c r="E106" s="222"/>
      <c r="F106" s="223"/>
    </row>
    <row r="107" s="179" customFormat="1" spans="1:6">
      <c r="A107" s="226"/>
      <c r="B107" s="242"/>
      <c r="C107" s="221"/>
      <c r="D107" s="221"/>
      <c r="E107" s="222"/>
      <c r="F107" s="223"/>
    </row>
    <row r="108" s="179" customFormat="1" spans="1:6">
      <c r="A108" s="226"/>
      <c r="B108" s="244" t="s">
        <v>62</v>
      </c>
      <c r="C108" s="221"/>
      <c r="D108" s="221"/>
      <c r="E108" s="222"/>
      <c r="F108" s="223"/>
    </row>
    <row r="109" s="179" customFormat="1" spans="1:6">
      <c r="A109" s="226"/>
      <c r="B109" s="243"/>
      <c r="C109" s="221"/>
      <c r="D109" s="221"/>
      <c r="E109" s="222"/>
      <c r="F109" s="223"/>
    </row>
    <row r="110" s="179" customFormat="1" spans="1:6">
      <c r="A110" s="226"/>
      <c r="B110" s="243" t="s">
        <v>63</v>
      </c>
      <c r="C110" s="221"/>
      <c r="D110" s="221"/>
      <c r="E110" s="222"/>
      <c r="F110" s="223"/>
    </row>
    <row r="111" s="179" customFormat="1" spans="1:6">
      <c r="A111" s="226"/>
      <c r="B111" s="242"/>
      <c r="C111" s="221"/>
      <c r="D111" s="221"/>
      <c r="E111" s="222"/>
      <c r="F111" s="223"/>
    </row>
    <row r="112" s="179" customFormat="1" spans="1:6">
      <c r="A112" s="226"/>
      <c r="B112" s="237" t="s">
        <v>64</v>
      </c>
      <c r="C112" s="249">
        <v>5.8</v>
      </c>
      <c r="D112" s="221" t="s">
        <v>39</v>
      </c>
      <c r="E112" s="222">
        <v>14795</v>
      </c>
      <c r="F112" s="223">
        <f>E112*C112</f>
        <v>85811</v>
      </c>
    </row>
    <row r="113" s="179" customFormat="1" spans="1:6">
      <c r="A113" s="226"/>
      <c r="B113" s="242"/>
      <c r="C113" s="221"/>
      <c r="D113" s="221"/>
      <c r="E113" s="222"/>
      <c r="F113" s="223"/>
    </row>
    <row r="114" s="179" customFormat="1" spans="1:6">
      <c r="A114" s="226"/>
      <c r="B114" s="237" t="s">
        <v>61</v>
      </c>
      <c r="C114" s="221">
        <v>1.1</v>
      </c>
      <c r="D114" s="221" t="s">
        <v>39</v>
      </c>
      <c r="E114" s="222">
        <v>14795</v>
      </c>
      <c r="F114" s="223">
        <f>E114*C114</f>
        <v>16274.5</v>
      </c>
    </row>
    <row r="115" s="179" customFormat="1" spans="1:6">
      <c r="A115" s="226"/>
      <c r="B115" s="242"/>
      <c r="C115" s="221"/>
      <c r="D115" s="221"/>
      <c r="E115" s="222"/>
      <c r="F115" s="223"/>
    </row>
    <row r="116" s="179" customFormat="1" spans="1:6">
      <c r="A116" s="226"/>
      <c r="B116" s="242"/>
      <c r="C116" s="221"/>
      <c r="D116" s="221"/>
      <c r="E116" s="222"/>
      <c r="F116" s="223"/>
    </row>
    <row r="117" s="179" customFormat="1" ht="14.55" spans="1:6">
      <c r="A117" s="226"/>
      <c r="B117" s="233" t="s">
        <v>21</v>
      </c>
      <c r="C117" s="221"/>
      <c r="D117" s="221"/>
      <c r="E117" s="222"/>
      <c r="F117" s="234">
        <f>SUM(F98:F116)</f>
        <v>775043.5</v>
      </c>
    </row>
    <row r="118" s="179" customFormat="1" ht="14.55" spans="1:6">
      <c r="A118" s="238"/>
      <c r="B118" s="241"/>
      <c r="C118" s="216"/>
      <c r="D118" s="216"/>
      <c r="E118" s="217"/>
      <c r="F118" s="218"/>
    </row>
    <row r="119" s="179" customFormat="1" spans="1:6">
      <c r="A119" s="226"/>
      <c r="B119" s="242"/>
      <c r="C119" s="221"/>
      <c r="D119" s="221"/>
      <c r="E119" s="222"/>
      <c r="F119" s="223"/>
    </row>
    <row r="120" s="179" customFormat="1" spans="1:6">
      <c r="A120" s="226"/>
      <c r="B120" s="227" t="s">
        <v>65</v>
      </c>
      <c r="C120" s="221"/>
      <c r="D120" s="221"/>
      <c r="E120" s="222"/>
      <c r="F120" s="223"/>
    </row>
    <row r="121" s="179" customFormat="1" spans="1:6">
      <c r="A121" s="226"/>
      <c r="B121" s="242"/>
      <c r="C121" s="221"/>
      <c r="D121" s="221"/>
      <c r="E121" s="222"/>
      <c r="F121" s="223"/>
    </row>
    <row r="122" s="179" customFormat="1" ht="27.6" spans="1:6">
      <c r="A122" s="226"/>
      <c r="B122" s="237" t="s">
        <v>66</v>
      </c>
      <c r="C122" s="221">
        <v>11</v>
      </c>
      <c r="D122" s="221" t="s">
        <v>32</v>
      </c>
      <c r="E122" s="222">
        <v>30196</v>
      </c>
      <c r="F122" s="223">
        <f>E122*C122</f>
        <v>332156</v>
      </c>
    </row>
    <row r="123" s="179" customFormat="1" spans="1:6">
      <c r="A123" s="226"/>
      <c r="B123" s="242"/>
      <c r="C123" s="221"/>
      <c r="D123" s="221"/>
      <c r="E123" s="222"/>
      <c r="F123" s="223"/>
    </row>
    <row r="124" s="179" customFormat="1" ht="14.55" spans="1:6">
      <c r="A124" s="226"/>
      <c r="B124" s="233" t="s">
        <v>21</v>
      </c>
      <c r="C124" s="221"/>
      <c r="D124" s="221"/>
      <c r="E124" s="222"/>
      <c r="F124" s="234">
        <f>SUM(F122:F123)</f>
        <v>332156</v>
      </c>
    </row>
    <row r="125" s="179" customFormat="1" ht="14.55" spans="1:6">
      <c r="A125" s="226"/>
      <c r="B125" s="242"/>
      <c r="C125" s="221"/>
      <c r="D125" s="221"/>
      <c r="E125" s="222"/>
      <c r="F125" s="223"/>
    </row>
    <row r="126" s="179" customFormat="1" spans="1:6">
      <c r="A126" s="238"/>
      <c r="B126" s="241"/>
      <c r="C126" s="216"/>
      <c r="D126" s="216"/>
      <c r="E126" s="217"/>
      <c r="F126" s="218"/>
    </row>
    <row r="127" s="179" customFormat="1" spans="1:6">
      <c r="A127" s="226"/>
      <c r="B127" s="242"/>
      <c r="C127" s="221"/>
      <c r="D127" s="221"/>
      <c r="E127" s="222"/>
      <c r="F127" s="223"/>
    </row>
    <row r="128" s="179" customFormat="1" spans="1:6">
      <c r="A128" s="226"/>
      <c r="B128" s="227" t="s">
        <v>67</v>
      </c>
      <c r="C128" s="221"/>
      <c r="D128" s="221"/>
      <c r="E128" s="222"/>
      <c r="F128" s="223"/>
    </row>
    <row r="129" s="179" customFormat="1" spans="1:6">
      <c r="A129" s="226"/>
      <c r="B129" s="242"/>
      <c r="C129" s="221"/>
      <c r="D129" s="221"/>
      <c r="E129" s="222"/>
      <c r="F129" s="223"/>
    </row>
    <row r="130" s="179" customFormat="1" spans="1:6">
      <c r="A130" s="226"/>
      <c r="B130" s="237" t="s">
        <v>68</v>
      </c>
      <c r="C130" s="221">
        <v>13</v>
      </c>
      <c r="D130" s="221" t="s">
        <v>39</v>
      </c>
      <c r="E130" s="222">
        <v>1183</v>
      </c>
      <c r="F130" s="223">
        <f>E130*C130</f>
        <v>15379</v>
      </c>
    </row>
    <row r="131" s="179" customFormat="1" spans="1:6">
      <c r="A131" s="226"/>
      <c r="B131" s="242"/>
      <c r="C131" s="221"/>
      <c r="D131" s="221"/>
      <c r="E131" s="222"/>
      <c r="F131" s="223"/>
    </row>
    <row r="132" s="179" customFormat="1" ht="22.5" customHeight="1" spans="1:6">
      <c r="A132" s="226"/>
      <c r="B132" s="244" t="s">
        <v>69</v>
      </c>
      <c r="C132" s="221"/>
      <c r="D132" s="221"/>
      <c r="E132" s="222"/>
      <c r="F132" s="223"/>
    </row>
    <row r="133" s="180" customFormat="1" ht="24" customHeight="1" spans="1:6">
      <c r="A133" s="226"/>
      <c r="B133" s="250" t="s">
        <v>70</v>
      </c>
      <c r="C133" s="251">
        <v>2.6</v>
      </c>
      <c r="D133" s="251" t="s">
        <v>39</v>
      </c>
      <c r="E133" s="252">
        <v>3766</v>
      </c>
      <c r="F133" s="253">
        <f>E133*C133</f>
        <v>9791.6</v>
      </c>
    </row>
    <row r="134" s="179" customFormat="1" spans="1:6">
      <c r="A134" s="226"/>
      <c r="B134" s="242"/>
      <c r="C134" s="221"/>
      <c r="D134" s="221"/>
      <c r="E134" s="222"/>
      <c r="F134" s="223"/>
    </row>
    <row r="135" s="179" customFormat="1" ht="14.55" spans="1:6">
      <c r="A135" s="226"/>
      <c r="B135" s="233" t="s">
        <v>21</v>
      </c>
      <c r="C135" s="221"/>
      <c r="D135" s="221"/>
      <c r="E135" s="222"/>
      <c r="F135" s="234">
        <f>SUM(F129:F134)</f>
        <v>25170.6</v>
      </c>
    </row>
    <row r="136" s="179" customFormat="1" ht="14.55" spans="1:6">
      <c r="A136" s="226"/>
      <c r="B136" s="242"/>
      <c r="C136" s="221"/>
      <c r="D136" s="221"/>
      <c r="E136" s="222"/>
      <c r="F136" s="223"/>
    </row>
    <row r="137" s="179" customFormat="1" spans="1:6">
      <c r="A137" s="226"/>
      <c r="B137" s="242"/>
      <c r="C137" s="221"/>
      <c r="D137" s="221"/>
      <c r="E137" s="222"/>
      <c r="F137" s="223"/>
    </row>
    <row r="138" s="179" customFormat="1" spans="1:6">
      <c r="A138" s="226"/>
      <c r="B138" s="242"/>
      <c r="C138" s="221"/>
      <c r="D138" s="221"/>
      <c r="E138" s="222"/>
      <c r="F138" s="223"/>
    </row>
    <row r="139" s="179" customFormat="1" spans="1:6">
      <c r="A139" s="226"/>
      <c r="B139" s="242"/>
      <c r="C139" s="221"/>
      <c r="D139" s="221"/>
      <c r="E139" s="222"/>
      <c r="F139" s="223"/>
    </row>
    <row r="140" s="179" customFormat="1" spans="1:6">
      <c r="A140" s="226"/>
      <c r="B140" s="242"/>
      <c r="C140" s="221"/>
      <c r="D140" s="221"/>
      <c r="E140" s="222"/>
      <c r="F140" s="223"/>
    </row>
    <row r="141" s="179" customFormat="1" spans="1:6">
      <c r="A141" s="238"/>
      <c r="B141" s="241"/>
      <c r="C141" s="216"/>
      <c r="D141" s="216"/>
      <c r="E141" s="217"/>
      <c r="F141" s="218"/>
    </row>
    <row r="142" s="179" customFormat="1" spans="1:6">
      <c r="A142" s="226"/>
      <c r="B142" s="242"/>
      <c r="C142" s="221"/>
      <c r="D142" s="221"/>
      <c r="E142" s="222"/>
      <c r="F142" s="223"/>
    </row>
    <row r="143" s="179" customFormat="1" spans="1:6">
      <c r="A143" s="226"/>
      <c r="B143" s="242"/>
      <c r="C143" s="221"/>
      <c r="D143" s="221"/>
      <c r="E143" s="222"/>
      <c r="F143" s="223"/>
    </row>
    <row r="144" s="179" customFormat="1" spans="1:6">
      <c r="A144" s="226"/>
      <c r="B144" s="240" t="s">
        <v>71</v>
      </c>
      <c r="C144" s="221"/>
      <c r="D144" s="221"/>
      <c r="E144" s="222"/>
      <c r="F144" s="223"/>
    </row>
    <row r="145" s="179" customFormat="1" spans="1:6">
      <c r="A145" s="226"/>
      <c r="B145" s="237"/>
      <c r="C145" s="221"/>
      <c r="D145" s="221"/>
      <c r="E145" s="222"/>
      <c r="F145" s="223"/>
    </row>
    <row r="146" s="179" customFormat="1" spans="1:6">
      <c r="A146" s="226"/>
      <c r="B146" s="224" t="s">
        <v>29</v>
      </c>
      <c r="C146" s="221"/>
      <c r="D146" s="221"/>
      <c r="E146" s="222"/>
      <c r="F146" s="223"/>
    </row>
    <row r="147" s="179" customFormat="1" spans="1:6">
      <c r="A147" s="226"/>
      <c r="B147" s="237"/>
      <c r="C147" s="221"/>
      <c r="D147" s="221"/>
      <c r="E147" s="222"/>
      <c r="F147" s="223"/>
    </row>
    <row r="148" s="179" customFormat="1" spans="1:6">
      <c r="A148" s="226"/>
      <c r="B148" s="235" t="s">
        <v>30</v>
      </c>
      <c r="C148" s="221"/>
      <c r="D148" s="221"/>
      <c r="E148" s="222"/>
      <c r="F148" s="223">
        <f>F66</f>
        <v>175858</v>
      </c>
    </row>
    <row r="149" s="179" customFormat="1" spans="1:6">
      <c r="A149" s="226"/>
      <c r="B149" s="237"/>
      <c r="C149" s="221"/>
      <c r="D149" s="221"/>
      <c r="E149" s="222"/>
      <c r="F149" s="223"/>
    </row>
    <row r="150" s="179" customFormat="1" spans="1:6">
      <c r="A150" s="226"/>
      <c r="B150" s="235" t="s">
        <v>35</v>
      </c>
      <c r="C150" s="221"/>
      <c r="D150" s="221"/>
      <c r="E150" s="222"/>
      <c r="F150" s="223">
        <f>F117</f>
        <v>775043.5</v>
      </c>
    </row>
    <row r="151" s="179" customFormat="1" spans="1:6">
      <c r="A151" s="226"/>
      <c r="B151" s="254"/>
      <c r="C151" s="221"/>
      <c r="D151" s="221"/>
      <c r="E151" s="222"/>
      <c r="F151" s="223"/>
    </row>
    <row r="152" s="179" customFormat="1" spans="1:6">
      <c r="A152" s="226"/>
      <c r="B152" s="235" t="s">
        <v>65</v>
      </c>
      <c r="C152" s="221"/>
      <c r="D152" s="221"/>
      <c r="E152" s="222"/>
      <c r="F152" s="223">
        <f>F124</f>
        <v>332156</v>
      </c>
    </row>
    <row r="153" s="179" customFormat="1" spans="1:6">
      <c r="A153" s="226"/>
      <c r="B153" s="254"/>
      <c r="C153" s="221"/>
      <c r="D153" s="221"/>
      <c r="E153" s="222"/>
      <c r="F153" s="223"/>
    </row>
    <row r="154" s="179" customFormat="1" spans="1:6">
      <c r="A154" s="226"/>
      <c r="B154" s="235" t="s">
        <v>67</v>
      </c>
      <c r="C154" s="221"/>
      <c r="D154" s="221"/>
      <c r="E154" s="222"/>
      <c r="F154" s="223">
        <f>F135</f>
        <v>25170.6</v>
      </c>
    </row>
    <row r="155" s="179" customFormat="1" spans="1:6">
      <c r="A155" s="226"/>
      <c r="B155" s="242"/>
      <c r="C155" s="221"/>
      <c r="D155" s="221"/>
      <c r="E155" s="222"/>
      <c r="F155" s="223"/>
    </row>
    <row r="156" s="179" customFormat="1" spans="1:6">
      <c r="A156" s="226"/>
      <c r="B156" s="242"/>
      <c r="C156" s="221"/>
      <c r="D156" s="221"/>
      <c r="E156" s="222"/>
      <c r="F156" s="223"/>
    </row>
    <row r="157" s="179" customFormat="1" ht="14.55" spans="1:6">
      <c r="A157" s="226"/>
      <c r="B157" s="233" t="s">
        <v>72</v>
      </c>
      <c r="C157" s="221"/>
      <c r="D157" s="221"/>
      <c r="E157" s="222"/>
      <c r="F157" s="234">
        <f>SUM(F147:F156)</f>
        <v>1308228.1</v>
      </c>
    </row>
    <row r="158" s="179" customFormat="1" ht="14.55" spans="1:6">
      <c r="A158" s="226"/>
      <c r="B158" s="242"/>
      <c r="C158" s="221"/>
      <c r="D158" s="221"/>
      <c r="E158" s="222"/>
      <c r="F158" s="223"/>
    </row>
    <row r="159" s="179" customFormat="1" spans="1:6">
      <c r="A159" s="226"/>
      <c r="B159" s="242"/>
      <c r="C159" s="221"/>
      <c r="D159" s="221"/>
      <c r="E159" s="222"/>
      <c r="F159" s="223"/>
    </row>
    <row r="160" s="179" customFormat="1" spans="1:6">
      <c r="A160" s="226"/>
      <c r="B160" s="242"/>
      <c r="C160" s="221"/>
      <c r="D160" s="221"/>
      <c r="E160" s="222"/>
      <c r="F160" s="223"/>
    </row>
    <row r="161" s="179" customFormat="1" spans="1:6">
      <c r="A161" s="226"/>
      <c r="B161" s="242"/>
      <c r="C161" s="221"/>
      <c r="D161" s="221"/>
      <c r="E161" s="222"/>
      <c r="F161" s="223"/>
    </row>
    <row r="162" s="179" customFormat="1" spans="1:6">
      <c r="A162" s="226"/>
      <c r="B162" s="242"/>
      <c r="C162" s="221"/>
      <c r="D162" s="221"/>
      <c r="E162" s="222"/>
      <c r="F162" s="223"/>
    </row>
    <row r="163" s="179" customFormat="1" spans="1:6">
      <c r="A163" s="226"/>
      <c r="B163" s="242"/>
      <c r="C163" s="221"/>
      <c r="D163" s="221"/>
      <c r="E163" s="222"/>
      <c r="F163" s="223"/>
    </row>
    <row r="164" s="179" customFormat="1" spans="1:6">
      <c r="A164" s="226"/>
      <c r="B164" s="242"/>
      <c r="C164" s="221"/>
      <c r="D164" s="221"/>
      <c r="E164" s="222"/>
      <c r="F164" s="223"/>
    </row>
    <row r="165" s="179" customFormat="1" spans="1:6">
      <c r="A165" s="226"/>
      <c r="B165" s="242"/>
      <c r="C165" s="221"/>
      <c r="D165" s="221"/>
      <c r="E165" s="222"/>
      <c r="F165" s="223"/>
    </row>
    <row r="166" s="179" customFormat="1" spans="1:6">
      <c r="A166" s="226"/>
      <c r="B166" s="242"/>
      <c r="C166" s="221"/>
      <c r="D166" s="221"/>
      <c r="E166" s="222"/>
      <c r="F166" s="223"/>
    </row>
    <row r="167" s="179" customFormat="1" spans="1:6">
      <c r="A167" s="226"/>
      <c r="B167" s="242"/>
      <c r="C167" s="221"/>
      <c r="D167" s="221"/>
      <c r="E167" s="222"/>
      <c r="F167" s="223"/>
    </row>
    <row r="168" s="179" customFormat="1" spans="1:6">
      <c r="A168" s="226"/>
      <c r="B168" s="242"/>
      <c r="C168" s="221"/>
      <c r="D168" s="221"/>
      <c r="E168" s="222"/>
      <c r="F168" s="223"/>
    </row>
    <row r="169" s="179" customFormat="1" spans="1:6">
      <c r="A169" s="226"/>
      <c r="B169" s="242"/>
      <c r="C169" s="221"/>
      <c r="D169" s="221"/>
      <c r="E169" s="222"/>
      <c r="F169" s="223"/>
    </row>
    <row r="170" s="179" customFormat="1" spans="1:6">
      <c r="A170" s="226"/>
      <c r="B170" s="242"/>
      <c r="C170" s="221"/>
      <c r="D170" s="221"/>
      <c r="E170" s="222"/>
      <c r="F170" s="223"/>
    </row>
    <row r="171" s="179" customFormat="1" spans="1:6">
      <c r="A171" s="226"/>
      <c r="B171" s="242"/>
      <c r="C171" s="221"/>
      <c r="D171" s="221"/>
      <c r="E171" s="222"/>
      <c r="F171" s="223"/>
    </row>
    <row r="172" s="179" customFormat="1" spans="1:6">
      <c r="A172" s="226"/>
      <c r="B172" s="242"/>
      <c r="C172" s="221"/>
      <c r="D172" s="221"/>
      <c r="E172" s="222"/>
      <c r="F172" s="223"/>
    </row>
    <row r="173" s="179" customFormat="1" spans="1:6">
      <c r="A173" s="226"/>
      <c r="B173" s="242"/>
      <c r="C173" s="221"/>
      <c r="D173" s="221"/>
      <c r="E173" s="222"/>
      <c r="F173" s="223"/>
    </row>
    <row r="174" s="179" customFormat="1" spans="1:6">
      <c r="A174" s="226"/>
      <c r="B174" s="242"/>
      <c r="C174" s="221"/>
      <c r="D174" s="221"/>
      <c r="E174" s="222"/>
      <c r="F174" s="223"/>
    </row>
    <row r="175" s="179" customFormat="1" spans="1:6">
      <c r="A175" s="226"/>
      <c r="B175" s="242"/>
      <c r="C175" s="221"/>
      <c r="D175" s="221"/>
      <c r="E175" s="222"/>
      <c r="F175" s="223"/>
    </row>
    <row r="176" s="179" customFormat="1" spans="1:6">
      <c r="A176" s="226"/>
      <c r="B176" s="242"/>
      <c r="C176" s="221"/>
      <c r="D176" s="221"/>
      <c r="E176" s="222"/>
      <c r="F176" s="223"/>
    </row>
    <row r="177" s="179" customFormat="1" spans="1:6">
      <c r="A177" s="226"/>
      <c r="B177" s="242"/>
      <c r="C177" s="221"/>
      <c r="D177" s="221"/>
      <c r="E177" s="222"/>
      <c r="F177" s="223"/>
    </row>
    <row r="178" s="179" customFormat="1" spans="1:6">
      <c r="A178" s="226"/>
      <c r="B178" s="242"/>
      <c r="C178" s="221"/>
      <c r="D178" s="221"/>
      <c r="E178" s="222"/>
      <c r="F178" s="223"/>
    </row>
    <row r="179" s="179" customFormat="1" spans="1:6">
      <c r="A179" s="226"/>
      <c r="B179" s="242"/>
      <c r="C179" s="221"/>
      <c r="D179" s="221"/>
      <c r="E179" s="222"/>
      <c r="F179" s="223"/>
    </row>
    <row r="180" s="179" customFormat="1" spans="1:6">
      <c r="A180" s="226"/>
      <c r="B180" s="242"/>
      <c r="C180" s="221"/>
      <c r="D180" s="221"/>
      <c r="E180" s="222"/>
      <c r="F180" s="223"/>
    </row>
    <row r="181" s="179" customFormat="1" spans="1:6">
      <c r="A181" s="226"/>
      <c r="B181" s="242"/>
      <c r="C181" s="221"/>
      <c r="D181" s="221"/>
      <c r="E181" s="222"/>
      <c r="F181" s="223"/>
    </row>
    <row r="182" s="179" customFormat="1" spans="1:6">
      <c r="A182" s="226"/>
      <c r="B182" s="242"/>
      <c r="C182" s="221"/>
      <c r="D182" s="221"/>
      <c r="E182" s="222"/>
      <c r="F182" s="223"/>
    </row>
    <row r="183" s="179" customFormat="1" spans="1:6">
      <c r="A183" s="226"/>
      <c r="B183" s="242"/>
      <c r="C183" s="221"/>
      <c r="D183" s="221"/>
      <c r="E183" s="222"/>
      <c r="F183" s="223"/>
    </row>
    <row r="184" s="179" customFormat="1" spans="1:6">
      <c r="A184" s="226"/>
      <c r="B184" s="242"/>
      <c r="C184" s="221"/>
      <c r="D184" s="221"/>
      <c r="E184" s="222"/>
      <c r="F184" s="223"/>
    </row>
    <row r="185" s="179" customFormat="1" spans="1:6">
      <c r="A185" s="226"/>
      <c r="B185" s="242"/>
      <c r="C185" s="221"/>
      <c r="D185" s="221"/>
      <c r="E185" s="222"/>
      <c r="F185" s="223"/>
    </row>
    <row r="186" s="179" customFormat="1" spans="1:6">
      <c r="A186" s="226"/>
      <c r="B186" s="242"/>
      <c r="C186" s="221"/>
      <c r="D186" s="221"/>
      <c r="E186" s="222"/>
      <c r="F186" s="223"/>
    </row>
    <row r="187" s="179" customFormat="1" spans="1:6">
      <c r="A187" s="226"/>
      <c r="B187" s="242"/>
      <c r="C187" s="221"/>
      <c r="D187" s="221"/>
      <c r="E187" s="222"/>
      <c r="F187" s="223"/>
    </row>
    <row r="188" s="179" customFormat="1" spans="1:6">
      <c r="A188" s="226"/>
      <c r="B188" s="242"/>
      <c r="C188" s="221"/>
      <c r="D188" s="221"/>
      <c r="E188" s="222"/>
      <c r="F188" s="223"/>
    </row>
    <row r="189" s="179" customFormat="1" spans="1:6">
      <c r="A189" s="226"/>
      <c r="B189" s="242"/>
      <c r="C189" s="221"/>
      <c r="D189" s="221"/>
      <c r="E189" s="222"/>
      <c r="F189" s="223"/>
    </row>
    <row r="190" s="179" customFormat="1" spans="1:6">
      <c r="A190" s="238"/>
      <c r="B190" s="241"/>
      <c r="C190" s="216"/>
      <c r="D190" s="216"/>
      <c r="E190" s="217"/>
      <c r="F190" s="218"/>
    </row>
    <row r="191" s="179" customFormat="1" spans="1:6">
      <c r="A191" s="226"/>
      <c r="B191" s="242"/>
      <c r="C191" s="221"/>
      <c r="D191" s="221"/>
      <c r="E191" s="222"/>
      <c r="F191" s="223"/>
    </row>
    <row r="192" s="179" customFormat="1" spans="1:6">
      <c r="A192" s="226"/>
      <c r="B192" s="224" t="s">
        <v>73</v>
      </c>
      <c r="C192" s="221"/>
      <c r="D192" s="221"/>
      <c r="E192" s="222"/>
      <c r="F192" s="223"/>
    </row>
    <row r="193" s="179" customFormat="1" spans="1:6">
      <c r="A193" s="226"/>
      <c r="B193" s="242"/>
      <c r="C193" s="221"/>
      <c r="D193" s="221"/>
      <c r="E193" s="222"/>
      <c r="F193" s="223"/>
    </row>
    <row r="194" s="179" customFormat="1" spans="1:6">
      <c r="A194" s="226"/>
      <c r="B194" s="233" t="s">
        <v>74</v>
      </c>
      <c r="C194" s="221"/>
      <c r="D194" s="221"/>
      <c r="E194" s="222"/>
      <c r="F194" s="223"/>
    </row>
    <row r="195" s="179" customFormat="1" spans="1:6">
      <c r="A195" s="226"/>
      <c r="B195" s="233"/>
      <c r="C195" s="221"/>
      <c r="D195" s="221"/>
      <c r="E195" s="222"/>
      <c r="F195" s="223"/>
    </row>
    <row r="196" s="179" customFormat="1" spans="1:6">
      <c r="A196" s="226"/>
      <c r="B196" s="233" t="s">
        <v>36</v>
      </c>
      <c r="C196" s="221"/>
      <c r="D196" s="221"/>
      <c r="E196" s="222"/>
      <c r="F196" s="223"/>
    </row>
    <row r="197" s="179" customFormat="1" spans="1:6">
      <c r="A197" s="226"/>
      <c r="B197" s="243"/>
      <c r="C197" s="221"/>
      <c r="D197" s="221"/>
      <c r="E197" s="222"/>
      <c r="F197" s="223"/>
    </row>
    <row r="198" s="179" customFormat="1" ht="27.6" spans="1:6">
      <c r="A198" s="226"/>
      <c r="B198" s="243" t="s">
        <v>37</v>
      </c>
      <c r="C198" s="221"/>
      <c r="D198" s="221"/>
      <c r="E198" s="222"/>
      <c r="F198" s="223"/>
    </row>
    <row r="199" s="179" customFormat="1" spans="1:6">
      <c r="A199" s="226"/>
      <c r="B199" s="242"/>
      <c r="C199" s="221"/>
      <c r="D199" s="221"/>
      <c r="E199" s="222"/>
      <c r="F199" s="223"/>
    </row>
    <row r="200" s="179" customFormat="1" ht="27.6" spans="1:6">
      <c r="A200" s="226"/>
      <c r="B200" s="243" t="s">
        <v>75</v>
      </c>
      <c r="C200" s="255"/>
      <c r="D200" s="255"/>
      <c r="E200" s="256"/>
      <c r="F200" s="223"/>
    </row>
    <row r="201" s="179" customFormat="1" spans="1:6">
      <c r="A201" s="226"/>
      <c r="B201" s="237"/>
      <c r="C201" s="255"/>
      <c r="D201" s="255"/>
      <c r="E201" s="256"/>
      <c r="F201" s="223"/>
    </row>
    <row r="202" s="179" customFormat="1" spans="1:6">
      <c r="A202" s="226" t="s">
        <v>16</v>
      </c>
      <c r="B202" s="237" t="s">
        <v>76</v>
      </c>
      <c r="C202" s="221">
        <v>1.2</v>
      </c>
      <c r="D202" s="255" t="s">
        <v>32</v>
      </c>
      <c r="E202" s="256">
        <v>41998</v>
      </c>
      <c r="F202" s="223">
        <f>E202*C202</f>
        <v>50397.6</v>
      </c>
    </row>
    <row r="203" s="179" customFormat="1" spans="1:6">
      <c r="A203" s="226"/>
      <c r="B203" s="237"/>
      <c r="C203" s="221"/>
      <c r="D203" s="255"/>
      <c r="E203" s="256"/>
      <c r="F203" s="223"/>
    </row>
    <row r="204" s="179" customFormat="1" spans="1:6">
      <c r="A204" s="226" t="s">
        <v>19</v>
      </c>
      <c r="B204" s="237" t="s">
        <v>77</v>
      </c>
      <c r="C204" s="221">
        <v>1.4</v>
      </c>
      <c r="D204" s="255" t="s">
        <v>32</v>
      </c>
      <c r="E204" s="256">
        <v>41998</v>
      </c>
      <c r="F204" s="223">
        <f>E204*C204</f>
        <v>58797.2</v>
      </c>
    </row>
    <row r="205" s="179" customFormat="1" spans="1:6">
      <c r="A205" s="226"/>
      <c r="B205" s="237"/>
      <c r="C205" s="221"/>
      <c r="D205" s="255"/>
      <c r="E205" s="256"/>
      <c r="F205" s="223"/>
    </row>
    <row r="206" s="179" customFormat="1" spans="1:6">
      <c r="A206" s="226" t="s">
        <v>23</v>
      </c>
      <c r="B206" s="237" t="s">
        <v>78</v>
      </c>
      <c r="C206" s="221">
        <v>7.7</v>
      </c>
      <c r="D206" s="255" t="s">
        <v>32</v>
      </c>
      <c r="E206" s="256">
        <v>41998</v>
      </c>
      <c r="F206" s="223">
        <f>E206*C206</f>
        <v>323384.6</v>
      </c>
    </row>
    <row r="207" s="179" customFormat="1" spans="1:6">
      <c r="A207" s="226"/>
      <c r="B207" s="237"/>
      <c r="C207" s="221"/>
      <c r="D207" s="255"/>
      <c r="E207" s="256"/>
      <c r="F207" s="223"/>
    </row>
    <row r="208" s="179" customFormat="1" spans="1:6">
      <c r="A208" s="226" t="s">
        <v>25</v>
      </c>
      <c r="B208" s="237" t="s">
        <v>79</v>
      </c>
      <c r="C208" s="221">
        <v>0.6</v>
      </c>
      <c r="D208" s="255" t="s">
        <v>32</v>
      </c>
      <c r="E208" s="256">
        <v>41998</v>
      </c>
      <c r="F208" s="223">
        <f>E208*C208</f>
        <v>25198.8</v>
      </c>
    </row>
    <row r="209" s="179" customFormat="1" spans="1:6">
      <c r="A209" s="226"/>
      <c r="B209" s="242"/>
      <c r="C209" s="221"/>
      <c r="D209" s="221"/>
      <c r="E209" s="222"/>
      <c r="F209" s="223"/>
    </row>
    <row r="210" s="179" customFormat="1" spans="1:6">
      <c r="A210" s="226" t="s">
        <v>40</v>
      </c>
      <c r="B210" s="237" t="s">
        <v>80</v>
      </c>
      <c r="C210" s="256">
        <v>0</v>
      </c>
      <c r="D210" s="255" t="s">
        <v>81</v>
      </c>
      <c r="E210" s="256">
        <v>1320</v>
      </c>
      <c r="F210" s="223" t="s">
        <v>82</v>
      </c>
    </row>
    <row r="211" s="179" customFormat="1" spans="1:6">
      <c r="A211" s="226"/>
      <c r="B211" s="237"/>
      <c r="C211" s="256"/>
      <c r="D211" s="255"/>
      <c r="E211" s="256"/>
      <c r="F211" s="223"/>
    </row>
    <row r="212" s="179" customFormat="1" spans="1:6">
      <c r="A212" s="226" t="s">
        <v>42</v>
      </c>
      <c r="B212" s="237" t="s">
        <v>83</v>
      </c>
      <c r="C212" s="256">
        <v>0</v>
      </c>
      <c r="D212" s="255" t="s">
        <v>81</v>
      </c>
      <c r="E212" s="256">
        <v>2290</v>
      </c>
      <c r="F212" s="223" t="s">
        <v>82</v>
      </c>
    </row>
    <row r="213" s="179" customFormat="1" spans="1:6">
      <c r="A213" s="226"/>
      <c r="B213" s="242"/>
      <c r="C213" s="221"/>
      <c r="D213" s="221"/>
      <c r="E213" s="222"/>
      <c r="F213" s="223"/>
    </row>
    <row r="214" s="179" customFormat="1" spans="1:6">
      <c r="A214" s="226"/>
      <c r="B214" s="242"/>
      <c r="C214" s="221"/>
      <c r="D214" s="221"/>
      <c r="E214" s="222"/>
      <c r="F214" s="223"/>
    </row>
    <row r="215" s="179" customFormat="1" ht="27.6" spans="1:6">
      <c r="A215" s="226"/>
      <c r="B215" s="243" t="s">
        <v>84</v>
      </c>
      <c r="C215" s="221"/>
      <c r="D215" s="255"/>
      <c r="E215" s="256"/>
      <c r="F215" s="223"/>
    </row>
    <row r="216" s="179" customFormat="1" spans="1:6">
      <c r="A216" s="226"/>
      <c r="B216" s="243"/>
      <c r="C216" s="221"/>
      <c r="D216" s="255"/>
      <c r="E216" s="256"/>
      <c r="F216" s="223"/>
    </row>
    <row r="217" s="179" customFormat="1" spans="1:6">
      <c r="A217" s="226" t="s">
        <v>46</v>
      </c>
      <c r="B217" s="237" t="s">
        <v>85</v>
      </c>
      <c r="C217" s="221">
        <v>0.8</v>
      </c>
      <c r="D217" s="255" t="s">
        <v>32</v>
      </c>
      <c r="E217" s="256">
        <v>43010</v>
      </c>
      <c r="F217" s="223">
        <f>E217*C217</f>
        <v>34408</v>
      </c>
    </row>
    <row r="218" s="179" customFormat="1" spans="1:6">
      <c r="A218" s="226"/>
      <c r="B218" s="237"/>
      <c r="C218" s="221"/>
      <c r="D218" s="255"/>
      <c r="E218" s="256"/>
      <c r="F218" s="223"/>
    </row>
    <row r="219" s="179" customFormat="1" spans="1:6">
      <c r="A219" s="226" t="s">
        <v>48</v>
      </c>
      <c r="B219" s="237" t="s">
        <v>86</v>
      </c>
      <c r="C219" s="221">
        <v>3.25</v>
      </c>
      <c r="D219" s="255" t="s">
        <v>32</v>
      </c>
      <c r="E219" s="256">
        <v>43010</v>
      </c>
      <c r="F219" s="223">
        <f>E219*C219</f>
        <v>139782.5</v>
      </c>
    </row>
    <row r="220" s="179" customFormat="1" spans="1:6">
      <c r="A220" s="226"/>
      <c r="B220" s="237"/>
      <c r="C220" s="221"/>
      <c r="D220" s="255"/>
      <c r="E220" s="256"/>
      <c r="F220" s="223"/>
    </row>
    <row r="221" s="179" customFormat="1" spans="1:6">
      <c r="A221" s="226" t="s">
        <v>46</v>
      </c>
      <c r="B221" s="237" t="s">
        <v>87</v>
      </c>
      <c r="C221" s="221">
        <v>4.4</v>
      </c>
      <c r="D221" s="255" t="s">
        <v>32</v>
      </c>
      <c r="E221" s="256">
        <v>43010</v>
      </c>
      <c r="F221" s="223">
        <f>E221*C221</f>
        <v>189244</v>
      </c>
    </row>
    <row r="222" s="179" customFormat="1" spans="1:6">
      <c r="A222" s="226"/>
      <c r="B222" s="237"/>
      <c r="C222" s="221"/>
      <c r="D222" s="255"/>
      <c r="E222" s="256"/>
      <c r="F222" s="223"/>
    </row>
    <row r="223" s="179" customFormat="1" spans="1:6">
      <c r="A223" s="226" t="s">
        <v>48</v>
      </c>
      <c r="B223" s="237" t="s">
        <v>88</v>
      </c>
      <c r="C223" s="221">
        <v>0.8</v>
      </c>
      <c r="D223" s="255" t="s">
        <v>32</v>
      </c>
      <c r="E223" s="256">
        <v>43010</v>
      </c>
      <c r="F223" s="223">
        <f>E223*C223</f>
        <v>34408</v>
      </c>
    </row>
    <row r="224" s="179" customFormat="1" spans="1:6">
      <c r="A224" s="226"/>
      <c r="B224" s="237"/>
      <c r="C224" s="221"/>
      <c r="D224" s="255"/>
      <c r="E224" s="256"/>
      <c r="F224" s="223"/>
    </row>
    <row r="225" s="179" customFormat="1" spans="1:6">
      <c r="A225" s="226" t="s">
        <v>50</v>
      </c>
      <c r="B225" s="237" t="s">
        <v>89</v>
      </c>
      <c r="C225" s="221">
        <v>0.6</v>
      </c>
      <c r="D225" s="255" t="s">
        <v>32</v>
      </c>
      <c r="E225" s="256">
        <v>43010</v>
      </c>
      <c r="F225" s="223">
        <f>E225*C225</f>
        <v>25806</v>
      </c>
    </row>
    <row r="226" s="179" customFormat="1" spans="1:6">
      <c r="A226" s="226"/>
      <c r="B226" s="237"/>
      <c r="C226" s="221"/>
      <c r="D226" s="255"/>
      <c r="E226" s="256"/>
      <c r="F226" s="223"/>
    </row>
    <row r="227" s="179" customFormat="1" spans="1:6">
      <c r="A227" s="226" t="s">
        <v>54</v>
      </c>
      <c r="B227" s="237" t="s">
        <v>90</v>
      </c>
      <c r="C227" s="221">
        <v>8</v>
      </c>
      <c r="D227" s="255" t="s">
        <v>81</v>
      </c>
      <c r="E227" s="256">
        <v>520</v>
      </c>
      <c r="F227" s="223">
        <f>E227*C227</f>
        <v>4160</v>
      </c>
    </row>
    <row r="228" s="179" customFormat="1" spans="1:6">
      <c r="A228" s="226"/>
      <c r="B228" s="237"/>
      <c r="C228" s="221"/>
      <c r="D228" s="255"/>
      <c r="E228" s="256"/>
      <c r="F228" s="223"/>
    </row>
    <row r="229" s="179" customFormat="1" spans="1:6">
      <c r="A229" s="226" t="s">
        <v>91</v>
      </c>
      <c r="B229" s="237" t="s">
        <v>92</v>
      </c>
      <c r="C229" s="221">
        <v>53</v>
      </c>
      <c r="D229" s="255" t="s">
        <v>81</v>
      </c>
      <c r="E229" s="256">
        <v>890</v>
      </c>
      <c r="F229" s="223">
        <f>E229*C229</f>
        <v>47170</v>
      </c>
    </row>
    <row r="230" s="179" customFormat="1" spans="1:6">
      <c r="A230" s="226"/>
      <c r="B230" s="242"/>
      <c r="C230" s="221"/>
      <c r="D230" s="221"/>
      <c r="E230" s="222"/>
      <c r="F230" s="223"/>
    </row>
    <row r="231" s="181" customFormat="1" ht="19.5" customHeight="1" spans="1:6">
      <c r="A231" s="257" t="s">
        <v>93</v>
      </c>
      <c r="B231" s="258" t="s">
        <v>94</v>
      </c>
      <c r="C231" s="259">
        <v>12</v>
      </c>
      <c r="D231" s="260" t="s">
        <v>81</v>
      </c>
      <c r="E231" s="261">
        <v>546</v>
      </c>
      <c r="F231" s="223">
        <f>E231*C231</f>
        <v>6552</v>
      </c>
    </row>
    <row r="232" s="181" customFormat="1" ht="15.75" customHeight="1" spans="1:6">
      <c r="A232" s="257"/>
      <c r="B232" s="258"/>
      <c r="C232" s="259"/>
      <c r="D232" s="260"/>
      <c r="E232" s="261"/>
      <c r="F232" s="223"/>
    </row>
    <row r="233" s="181" customFormat="1" ht="20.25" customHeight="1" spans="1:6">
      <c r="A233" s="257" t="s">
        <v>95</v>
      </c>
      <c r="B233" s="258" t="s">
        <v>96</v>
      </c>
      <c r="C233" s="259">
        <v>60</v>
      </c>
      <c r="D233" s="260" t="s">
        <v>81</v>
      </c>
      <c r="E233" s="261">
        <v>930</v>
      </c>
      <c r="F233" s="223">
        <f>E233*C233</f>
        <v>55800</v>
      </c>
    </row>
    <row r="234" s="179" customFormat="1" ht="11.25" customHeight="1" spans="1:6">
      <c r="A234" s="226"/>
      <c r="B234" s="242"/>
      <c r="C234" s="221"/>
      <c r="D234" s="221"/>
      <c r="E234" s="222"/>
      <c r="F234" s="246"/>
    </row>
    <row r="235" s="179" customFormat="1" spans="1:6">
      <c r="A235" s="238"/>
      <c r="B235" s="247" t="s">
        <v>57</v>
      </c>
      <c r="C235" s="216"/>
      <c r="D235" s="216"/>
      <c r="E235" s="217"/>
      <c r="F235" s="218">
        <f>SUM(F201:F234)</f>
        <v>995108.7</v>
      </c>
    </row>
    <row r="236" s="179" customFormat="1" spans="1:6">
      <c r="A236" s="226"/>
      <c r="B236" s="262" t="s">
        <v>58</v>
      </c>
      <c r="C236" s="221"/>
      <c r="D236" s="221"/>
      <c r="E236" s="222"/>
      <c r="F236" s="223">
        <f>F235</f>
        <v>995108.7</v>
      </c>
    </row>
    <row r="237" s="179" customFormat="1" spans="1:6">
      <c r="A237" s="226"/>
      <c r="B237" s="242"/>
      <c r="C237" s="221"/>
      <c r="D237" s="221"/>
      <c r="E237" s="222"/>
      <c r="F237" s="223"/>
    </row>
    <row r="238" s="179" customFormat="1" spans="1:6">
      <c r="A238" s="226"/>
      <c r="B238" s="242"/>
      <c r="C238" s="221"/>
      <c r="D238" s="221"/>
      <c r="E238" s="222"/>
      <c r="F238" s="223"/>
    </row>
    <row r="239" s="179" customFormat="1" spans="1:6">
      <c r="A239" s="226"/>
      <c r="B239" s="244" t="s">
        <v>52</v>
      </c>
      <c r="C239" s="221"/>
      <c r="D239" s="221"/>
      <c r="E239" s="222"/>
      <c r="F239" s="223"/>
    </row>
    <row r="240" s="179" customFormat="1" ht="27.6" spans="1:6">
      <c r="A240" s="226"/>
      <c r="B240" s="243" t="s">
        <v>53</v>
      </c>
      <c r="C240" s="221"/>
      <c r="D240" s="221"/>
      <c r="E240" s="222"/>
      <c r="F240" s="223"/>
    </row>
    <row r="241" s="179" customFormat="1" spans="1:6">
      <c r="A241" s="226"/>
      <c r="B241" s="242"/>
      <c r="C241" s="221"/>
      <c r="D241" s="221"/>
      <c r="E241" s="222"/>
      <c r="F241" s="223"/>
    </row>
    <row r="242" s="179" customFormat="1" ht="27.6" spans="1:6">
      <c r="A242" s="226"/>
      <c r="B242" s="243" t="s">
        <v>75</v>
      </c>
      <c r="C242" s="221"/>
      <c r="D242" s="221"/>
      <c r="E242" s="222"/>
      <c r="F242" s="223"/>
    </row>
    <row r="243" s="179" customFormat="1" spans="1:6">
      <c r="A243" s="226"/>
      <c r="B243" s="242"/>
      <c r="C243" s="221"/>
      <c r="D243" s="221"/>
      <c r="E243" s="222"/>
      <c r="F243" s="223"/>
    </row>
    <row r="244" s="179" customFormat="1" spans="1:6">
      <c r="A244" s="226" t="s">
        <v>16</v>
      </c>
      <c r="B244" s="237" t="s">
        <v>97</v>
      </c>
      <c r="C244" s="221">
        <v>636</v>
      </c>
      <c r="D244" s="255" t="s">
        <v>56</v>
      </c>
      <c r="E244" s="256">
        <v>210</v>
      </c>
      <c r="F244" s="223">
        <f>E244*C244</f>
        <v>133560</v>
      </c>
    </row>
    <row r="245" s="179" customFormat="1" spans="1:6">
      <c r="A245" s="226"/>
      <c r="B245" s="237"/>
      <c r="C245" s="221"/>
      <c r="D245" s="255"/>
      <c r="E245" s="256"/>
      <c r="F245" s="223"/>
    </row>
    <row r="246" s="179" customFormat="1" spans="1:6">
      <c r="A246" s="226" t="s">
        <v>19</v>
      </c>
      <c r="B246" s="237" t="s">
        <v>98</v>
      </c>
      <c r="C246" s="221">
        <v>1656</v>
      </c>
      <c r="D246" s="255" t="s">
        <v>56</v>
      </c>
      <c r="E246" s="256">
        <v>210</v>
      </c>
      <c r="F246" s="223">
        <f t="shared" ref="F246:F250" si="1">E246*C246</f>
        <v>347760</v>
      </c>
    </row>
    <row r="247" s="179" customFormat="1" spans="1:6">
      <c r="A247" s="226"/>
      <c r="B247" s="237"/>
      <c r="C247" s="221"/>
      <c r="D247" s="255"/>
      <c r="E247" s="256"/>
      <c r="F247" s="223"/>
    </row>
    <row r="248" s="179" customFormat="1" spans="1:6">
      <c r="A248" s="226" t="s">
        <v>23</v>
      </c>
      <c r="B248" s="237" t="s">
        <v>99</v>
      </c>
      <c r="C248" s="221">
        <v>2310</v>
      </c>
      <c r="D248" s="255" t="s">
        <v>56</v>
      </c>
      <c r="E248" s="256">
        <v>210</v>
      </c>
      <c r="F248" s="223">
        <f t="shared" si="1"/>
        <v>485100</v>
      </c>
    </row>
    <row r="249" s="179" customFormat="1" spans="1:6">
      <c r="A249" s="226"/>
      <c r="B249" s="237"/>
      <c r="C249" s="221"/>
      <c r="D249" s="255"/>
      <c r="E249" s="256"/>
      <c r="F249" s="223"/>
    </row>
    <row r="250" s="179" customFormat="1" spans="1:6">
      <c r="A250" s="226" t="s">
        <v>25</v>
      </c>
      <c r="B250" s="237" t="s">
        <v>100</v>
      </c>
      <c r="C250" s="221">
        <v>348</v>
      </c>
      <c r="D250" s="255" t="s">
        <v>56</v>
      </c>
      <c r="E250" s="256">
        <v>210</v>
      </c>
      <c r="F250" s="223">
        <f t="shared" si="1"/>
        <v>73080</v>
      </c>
    </row>
    <row r="251" s="179" customFormat="1" spans="1:6">
      <c r="A251" s="226"/>
      <c r="B251" s="242"/>
      <c r="C251" s="221"/>
      <c r="D251" s="221"/>
      <c r="E251" s="222"/>
      <c r="F251" s="223"/>
    </row>
    <row r="252" s="179" customFormat="1" ht="27.6" spans="1:6">
      <c r="A252" s="226"/>
      <c r="B252" s="243" t="s">
        <v>84</v>
      </c>
      <c r="C252" s="221"/>
      <c r="D252" s="221"/>
      <c r="E252" s="222"/>
      <c r="F252" s="223"/>
    </row>
    <row r="253" s="179" customFormat="1" spans="1:6">
      <c r="A253" s="226"/>
      <c r="B253" s="242"/>
      <c r="C253" s="221"/>
      <c r="D253" s="221"/>
      <c r="E253" s="222"/>
      <c r="F253" s="223"/>
    </row>
    <row r="254" s="179" customFormat="1" spans="1:6">
      <c r="A254" s="226" t="s">
        <v>40</v>
      </c>
      <c r="B254" s="237" t="s">
        <v>101</v>
      </c>
      <c r="C254" s="221">
        <v>424</v>
      </c>
      <c r="D254" s="263" t="s">
        <v>56</v>
      </c>
      <c r="E254" s="222">
        <v>220</v>
      </c>
      <c r="F254" s="223">
        <f t="shared" ref="F254:F262" si="2">E254*C254</f>
        <v>93280</v>
      </c>
    </row>
    <row r="255" s="179" customFormat="1" spans="1:6">
      <c r="A255" s="226"/>
      <c r="B255" s="237"/>
      <c r="C255" s="221"/>
      <c r="D255" s="263"/>
      <c r="E255" s="222"/>
      <c r="F255" s="223"/>
    </row>
    <row r="256" s="179" customFormat="1" spans="1:6">
      <c r="A256" s="226" t="s">
        <v>42</v>
      </c>
      <c r="B256" s="237" t="s">
        <v>102</v>
      </c>
      <c r="C256" s="221">
        <v>2275</v>
      </c>
      <c r="D256" s="263" t="s">
        <v>56</v>
      </c>
      <c r="E256" s="222">
        <v>220</v>
      </c>
      <c r="F256" s="223">
        <f t="shared" si="2"/>
        <v>500500</v>
      </c>
    </row>
    <row r="257" s="179" customFormat="1" spans="1:6">
      <c r="A257" s="226"/>
      <c r="B257" s="237"/>
      <c r="C257" s="221"/>
      <c r="D257" s="263"/>
      <c r="E257" s="222"/>
      <c r="F257" s="223"/>
    </row>
    <row r="258" s="179" customFormat="1" spans="1:6">
      <c r="A258" s="226" t="s">
        <v>46</v>
      </c>
      <c r="B258" s="237" t="s">
        <v>103</v>
      </c>
      <c r="C258" s="221">
        <v>1320</v>
      </c>
      <c r="D258" s="263" t="s">
        <v>56</v>
      </c>
      <c r="E258" s="222">
        <v>220</v>
      </c>
      <c r="F258" s="223">
        <f t="shared" si="2"/>
        <v>290400</v>
      </c>
    </row>
    <row r="259" s="179" customFormat="1" spans="1:6">
      <c r="A259" s="226"/>
      <c r="B259" s="237"/>
      <c r="C259" s="221"/>
      <c r="D259" s="263"/>
      <c r="E259" s="222"/>
      <c r="F259" s="223"/>
    </row>
    <row r="260" s="179" customFormat="1" spans="1:6">
      <c r="A260" s="226" t="s">
        <v>48</v>
      </c>
      <c r="B260" s="237" t="s">
        <v>88</v>
      </c>
      <c r="C260" s="221">
        <v>336</v>
      </c>
      <c r="D260" s="263" t="s">
        <v>56</v>
      </c>
      <c r="E260" s="222">
        <v>220</v>
      </c>
      <c r="F260" s="223">
        <f t="shared" si="2"/>
        <v>73920</v>
      </c>
    </row>
    <row r="261" s="179" customFormat="1" spans="1:6">
      <c r="A261" s="226"/>
      <c r="B261" s="237"/>
      <c r="C261" s="221"/>
      <c r="D261" s="263"/>
      <c r="E261" s="222"/>
      <c r="F261" s="223"/>
    </row>
    <row r="262" s="179" customFormat="1" spans="1:6">
      <c r="A262" s="226" t="s">
        <v>50</v>
      </c>
      <c r="B262" s="237" t="s">
        <v>104</v>
      </c>
      <c r="C262" s="221">
        <v>300</v>
      </c>
      <c r="D262" s="263" t="s">
        <v>56</v>
      </c>
      <c r="E262" s="222">
        <v>220</v>
      </c>
      <c r="F262" s="223">
        <f t="shared" si="2"/>
        <v>66000</v>
      </c>
    </row>
    <row r="263" s="179" customFormat="1" spans="1:6">
      <c r="A263" s="226"/>
      <c r="B263" s="242"/>
      <c r="C263" s="221"/>
      <c r="D263" s="221"/>
      <c r="E263" s="222"/>
      <c r="F263" s="223"/>
    </row>
    <row r="264" s="179" customFormat="1" spans="1:6">
      <c r="A264" s="226"/>
      <c r="B264" s="242"/>
      <c r="C264" s="221"/>
      <c r="D264" s="221"/>
      <c r="E264" s="222"/>
      <c r="F264" s="223"/>
    </row>
    <row r="265" s="179" customFormat="1" spans="1:6">
      <c r="A265" s="226"/>
      <c r="B265" s="244" t="s">
        <v>62</v>
      </c>
      <c r="C265" s="221"/>
      <c r="D265" s="221"/>
      <c r="E265" s="222"/>
      <c r="F265" s="223"/>
    </row>
    <row r="266" s="179" customFormat="1" spans="1:6">
      <c r="A266" s="226"/>
      <c r="B266" s="243"/>
      <c r="C266" s="221"/>
      <c r="D266" s="221"/>
      <c r="E266" s="222"/>
      <c r="F266" s="223"/>
    </row>
    <row r="267" s="179" customFormat="1" spans="1:6">
      <c r="A267" s="226"/>
      <c r="B267" s="243" t="s">
        <v>63</v>
      </c>
      <c r="C267" s="221"/>
      <c r="D267" s="221"/>
      <c r="E267" s="222"/>
      <c r="F267" s="223"/>
    </row>
    <row r="268" s="179" customFormat="1" spans="1:6">
      <c r="A268" s="226"/>
      <c r="B268" s="242"/>
      <c r="C268" s="221"/>
      <c r="D268" s="221"/>
      <c r="E268" s="222"/>
      <c r="F268" s="223"/>
    </row>
    <row r="269" s="179" customFormat="1" ht="27.6" spans="1:6">
      <c r="A269" s="226"/>
      <c r="B269" s="243" t="s">
        <v>75</v>
      </c>
      <c r="C269" s="221"/>
      <c r="D269" s="221"/>
      <c r="E269" s="222"/>
      <c r="F269" s="223"/>
    </row>
    <row r="270" s="179" customFormat="1" spans="1:6">
      <c r="A270" s="226"/>
      <c r="B270" s="242"/>
      <c r="C270" s="221"/>
      <c r="D270" s="221"/>
      <c r="E270" s="222"/>
      <c r="F270" s="223"/>
    </row>
    <row r="271" s="179" customFormat="1" spans="1:6">
      <c r="A271" s="226" t="s">
        <v>54</v>
      </c>
      <c r="B271" s="245" t="s">
        <v>97</v>
      </c>
      <c r="C271" s="221">
        <v>6.3</v>
      </c>
      <c r="D271" s="221" t="s">
        <v>39</v>
      </c>
      <c r="E271" s="222">
        <v>15120</v>
      </c>
      <c r="F271" s="223">
        <f>E271*C271</f>
        <v>95256</v>
      </c>
    </row>
    <row r="272" s="179" customFormat="1" spans="1:6">
      <c r="A272" s="226"/>
      <c r="B272" s="245"/>
      <c r="C272" s="221"/>
      <c r="D272" s="221"/>
      <c r="E272" s="222"/>
      <c r="F272" s="223"/>
    </row>
    <row r="273" s="179" customFormat="1" spans="1:6">
      <c r="A273" s="226" t="s">
        <v>105</v>
      </c>
      <c r="B273" s="245" t="s">
        <v>106</v>
      </c>
      <c r="C273" s="221">
        <v>4.5</v>
      </c>
      <c r="D273" s="221" t="s">
        <v>39</v>
      </c>
      <c r="E273" s="222">
        <v>16632</v>
      </c>
      <c r="F273" s="223">
        <f>E273*C273</f>
        <v>74844</v>
      </c>
    </row>
    <row r="274" s="179" customFormat="1" spans="1:6">
      <c r="A274" s="226"/>
      <c r="B274" s="245"/>
      <c r="C274" s="221"/>
      <c r="D274" s="221"/>
      <c r="E274" s="222"/>
      <c r="F274" s="223"/>
    </row>
    <row r="275" s="179" customFormat="1" spans="1:6">
      <c r="A275" s="226" t="s">
        <v>91</v>
      </c>
      <c r="B275" s="245" t="s">
        <v>99</v>
      </c>
      <c r="C275" s="221">
        <v>5.4</v>
      </c>
      <c r="D275" s="221" t="s">
        <v>39</v>
      </c>
      <c r="E275" s="222">
        <v>15876</v>
      </c>
      <c r="F275" s="223">
        <f>E275*C275</f>
        <v>85730.4</v>
      </c>
    </row>
    <row r="276" s="179" customFormat="1" spans="1:6">
      <c r="A276" s="226"/>
      <c r="B276" s="245"/>
      <c r="C276" s="221"/>
      <c r="D276" s="221"/>
      <c r="E276" s="222"/>
      <c r="F276" s="223"/>
    </row>
    <row r="277" s="179" customFormat="1" spans="1:6">
      <c r="A277" s="226" t="s">
        <v>93</v>
      </c>
      <c r="B277" s="245" t="s">
        <v>107</v>
      </c>
      <c r="C277" s="221">
        <v>1.6</v>
      </c>
      <c r="D277" s="221" t="s">
        <v>39</v>
      </c>
      <c r="E277" s="222">
        <v>16600</v>
      </c>
      <c r="F277" s="223">
        <f>E277*C277</f>
        <v>26560</v>
      </c>
    </row>
    <row r="278" s="179" customFormat="1" spans="1:6">
      <c r="A278" s="226"/>
      <c r="B278" s="245"/>
      <c r="C278" s="221"/>
      <c r="D278" s="221"/>
      <c r="E278" s="222"/>
      <c r="F278" s="223"/>
    </row>
    <row r="279" s="179" customFormat="1" spans="1:6">
      <c r="A279" s="226"/>
      <c r="B279" s="242"/>
      <c r="C279" s="221"/>
      <c r="D279" s="221"/>
      <c r="E279" s="222"/>
      <c r="F279" s="246"/>
    </row>
    <row r="280" s="179" customFormat="1" spans="1:6">
      <c r="A280" s="238"/>
      <c r="B280" s="247" t="s">
        <v>57</v>
      </c>
      <c r="C280" s="216"/>
      <c r="D280" s="216"/>
      <c r="E280" s="217"/>
      <c r="F280" s="218">
        <f>SUM(F236:F279)</f>
        <v>3341099.1</v>
      </c>
    </row>
    <row r="281" s="179" customFormat="1" spans="1:6">
      <c r="A281" s="226"/>
      <c r="B281" s="262" t="s">
        <v>58</v>
      </c>
      <c r="C281" s="221"/>
      <c r="D281" s="221"/>
      <c r="E281" s="222"/>
      <c r="F281" s="223">
        <f>F280</f>
        <v>3341099.1</v>
      </c>
    </row>
    <row r="282" s="179" customFormat="1" spans="1:6">
      <c r="A282" s="226"/>
      <c r="B282" s="242"/>
      <c r="C282" s="221"/>
      <c r="D282" s="221"/>
      <c r="E282" s="222"/>
      <c r="F282" s="223"/>
    </row>
    <row r="283" s="179" customFormat="1" ht="27.6" spans="1:6">
      <c r="A283" s="226"/>
      <c r="B283" s="243" t="s">
        <v>84</v>
      </c>
      <c r="C283" s="221"/>
      <c r="D283" s="221"/>
      <c r="E283" s="222"/>
      <c r="F283" s="223"/>
    </row>
    <row r="284" s="179" customFormat="1" spans="1:6">
      <c r="A284" s="226"/>
      <c r="B284" s="243"/>
      <c r="C284" s="221"/>
      <c r="D284" s="221"/>
      <c r="E284" s="222"/>
      <c r="F284" s="223"/>
    </row>
    <row r="285" s="179" customFormat="1" spans="1:6">
      <c r="A285" s="226" t="s">
        <v>16</v>
      </c>
      <c r="B285" s="237" t="s">
        <v>101</v>
      </c>
      <c r="C285" s="221">
        <v>3.8</v>
      </c>
      <c r="D285" s="221" t="s">
        <v>39</v>
      </c>
      <c r="E285" s="222">
        <v>15725</v>
      </c>
      <c r="F285" s="223">
        <f>E285*C285</f>
        <v>59755</v>
      </c>
    </row>
    <row r="286" s="179" customFormat="1" spans="1:6">
      <c r="A286" s="226"/>
      <c r="B286" s="237"/>
      <c r="C286" s="221"/>
      <c r="D286" s="221"/>
      <c r="E286" s="222"/>
      <c r="F286" s="223"/>
    </row>
    <row r="287" s="179" customFormat="1" spans="1:6">
      <c r="A287" s="226" t="s">
        <v>19</v>
      </c>
      <c r="B287" s="237" t="s">
        <v>102</v>
      </c>
      <c r="C287" s="221">
        <v>4.2</v>
      </c>
      <c r="D287" s="221" t="s">
        <v>39</v>
      </c>
      <c r="E287" s="222">
        <v>17300</v>
      </c>
      <c r="F287" s="223">
        <f>E287*C287</f>
        <v>72660</v>
      </c>
    </row>
    <row r="288" s="179" customFormat="1" spans="1:6">
      <c r="A288" s="226"/>
      <c r="B288" s="237"/>
      <c r="C288" s="221"/>
      <c r="D288" s="221"/>
      <c r="E288" s="222"/>
      <c r="F288" s="223"/>
    </row>
    <row r="289" s="179" customFormat="1" spans="1:6">
      <c r="A289" s="226" t="s">
        <v>23</v>
      </c>
      <c r="B289" s="237" t="s">
        <v>108</v>
      </c>
      <c r="C289" s="221">
        <v>8.4</v>
      </c>
      <c r="D289" s="221" t="s">
        <v>39</v>
      </c>
      <c r="E289" s="222">
        <v>16500</v>
      </c>
      <c r="F289" s="223">
        <f>E289*C289</f>
        <v>138600</v>
      </c>
    </row>
    <row r="290" s="179" customFormat="1" spans="1:6">
      <c r="A290" s="226"/>
      <c r="B290" s="237"/>
      <c r="C290" s="221"/>
      <c r="D290" s="221"/>
      <c r="E290" s="222"/>
      <c r="F290" s="223"/>
    </row>
    <row r="291" s="179" customFormat="1" spans="1:6">
      <c r="A291" s="226" t="s">
        <v>25</v>
      </c>
      <c r="B291" s="237" t="s">
        <v>88</v>
      </c>
      <c r="C291" s="221">
        <v>3.9</v>
      </c>
      <c r="D291" s="221" t="s">
        <v>39</v>
      </c>
      <c r="E291" s="222">
        <v>16354</v>
      </c>
      <c r="F291" s="223">
        <f>E291*C291</f>
        <v>63780.6</v>
      </c>
    </row>
    <row r="292" s="179" customFormat="1" spans="1:6">
      <c r="A292" s="226"/>
      <c r="B292" s="237"/>
      <c r="C292" s="221"/>
      <c r="D292" s="221"/>
      <c r="E292" s="222"/>
      <c r="F292" s="223"/>
    </row>
    <row r="293" s="179" customFormat="1" spans="1:6">
      <c r="A293" s="226" t="s">
        <v>40</v>
      </c>
      <c r="B293" s="237" t="s">
        <v>109</v>
      </c>
      <c r="C293" s="221">
        <v>1.6</v>
      </c>
      <c r="D293" s="221" t="s">
        <v>39</v>
      </c>
      <c r="E293" s="222">
        <v>17264</v>
      </c>
      <c r="F293" s="223">
        <f>E293*C293</f>
        <v>27622.4</v>
      </c>
    </row>
    <row r="294" s="179" customFormat="1" spans="1:6">
      <c r="A294" s="226"/>
      <c r="B294" s="237"/>
      <c r="C294" s="221"/>
      <c r="D294" s="221"/>
      <c r="E294" s="222"/>
      <c r="F294" s="223"/>
    </row>
    <row r="295" s="179" customFormat="1" spans="1:6">
      <c r="A295" s="226"/>
      <c r="B295" s="237"/>
      <c r="C295" s="221"/>
      <c r="D295" s="221"/>
      <c r="E295" s="222"/>
      <c r="F295" s="223"/>
    </row>
    <row r="296" s="179" customFormat="1" ht="14.55" spans="1:6">
      <c r="A296" s="226"/>
      <c r="B296" s="233" t="s">
        <v>21</v>
      </c>
      <c r="C296" s="221"/>
      <c r="D296" s="221"/>
      <c r="E296" s="222"/>
      <c r="F296" s="234">
        <f>SUM(F281:F295)</f>
        <v>3703517.1</v>
      </c>
    </row>
    <row r="297" s="179" customFormat="1" ht="14.55" spans="1:6">
      <c r="A297" s="226"/>
      <c r="B297" s="237"/>
      <c r="C297" s="221"/>
      <c r="D297" s="221"/>
      <c r="E297" s="222"/>
      <c r="F297" s="223"/>
    </row>
    <row r="298" s="179" customFormat="1" spans="1:6">
      <c r="A298" s="238"/>
      <c r="B298" s="239"/>
      <c r="C298" s="216"/>
      <c r="D298" s="216"/>
      <c r="E298" s="217"/>
      <c r="F298" s="218"/>
    </row>
    <row r="299" s="179" customFormat="1" spans="1:6">
      <c r="A299" s="226"/>
      <c r="B299" s="237"/>
      <c r="C299" s="221"/>
      <c r="D299" s="221"/>
      <c r="E299" s="222"/>
      <c r="F299" s="223"/>
    </row>
    <row r="300" s="179" customFormat="1" spans="1:6">
      <c r="A300" s="226"/>
      <c r="B300" s="264" t="s">
        <v>110</v>
      </c>
      <c r="C300" s="221"/>
      <c r="D300" s="221"/>
      <c r="E300" s="222"/>
      <c r="F300" s="223"/>
    </row>
    <row r="301" s="179" customFormat="1" spans="1:6">
      <c r="A301" s="226"/>
      <c r="B301" s="237"/>
      <c r="C301" s="221"/>
      <c r="D301" s="221"/>
      <c r="E301" s="222"/>
      <c r="F301" s="223"/>
    </row>
    <row r="302" s="179" customFormat="1" spans="1:6">
      <c r="A302" s="226"/>
      <c r="B302" s="237" t="s">
        <v>111</v>
      </c>
      <c r="C302" s="221"/>
      <c r="D302" s="221"/>
      <c r="E302" s="222"/>
      <c r="F302" s="223"/>
    </row>
    <row r="303" s="179" customFormat="1" spans="1:6">
      <c r="A303" s="226" t="s">
        <v>42</v>
      </c>
      <c r="B303" s="237" t="s">
        <v>112</v>
      </c>
      <c r="C303" s="222">
        <v>0</v>
      </c>
      <c r="D303" s="221" t="s">
        <v>39</v>
      </c>
      <c r="E303" s="222">
        <v>21466.2</v>
      </c>
      <c r="F303" s="223" t="s">
        <v>113</v>
      </c>
    </row>
    <row r="304" s="179" customFormat="1" spans="1:6">
      <c r="A304" s="226"/>
      <c r="B304" s="237"/>
      <c r="C304" s="222"/>
      <c r="D304" s="221"/>
      <c r="E304" s="222"/>
      <c r="F304" s="223"/>
    </row>
    <row r="305" s="179" customFormat="1" spans="1:6">
      <c r="A305" s="226" t="s">
        <v>46</v>
      </c>
      <c r="B305" s="237" t="s">
        <v>114</v>
      </c>
      <c r="C305" s="221">
        <v>1</v>
      </c>
      <c r="D305" s="221" t="s">
        <v>39</v>
      </c>
      <c r="E305" s="222">
        <v>38090.4</v>
      </c>
      <c r="F305" s="223">
        <f>E305*C305</f>
        <v>38090.4</v>
      </c>
    </row>
    <row r="306" s="179" customFormat="1" spans="1:6">
      <c r="A306" s="226"/>
      <c r="B306" s="237"/>
      <c r="C306" s="221"/>
      <c r="D306" s="221"/>
      <c r="E306" s="222"/>
      <c r="F306" s="223"/>
    </row>
    <row r="307" s="179" customFormat="1" spans="1:6">
      <c r="A307" s="226"/>
      <c r="B307" s="237"/>
      <c r="C307" s="221"/>
      <c r="D307" s="221"/>
      <c r="E307" s="222"/>
      <c r="F307" s="223"/>
    </row>
    <row r="308" s="179" customFormat="1" spans="1:6">
      <c r="A308" s="226"/>
      <c r="B308" s="237" t="s">
        <v>115</v>
      </c>
      <c r="C308" s="221"/>
      <c r="D308" s="221"/>
      <c r="E308" s="222"/>
      <c r="F308" s="223"/>
    </row>
    <row r="309" s="179" customFormat="1" spans="1:6">
      <c r="A309" s="226" t="s">
        <v>48</v>
      </c>
      <c r="B309" s="237" t="s">
        <v>116</v>
      </c>
      <c r="C309" s="221">
        <v>1.3</v>
      </c>
      <c r="D309" s="221" t="s">
        <v>39</v>
      </c>
      <c r="E309" s="222">
        <v>22488.4</v>
      </c>
      <c r="F309" s="223">
        <f t="shared" ref="F309:F311" si="3">E309*C309</f>
        <v>29234.92</v>
      </c>
    </row>
    <row r="310" s="179" customFormat="1" spans="1:6">
      <c r="A310" s="226"/>
      <c r="B310" s="237"/>
      <c r="C310" s="221"/>
      <c r="D310" s="221"/>
      <c r="E310" s="222"/>
      <c r="F310" s="223"/>
    </row>
    <row r="311" s="179" customFormat="1" spans="1:6">
      <c r="A311" s="226" t="s">
        <v>50</v>
      </c>
      <c r="B311" s="237" t="s">
        <v>117</v>
      </c>
      <c r="C311" s="221">
        <v>12.7</v>
      </c>
      <c r="D311" s="221" t="s">
        <v>39</v>
      </c>
      <c r="E311" s="222">
        <v>38897.4</v>
      </c>
      <c r="F311" s="223">
        <f t="shared" si="3"/>
        <v>493996.98</v>
      </c>
    </row>
    <row r="312" s="179" customFormat="1" spans="1:6">
      <c r="A312" s="226"/>
      <c r="B312" s="237"/>
      <c r="C312" s="221"/>
      <c r="D312" s="221"/>
      <c r="E312" s="222"/>
      <c r="F312" s="223"/>
    </row>
    <row r="313" s="179" customFormat="1" spans="1:6">
      <c r="A313" s="226"/>
      <c r="B313" s="237"/>
      <c r="C313" s="221"/>
      <c r="D313" s="221"/>
      <c r="E313" s="222"/>
      <c r="F313" s="223"/>
    </row>
    <row r="314" s="179" customFormat="1" spans="1:6">
      <c r="A314" s="226"/>
      <c r="B314" s="237" t="s">
        <v>118</v>
      </c>
      <c r="C314" s="221"/>
      <c r="D314" s="221"/>
      <c r="E314" s="222"/>
      <c r="F314" s="223"/>
    </row>
    <row r="315" s="179" customFormat="1" spans="1:6">
      <c r="A315" s="226" t="s">
        <v>54</v>
      </c>
      <c r="B315" s="237" t="s">
        <v>119</v>
      </c>
      <c r="C315" s="221">
        <v>3.3</v>
      </c>
      <c r="D315" s="221" t="s">
        <v>39</v>
      </c>
      <c r="E315" s="222">
        <v>23564.4</v>
      </c>
      <c r="F315" s="223">
        <f t="shared" ref="F315:F317" si="4">E315*C315</f>
        <v>77762.52</v>
      </c>
    </row>
    <row r="316" s="179" customFormat="1" spans="1:6">
      <c r="A316" s="226"/>
      <c r="B316" s="237"/>
      <c r="C316" s="221"/>
      <c r="D316" s="221"/>
      <c r="E316" s="222"/>
      <c r="F316" s="223"/>
    </row>
    <row r="317" s="179" customFormat="1" spans="1:6">
      <c r="A317" s="226" t="s">
        <v>105</v>
      </c>
      <c r="B317" s="237" t="s">
        <v>117</v>
      </c>
      <c r="C317" s="221">
        <v>17.3</v>
      </c>
      <c r="D317" s="221" t="s">
        <v>39</v>
      </c>
      <c r="E317" s="222">
        <v>39973.4</v>
      </c>
      <c r="F317" s="223">
        <f t="shared" si="4"/>
        <v>691539.82</v>
      </c>
    </row>
    <row r="318" s="179" customFormat="1" spans="1:6">
      <c r="A318" s="226"/>
      <c r="B318" s="242"/>
      <c r="C318" s="221"/>
      <c r="D318" s="221"/>
      <c r="E318" s="222"/>
      <c r="F318" s="223"/>
    </row>
    <row r="319" s="179" customFormat="1" spans="1:6">
      <c r="A319" s="226"/>
      <c r="B319" s="242"/>
      <c r="C319" s="221"/>
      <c r="D319" s="221"/>
      <c r="E319" s="222"/>
      <c r="F319" s="223"/>
    </row>
    <row r="320" s="179" customFormat="1" ht="14.55" spans="1:6">
      <c r="A320" s="226"/>
      <c r="B320" s="233" t="s">
        <v>21</v>
      </c>
      <c r="C320" s="221"/>
      <c r="D320" s="221"/>
      <c r="E320" s="222"/>
      <c r="F320" s="234">
        <f>SUM(F305:F319)</f>
        <v>1330624.64</v>
      </c>
    </row>
    <row r="321" s="179" customFormat="1" ht="14.55" spans="1:6">
      <c r="A321" s="226"/>
      <c r="B321" s="242"/>
      <c r="C321" s="221"/>
      <c r="D321" s="221"/>
      <c r="E321" s="222"/>
      <c r="F321" s="223"/>
    </row>
    <row r="322" s="179" customFormat="1" spans="1:6">
      <c r="A322" s="226"/>
      <c r="B322" s="242"/>
      <c r="C322" s="221"/>
      <c r="D322" s="221"/>
      <c r="E322" s="222"/>
      <c r="F322" s="223"/>
    </row>
    <row r="323" s="179" customFormat="1" spans="1:6">
      <c r="A323" s="226"/>
      <c r="B323" s="242"/>
      <c r="C323" s="221"/>
      <c r="D323" s="221"/>
      <c r="E323" s="222"/>
      <c r="F323" s="223"/>
    </row>
    <row r="324" s="179" customFormat="1" spans="1:6">
      <c r="A324" s="226"/>
      <c r="B324" s="242"/>
      <c r="C324" s="221"/>
      <c r="D324" s="221"/>
      <c r="E324" s="222"/>
      <c r="F324" s="223"/>
    </row>
    <row r="325" s="179" customFormat="1" spans="1:6">
      <c r="A325" s="226"/>
      <c r="B325" s="242"/>
      <c r="C325" s="221"/>
      <c r="D325" s="221"/>
      <c r="E325" s="222"/>
      <c r="F325" s="223"/>
    </row>
    <row r="326" s="179" customFormat="1" spans="1:6">
      <c r="A326" s="226"/>
      <c r="B326" s="242"/>
      <c r="C326" s="221"/>
      <c r="D326" s="221"/>
      <c r="E326" s="222"/>
      <c r="F326" s="223"/>
    </row>
    <row r="327" s="179" customFormat="1" spans="1:6">
      <c r="A327" s="226"/>
      <c r="B327" s="242"/>
      <c r="C327" s="221"/>
      <c r="D327" s="221"/>
      <c r="E327" s="222"/>
      <c r="F327" s="223"/>
    </row>
    <row r="328" s="179" customFormat="1" spans="1:6">
      <c r="A328" s="238"/>
      <c r="B328" s="241"/>
      <c r="C328" s="216"/>
      <c r="D328" s="216"/>
      <c r="E328" s="217"/>
      <c r="F328" s="218"/>
    </row>
    <row r="329" s="179" customFormat="1" spans="1:6">
      <c r="A329" s="226"/>
      <c r="B329" s="242"/>
      <c r="C329" s="221"/>
      <c r="D329" s="221"/>
      <c r="E329" s="222"/>
      <c r="F329" s="223"/>
    </row>
    <row r="330" s="179" customFormat="1" spans="1:6">
      <c r="A330" s="226"/>
      <c r="B330" s="264" t="s">
        <v>120</v>
      </c>
      <c r="C330" s="221"/>
      <c r="D330" s="221"/>
      <c r="E330" s="222"/>
      <c r="F330" s="223"/>
    </row>
    <row r="331" s="179" customFormat="1" spans="1:6">
      <c r="A331" s="226"/>
      <c r="B331" s="242"/>
      <c r="C331" s="221"/>
      <c r="D331" s="221"/>
      <c r="E331" s="222"/>
      <c r="F331" s="223"/>
    </row>
    <row r="332" s="179" customFormat="1" ht="96.6" spans="1:6">
      <c r="A332" s="226"/>
      <c r="B332" s="237" t="s">
        <v>121</v>
      </c>
      <c r="C332" s="221"/>
      <c r="D332" s="221"/>
      <c r="E332" s="222"/>
      <c r="F332" s="223"/>
    </row>
    <row r="333" s="179" customFormat="1" spans="1:6">
      <c r="A333" s="226"/>
      <c r="B333" s="237"/>
      <c r="C333" s="221"/>
      <c r="D333" s="221"/>
      <c r="E333" s="222"/>
      <c r="F333" s="223"/>
    </row>
    <row r="334" s="179" customFormat="1" spans="1:6">
      <c r="A334" s="226" t="s">
        <v>16</v>
      </c>
      <c r="B334" s="237" t="s">
        <v>122</v>
      </c>
      <c r="C334" s="221">
        <v>1.9</v>
      </c>
      <c r="D334" s="221" t="s">
        <v>39</v>
      </c>
      <c r="E334" s="222">
        <v>16500</v>
      </c>
      <c r="F334" s="223">
        <f>E334*C334</f>
        <v>31350</v>
      </c>
    </row>
    <row r="335" s="179" customFormat="1" spans="1:6">
      <c r="A335" s="226"/>
      <c r="B335" s="237"/>
      <c r="C335" s="221"/>
      <c r="D335" s="221"/>
      <c r="E335" s="222"/>
      <c r="F335" s="223"/>
    </row>
    <row r="336" s="179" customFormat="1" spans="1:6">
      <c r="A336" s="226" t="s">
        <v>19</v>
      </c>
      <c r="B336" s="237" t="s">
        <v>123</v>
      </c>
      <c r="C336" s="221">
        <v>1.9</v>
      </c>
      <c r="D336" s="221" t="s">
        <v>39</v>
      </c>
      <c r="E336" s="222">
        <v>16500</v>
      </c>
      <c r="F336" s="223">
        <f>E336*C336</f>
        <v>31350</v>
      </c>
    </row>
    <row r="337" s="179" customFormat="1" spans="1:6">
      <c r="A337" s="226"/>
      <c r="B337" s="237"/>
      <c r="C337" s="221"/>
      <c r="D337" s="221"/>
      <c r="E337" s="222"/>
      <c r="F337" s="223"/>
    </row>
    <row r="338" s="179" customFormat="1" spans="1:6">
      <c r="A338" s="226" t="s">
        <v>23</v>
      </c>
      <c r="B338" s="237" t="s">
        <v>124</v>
      </c>
      <c r="C338" s="221">
        <v>3.2</v>
      </c>
      <c r="D338" s="221" t="s">
        <v>39</v>
      </c>
      <c r="E338" s="222">
        <v>16500</v>
      </c>
      <c r="F338" s="223">
        <f>E338*C338</f>
        <v>52800</v>
      </c>
    </row>
    <row r="339" s="179" customFormat="1" spans="1:6">
      <c r="A339" s="226"/>
      <c r="B339" s="237"/>
      <c r="C339" s="221"/>
      <c r="D339" s="221"/>
      <c r="E339" s="222"/>
      <c r="F339" s="223"/>
    </row>
    <row r="340" s="179" customFormat="1" ht="14.55" spans="1:6">
      <c r="A340" s="226"/>
      <c r="B340" s="233" t="s">
        <v>21</v>
      </c>
      <c r="C340" s="221"/>
      <c r="D340" s="221"/>
      <c r="E340" s="222"/>
      <c r="F340" s="234">
        <f>SUM(F333:F339)</f>
        <v>115500</v>
      </c>
    </row>
    <row r="341" s="179" customFormat="1" ht="14.55" spans="1:6">
      <c r="A341" s="238"/>
      <c r="B341" s="241"/>
      <c r="C341" s="216"/>
      <c r="D341" s="216"/>
      <c r="E341" s="217"/>
      <c r="F341" s="218"/>
    </row>
    <row r="342" s="179" customFormat="1" spans="1:6">
      <c r="A342" s="226"/>
      <c r="B342" s="242"/>
      <c r="C342" s="221"/>
      <c r="D342" s="221"/>
      <c r="E342" s="222"/>
      <c r="F342" s="223"/>
    </row>
    <row r="343" s="179" customFormat="1" spans="1:6">
      <c r="A343" s="226"/>
      <c r="B343" s="264" t="s">
        <v>125</v>
      </c>
      <c r="C343" s="221"/>
      <c r="D343" s="221"/>
      <c r="E343" s="222"/>
      <c r="F343" s="223"/>
    </row>
    <row r="344" s="179" customFormat="1" spans="1:6">
      <c r="A344" s="226"/>
      <c r="B344" s="264"/>
      <c r="C344" s="221"/>
      <c r="D344" s="221"/>
      <c r="E344" s="222"/>
      <c r="F344" s="223"/>
    </row>
    <row r="345" s="179" customFormat="1" ht="69" spans="1:6">
      <c r="A345" s="226" t="s">
        <v>25</v>
      </c>
      <c r="B345" s="237" t="s">
        <v>126</v>
      </c>
      <c r="C345" s="251">
        <v>9.7</v>
      </c>
      <c r="D345" s="251" t="s">
        <v>39</v>
      </c>
      <c r="E345" s="252">
        <v>78010</v>
      </c>
      <c r="F345" s="253">
        <f>E345*C345</f>
        <v>756697</v>
      </c>
    </row>
    <row r="346" s="179" customFormat="1" spans="1:6">
      <c r="A346" s="226"/>
      <c r="B346" s="237"/>
      <c r="C346" s="221"/>
      <c r="D346" s="221"/>
      <c r="E346" s="222"/>
      <c r="F346" s="223"/>
    </row>
    <row r="347" s="179" customFormat="1" spans="1:6">
      <c r="A347" s="226" t="s">
        <v>40</v>
      </c>
      <c r="B347" s="237" t="s">
        <v>127</v>
      </c>
      <c r="C347" s="221">
        <v>84</v>
      </c>
      <c r="D347" s="221" t="s">
        <v>81</v>
      </c>
      <c r="E347" s="222">
        <v>426</v>
      </c>
      <c r="F347" s="265">
        <f>E347*C347</f>
        <v>35784</v>
      </c>
    </row>
    <row r="348" s="179" customFormat="1" spans="1:6">
      <c r="A348" s="226"/>
      <c r="B348" s="237"/>
      <c r="C348" s="221"/>
      <c r="D348" s="221"/>
      <c r="E348" s="222"/>
      <c r="F348" s="265"/>
    </row>
    <row r="349" s="179" customFormat="1" spans="1:6">
      <c r="A349" s="226"/>
      <c r="B349" s="237"/>
      <c r="C349" s="221"/>
      <c r="D349" s="221"/>
      <c r="E349" s="222"/>
      <c r="F349" s="265"/>
    </row>
    <row r="350" s="179" customFormat="1" ht="15.75" customHeight="1" spans="1:6">
      <c r="A350" s="226" t="s">
        <v>42</v>
      </c>
      <c r="B350" s="237" t="s">
        <v>128</v>
      </c>
      <c r="C350" s="221">
        <v>22</v>
      </c>
      <c r="D350" s="221" t="s">
        <v>81</v>
      </c>
      <c r="E350" s="222">
        <v>396</v>
      </c>
      <c r="F350" s="265">
        <f>E350*C350</f>
        <v>8712</v>
      </c>
    </row>
    <row r="351" s="179" customFormat="1" ht="15.75" customHeight="1" spans="1:6">
      <c r="A351" s="226"/>
      <c r="B351" s="237"/>
      <c r="C351" s="221"/>
      <c r="D351" s="221"/>
      <c r="E351" s="222"/>
      <c r="F351" s="265"/>
    </row>
    <row r="352" s="179" customFormat="1" ht="27.6" spans="1:6">
      <c r="A352" s="226" t="s">
        <v>46</v>
      </c>
      <c r="B352" s="237" t="s">
        <v>129</v>
      </c>
      <c r="C352" s="221">
        <v>50</v>
      </c>
      <c r="D352" s="221" t="s">
        <v>81</v>
      </c>
      <c r="E352" s="222">
        <v>396</v>
      </c>
      <c r="F352" s="265">
        <f>E352*C352</f>
        <v>19800</v>
      </c>
    </row>
    <row r="353" s="179" customFormat="1" spans="1:6">
      <c r="A353" s="226"/>
      <c r="B353" s="237"/>
      <c r="C353" s="221"/>
      <c r="D353" s="221"/>
      <c r="E353" s="222"/>
      <c r="F353" s="265"/>
    </row>
    <row r="354" s="179" customFormat="1" spans="1:6">
      <c r="A354" s="226" t="s">
        <v>48</v>
      </c>
      <c r="B354" s="237" t="s">
        <v>130</v>
      </c>
      <c r="C354" s="221">
        <v>64</v>
      </c>
      <c r="D354" s="221" t="s">
        <v>81</v>
      </c>
      <c r="E354" s="222">
        <v>396</v>
      </c>
      <c r="F354" s="265">
        <f>E354*C354</f>
        <v>25344</v>
      </c>
    </row>
    <row r="355" s="179" customFormat="1" spans="1:6">
      <c r="A355" s="226"/>
      <c r="B355" s="237"/>
      <c r="C355" s="221"/>
      <c r="D355" s="221"/>
      <c r="E355" s="222"/>
      <c r="F355" s="223"/>
    </row>
    <row r="356" s="179" customFormat="1" ht="14.55" spans="1:6">
      <c r="A356" s="226"/>
      <c r="B356" s="233" t="s">
        <v>21</v>
      </c>
      <c r="C356" s="221"/>
      <c r="D356" s="221"/>
      <c r="E356" s="222"/>
      <c r="F356" s="234">
        <f>SUM(F345:F355)</f>
        <v>846337</v>
      </c>
    </row>
    <row r="357" s="179" customFormat="1" ht="14.55" spans="1:6">
      <c r="A357" s="226"/>
      <c r="B357" s="242"/>
      <c r="C357" s="221"/>
      <c r="D357" s="221"/>
      <c r="E357" s="222"/>
      <c r="F357" s="223"/>
    </row>
    <row r="358" s="179" customFormat="1" spans="1:6">
      <c r="A358" s="226"/>
      <c r="B358" s="242"/>
      <c r="C358" s="221"/>
      <c r="D358" s="221"/>
      <c r="E358" s="222"/>
      <c r="F358" s="223"/>
    </row>
    <row r="359" s="179" customFormat="1" spans="1:6">
      <c r="A359" s="226"/>
      <c r="B359" s="242"/>
      <c r="C359" s="221"/>
      <c r="D359" s="221"/>
      <c r="E359" s="222"/>
      <c r="F359" s="223"/>
    </row>
    <row r="360" s="179" customFormat="1" spans="1:6">
      <c r="A360" s="226"/>
      <c r="B360" s="242"/>
      <c r="C360" s="221"/>
      <c r="D360" s="221"/>
      <c r="E360" s="222"/>
      <c r="F360" s="223"/>
    </row>
    <row r="361" s="179" customFormat="1" spans="1:6">
      <c r="A361" s="226"/>
      <c r="B361" s="242"/>
      <c r="C361" s="221"/>
      <c r="D361" s="221"/>
      <c r="E361" s="222"/>
      <c r="F361" s="223"/>
    </row>
    <row r="362" s="179" customFormat="1" spans="1:6">
      <c r="A362" s="226"/>
      <c r="B362" s="242"/>
      <c r="C362" s="221"/>
      <c r="D362" s="221"/>
      <c r="E362" s="222"/>
      <c r="F362" s="223"/>
    </row>
    <row r="363" s="179" customFormat="1" spans="1:6">
      <c r="A363" s="238"/>
      <c r="B363" s="241"/>
      <c r="C363" s="216"/>
      <c r="D363" s="216"/>
      <c r="E363" s="217"/>
      <c r="F363" s="218"/>
    </row>
    <row r="364" s="179" customFormat="1" spans="1:6">
      <c r="A364" s="226"/>
      <c r="B364" s="242"/>
      <c r="C364" s="221"/>
      <c r="D364" s="221"/>
      <c r="E364" s="222"/>
      <c r="F364" s="223"/>
    </row>
    <row r="365" s="179" customFormat="1" spans="1:6">
      <c r="A365" s="226"/>
      <c r="B365" s="264" t="s">
        <v>131</v>
      </c>
      <c r="C365" s="221"/>
      <c r="D365" s="221"/>
      <c r="E365" s="222"/>
      <c r="F365" s="223"/>
    </row>
    <row r="366" s="179" customFormat="1" spans="1:6">
      <c r="A366" s="226"/>
      <c r="B366" s="242"/>
      <c r="C366" s="221"/>
      <c r="D366" s="221"/>
      <c r="E366" s="222"/>
      <c r="F366" s="223"/>
    </row>
    <row r="367" s="179" customFormat="1" spans="1:6">
      <c r="A367" s="226"/>
      <c r="B367" s="243" t="s">
        <v>132</v>
      </c>
      <c r="C367" s="221"/>
      <c r="D367" s="221"/>
      <c r="E367" s="222"/>
      <c r="F367" s="223"/>
    </row>
    <row r="368" s="179" customFormat="1" ht="55.2" spans="1:6">
      <c r="A368" s="226" t="s">
        <v>16</v>
      </c>
      <c r="B368" s="237" t="s">
        <v>133</v>
      </c>
      <c r="C368" s="251">
        <v>45</v>
      </c>
      <c r="D368" s="251" t="s">
        <v>81</v>
      </c>
      <c r="E368" s="252">
        <v>3062.5</v>
      </c>
      <c r="F368" s="253">
        <f>E368*C368</f>
        <v>137812.5</v>
      </c>
    </row>
    <row r="369" s="179" customFormat="1" spans="1:6">
      <c r="A369" s="226"/>
      <c r="B369" s="237"/>
      <c r="C369" s="251"/>
      <c r="D369" s="251"/>
      <c r="E369" s="252"/>
      <c r="F369" s="253"/>
    </row>
    <row r="370" s="179" customFormat="1" spans="1:6">
      <c r="A370" s="226"/>
      <c r="B370" s="243" t="s">
        <v>134</v>
      </c>
      <c r="C370" s="251"/>
      <c r="D370" s="251"/>
      <c r="E370" s="252"/>
      <c r="F370" s="253"/>
    </row>
    <row r="371" s="179" customFormat="1" ht="41.4" spans="1:6">
      <c r="A371" s="226" t="s">
        <v>19</v>
      </c>
      <c r="B371" s="237" t="s">
        <v>135</v>
      </c>
      <c r="C371" s="251">
        <v>1</v>
      </c>
      <c r="D371" s="251" t="s">
        <v>136</v>
      </c>
      <c r="E371" s="252">
        <v>62499.6</v>
      </c>
      <c r="F371" s="253">
        <f>E371*C371</f>
        <v>62499.6</v>
      </c>
    </row>
    <row r="372" s="179" customFormat="1" spans="1:6">
      <c r="A372" s="226"/>
      <c r="B372" s="237"/>
      <c r="C372" s="251"/>
      <c r="D372" s="251"/>
      <c r="E372" s="252"/>
      <c r="F372" s="253"/>
    </row>
    <row r="373" s="179" customFormat="1" ht="41.4" spans="1:6">
      <c r="A373" s="226" t="s">
        <v>23</v>
      </c>
      <c r="B373" s="237" t="s">
        <v>137</v>
      </c>
      <c r="C373" s="251">
        <v>1</v>
      </c>
      <c r="D373" s="251" t="s">
        <v>136</v>
      </c>
      <c r="E373" s="252">
        <v>95485.5</v>
      </c>
      <c r="F373" s="253">
        <f>E373*C373</f>
        <v>95485.5</v>
      </c>
    </row>
    <row r="374" s="179" customFormat="1" spans="1:6">
      <c r="A374" s="226"/>
      <c r="B374" s="237"/>
      <c r="C374" s="221"/>
      <c r="D374" s="221"/>
      <c r="E374" s="222"/>
      <c r="F374" s="223"/>
    </row>
    <row r="375" s="179" customFormat="1" ht="14.55" spans="1:6">
      <c r="A375" s="226"/>
      <c r="B375" s="233" t="s">
        <v>21</v>
      </c>
      <c r="C375" s="221"/>
      <c r="D375" s="221"/>
      <c r="E375" s="222"/>
      <c r="F375" s="234">
        <f>SUM(F367:F373)</f>
        <v>295797.6</v>
      </c>
    </row>
    <row r="376" s="179" customFormat="1" ht="14.55" spans="1:6">
      <c r="A376" s="226"/>
      <c r="B376" s="242"/>
      <c r="C376" s="221"/>
      <c r="D376" s="221"/>
      <c r="E376" s="222"/>
      <c r="F376" s="223"/>
    </row>
    <row r="377" s="179" customFormat="1" spans="1:6">
      <c r="A377" s="238"/>
      <c r="B377" s="241"/>
      <c r="C377" s="216"/>
      <c r="D377" s="216"/>
      <c r="E377" s="217"/>
      <c r="F377" s="218"/>
    </row>
    <row r="378" s="179" customFormat="1" spans="1:6">
      <c r="A378" s="226"/>
      <c r="B378" s="242"/>
      <c r="C378" s="221"/>
      <c r="D378" s="221"/>
      <c r="E378" s="222"/>
      <c r="F378" s="223"/>
    </row>
    <row r="379" s="179" customFormat="1" spans="1:6">
      <c r="A379" s="226"/>
      <c r="B379" s="264" t="s">
        <v>138</v>
      </c>
      <c r="C379" s="255"/>
      <c r="D379" s="255"/>
      <c r="E379" s="256"/>
      <c r="F379" s="223"/>
    </row>
    <row r="380" s="179" customFormat="1" spans="1:6">
      <c r="A380" s="226"/>
      <c r="B380" s="237"/>
      <c r="C380" s="255"/>
      <c r="D380" s="255"/>
      <c r="E380" s="256"/>
      <c r="F380" s="223"/>
    </row>
    <row r="381" s="179" customFormat="1" spans="1:6">
      <c r="A381" s="226"/>
      <c r="B381" s="233" t="s">
        <v>139</v>
      </c>
      <c r="C381" s="255"/>
      <c r="D381" s="255"/>
      <c r="E381" s="256"/>
      <c r="F381" s="223"/>
    </row>
    <row r="382" s="179" customFormat="1" spans="1:6">
      <c r="A382" s="226"/>
      <c r="B382" s="237"/>
      <c r="C382" s="255"/>
      <c r="D382" s="255"/>
      <c r="E382" s="256"/>
      <c r="F382" s="223"/>
    </row>
    <row r="383" s="179" customFormat="1" spans="1:6">
      <c r="A383" s="226"/>
      <c r="B383" s="244" t="s">
        <v>140</v>
      </c>
      <c r="C383" s="255"/>
      <c r="D383" s="255"/>
      <c r="E383" s="256"/>
      <c r="F383" s="223"/>
    </row>
    <row r="384" s="179" customFormat="1" ht="55.2" spans="1:6">
      <c r="A384" s="226" t="s">
        <v>25</v>
      </c>
      <c r="B384" s="237" t="s">
        <v>141</v>
      </c>
      <c r="C384" s="251">
        <v>7</v>
      </c>
      <c r="D384" s="266" t="s">
        <v>142</v>
      </c>
      <c r="E384" s="267">
        <v>50400</v>
      </c>
      <c r="F384" s="253">
        <f>E384*C384</f>
        <v>352800</v>
      </c>
    </row>
    <row r="385" s="179" customFormat="1" spans="1:6">
      <c r="A385" s="226"/>
      <c r="B385" s="237"/>
      <c r="C385" s="251"/>
      <c r="D385" s="266"/>
      <c r="E385" s="267"/>
      <c r="F385" s="223"/>
    </row>
    <row r="386" s="179" customFormat="1" ht="55.2" spans="1:6">
      <c r="A386" s="226" t="s">
        <v>40</v>
      </c>
      <c r="B386" s="237" t="s">
        <v>143</v>
      </c>
      <c r="C386" s="251">
        <v>2</v>
      </c>
      <c r="D386" s="266" t="s">
        <v>142</v>
      </c>
      <c r="E386" s="267">
        <v>39600</v>
      </c>
      <c r="F386" s="253">
        <f>E386*C386</f>
        <v>79200</v>
      </c>
    </row>
    <row r="387" s="179" customFormat="1" spans="1:6">
      <c r="A387" s="226"/>
      <c r="B387" s="237"/>
      <c r="C387" s="251"/>
      <c r="D387" s="266"/>
      <c r="E387" s="267"/>
      <c r="F387" s="223"/>
    </row>
    <row r="388" s="179" customFormat="1" spans="1:6">
      <c r="A388" s="226"/>
      <c r="B388" s="237"/>
      <c r="C388" s="251"/>
      <c r="D388" s="266"/>
      <c r="E388" s="267"/>
      <c r="F388" s="223"/>
    </row>
    <row r="389" s="179" customFormat="1" spans="1:6">
      <c r="A389" s="226"/>
      <c r="B389" s="237"/>
      <c r="C389" s="251"/>
      <c r="D389" s="266"/>
      <c r="E389" s="267"/>
      <c r="F389" s="223"/>
    </row>
    <row r="390" s="179" customFormat="1" spans="1:6">
      <c r="A390" s="226"/>
      <c r="B390" s="237"/>
      <c r="C390" s="251"/>
      <c r="D390" s="266"/>
      <c r="E390" s="267"/>
      <c r="F390" s="223"/>
    </row>
    <row r="391" s="179" customFormat="1" spans="1:6">
      <c r="A391" s="226"/>
      <c r="B391" s="237"/>
      <c r="C391" s="251"/>
      <c r="D391" s="266"/>
      <c r="E391" s="267"/>
      <c r="F391" s="223"/>
    </row>
    <row r="392" s="179" customFormat="1" spans="1:6">
      <c r="A392" s="226"/>
      <c r="B392" s="237"/>
      <c r="C392" s="251"/>
      <c r="D392" s="266"/>
      <c r="E392" s="267"/>
      <c r="F392" s="223"/>
    </row>
    <row r="393" s="179" customFormat="1" spans="1:6">
      <c r="A393" s="226"/>
      <c r="B393" s="237"/>
      <c r="C393" s="251"/>
      <c r="D393" s="266"/>
      <c r="E393" s="267"/>
      <c r="F393" s="223"/>
    </row>
    <row r="394" s="179" customFormat="1" spans="1:6">
      <c r="A394" s="226"/>
      <c r="B394" s="237"/>
      <c r="C394" s="251"/>
      <c r="D394" s="266"/>
      <c r="E394" s="267"/>
      <c r="F394" s="223"/>
    </row>
    <row r="395" s="179" customFormat="1" spans="1:6">
      <c r="A395" s="226"/>
      <c r="B395" s="237"/>
      <c r="C395" s="251"/>
      <c r="D395" s="266"/>
      <c r="E395" s="267"/>
      <c r="F395" s="223"/>
    </row>
    <row r="396" s="179" customFormat="1" spans="1:6">
      <c r="A396" s="226"/>
      <c r="B396" s="237"/>
      <c r="C396" s="251"/>
      <c r="D396" s="266"/>
      <c r="E396" s="267"/>
      <c r="F396" s="246"/>
    </row>
    <row r="397" s="179" customFormat="1" spans="1:6">
      <c r="A397" s="238"/>
      <c r="B397" s="247" t="s">
        <v>57</v>
      </c>
      <c r="C397" s="216"/>
      <c r="D397" s="216"/>
      <c r="E397" s="217"/>
      <c r="F397" s="218">
        <f>SUM(F381:F396)</f>
        <v>432000</v>
      </c>
    </row>
    <row r="398" s="179" customFormat="1" spans="1:6">
      <c r="A398" s="226"/>
      <c r="B398" s="262" t="s">
        <v>58</v>
      </c>
      <c r="C398" s="221"/>
      <c r="D398" s="221"/>
      <c r="E398" s="222"/>
      <c r="F398" s="223">
        <f>F397</f>
        <v>432000</v>
      </c>
    </row>
    <row r="399" s="179" customFormat="1" spans="1:6">
      <c r="A399" s="226"/>
      <c r="B399" s="237"/>
      <c r="C399" s="251"/>
      <c r="D399" s="266"/>
      <c r="E399" s="267"/>
      <c r="F399" s="223"/>
    </row>
    <row r="400" s="179" customFormat="1" spans="1:6">
      <c r="A400" s="226"/>
      <c r="B400" s="237"/>
      <c r="C400" s="251"/>
      <c r="D400" s="266"/>
      <c r="E400" s="267"/>
      <c r="F400" s="223"/>
    </row>
    <row r="401" s="179" customFormat="1" spans="1:6">
      <c r="A401" s="226"/>
      <c r="B401" s="233" t="s">
        <v>144</v>
      </c>
      <c r="C401" s="251"/>
      <c r="D401" s="266"/>
      <c r="E401" s="267"/>
      <c r="F401" s="223"/>
    </row>
    <row r="402" s="179" customFormat="1" spans="1:6">
      <c r="A402" s="226"/>
      <c r="B402" s="237"/>
      <c r="C402" s="251"/>
      <c r="D402" s="266"/>
      <c r="E402" s="267"/>
      <c r="F402" s="223"/>
    </row>
    <row r="403" s="179" customFormat="1" ht="96.6" spans="1:6">
      <c r="A403" s="226" t="s">
        <v>16</v>
      </c>
      <c r="B403" s="237" t="s">
        <v>145</v>
      </c>
      <c r="C403" s="251"/>
      <c r="D403" s="266"/>
      <c r="E403" s="267"/>
      <c r="F403" s="223"/>
    </row>
    <row r="404" s="179" customFormat="1" spans="1:6">
      <c r="A404" s="226"/>
      <c r="B404" s="237"/>
      <c r="C404" s="251"/>
      <c r="D404" s="266"/>
      <c r="E404" s="267"/>
      <c r="F404" s="223"/>
    </row>
    <row r="405" s="179" customFormat="1" ht="41.4" spans="1:6">
      <c r="A405" s="226" t="s">
        <v>19</v>
      </c>
      <c r="B405" s="237" t="s">
        <v>146</v>
      </c>
      <c r="C405" s="251">
        <v>1</v>
      </c>
      <c r="D405" s="266" t="s">
        <v>142</v>
      </c>
      <c r="E405" s="267">
        <v>149416</v>
      </c>
      <c r="F405" s="253">
        <f>E405*C405</f>
        <v>149416</v>
      </c>
    </row>
    <row r="406" s="179" customFormat="1" spans="1:6">
      <c r="A406" s="226"/>
      <c r="B406" s="237"/>
      <c r="C406" s="251"/>
      <c r="D406" s="266"/>
      <c r="E406" s="267"/>
      <c r="F406" s="223"/>
    </row>
    <row r="407" s="179" customFormat="1" ht="41.4" spans="1:6">
      <c r="A407" s="226" t="s">
        <v>23</v>
      </c>
      <c r="B407" s="237" t="s">
        <v>147</v>
      </c>
      <c r="C407" s="251">
        <v>1</v>
      </c>
      <c r="D407" s="266" t="s">
        <v>142</v>
      </c>
      <c r="E407" s="267">
        <v>157016</v>
      </c>
      <c r="F407" s="253">
        <f>E407*C407</f>
        <v>157016</v>
      </c>
    </row>
    <row r="408" s="179" customFormat="1" spans="1:6">
      <c r="A408" s="226"/>
      <c r="B408" s="237"/>
      <c r="C408" s="251"/>
      <c r="D408" s="266"/>
      <c r="E408" s="267"/>
      <c r="F408" s="223"/>
    </row>
    <row r="409" s="179" customFormat="1" ht="41.4" spans="1:6">
      <c r="A409" s="226" t="s">
        <v>25</v>
      </c>
      <c r="B409" s="237" t="s">
        <v>148</v>
      </c>
      <c r="C409" s="251">
        <v>1</v>
      </c>
      <c r="D409" s="266" t="s">
        <v>142</v>
      </c>
      <c r="E409" s="267">
        <v>114000</v>
      </c>
      <c r="F409" s="253">
        <f>E409*C409</f>
        <v>114000</v>
      </c>
    </row>
    <row r="410" s="179" customFormat="1" spans="1:6">
      <c r="A410" s="226"/>
      <c r="B410" s="237"/>
      <c r="C410" s="251"/>
      <c r="D410" s="266"/>
      <c r="E410" s="267"/>
      <c r="F410" s="223"/>
    </row>
    <row r="411" s="179" customFormat="1" ht="41.4" spans="1:6">
      <c r="A411" s="226" t="s">
        <v>40</v>
      </c>
      <c r="B411" s="237" t="s">
        <v>149</v>
      </c>
      <c r="C411" s="251">
        <v>3</v>
      </c>
      <c r="D411" s="266" t="s">
        <v>142</v>
      </c>
      <c r="E411" s="267">
        <v>106400</v>
      </c>
      <c r="F411" s="253">
        <f>E411*C411</f>
        <v>319200</v>
      </c>
    </row>
    <row r="412" s="179" customFormat="1" spans="1:6">
      <c r="A412" s="226"/>
      <c r="B412" s="237"/>
      <c r="C412" s="251"/>
      <c r="D412" s="266"/>
      <c r="E412" s="267"/>
      <c r="F412" s="223"/>
    </row>
    <row r="413" s="179" customFormat="1" ht="41.4" spans="1:6">
      <c r="A413" s="226" t="s">
        <v>42</v>
      </c>
      <c r="B413" s="237" t="s">
        <v>150</v>
      </c>
      <c r="C413" s="251">
        <v>2</v>
      </c>
      <c r="D413" s="266" t="s">
        <v>142</v>
      </c>
      <c r="E413" s="267">
        <v>45125</v>
      </c>
      <c r="F413" s="253">
        <f>E413*C413</f>
        <v>90250</v>
      </c>
    </row>
    <row r="414" s="179" customFormat="1" spans="1:6">
      <c r="A414" s="226"/>
      <c r="B414" s="237"/>
      <c r="C414" s="251"/>
      <c r="D414" s="266"/>
      <c r="E414" s="267"/>
      <c r="F414" s="223"/>
    </row>
    <row r="415" s="179" customFormat="1" ht="41.4" spans="1:6">
      <c r="A415" s="226" t="s">
        <v>46</v>
      </c>
      <c r="B415" s="237" t="s">
        <v>151</v>
      </c>
      <c r="C415" s="251">
        <v>1</v>
      </c>
      <c r="D415" s="266" t="s">
        <v>142</v>
      </c>
      <c r="E415" s="267">
        <v>57000</v>
      </c>
      <c r="F415" s="253">
        <f>E415*C415</f>
        <v>57000</v>
      </c>
    </row>
    <row r="416" s="179" customFormat="1" spans="1:6">
      <c r="A416" s="226"/>
      <c r="B416" s="237"/>
      <c r="C416" s="251"/>
      <c r="D416" s="266"/>
      <c r="E416" s="267"/>
      <c r="F416" s="223"/>
    </row>
    <row r="417" s="179" customFormat="1" ht="41.4" spans="1:6">
      <c r="A417" s="226" t="s">
        <v>48</v>
      </c>
      <c r="B417" s="237" t="s">
        <v>152</v>
      </c>
      <c r="C417" s="251">
        <v>2</v>
      </c>
      <c r="D417" s="266" t="s">
        <v>142</v>
      </c>
      <c r="E417" s="267">
        <v>34000</v>
      </c>
      <c r="F417" s="253">
        <f>E417*C417</f>
        <v>68000</v>
      </c>
    </row>
    <row r="418" s="179" customFormat="1" spans="1:6">
      <c r="A418" s="226"/>
      <c r="B418" s="237"/>
      <c r="C418" s="251"/>
      <c r="D418" s="266"/>
      <c r="E418" s="267"/>
      <c r="F418" s="223"/>
    </row>
    <row r="419" s="179" customFormat="1" ht="27.6" spans="1:6">
      <c r="A419" s="226" t="s">
        <v>50</v>
      </c>
      <c r="B419" s="237" t="s">
        <v>153</v>
      </c>
      <c r="C419" s="251">
        <v>2</v>
      </c>
      <c r="D419" s="266" t="s">
        <v>142</v>
      </c>
      <c r="E419" s="267">
        <v>12750</v>
      </c>
      <c r="F419" s="253">
        <f>E419*C419</f>
        <v>25500</v>
      </c>
    </row>
    <row r="420" s="179" customFormat="1" spans="1:6">
      <c r="A420" s="226"/>
      <c r="B420" s="237"/>
      <c r="C420" s="251"/>
      <c r="D420" s="266"/>
      <c r="E420" s="267"/>
      <c r="F420" s="223"/>
    </row>
    <row r="421" s="179" customFormat="1" spans="1:6">
      <c r="A421" s="226"/>
      <c r="B421" s="237"/>
      <c r="C421" s="251"/>
      <c r="D421" s="266"/>
      <c r="E421" s="267"/>
      <c r="F421" s="223"/>
    </row>
    <row r="422" s="179" customFormat="1" spans="1:6">
      <c r="A422" s="226"/>
      <c r="B422" s="237"/>
      <c r="C422" s="251"/>
      <c r="D422" s="266"/>
      <c r="E422" s="267"/>
      <c r="F422" s="223"/>
    </row>
    <row r="423" s="179" customFormat="1" spans="1:6">
      <c r="A423" s="226"/>
      <c r="B423" s="237"/>
      <c r="C423" s="251"/>
      <c r="D423" s="266"/>
      <c r="E423" s="267"/>
      <c r="F423" s="246"/>
    </row>
    <row r="424" s="179" customFormat="1" spans="1:6">
      <c r="A424" s="238"/>
      <c r="B424" s="247" t="s">
        <v>57</v>
      </c>
      <c r="C424" s="216"/>
      <c r="D424" s="216"/>
      <c r="E424" s="217"/>
      <c r="F424" s="218">
        <f>SUM(F398:F423)</f>
        <v>1412382</v>
      </c>
    </row>
    <row r="425" s="179" customFormat="1" spans="1:6">
      <c r="A425" s="226"/>
      <c r="B425" s="262" t="s">
        <v>58</v>
      </c>
      <c r="C425" s="221"/>
      <c r="D425" s="221"/>
      <c r="E425" s="222"/>
      <c r="F425" s="223">
        <f>F424</f>
        <v>1412382</v>
      </c>
    </row>
    <row r="426" s="179" customFormat="1" spans="1:6">
      <c r="A426" s="226"/>
      <c r="B426" s="237"/>
      <c r="C426" s="251"/>
      <c r="D426" s="266"/>
      <c r="E426" s="267"/>
      <c r="F426" s="223"/>
    </row>
    <row r="427" s="179" customFormat="1" spans="1:6">
      <c r="A427" s="226"/>
      <c r="B427" s="237"/>
      <c r="C427" s="251"/>
      <c r="D427" s="266"/>
      <c r="E427" s="267"/>
      <c r="F427" s="223"/>
    </row>
    <row r="428" s="179" customFormat="1" spans="1:6">
      <c r="A428" s="226"/>
      <c r="B428" s="233" t="s">
        <v>154</v>
      </c>
      <c r="C428" s="251"/>
      <c r="D428" s="266"/>
      <c r="E428" s="267"/>
      <c r="F428" s="223"/>
    </row>
    <row r="429" s="179" customFormat="1" ht="41.4" spans="1:6">
      <c r="A429" s="226" t="s">
        <v>16</v>
      </c>
      <c r="B429" s="237" t="s">
        <v>155</v>
      </c>
      <c r="C429" s="251">
        <v>1</v>
      </c>
      <c r="D429" s="266" t="s">
        <v>142</v>
      </c>
      <c r="E429" s="267">
        <v>392000</v>
      </c>
      <c r="F429" s="253">
        <f>E429*C429</f>
        <v>392000</v>
      </c>
    </row>
    <row r="430" s="179" customFormat="1" spans="1:6">
      <c r="A430" s="226"/>
      <c r="B430" s="242"/>
      <c r="C430" s="221"/>
      <c r="D430" s="221"/>
      <c r="E430" s="222"/>
      <c r="F430" s="223"/>
    </row>
    <row r="431" s="179" customFormat="1" spans="1:6">
      <c r="A431" s="226"/>
      <c r="B431" s="242"/>
      <c r="C431" s="221"/>
      <c r="D431" s="221"/>
      <c r="E431" s="222"/>
      <c r="F431" s="223"/>
    </row>
    <row r="432" s="179" customFormat="1" ht="14.55" spans="1:6">
      <c r="A432" s="226"/>
      <c r="B432" s="233" t="s">
        <v>21</v>
      </c>
      <c r="C432" s="221"/>
      <c r="D432" s="221"/>
      <c r="E432" s="222"/>
      <c r="F432" s="234">
        <f>SUM(F425:F431)</f>
        <v>1804382</v>
      </c>
    </row>
    <row r="433" s="179" customFormat="1" ht="14.55" spans="1:6">
      <c r="A433" s="226"/>
      <c r="B433" s="242"/>
      <c r="C433" s="221"/>
      <c r="D433" s="221"/>
      <c r="E433" s="222"/>
      <c r="F433" s="223"/>
    </row>
    <row r="434" s="179" customFormat="1" spans="1:6">
      <c r="A434" s="238"/>
      <c r="B434" s="241"/>
      <c r="C434" s="216"/>
      <c r="D434" s="216"/>
      <c r="E434" s="217"/>
      <c r="F434" s="218"/>
    </row>
    <row r="435" s="179" customFormat="1" spans="1:6">
      <c r="A435" s="226"/>
      <c r="B435" s="242"/>
      <c r="C435" s="221"/>
      <c r="D435" s="221"/>
      <c r="E435" s="222"/>
      <c r="F435" s="223"/>
    </row>
    <row r="436" s="179" customFormat="1" spans="1:6">
      <c r="A436" s="226"/>
      <c r="B436" s="233" t="s">
        <v>156</v>
      </c>
      <c r="C436" s="221"/>
      <c r="D436" s="221"/>
      <c r="E436" s="222"/>
      <c r="F436" s="223"/>
    </row>
    <row r="437" s="179" customFormat="1" spans="1:6">
      <c r="A437" s="226"/>
      <c r="B437" s="242"/>
      <c r="C437" s="221"/>
      <c r="D437" s="221"/>
      <c r="E437" s="222"/>
      <c r="F437" s="223"/>
    </row>
    <row r="438" s="179" customFormat="1" spans="1:6">
      <c r="A438" s="226"/>
      <c r="B438" s="244" t="s">
        <v>157</v>
      </c>
      <c r="C438" s="221"/>
      <c r="D438" s="221"/>
      <c r="E438" s="222"/>
      <c r="F438" s="223"/>
    </row>
    <row r="439" s="179" customFormat="1" spans="1:6">
      <c r="A439" s="226"/>
      <c r="B439" s="242"/>
      <c r="C439" s="221"/>
      <c r="D439" s="221"/>
      <c r="E439" s="222"/>
      <c r="F439" s="223"/>
    </row>
    <row r="440" s="179" customFormat="1" spans="1:6">
      <c r="A440" s="226"/>
      <c r="B440" s="244" t="s">
        <v>158</v>
      </c>
      <c r="C440" s="255"/>
      <c r="D440" s="255"/>
      <c r="E440" s="256"/>
      <c r="F440" s="223"/>
    </row>
    <row r="441" s="179" customFormat="1" spans="1:6">
      <c r="A441" s="226"/>
      <c r="B441" s="237"/>
      <c r="C441" s="255"/>
      <c r="D441" s="255"/>
      <c r="E441" s="256"/>
      <c r="F441" s="223"/>
    </row>
    <row r="442" s="179" customFormat="1" ht="27.6" spans="1:6">
      <c r="A442" s="226"/>
      <c r="B442" s="243" t="s">
        <v>159</v>
      </c>
      <c r="C442" s="255"/>
      <c r="D442" s="255"/>
      <c r="E442" s="256"/>
      <c r="F442" s="223"/>
    </row>
    <row r="443" s="179" customFormat="1" spans="1:6">
      <c r="A443" s="226"/>
      <c r="B443" s="237"/>
      <c r="C443" s="255"/>
      <c r="D443" s="255"/>
      <c r="E443" s="256"/>
      <c r="F443" s="223"/>
    </row>
    <row r="444" s="179" customFormat="1" spans="1:6">
      <c r="A444" s="226" t="s">
        <v>19</v>
      </c>
      <c r="B444" s="237" t="s">
        <v>160</v>
      </c>
      <c r="C444" s="256">
        <v>0</v>
      </c>
      <c r="D444" s="255" t="s">
        <v>161</v>
      </c>
      <c r="E444" s="256">
        <v>55952</v>
      </c>
      <c r="F444" s="223" t="s">
        <v>113</v>
      </c>
    </row>
    <row r="445" s="179" customFormat="1" spans="1:6">
      <c r="A445" s="226"/>
      <c r="B445" s="237"/>
      <c r="C445" s="255"/>
      <c r="D445" s="255"/>
      <c r="E445" s="256"/>
      <c r="F445" s="223"/>
    </row>
    <row r="446" s="179" customFormat="1" spans="1:6">
      <c r="A446" s="226" t="s">
        <v>23</v>
      </c>
      <c r="B446" s="237" t="s">
        <v>162</v>
      </c>
      <c r="C446" s="221">
        <v>1.6</v>
      </c>
      <c r="D446" s="255" t="s">
        <v>161</v>
      </c>
      <c r="E446" s="256">
        <v>56490</v>
      </c>
      <c r="F446" s="253">
        <f>E446*C446</f>
        <v>90384</v>
      </c>
    </row>
    <row r="447" s="179" customFormat="1" spans="1:6">
      <c r="A447" s="226"/>
      <c r="B447" s="237"/>
      <c r="C447" s="221"/>
      <c r="D447" s="255"/>
      <c r="E447" s="256"/>
      <c r="F447" s="223"/>
    </row>
    <row r="448" s="179" customFormat="1" spans="1:6">
      <c r="A448" s="226" t="s">
        <v>25</v>
      </c>
      <c r="B448" s="237" t="s">
        <v>163</v>
      </c>
      <c r="C448" s="221">
        <v>1.6</v>
      </c>
      <c r="D448" s="255" t="s">
        <v>161</v>
      </c>
      <c r="E448" s="256">
        <v>56490</v>
      </c>
      <c r="F448" s="253">
        <f>E448*C448</f>
        <v>90384</v>
      </c>
    </row>
    <row r="449" s="179" customFormat="1" spans="1:6">
      <c r="A449" s="226"/>
      <c r="B449" s="237"/>
      <c r="C449" s="255"/>
      <c r="D449" s="255"/>
      <c r="E449" s="256"/>
      <c r="F449" s="223"/>
    </row>
    <row r="450" s="179" customFormat="1" spans="1:6">
      <c r="A450" s="226"/>
      <c r="B450" s="237"/>
      <c r="C450" s="255"/>
      <c r="D450" s="255"/>
      <c r="E450" s="256"/>
      <c r="F450" s="223"/>
    </row>
    <row r="451" s="179" customFormat="1" spans="1:6">
      <c r="A451" s="226"/>
      <c r="B451" s="244" t="s">
        <v>164</v>
      </c>
      <c r="C451" s="255"/>
      <c r="D451" s="255"/>
      <c r="E451" s="256"/>
      <c r="F451" s="223"/>
    </row>
    <row r="452" s="179" customFormat="1" ht="29.25" customHeight="1" spans="1:6">
      <c r="A452" s="226"/>
      <c r="B452" s="243" t="s">
        <v>165</v>
      </c>
      <c r="C452" s="255"/>
      <c r="D452" s="255"/>
      <c r="E452" s="256"/>
      <c r="F452" s="223"/>
    </row>
    <row r="453" s="179" customFormat="1" spans="1:6">
      <c r="A453" s="226"/>
      <c r="B453" s="237"/>
      <c r="C453" s="255"/>
      <c r="D453" s="255"/>
      <c r="E453" s="256"/>
      <c r="F453" s="223"/>
    </row>
    <row r="454" s="179" customFormat="1" ht="27.6" spans="1:6">
      <c r="A454" s="226"/>
      <c r="B454" s="243" t="s">
        <v>166</v>
      </c>
      <c r="C454" s="255"/>
      <c r="D454" s="255"/>
      <c r="E454" s="256"/>
      <c r="F454" s="223"/>
    </row>
    <row r="455" s="179" customFormat="1" spans="1:6">
      <c r="A455" s="226"/>
      <c r="B455" s="237"/>
      <c r="C455" s="221"/>
      <c r="D455" s="255"/>
      <c r="E455" s="256"/>
      <c r="F455" s="223"/>
    </row>
    <row r="456" s="179" customFormat="1" spans="1:6">
      <c r="A456" s="226" t="s">
        <v>40</v>
      </c>
      <c r="B456" s="237" t="s">
        <v>167</v>
      </c>
      <c r="C456" s="221">
        <v>0.3</v>
      </c>
      <c r="D456" s="255" t="s">
        <v>161</v>
      </c>
      <c r="E456" s="256">
        <v>51110</v>
      </c>
      <c r="F456" s="253">
        <f>E456*C456</f>
        <v>15333</v>
      </c>
    </row>
    <row r="457" s="179" customFormat="1" spans="1:6">
      <c r="A457" s="226"/>
      <c r="B457" s="237"/>
      <c r="C457" s="221"/>
      <c r="D457" s="255"/>
      <c r="E457" s="256"/>
      <c r="F457" s="223"/>
    </row>
    <row r="458" s="179" customFormat="1" spans="1:6">
      <c r="A458" s="226" t="s">
        <v>42</v>
      </c>
      <c r="B458" s="237" t="s">
        <v>168</v>
      </c>
      <c r="C458" s="222">
        <v>0</v>
      </c>
      <c r="D458" s="255" t="s">
        <v>169</v>
      </c>
      <c r="E458" s="256">
        <v>168.66</v>
      </c>
      <c r="F458" s="223" t="s">
        <v>113</v>
      </c>
    </row>
    <row r="459" s="179" customFormat="1" spans="1:6">
      <c r="A459" s="226"/>
      <c r="B459" s="237"/>
      <c r="C459" s="221"/>
      <c r="D459" s="255"/>
      <c r="E459" s="256"/>
      <c r="F459" s="223"/>
    </row>
    <row r="460" s="179" customFormat="1" spans="1:6">
      <c r="A460" s="226" t="s">
        <v>46</v>
      </c>
      <c r="B460" s="237" t="s">
        <v>170</v>
      </c>
      <c r="C460" s="221">
        <v>53</v>
      </c>
      <c r="D460" s="255" t="s">
        <v>169</v>
      </c>
      <c r="E460" s="256">
        <v>424.21</v>
      </c>
      <c r="F460" s="253">
        <f>E460*C460</f>
        <v>22483.13</v>
      </c>
    </row>
    <row r="461" s="179" customFormat="1" spans="1:6">
      <c r="A461" s="226"/>
      <c r="B461" s="237"/>
      <c r="C461" s="221"/>
      <c r="D461" s="255"/>
      <c r="E461" s="256"/>
      <c r="F461" s="223"/>
    </row>
    <row r="462" s="179" customFormat="1" spans="1:6">
      <c r="A462" s="226" t="s">
        <v>48</v>
      </c>
      <c r="B462" s="237" t="s">
        <v>171</v>
      </c>
      <c r="C462" s="221">
        <v>69</v>
      </c>
      <c r="D462" s="255" t="s">
        <v>169</v>
      </c>
      <c r="E462" s="256">
        <v>255.55</v>
      </c>
      <c r="F462" s="253">
        <f>E462*C462</f>
        <v>17632.95</v>
      </c>
    </row>
    <row r="463" s="179" customFormat="1" spans="1:6">
      <c r="A463" s="226"/>
      <c r="B463" s="237"/>
      <c r="C463" s="221"/>
      <c r="D463" s="255"/>
      <c r="E463" s="256"/>
      <c r="F463" s="223"/>
    </row>
    <row r="464" s="179" customFormat="1" spans="1:6">
      <c r="A464" s="226"/>
      <c r="B464" s="242"/>
      <c r="C464" s="221"/>
      <c r="D464" s="221"/>
      <c r="E464" s="222"/>
      <c r="F464" s="223"/>
    </row>
    <row r="465" s="179" customFormat="1" spans="1:6">
      <c r="A465" s="226"/>
      <c r="B465" s="242"/>
      <c r="C465" s="221"/>
      <c r="D465" s="221"/>
      <c r="E465" s="222"/>
      <c r="F465" s="223"/>
    </row>
    <row r="466" s="179" customFormat="1" spans="1:6">
      <c r="A466" s="226"/>
      <c r="B466" s="242"/>
      <c r="C466" s="221"/>
      <c r="D466" s="221"/>
      <c r="E466" s="222"/>
      <c r="F466" s="223"/>
    </row>
    <row r="467" s="179" customFormat="1" spans="1:6">
      <c r="A467" s="226"/>
      <c r="B467" s="242"/>
      <c r="C467" s="221"/>
      <c r="D467" s="221"/>
      <c r="E467" s="222"/>
      <c r="F467" s="246"/>
    </row>
    <row r="468" s="179" customFormat="1" spans="1:6">
      <c r="A468" s="238"/>
      <c r="B468" s="247" t="s">
        <v>57</v>
      </c>
      <c r="C468" s="216"/>
      <c r="D468" s="216"/>
      <c r="E468" s="217"/>
      <c r="F468" s="218">
        <f>SUM(F441:F467)</f>
        <v>236217.08</v>
      </c>
    </row>
    <row r="469" s="179" customFormat="1" spans="1:6">
      <c r="A469" s="226"/>
      <c r="B469" s="262" t="s">
        <v>58</v>
      </c>
      <c r="C469" s="221"/>
      <c r="D469" s="221"/>
      <c r="E469" s="222"/>
      <c r="F469" s="223">
        <f>F468</f>
        <v>236217.08</v>
      </c>
    </row>
    <row r="470" s="179" customFormat="1" spans="1:6">
      <c r="A470" s="226"/>
      <c r="B470" s="242"/>
      <c r="C470" s="221"/>
      <c r="D470" s="221"/>
      <c r="E470" s="222"/>
      <c r="F470" s="223"/>
    </row>
    <row r="471" s="179" customFormat="1" spans="1:6">
      <c r="A471" s="226" t="s">
        <v>16</v>
      </c>
      <c r="B471" s="237" t="s">
        <v>162</v>
      </c>
      <c r="C471" s="221">
        <v>6.4</v>
      </c>
      <c r="D471" s="221" t="s">
        <v>161</v>
      </c>
      <c r="E471" s="222">
        <v>51621.1</v>
      </c>
      <c r="F471" s="253">
        <f>E471*C471</f>
        <v>330375.04</v>
      </c>
    </row>
    <row r="472" s="179" customFormat="1" spans="1:6">
      <c r="A472" s="226"/>
      <c r="B472" s="237"/>
      <c r="C472" s="221"/>
      <c r="D472" s="221"/>
      <c r="E472" s="222"/>
      <c r="F472" s="223"/>
    </row>
    <row r="473" s="179" customFormat="1" spans="1:6">
      <c r="A473" s="226" t="s">
        <v>19</v>
      </c>
      <c r="B473" s="237" t="s">
        <v>168</v>
      </c>
      <c r="C473" s="221">
        <v>180</v>
      </c>
      <c r="D473" s="221" t="s">
        <v>169</v>
      </c>
      <c r="E473" s="222">
        <v>170.35</v>
      </c>
      <c r="F473" s="253">
        <f>E473*C473</f>
        <v>30663</v>
      </c>
    </row>
    <row r="474" s="179" customFormat="1" spans="1:6">
      <c r="A474" s="226"/>
      <c r="B474" s="237"/>
      <c r="C474" s="221"/>
      <c r="D474" s="221"/>
      <c r="E474" s="222"/>
      <c r="F474" s="223"/>
    </row>
    <row r="475" s="179" customFormat="1" spans="1:6">
      <c r="A475" s="226" t="s">
        <v>23</v>
      </c>
      <c r="B475" s="237" t="s">
        <v>170</v>
      </c>
      <c r="C475" s="221">
        <v>53</v>
      </c>
      <c r="D475" s="221" t="s">
        <v>169</v>
      </c>
      <c r="E475" s="222">
        <v>428.46</v>
      </c>
      <c r="F475" s="253">
        <f>E475*C475</f>
        <v>22708.38</v>
      </c>
    </row>
    <row r="476" s="179" customFormat="1" spans="1:6">
      <c r="A476" s="226"/>
      <c r="B476" s="237"/>
      <c r="C476" s="221"/>
      <c r="D476" s="221"/>
      <c r="E476" s="222"/>
      <c r="F476" s="223"/>
    </row>
    <row r="477" s="179" customFormat="1" spans="1:6">
      <c r="A477" s="226" t="s">
        <v>25</v>
      </c>
      <c r="B477" s="237" t="s">
        <v>171</v>
      </c>
      <c r="C477" s="221">
        <v>69</v>
      </c>
      <c r="D477" s="221" t="s">
        <v>169</v>
      </c>
      <c r="E477" s="222">
        <v>258.11</v>
      </c>
      <c r="F477" s="253">
        <f>E477*C477</f>
        <v>17809.59</v>
      </c>
    </row>
    <row r="478" s="179" customFormat="1" spans="1:6">
      <c r="A478" s="226"/>
      <c r="B478" s="237"/>
      <c r="C478" s="221"/>
      <c r="D478" s="221"/>
      <c r="E478" s="222"/>
      <c r="F478" s="223"/>
    </row>
    <row r="479" s="179" customFormat="1" spans="1:6">
      <c r="A479" s="226" t="s">
        <v>40</v>
      </c>
      <c r="B479" s="237" t="s">
        <v>172</v>
      </c>
      <c r="C479" s="221">
        <v>0.6</v>
      </c>
      <c r="D479" s="221" t="s">
        <v>161</v>
      </c>
      <c r="E479" s="222">
        <v>51621.1</v>
      </c>
      <c r="F479" s="253">
        <f>E479*C479</f>
        <v>30972.66</v>
      </c>
    </row>
    <row r="480" s="179" customFormat="1" spans="1:6">
      <c r="A480" s="226"/>
      <c r="B480" s="237"/>
      <c r="C480" s="221"/>
      <c r="D480" s="221"/>
      <c r="E480" s="222"/>
      <c r="F480" s="223"/>
    </row>
    <row r="481" s="179" customFormat="1" spans="1:6">
      <c r="A481" s="226"/>
      <c r="B481" s="237"/>
      <c r="C481" s="221"/>
      <c r="D481" s="221"/>
      <c r="E481" s="222"/>
      <c r="F481" s="223"/>
    </row>
    <row r="482" s="179" customFormat="1" spans="1:6">
      <c r="A482" s="226" t="s">
        <v>42</v>
      </c>
      <c r="B482" s="237" t="s">
        <v>163</v>
      </c>
      <c r="C482" s="221">
        <v>6.2</v>
      </c>
      <c r="D482" s="221" t="s">
        <v>161</v>
      </c>
      <c r="E482" s="222">
        <v>52137.31</v>
      </c>
      <c r="F482" s="253">
        <f>E482*C482</f>
        <v>323251.32</v>
      </c>
    </row>
    <row r="483" s="179" customFormat="1" spans="1:6">
      <c r="A483" s="226"/>
      <c r="B483" s="237"/>
      <c r="C483" s="221"/>
      <c r="D483" s="221"/>
      <c r="E483" s="222"/>
      <c r="F483" s="223"/>
    </row>
    <row r="484" s="179" customFormat="1" spans="1:6">
      <c r="A484" s="226" t="s">
        <v>46</v>
      </c>
      <c r="B484" s="237" t="s">
        <v>168</v>
      </c>
      <c r="C484" s="221">
        <v>192</v>
      </c>
      <c r="D484" s="221" t="s">
        <v>169</v>
      </c>
      <c r="E484" s="222">
        <v>172.05</v>
      </c>
      <c r="F484" s="253">
        <f>E484*C484</f>
        <v>33033.6</v>
      </c>
    </row>
    <row r="485" s="179" customFormat="1" spans="1:6">
      <c r="A485" s="226"/>
      <c r="B485" s="237"/>
      <c r="C485" s="221"/>
      <c r="D485" s="221"/>
      <c r="E485" s="222"/>
      <c r="F485" s="223"/>
    </row>
    <row r="486" s="179" customFormat="1" spans="1:6">
      <c r="A486" s="226" t="s">
        <v>48</v>
      </c>
      <c r="B486" s="237" t="s">
        <v>170</v>
      </c>
      <c r="C486" s="221">
        <v>53</v>
      </c>
      <c r="D486" s="221" t="s">
        <v>169</v>
      </c>
      <c r="E486" s="222">
        <v>432.74</v>
      </c>
      <c r="F486" s="253">
        <f>E486*C486</f>
        <v>22935.22</v>
      </c>
    </row>
    <row r="487" s="179" customFormat="1" spans="1:6">
      <c r="A487" s="226"/>
      <c r="B487" s="237"/>
      <c r="C487" s="221"/>
      <c r="D487" s="221"/>
      <c r="E487" s="222"/>
      <c r="F487" s="223"/>
    </row>
    <row r="488" s="179" customFormat="1" spans="1:6">
      <c r="A488" s="226" t="s">
        <v>50</v>
      </c>
      <c r="B488" s="237" t="s">
        <v>171</v>
      </c>
      <c r="C488" s="221">
        <v>69</v>
      </c>
      <c r="D488" s="221" t="s">
        <v>169</v>
      </c>
      <c r="E488" s="222">
        <v>260.69</v>
      </c>
      <c r="F488" s="253">
        <f>E488*C488</f>
        <v>17987.61</v>
      </c>
    </row>
    <row r="489" s="179" customFormat="1" spans="1:6">
      <c r="A489" s="226"/>
      <c r="B489" s="237"/>
      <c r="C489" s="221"/>
      <c r="D489" s="221"/>
      <c r="E489" s="222"/>
      <c r="F489" s="223"/>
    </row>
    <row r="490" s="179" customFormat="1" spans="1:6">
      <c r="A490" s="226" t="s">
        <v>54</v>
      </c>
      <c r="B490" s="237" t="s">
        <v>172</v>
      </c>
      <c r="C490" s="221">
        <v>0.6</v>
      </c>
      <c r="D490" s="221" t="s">
        <v>161</v>
      </c>
      <c r="E490" s="222">
        <v>52137.31</v>
      </c>
      <c r="F490" s="253">
        <f>E490*C490</f>
        <v>31282.39</v>
      </c>
    </row>
    <row r="491" s="179" customFormat="1" spans="1:6">
      <c r="A491" s="226"/>
      <c r="B491" s="237"/>
      <c r="C491" s="221"/>
      <c r="D491" s="221"/>
      <c r="E491" s="222"/>
      <c r="F491" s="223"/>
    </row>
    <row r="492" s="179" customFormat="1" spans="1:6">
      <c r="A492" s="226"/>
      <c r="B492" s="242"/>
      <c r="C492" s="221"/>
      <c r="D492" s="221"/>
      <c r="E492" s="222"/>
      <c r="F492" s="223"/>
    </row>
    <row r="493" s="179" customFormat="1" spans="1:6">
      <c r="A493" s="226"/>
      <c r="B493" s="244" t="s">
        <v>173</v>
      </c>
      <c r="C493" s="255"/>
      <c r="D493" s="255"/>
      <c r="E493" s="256"/>
      <c r="F493" s="223"/>
    </row>
    <row r="494" s="179" customFormat="1" spans="1:6">
      <c r="A494" s="226"/>
      <c r="B494" s="244"/>
      <c r="C494" s="255"/>
      <c r="D494" s="255"/>
      <c r="E494" s="256"/>
      <c r="F494" s="223"/>
    </row>
    <row r="495" s="179" customFormat="1" spans="1:6">
      <c r="A495" s="226" t="s">
        <v>105</v>
      </c>
      <c r="B495" s="237" t="s">
        <v>174</v>
      </c>
      <c r="C495" s="221">
        <v>6.6</v>
      </c>
      <c r="D495" s="255" t="s">
        <v>161</v>
      </c>
      <c r="E495" s="256">
        <v>8166.84</v>
      </c>
      <c r="F495" s="253">
        <f>E495*C495</f>
        <v>53901.14</v>
      </c>
    </row>
    <row r="496" s="179" customFormat="1" spans="1:6">
      <c r="A496" s="226"/>
      <c r="B496" s="237"/>
      <c r="C496" s="221"/>
      <c r="D496" s="255"/>
      <c r="E496" s="256"/>
      <c r="F496" s="223"/>
    </row>
    <row r="497" s="179" customFormat="1" spans="1:6">
      <c r="A497" s="226" t="s">
        <v>91</v>
      </c>
      <c r="B497" s="237" t="s">
        <v>175</v>
      </c>
      <c r="C497" s="221">
        <v>19.8</v>
      </c>
      <c r="D497" s="255" t="s">
        <v>161</v>
      </c>
      <c r="E497" s="256">
        <v>8403.56</v>
      </c>
      <c r="F497" s="253">
        <f>E497*C497</f>
        <v>166390.49</v>
      </c>
    </row>
    <row r="498" s="179" customFormat="1" spans="1:6">
      <c r="A498" s="226"/>
      <c r="B498" s="237"/>
      <c r="C498" s="221"/>
      <c r="D498" s="255"/>
      <c r="E498" s="256"/>
      <c r="F498" s="223"/>
    </row>
    <row r="499" s="179" customFormat="1" spans="1:6">
      <c r="A499" s="226" t="s">
        <v>93</v>
      </c>
      <c r="B499" s="237" t="s">
        <v>176</v>
      </c>
      <c r="C499" s="221">
        <v>31.8</v>
      </c>
      <c r="D499" s="255" t="s">
        <v>161</v>
      </c>
      <c r="E499" s="256">
        <v>8640.28</v>
      </c>
      <c r="F499" s="253">
        <f>E499*C499</f>
        <v>274760.9</v>
      </c>
    </row>
    <row r="500" s="179" customFormat="1" spans="1:6">
      <c r="A500" s="226"/>
      <c r="B500" s="237"/>
      <c r="C500" s="221"/>
      <c r="D500" s="255"/>
      <c r="E500" s="256"/>
      <c r="F500" s="223"/>
    </row>
    <row r="501" s="179" customFormat="1" spans="1:6">
      <c r="A501" s="226"/>
      <c r="B501" s="244" t="s">
        <v>177</v>
      </c>
      <c r="C501" s="221"/>
      <c r="D501" s="255"/>
      <c r="E501" s="256"/>
      <c r="F501" s="223"/>
    </row>
    <row r="502" s="179" customFormat="1" spans="1:6">
      <c r="A502" s="226"/>
      <c r="B502" s="244"/>
      <c r="C502" s="221"/>
      <c r="D502" s="255"/>
      <c r="E502" s="256"/>
      <c r="F502" s="223"/>
    </row>
    <row r="503" s="179" customFormat="1" spans="1:6">
      <c r="A503" s="226" t="s">
        <v>95</v>
      </c>
      <c r="B503" s="237" t="s">
        <v>178</v>
      </c>
      <c r="C503" s="221">
        <v>5</v>
      </c>
      <c r="D503" s="255" t="s">
        <v>161</v>
      </c>
      <c r="E503" s="256">
        <v>10060.6</v>
      </c>
      <c r="F503" s="253">
        <f>E503*C503</f>
        <v>50303</v>
      </c>
    </row>
    <row r="504" s="179" customFormat="1" spans="1:6">
      <c r="A504" s="226"/>
      <c r="B504" s="237"/>
      <c r="C504" s="221"/>
      <c r="D504" s="255"/>
      <c r="E504" s="256"/>
      <c r="F504" s="223"/>
    </row>
    <row r="505" s="179" customFormat="1" spans="1:6">
      <c r="A505" s="226" t="s">
        <v>179</v>
      </c>
      <c r="B505" s="237" t="s">
        <v>180</v>
      </c>
      <c r="C505" s="221">
        <v>1.7</v>
      </c>
      <c r="D505" s="255" t="s">
        <v>161</v>
      </c>
      <c r="E505" s="256">
        <v>10415.68</v>
      </c>
      <c r="F505" s="253">
        <f>E505*C505</f>
        <v>17706.66</v>
      </c>
    </row>
    <row r="506" s="179" customFormat="1" spans="1:6">
      <c r="A506" s="226"/>
      <c r="B506" s="237"/>
      <c r="C506" s="221"/>
      <c r="D506" s="255"/>
      <c r="E506" s="256"/>
      <c r="F506" s="223"/>
    </row>
    <row r="507" s="179" customFormat="1" spans="1:6">
      <c r="A507" s="226" t="s">
        <v>181</v>
      </c>
      <c r="B507" s="237" t="s">
        <v>182</v>
      </c>
      <c r="C507" s="221">
        <v>1</v>
      </c>
      <c r="D507" s="255" t="s">
        <v>161</v>
      </c>
      <c r="E507" s="256">
        <v>10652.4</v>
      </c>
      <c r="F507" s="253">
        <f>E507*C507</f>
        <v>10652.4</v>
      </c>
    </row>
    <row r="508" s="179" customFormat="1" spans="1:6">
      <c r="A508" s="226"/>
      <c r="B508" s="237"/>
      <c r="C508" s="221"/>
      <c r="D508" s="255"/>
      <c r="E508" s="256"/>
      <c r="F508" s="223"/>
    </row>
    <row r="509" s="179" customFormat="1" spans="1:6">
      <c r="A509" s="226"/>
      <c r="B509" s="244" t="s">
        <v>183</v>
      </c>
      <c r="C509" s="221"/>
      <c r="D509" s="221"/>
      <c r="E509" s="222"/>
      <c r="F509" s="223"/>
    </row>
    <row r="510" s="179" customFormat="1" spans="1:6">
      <c r="A510" s="226"/>
      <c r="B510" s="237"/>
      <c r="C510" s="221"/>
      <c r="D510" s="221"/>
      <c r="E510" s="222"/>
      <c r="F510" s="223"/>
    </row>
    <row r="511" s="179" customFormat="1" spans="1:6">
      <c r="A511" s="226" t="s">
        <v>184</v>
      </c>
      <c r="B511" s="237" t="s">
        <v>185</v>
      </c>
      <c r="C511" s="221">
        <v>40</v>
      </c>
      <c r="D511" s="221" t="s">
        <v>169</v>
      </c>
      <c r="E511" s="222">
        <v>61.88</v>
      </c>
      <c r="F511" s="253">
        <f>E511*C511</f>
        <v>2475.2</v>
      </c>
    </row>
    <row r="512" s="179" customFormat="1" spans="1:6">
      <c r="A512" s="226"/>
      <c r="B512" s="237"/>
      <c r="C512" s="221"/>
      <c r="D512" s="221"/>
      <c r="E512" s="222"/>
      <c r="F512" s="223"/>
    </row>
    <row r="513" s="179" customFormat="1" spans="1:6">
      <c r="A513" s="226" t="s">
        <v>186</v>
      </c>
      <c r="B513" s="237" t="s">
        <v>187</v>
      </c>
      <c r="C513" s="221">
        <v>196</v>
      </c>
      <c r="D513" s="221" t="s">
        <v>169</v>
      </c>
      <c r="E513" s="222">
        <v>65.31</v>
      </c>
      <c r="F513" s="253">
        <f>E513*C513</f>
        <v>12800.76</v>
      </c>
    </row>
    <row r="514" s="179" customFormat="1" spans="1:6">
      <c r="A514" s="226"/>
      <c r="B514" s="237"/>
      <c r="C514" s="221"/>
      <c r="D514" s="221"/>
      <c r="E514" s="222"/>
      <c r="F514" s="223"/>
    </row>
    <row r="515" s="179" customFormat="1" spans="1:6">
      <c r="A515" s="226" t="s">
        <v>188</v>
      </c>
      <c r="B515" s="237" t="s">
        <v>189</v>
      </c>
      <c r="C515" s="221">
        <v>311</v>
      </c>
      <c r="D515" s="221" t="s">
        <v>169</v>
      </c>
      <c r="E515" s="222">
        <v>68.75</v>
      </c>
      <c r="F515" s="253">
        <f>E515*C515</f>
        <v>21381.25</v>
      </c>
    </row>
    <row r="516" s="179" customFormat="1" spans="1:6">
      <c r="A516" s="226"/>
      <c r="B516" s="237"/>
      <c r="C516" s="221"/>
      <c r="D516" s="221"/>
      <c r="E516" s="222"/>
      <c r="F516" s="246"/>
    </row>
    <row r="517" s="179" customFormat="1" spans="1:6">
      <c r="A517" s="238"/>
      <c r="B517" s="247" t="s">
        <v>57</v>
      </c>
      <c r="C517" s="216"/>
      <c r="D517" s="216"/>
      <c r="E517" s="217"/>
      <c r="F517" s="218">
        <f>SUM(F469:F516)</f>
        <v>1707607.69</v>
      </c>
    </row>
    <row r="518" s="179" customFormat="1" spans="1:6">
      <c r="A518" s="226"/>
      <c r="B518" s="262" t="s">
        <v>58</v>
      </c>
      <c r="C518" s="221"/>
      <c r="D518" s="221"/>
      <c r="E518" s="222"/>
      <c r="F518" s="223">
        <f>F517</f>
        <v>1707607.69</v>
      </c>
    </row>
    <row r="519" s="179" customFormat="1" spans="1:6">
      <c r="A519" s="226"/>
      <c r="B519" s="237"/>
      <c r="C519" s="221"/>
      <c r="D519" s="221"/>
      <c r="E519" s="222"/>
      <c r="F519" s="223"/>
    </row>
    <row r="520" s="179" customFormat="1" spans="1:6">
      <c r="A520" s="226"/>
      <c r="B520" s="244" t="s">
        <v>190</v>
      </c>
      <c r="C520" s="221"/>
      <c r="D520" s="221"/>
      <c r="E520" s="222"/>
      <c r="F520" s="223"/>
    </row>
    <row r="521" s="179" customFormat="1" spans="1:6">
      <c r="A521" s="226"/>
      <c r="B521" s="237"/>
      <c r="C521" s="221"/>
      <c r="D521" s="221"/>
      <c r="E521" s="222"/>
      <c r="F521" s="223"/>
    </row>
    <row r="522" s="179" customFormat="1" ht="27.6" spans="1:6">
      <c r="A522" s="226" t="s">
        <v>16</v>
      </c>
      <c r="B522" s="237" t="s">
        <v>191</v>
      </c>
      <c r="C522" s="251">
        <v>7.1</v>
      </c>
      <c r="D522" s="251" t="s">
        <v>161</v>
      </c>
      <c r="E522" s="252">
        <v>7989.3</v>
      </c>
      <c r="F522" s="253">
        <f>E522*C522</f>
        <v>56724.03</v>
      </c>
    </row>
    <row r="523" s="179" customFormat="1" spans="1:6">
      <c r="A523" s="226"/>
      <c r="B523" s="237"/>
      <c r="C523" s="251"/>
      <c r="D523" s="251"/>
      <c r="E523" s="252"/>
      <c r="F523" s="223"/>
    </row>
    <row r="524" s="179" customFormat="1" ht="27.6" spans="1:6">
      <c r="A524" s="226" t="s">
        <v>19</v>
      </c>
      <c r="B524" s="237" t="s">
        <v>192</v>
      </c>
      <c r="C524" s="251">
        <v>6.9</v>
      </c>
      <c r="D524" s="251" t="s">
        <v>161</v>
      </c>
      <c r="E524" s="252">
        <v>8403.56</v>
      </c>
      <c r="F524" s="253">
        <f>E524*C524</f>
        <v>57984.56</v>
      </c>
    </row>
    <row r="525" s="179" customFormat="1" spans="1:6">
      <c r="A525" s="226"/>
      <c r="B525" s="237"/>
      <c r="C525" s="251"/>
      <c r="D525" s="251"/>
      <c r="E525" s="252"/>
      <c r="F525" s="223"/>
    </row>
    <row r="526" s="179" customFormat="1" spans="1:6">
      <c r="A526" s="226"/>
      <c r="B526" s="237"/>
      <c r="C526" s="251"/>
      <c r="D526" s="251"/>
      <c r="E526" s="252"/>
      <c r="F526" s="223"/>
    </row>
    <row r="527" s="179" customFormat="1" spans="1:6">
      <c r="A527" s="226"/>
      <c r="B527" s="244" t="s">
        <v>193</v>
      </c>
      <c r="C527" s="251"/>
      <c r="D527" s="251"/>
      <c r="E527" s="252"/>
      <c r="F527" s="223"/>
    </row>
    <row r="528" s="179" customFormat="1" spans="1:6">
      <c r="A528" s="226"/>
      <c r="B528" s="244"/>
      <c r="C528" s="251"/>
      <c r="D528" s="251"/>
      <c r="E528" s="252"/>
      <c r="F528" s="223"/>
    </row>
    <row r="529" s="179" customFormat="1" ht="27.6" spans="1:6">
      <c r="A529" s="226" t="s">
        <v>23</v>
      </c>
      <c r="B529" s="237" t="s">
        <v>194</v>
      </c>
      <c r="C529" s="251">
        <v>4</v>
      </c>
      <c r="D529" s="251" t="s">
        <v>195</v>
      </c>
      <c r="E529" s="252">
        <v>7279.14</v>
      </c>
      <c r="F529" s="253">
        <f>E529*C529</f>
        <v>29116.56</v>
      </c>
    </row>
    <row r="530" s="179" customFormat="1" spans="1:6">
      <c r="A530" s="226"/>
      <c r="B530" s="237"/>
      <c r="C530" s="251"/>
      <c r="D530" s="251"/>
      <c r="E530" s="252"/>
      <c r="F530" s="253"/>
    </row>
    <row r="531" s="179" customFormat="1" ht="27.6" spans="1:6">
      <c r="A531" s="226" t="s">
        <v>25</v>
      </c>
      <c r="B531" s="237" t="s">
        <v>196</v>
      </c>
      <c r="C531" s="251">
        <v>4.2</v>
      </c>
      <c r="D531" s="251" t="s">
        <v>195</v>
      </c>
      <c r="E531" s="252">
        <v>7456.68</v>
      </c>
      <c r="F531" s="253">
        <f>E531*C531</f>
        <v>31318.06</v>
      </c>
    </row>
    <row r="532" s="179" customFormat="1" spans="1:6">
      <c r="A532" s="226"/>
      <c r="B532" s="237"/>
      <c r="C532" s="251"/>
      <c r="D532" s="251"/>
      <c r="E532" s="252"/>
      <c r="F532" s="253"/>
    </row>
    <row r="533" s="179" customFormat="1" ht="27.6" spans="1:6">
      <c r="A533" s="226" t="s">
        <v>40</v>
      </c>
      <c r="B533" s="237" t="s">
        <v>197</v>
      </c>
      <c r="C533" s="251">
        <v>5.9</v>
      </c>
      <c r="D533" s="251" t="s">
        <v>195</v>
      </c>
      <c r="E533" s="252">
        <v>7693.4</v>
      </c>
      <c r="F533" s="253">
        <f>E533*C533</f>
        <v>45391.06</v>
      </c>
    </row>
    <row r="534" s="179" customFormat="1" spans="1:6">
      <c r="A534" s="226"/>
      <c r="B534" s="237"/>
      <c r="C534" s="251"/>
      <c r="D534" s="251"/>
      <c r="E534" s="252"/>
      <c r="F534" s="253"/>
    </row>
    <row r="535" s="179" customFormat="1" spans="1:6">
      <c r="A535" s="226"/>
      <c r="B535" s="244" t="s">
        <v>198</v>
      </c>
      <c r="C535" s="251"/>
      <c r="D535" s="251"/>
      <c r="E535" s="252"/>
      <c r="F535" s="253"/>
    </row>
    <row r="536" s="179" customFormat="1" ht="27.6" spans="1:6">
      <c r="A536" s="226" t="s">
        <v>42</v>
      </c>
      <c r="B536" s="237" t="s">
        <v>199</v>
      </c>
      <c r="C536" s="251">
        <v>40</v>
      </c>
      <c r="D536" s="251" t="s">
        <v>81</v>
      </c>
      <c r="E536" s="252">
        <v>70.43</v>
      </c>
      <c r="F536" s="253">
        <f>E536*C536</f>
        <v>2817.2</v>
      </c>
    </row>
    <row r="537" s="179" customFormat="1" spans="1:6">
      <c r="A537" s="226"/>
      <c r="B537" s="237"/>
      <c r="C537" s="251"/>
      <c r="D537" s="251"/>
      <c r="E537" s="252"/>
      <c r="F537" s="253"/>
    </row>
    <row r="538" s="179" customFormat="1" ht="27.6" spans="1:6">
      <c r="A538" s="226" t="s">
        <v>46</v>
      </c>
      <c r="B538" s="237" t="s">
        <v>200</v>
      </c>
      <c r="C538" s="251">
        <v>79</v>
      </c>
      <c r="D538" s="251" t="s">
        <v>81</v>
      </c>
      <c r="E538" s="252">
        <v>73.78</v>
      </c>
      <c r="F538" s="253">
        <f>E538*C538</f>
        <v>5828.62</v>
      </c>
    </row>
    <row r="539" s="179" customFormat="1" spans="1:6">
      <c r="A539" s="226"/>
      <c r="B539" s="237"/>
      <c r="C539" s="251"/>
      <c r="D539" s="251"/>
      <c r="E539" s="252"/>
      <c r="F539" s="253"/>
    </row>
    <row r="540" s="179" customFormat="1" ht="27.6" spans="1:6">
      <c r="A540" s="226" t="s">
        <v>48</v>
      </c>
      <c r="B540" s="237" t="s">
        <v>201</v>
      </c>
      <c r="C540" s="251">
        <v>118</v>
      </c>
      <c r="D540" s="251" t="s">
        <v>81</v>
      </c>
      <c r="E540" s="252">
        <v>75.46</v>
      </c>
      <c r="F540" s="253">
        <f>E540*C540</f>
        <v>8904.28</v>
      </c>
    </row>
    <row r="541" s="179" customFormat="1" spans="1:6">
      <c r="A541" s="226"/>
      <c r="B541" s="237"/>
      <c r="C541" s="251"/>
      <c r="D541" s="251"/>
      <c r="E541" s="252"/>
      <c r="F541" s="253"/>
    </row>
    <row r="542" s="179" customFormat="1" spans="1:6">
      <c r="A542" s="226"/>
      <c r="B542" s="244" t="s">
        <v>202</v>
      </c>
      <c r="C542" s="251"/>
      <c r="D542" s="251"/>
      <c r="E542" s="252"/>
      <c r="F542" s="253"/>
    </row>
    <row r="543" s="179" customFormat="1" ht="27.6" spans="1:6">
      <c r="A543" s="226" t="s">
        <v>50</v>
      </c>
      <c r="B543" s="237" t="s">
        <v>203</v>
      </c>
      <c r="C543" s="251">
        <v>2.1</v>
      </c>
      <c r="D543" s="251" t="s">
        <v>161</v>
      </c>
      <c r="E543" s="252">
        <v>15268.44</v>
      </c>
      <c r="F543" s="253">
        <f>E543*C543</f>
        <v>32063.72</v>
      </c>
    </row>
    <row r="544" s="179" customFormat="1" spans="1:6">
      <c r="A544" s="226"/>
      <c r="B544" s="237"/>
      <c r="C544" s="221"/>
      <c r="D544" s="221"/>
      <c r="E544" s="222"/>
      <c r="F544" s="223"/>
    </row>
    <row r="545" s="179" customFormat="1" spans="1:6">
      <c r="A545" s="226"/>
      <c r="B545" s="237"/>
      <c r="C545" s="221"/>
      <c r="D545" s="221"/>
      <c r="E545" s="222"/>
      <c r="F545" s="223"/>
    </row>
    <row r="546" s="179" customFormat="1" spans="1:6">
      <c r="A546" s="226"/>
      <c r="B546" s="237"/>
      <c r="C546" s="221"/>
      <c r="D546" s="221"/>
      <c r="E546" s="222"/>
      <c r="F546" s="223"/>
    </row>
    <row r="547" s="179" customFormat="1" spans="1:6">
      <c r="A547" s="226"/>
      <c r="B547" s="237"/>
      <c r="C547" s="221"/>
      <c r="D547" s="221"/>
      <c r="E547" s="222"/>
      <c r="F547" s="223"/>
    </row>
    <row r="548" s="179" customFormat="1" spans="1:6">
      <c r="A548" s="226"/>
      <c r="B548" s="237"/>
      <c r="C548" s="221"/>
      <c r="D548" s="221"/>
      <c r="E548" s="222"/>
      <c r="F548" s="223"/>
    </row>
    <row r="549" s="179" customFormat="1" spans="1:6">
      <c r="A549" s="226"/>
      <c r="B549" s="237"/>
      <c r="C549" s="221"/>
      <c r="D549" s="221"/>
      <c r="E549" s="222"/>
      <c r="F549" s="223"/>
    </row>
    <row r="550" s="179" customFormat="1" spans="1:6">
      <c r="A550" s="226"/>
      <c r="B550" s="237"/>
      <c r="C550" s="221"/>
      <c r="D550" s="221"/>
      <c r="E550" s="222"/>
      <c r="F550" s="223"/>
    </row>
    <row r="551" s="179" customFormat="1" spans="1:6">
      <c r="A551" s="226"/>
      <c r="B551" s="237"/>
      <c r="C551" s="221"/>
      <c r="D551" s="221"/>
      <c r="E551" s="222"/>
      <c r="F551" s="223"/>
    </row>
    <row r="552" s="179" customFormat="1" spans="1:6">
      <c r="A552" s="226"/>
      <c r="B552" s="237"/>
      <c r="C552" s="221"/>
      <c r="D552" s="221"/>
      <c r="E552" s="222"/>
      <c r="F552" s="223"/>
    </row>
    <row r="553" s="179" customFormat="1" spans="1:6">
      <c r="A553" s="226"/>
      <c r="B553" s="237"/>
      <c r="C553" s="221"/>
      <c r="D553" s="221"/>
      <c r="E553" s="222"/>
      <c r="F553" s="223"/>
    </row>
    <row r="554" s="179" customFormat="1" spans="1:6">
      <c r="A554" s="226"/>
      <c r="B554" s="237"/>
      <c r="C554" s="221"/>
      <c r="D554" s="221"/>
      <c r="E554" s="222"/>
      <c r="F554" s="223"/>
    </row>
    <row r="555" s="179" customFormat="1" spans="1:6">
      <c r="A555" s="226"/>
      <c r="B555" s="237"/>
      <c r="C555" s="221"/>
      <c r="D555" s="221"/>
      <c r="E555" s="222"/>
      <c r="F555" s="223"/>
    </row>
    <row r="556" s="179" customFormat="1" spans="1:6">
      <c r="A556" s="226"/>
      <c r="B556" s="237"/>
      <c r="C556" s="221"/>
      <c r="D556" s="221"/>
      <c r="E556" s="222"/>
      <c r="F556" s="246"/>
    </row>
    <row r="557" s="179" customFormat="1" spans="1:6">
      <c r="A557" s="238"/>
      <c r="B557" s="247" t="s">
        <v>57</v>
      </c>
      <c r="C557" s="216"/>
      <c r="D557" s="216"/>
      <c r="E557" s="217"/>
      <c r="F557" s="218">
        <f>SUM(F518:F556)</f>
        <v>1977755.78</v>
      </c>
    </row>
    <row r="558" s="179" customFormat="1" spans="1:6">
      <c r="A558" s="226"/>
      <c r="B558" s="262" t="s">
        <v>58</v>
      </c>
      <c r="C558" s="221"/>
      <c r="D558" s="221"/>
      <c r="E558" s="222"/>
      <c r="F558" s="223">
        <f>F557</f>
        <v>1977755.78</v>
      </c>
    </row>
    <row r="559" s="179" customFormat="1" spans="1:6">
      <c r="A559" s="226"/>
      <c r="B559" s="237"/>
      <c r="C559" s="221"/>
      <c r="D559" s="221"/>
      <c r="E559" s="222"/>
      <c r="F559" s="223"/>
    </row>
    <row r="560" s="179" customFormat="1" spans="1:6">
      <c r="A560" s="226"/>
      <c r="B560" s="233" t="s">
        <v>204</v>
      </c>
      <c r="C560" s="221"/>
      <c r="D560" s="221"/>
      <c r="E560" s="222"/>
      <c r="F560" s="223"/>
    </row>
    <row r="561" s="179" customFormat="1" spans="1:6">
      <c r="A561" s="226"/>
      <c r="B561" s="233"/>
      <c r="C561" s="221"/>
      <c r="D561" s="221"/>
      <c r="E561" s="222"/>
      <c r="F561" s="223"/>
    </row>
    <row r="562" s="179" customFormat="1" ht="55.2" spans="1:6">
      <c r="A562" s="226"/>
      <c r="B562" s="243" t="s">
        <v>205</v>
      </c>
      <c r="C562" s="221"/>
      <c r="D562" s="221"/>
      <c r="E562" s="222"/>
      <c r="F562" s="223"/>
    </row>
    <row r="563" s="179" customFormat="1" spans="1:6">
      <c r="A563" s="226"/>
      <c r="B563" s="237"/>
      <c r="C563" s="221"/>
      <c r="D563" s="221"/>
      <c r="E563" s="222"/>
      <c r="F563" s="223"/>
    </row>
    <row r="564" s="179" customFormat="1" spans="1:6">
      <c r="A564" s="226"/>
      <c r="B564" s="244" t="s">
        <v>206</v>
      </c>
      <c r="C564" s="221"/>
      <c r="D564" s="221"/>
      <c r="E564" s="222"/>
      <c r="F564" s="223"/>
    </row>
    <row r="565" s="179" customFormat="1" spans="1:6">
      <c r="A565" s="226" t="s">
        <v>16</v>
      </c>
      <c r="B565" s="237" t="s">
        <v>207</v>
      </c>
      <c r="C565" s="221">
        <v>11.6</v>
      </c>
      <c r="D565" s="221" t="s">
        <v>161</v>
      </c>
      <c r="E565" s="222">
        <v>6348.4</v>
      </c>
      <c r="F565" s="223">
        <f>E565*C565</f>
        <v>73641.44</v>
      </c>
    </row>
    <row r="566" s="179" customFormat="1" spans="1:6">
      <c r="A566" s="226"/>
      <c r="B566" s="237"/>
      <c r="C566" s="221"/>
      <c r="D566" s="221"/>
      <c r="E566" s="222"/>
      <c r="F566" s="223"/>
    </row>
    <row r="567" s="179" customFormat="1" spans="1:6">
      <c r="A567" s="226" t="s">
        <v>19</v>
      </c>
      <c r="B567" s="237" t="s">
        <v>208</v>
      </c>
      <c r="C567" s="221">
        <v>21.5</v>
      </c>
      <c r="D567" s="221" t="s">
        <v>161</v>
      </c>
      <c r="E567" s="222">
        <v>6563.6</v>
      </c>
      <c r="F567" s="223">
        <f>E567*C567</f>
        <v>141117.4</v>
      </c>
    </row>
    <row r="568" s="179" customFormat="1" spans="1:6">
      <c r="A568" s="226"/>
      <c r="B568" s="237"/>
      <c r="C568" s="221"/>
      <c r="D568" s="221"/>
      <c r="E568" s="222"/>
      <c r="F568" s="223"/>
    </row>
    <row r="569" s="179" customFormat="1" spans="1:6">
      <c r="A569" s="226" t="s">
        <v>23</v>
      </c>
      <c r="B569" s="237" t="s">
        <v>209</v>
      </c>
      <c r="C569" s="221">
        <v>32.8</v>
      </c>
      <c r="D569" s="221" t="s">
        <v>161</v>
      </c>
      <c r="E569" s="222">
        <v>6778.8</v>
      </c>
      <c r="F569" s="223">
        <f>E569*C569</f>
        <v>222344.64</v>
      </c>
    </row>
    <row r="570" s="179" customFormat="1" spans="1:6">
      <c r="A570" s="226"/>
      <c r="B570" s="237"/>
      <c r="C570" s="221"/>
      <c r="D570" s="221"/>
      <c r="E570" s="222"/>
      <c r="F570" s="223"/>
    </row>
    <row r="571" s="179" customFormat="1" ht="41.4" spans="1:6">
      <c r="A571" s="226"/>
      <c r="B571" s="243" t="s">
        <v>210</v>
      </c>
      <c r="C571" s="221"/>
      <c r="D571" s="221"/>
      <c r="E571" s="222"/>
      <c r="F571" s="223"/>
    </row>
    <row r="572" s="179" customFormat="1" spans="1:6">
      <c r="A572" s="226"/>
      <c r="B572" s="243"/>
      <c r="C572" s="221"/>
      <c r="D572" s="221"/>
      <c r="E572" s="222"/>
      <c r="F572" s="223"/>
    </row>
    <row r="573" s="179" customFormat="1" spans="1:6">
      <c r="A573" s="226" t="s">
        <v>25</v>
      </c>
      <c r="B573" s="237" t="s">
        <v>111</v>
      </c>
      <c r="C573" s="221">
        <v>7.1</v>
      </c>
      <c r="D573" s="221" t="s">
        <v>161</v>
      </c>
      <c r="E573" s="222">
        <v>6617.4</v>
      </c>
      <c r="F573" s="223">
        <f>E573*C573</f>
        <v>46983.54</v>
      </c>
    </row>
    <row r="574" s="179" customFormat="1" spans="1:6">
      <c r="A574" s="226"/>
      <c r="B574" s="237"/>
      <c r="C574" s="221"/>
      <c r="D574" s="221"/>
      <c r="E574" s="222"/>
      <c r="F574" s="223"/>
    </row>
    <row r="575" s="179" customFormat="1" spans="1:6">
      <c r="A575" s="226" t="s">
        <v>40</v>
      </c>
      <c r="B575" s="237" t="s">
        <v>211</v>
      </c>
      <c r="C575" s="221">
        <v>6.9</v>
      </c>
      <c r="D575" s="221" t="s">
        <v>161</v>
      </c>
      <c r="E575" s="222">
        <v>6940.2</v>
      </c>
      <c r="F575" s="223">
        <f t="shared" ref="F575:F577" si="5">E575*C575</f>
        <v>47887.38</v>
      </c>
    </row>
    <row r="576" s="179" customFormat="1" spans="1:6">
      <c r="A576" s="226"/>
      <c r="B576" s="237"/>
      <c r="C576" s="221"/>
      <c r="D576" s="221"/>
      <c r="E576" s="222"/>
      <c r="F576" s="223"/>
    </row>
    <row r="577" s="179" customFormat="1" spans="1:6">
      <c r="A577" s="226" t="s">
        <v>42</v>
      </c>
      <c r="B577" s="237" t="s">
        <v>212</v>
      </c>
      <c r="C577" s="221">
        <v>1.2</v>
      </c>
      <c r="D577" s="221" t="s">
        <v>161</v>
      </c>
      <c r="E577" s="222">
        <v>7155.4</v>
      </c>
      <c r="F577" s="223">
        <f t="shared" si="5"/>
        <v>8586.48</v>
      </c>
    </row>
    <row r="578" s="179" customFormat="1" spans="1:6">
      <c r="A578" s="226"/>
      <c r="B578" s="237"/>
      <c r="C578" s="221"/>
      <c r="D578" s="221"/>
      <c r="E578" s="222"/>
      <c r="F578" s="223"/>
    </row>
    <row r="579" s="179" customFormat="1" spans="1:6">
      <c r="A579" s="226"/>
      <c r="B579" s="237"/>
      <c r="C579" s="221"/>
      <c r="D579" s="221"/>
      <c r="E579" s="222"/>
      <c r="F579" s="223"/>
    </row>
    <row r="580" s="179" customFormat="1" ht="49.5" customHeight="1" spans="1:6">
      <c r="A580" s="226"/>
      <c r="B580" s="243" t="s">
        <v>213</v>
      </c>
      <c r="C580" s="221"/>
      <c r="D580" s="221"/>
      <c r="E580" s="222"/>
      <c r="F580" s="223"/>
    </row>
    <row r="581" s="179" customFormat="1" ht="17.25" customHeight="1" spans="1:6">
      <c r="A581" s="226"/>
      <c r="B581" s="243"/>
      <c r="C581" s="221"/>
      <c r="D581" s="221"/>
      <c r="E581" s="222"/>
      <c r="F581" s="223"/>
    </row>
    <row r="582" s="179" customFormat="1" spans="1:6">
      <c r="A582" s="226" t="s">
        <v>46</v>
      </c>
      <c r="B582" s="237" t="s">
        <v>207</v>
      </c>
      <c r="C582" s="221">
        <v>40</v>
      </c>
      <c r="D582" s="221" t="s">
        <v>81</v>
      </c>
      <c r="E582" s="222">
        <v>50.3</v>
      </c>
      <c r="F582" s="223">
        <f t="shared" ref="F582:F586" si="6">E582*C582</f>
        <v>2012</v>
      </c>
    </row>
    <row r="583" s="179" customFormat="1" spans="1:6">
      <c r="A583" s="226"/>
      <c r="B583" s="237"/>
      <c r="C583" s="221"/>
      <c r="D583" s="221"/>
      <c r="E583" s="222"/>
      <c r="F583" s="223"/>
    </row>
    <row r="584" s="179" customFormat="1" spans="1:6">
      <c r="A584" s="226" t="s">
        <v>48</v>
      </c>
      <c r="B584" s="237" t="s">
        <v>208</v>
      </c>
      <c r="C584" s="221">
        <v>196</v>
      </c>
      <c r="D584" s="221" t="s">
        <v>81</v>
      </c>
      <c r="E584" s="222">
        <v>53.35</v>
      </c>
      <c r="F584" s="223">
        <f t="shared" si="6"/>
        <v>10456.6</v>
      </c>
    </row>
    <row r="585" s="179" customFormat="1" spans="1:6">
      <c r="A585" s="226"/>
      <c r="B585" s="237"/>
      <c r="C585" s="221"/>
      <c r="D585" s="221"/>
      <c r="E585" s="222"/>
      <c r="F585" s="223"/>
    </row>
    <row r="586" s="179" customFormat="1" spans="1:6">
      <c r="A586" s="226" t="s">
        <v>50</v>
      </c>
      <c r="B586" s="237" t="s">
        <v>209</v>
      </c>
      <c r="C586" s="221">
        <v>311</v>
      </c>
      <c r="D586" s="221" t="s">
        <v>81</v>
      </c>
      <c r="E586" s="222">
        <v>54.88</v>
      </c>
      <c r="F586" s="223">
        <f t="shared" si="6"/>
        <v>17067.68</v>
      </c>
    </row>
    <row r="587" s="179" customFormat="1" spans="1:6">
      <c r="A587" s="226"/>
      <c r="B587" s="237"/>
      <c r="C587" s="221"/>
      <c r="D587" s="221"/>
      <c r="E587" s="222"/>
      <c r="F587" s="223"/>
    </row>
    <row r="588" s="179" customFormat="1" spans="1:6">
      <c r="A588" s="226"/>
      <c r="B588" s="244" t="s">
        <v>214</v>
      </c>
      <c r="C588" s="221"/>
      <c r="D588" s="221"/>
      <c r="E588" s="222"/>
      <c r="F588" s="223"/>
    </row>
    <row r="589" s="179" customFormat="1" ht="41.4" spans="1:6">
      <c r="A589" s="226"/>
      <c r="B589" s="243" t="s">
        <v>215</v>
      </c>
      <c r="C589" s="221"/>
      <c r="D589" s="221"/>
      <c r="E589" s="222"/>
      <c r="F589" s="223"/>
    </row>
    <row r="590" s="179" customFormat="1" spans="1:6">
      <c r="A590" s="226"/>
      <c r="B590" s="243"/>
      <c r="C590" s="221"/>
      <c r="D590" s="221"/>
      <c r="E590" s="222"/>
      <c r="F590" s="223"/>
    </row>
    <row r="591" s="179" customFormat="1" spans="1:6">
      <c r="A591" s="226" t="s">
        <v>54</v>
      </c>
      <c r="B591" s="237" t="s">
        <v>111</v>
      </c>
      <c r="C591" s="221">
        <v>4</v>
      </c>
      <c r="D591" s="221" t="s">
        <v>161</v>
      </c>
      <c r="E591" s="222">
        <v>7532</v>
      </c>
      <c r="F591" s="223">
        <f t="shared" ref="F591:F599" si="7">E591*C591</f>
        <v>30128</v>
      </c>
    </row>
    <row r="592" s="179" customFormat="1" spans="1:6">
      <c r="A592" s="226"/>
      <c r="B592" s="237"/>
      <c r="C592" s="221"/>
      <c r="D592" s="221"/>
      <c r="E592" s="222"/>
      <c r="F592" s="223"/>
    </row>
    <row r="593" s="179" customFormat="1" spans="1:6">
      <c r="A593" s="226" t="s">
        <v>105</v>
      </c>
      <c r="B593" s="237" t="s">
        <v>208</v>
      </c>
      <c r="C593" s="221">
        <v>4.2</v>
      </c>
      <c r="D593" s="221" t="s">
        <v>161</v>
      </c>
      <c r="E593" s="222">
        <v>7757.96</v>
      </c>
      <c r="F593" s="223">
        <f t="shared" si="7"/>
        <v>32583.43</v>
      </c>
    </row>
    <row r="594" s="179" customFormat="1" spans="1:6">
      <c r="A594" s="226"/>
      <c r="B594" s="237"/>
      <c r="C594" s="221"/>
      <c r="D594" s="221"/>
      <c r="E594" s="222"/>
      <c r="F594" s="223"/>
    </row>
    <row r="595" s="179" customFormat="1" spans="1:6">
      <c r="A595" s="226"/>
      <c r="B595" s="237"/>
      <c r="C595" s="221"/>
      <c r="D595" s="221"/>
      <c r="E595" s="222"/>
      <c r="F595" s="246"/>
    </row>
    <row r="596" s="179" customFormat="1" spans="1:6">
      <c r="A596" s="238"/>
      <c r="B596" s="247" t="s">
        <v>57</v>
      </c>
      <c r="C596" s="216"/>
      <c r="D596" s="216"/>
      <c r="E596" s="217"/>
      <c r="F596" s="218">
        <f>SUM(F558:F595)</f>
        <v>2610564.37</v>
      </c>
    </row>
    <row r="597" s="179" customFormat="1" spans="1:6">
      <c r="A597" s="226"/>
      <c r="B597" s="262" t="s">
        <v>58</v>
      </c>
      <c r="C597" s="221"/>
      <c r="D597" s="221"/>
      <c r="E597" s="222"/>
      <c r="F597" s="223">
        <f>F596</f>
        <v>2610564.37</v>
      </c>
    </row>
    <row r="598" s="179" customFormat="1" spans="1:6">
      <c r="A598" s="226"/>
      <c r="B598" s="237"/>
      <c r="C598" s="221"/>
      <c r="D598" s="221"/>
      <c r="E598" s="222"/>
      <c r="F598" s="223"/>
    </row>
    <row r="599" s="179" customFormat="1" spans="1:6">
      <c r="A599" s="226" t="s">
        <v>16</v>
      </c>
      <c r="B599" s="237" t="s">
        <v>216</v>
      </c>
      <c r="C599" s="221">
        <v>5.9</v>
      </c>
      <c r="D599" s="221" t="s">
        <v>161</v>
      </c>
      <c r="E599" s="222">
        <v>7983.92</v>
      </c>
      <c r="F599" s="223">
        <f t="shared" si="7"/>
        <v>47105.13</v>
      </c>
    </row>
    <row r="600" s="179" customFormat="1" spans="1:6">
      <c r="A600" s="226"/>
      <c r="B600" s="237"/>
      <c r="C600" s="221"/>
      <c r="D600" s="221"/>
      <c r="E600" s="222"/>
      <c r="F600" s="223"/>
    </row>
    <row r="601" s="179" customFormat="1" ht="43.5" customHeight="1" spans="1:6">
      <c r="A601" s="226"/>
      <c r="B601" s="243" t="s">
        <v>217</v>
      </c>
      <c r="C601" s="221"/>
      <c r="D601" s="221"/>
      <c r="E601" s="222"/>
      <c r="F601" s="223"/>
    </row>
    <row r="602" s="179" customFormat="1" ht="21" customHeight="1" spans="1:6">
      <c r="A602" s="226"/>
      <c r="B602" s="243"/>
      <c r="C602" s="221"/>
      <c r="D602" s="221"/>
      <c r="E602" s="222"/>
      <c r="F602" s="223"/>
    </row>
    <row r="603" s="179" customFormat="1" spans="1:6">
      <c r="A603" s="226" t="s">
        <v>19</v>
      </c>
      <c r="B603" s="237" t="s">
        <v>111</v>
      </c>
      <c r="C603" s="221">
        <v>40</v>
      </c>
      <c r="D603" s="221" t="s">
        <v>81</v>
      </c>
      <c r="E603" s="222">
        <v>39.63</v>
      </c>
      <c r="F603" s="223">
        <f t="shared" ref="F603:F607" si="8">E603*C603</f>
        <v>1585.2</v>
      </c>
    </row>
    <row r="604" s="179" customFormat="1" spans="1:6">
      <c r="A604" s="226"/>
      <c r="B604" s="237"/>
      <c r="C604" s="221"/>
      <c r="D604" s="221"/>
      <c r="E604" s="222"/>
      <c r="F604" s="223"/>
    </row>
    <row r="605" s="179" customFormat="1" spans="1:6">
      <c r="A605" s="226" t="s">
        <v>23</v>
      </c>
      <c r="B605" s="237" t="s">
        <v>208</v>
      </c>
      <c r="C605" s="221">
        <v>79</v>
      </c>
      <c r="D605" s="221" t="s">
        <v>81</v>
      </c>
      <c r="E605" s="222">
        <v>42.07</v>
      </c>
      <c r="F605" s="223">
        <f t="shared" si="8"/>
        <v>3323.53</v>
      </c>
    </row>
    <row r="606" s="179" customFormat="1" spans="1:6">
      <c r="A606" s="226"/>
      <c r="B606" s="237"/>
      <c r="C606" s="221"/>
      <c r="D606" s="221"/>
      <c r="E606" s="222"/>
      <c r="F606" s="223"/>
    </row>
    <row r="607" s="179" customFormat="1" spans="1:6">
      <c r="A607" s="226" t="s">
        <v>25</v>
      </c>
      <c r="B607" s="237" t="s">
        <v>216</v>
      </c>
      <c r="C607" s="221">
        <v>118</v>
      </c>
      <c r="D607" s="221" t="s">
        <v>81</v>
      </c>
      <c r="E607" s="222">
        <v>43.29</v>
      </c>
      <c r="F607" s="223">
        <f t="shared" si="8"/>
        <v>5108.22</v>
      </c>
    </row>
    <row r="608" s="179" customFormat="1" spans="1:6">
      <c r="A608" s="226"/>
      <c r="B608" s="237"/>
      <c r="C608" s="221"/>
      <c r="D608" s="221"/>
      <c r="E608" s="222"/>
      <c r="F608" s="223"/>
    </row>
    <row r="609" s="179" customFormat="1" spans="1:6">
      <c r="A609" s="226"/>
      <c r="B609" s="237"/>
      <c r="C609" s="221"/>
      <c r="D609" s="221"/>
      <c r="E609" s="222"/>
      <c r="F609" s="223"/>
    </row>
    <row r="610" s="179" customFormat="1" ht="14.55" spans="1:6">
      <c r="A610" s="226"/>
      <c r="B610" s="233" t="s">
        <v>21</v>
      </c>
      <c r="C610" s="221"/>
      <c r="D610" s="221"/>
      <c r="E610" s="222"/>
      <c r="F610" s="234">
        <f>SUM(F597:F609)</f>
        <v>2667686.45</v>
      </c>
    </row>
    <row r="611" s="179" customFormat="1" ht="14.55" spans="1:6">
      <c r="A611" s="226"/>
      <c r="B611" s="237"/>
      <c r="C611" s="221"/>
      <c r="D611" s="221"/>
      <c r="E611" s="222"/>
      <c r="F611" s="223"/>
    </row>
    <row r="612" s="179" customFormat="1" spans="1:6">
      <c r="A612" s="226"/>
      <c r="B612" s="237"/>
      <c r="C612" s="221"/>
      <c r="D612" s="221"/>
      <c r="E612" s="222"/>
      <c r="F612" s="223"/>
    </row>
    <row r="613" s="179" customFormat="1" spans="1:6">
      <c r="A613" s="226"/>
      <c r="B613" s="244" t="s">
        <v>218</v>
      </c>
      <c r="C613" s="221"/>
      <c r="D613" s="221"/>
      <c r="E613" s="222"/>
      <c r="F613" s="223"/>
    </row>
    <row r="614" s="179" customFormat="1" spans="1:6">
      <c r="A614" s="226"/>
      <c r="B614" s="237"/>
      <c r="C614" s="221"/>
      <c r="D614" s="221"/>
      <c r="E614" s="222"/>
      <c r="F614" s="223"/>
    </row>
    <row r="615" s="179" customFormat="1" spans="1:6">
      <c r="A615" s="226"/>
      <c r="B615" s="244" t="s">
        <v>219</v>
      </c>
      <c r="C615" s="221"/>
      <c r="D615" s="221"/>
      <c r="E615" s="222"/>
      <c r="F615" s="223"/>
    </row>
    <row r="616" s="179" customFormat="1" ht="55.2" spans="1:6">
      <c r="A616" s="226"/>
      <c r="B616" s="243" t="s">
        <v>220</v>
      </c>
      <c r="C616" s="221"/>
      <c r="D616" s="221"/>
      <c r="E616" s="222"/>
      <c r="F616" s="223"/>
    </row>
    <row r="617" s="179" customFormat="1" spans="1:6">
      <c r="A617" s="226"/>
      <c r="B617" s="237"/>
      <c r="C617" s="221"/>
      <c r="D617" s="221"/>
      <c r="E617" s="222"/>
      <c r="F617" s="223"/>
    </row>
    <row r="618" s="179" customFormat="1" spans="1:6">
      <c r="A618" s="226" t="s">
        <v>40</v>
      </c>
      <c r="B618" s="237" t="s">
        <v>221</v>
      </c>
      <c r="C618" s="221">
        <v>28</v>
      </c>
      <c r="D618" s="221" t="s">
        <v>222</v>
      </c>
      <c r="E618" s="222">
        <v>2279</v>
      </c>
      <c r="F618" s="223">
        <f t="shared" ref="F618" si="9">E618*C618</f>
        <v>63812</v>
      </c>
    </row>
    <row r="619" s="179" customFormat="1" spans="1:6">
      <c r="A619" s="226"/>
      <c r="B619" s="237"/>
      <c r="C619" s="221"/>
      <c r="D619" s="221"/>
      <c r="E619" s="222"/>
      <c r="F619" s="223"/>
    </row>
    <row r="620" s="179" customFormat="1" spans="1:6">
      <c r="A620" s="226" t="s">
        <v>42</v>
      </c>
      <c r="B620" s="237" t="s">
        <v>223</v>
      </c>
      <c r="C620" s="221">
        <v>6</v>
      </c>
      <c r="D620" s="221" t="s">
        <v>222</v>
      </c>
      <c r="E620" s="222">
        <v>2915</v>
      </c>
      <c r="F620" s="223">
        <f t="shared" ref="F620" si="10">E620*C620</f>
        <v>17490</v>
      </c>
    </row>
    <row r="621" s="179" customFormat="1" spans="1:6">
      <c r="A621" s="226"/>
      <c r="B621" s="237"/>
      <c r="C621" s="221"/>
      <c r="D621" s="221"/>
      <c r="E621" s="222"/>
      <c r="F621" s="223"/>
    </row>
    <row r="622" s="179" customFormat="1" spans="1:6">
      <c r="A622" s="226"/>
      <c r="B622" s="244" t="s">
        <v>224</v>
      </c>
      <c r="C622" s="221"/>
      <c r="D622" s="221"/>
      <c r="E622" s="222"/>
      <c r="F622" s="223"/>
    </row>
    <row r="623" s="179" customFormat="1" ht="41.4" spans="1:6">
      <c r="A623" s="226" t="s">
        <v>46</v>
      </c>
      <c r="B623" s="237" t="s">
        <v>225</v>
      </c>
      <c r="C623" s="221">
        <v>2</v>
      </c>
      <c r="D623" s="221" t="s">
        <v>222</v>
      </c>
      <c r="E623" s="222">
        <v>3600</v>
      </c>
      <c r="F623" s="223">
        <f t="shared" ref="F623" si="11">E623*C623</f>
        <v>7200</v>
      </c>
    </row>
    <row r="624" s="179" customFormat="1" spans="1:6">
      <c r="A624" s="226"/>
      <c r="B624" s="237"/>
      <c r="C624" s="221"/>
      <c r="D624" s="221"/>
      <c r="E624" s="222"/>
      <c r="F624" s="223"/>
    </row>
    <row r="625" s="179" customFormat="1" spans="1:6">
      <c r="A625" s="226"/>
      <c r="B625" s="233" t="s">
        <v>226</v>
      </c>
      <c r="C625" s="221"/>
      <c r="D625" s="221"/>
      <c r="E625" s="222"/>
      <c r="F625" s="223"/>
    </row>
    <row r="626" s="179" customFormat="1" ht="55.2" spans="1:6">
      <c r="A626" s="226"/>
      <c r="B626" s="243" t="s">
        <v>227</v>
      </c>
      <c r="C626" s="221"/>
      <c r="D626" s="221"/>
      <c r="E626" s="222"/>
      <c r="F626" s="223"/>
    </row>
    <row r="627" s="179" customFormat="1" spans="1:6">
      <c r="A627" s="226" t="s">
        <v>48</v>
      </c>
      <c r="B627" s="237" t="s">
        <v>228</v>
      </c>
      <c r="C627" s="221">
        <v>16</v>
      </c>
      <c r="D627" s="221" t="s">
        <v>222</v>
      </c>
      <c r="E627" s="222">
        <v>3225</v>
      </c>
      <c r="F627" s="223">
        <f t="shared" ref="F627" si="12">E627*C627</f>
        <v>51600</v>
      </c>
    </row>
    <row r="628" s="179" customFormat="1" spans="1:6">
      <c r="A628" s="226"/>
      <c r="B628" s="237"/>
      <c r="C628" s="221"/>
      <c r="D628" s="221"/>
      <c r="E628" s="222"/>
      <c r="F628" s="223"/>
    </row>
    <row r="629" s="179" customFormat="1" spans="1:6">
      <c r="A629" s="226" t="s">
        <v>50</v>
      </c>
      <c r="B629" s="237" t="s">
        <v>229</v>
      </c>
      <c r="C629" s="221">
        <v>6</v>
      </c>
      <c r="D629" s="221" t="s">
        <v>222</v>
      </c>
      <c r="E629" s="222">
        <v>3225</v>
      </c>
      <c r="F629" s="223">
        <f t="shared" ref="F629" si="13">E629*C629</f>
        <v>19350</v>
      </c>
    </row>
    <row r="630" s="179" customFormat="1" spans="1:6">
      <c r="A630" s="226"/>
      <c r="B630" s="237"/>
      <c r="C630" s="221"/>
      <c r="D630" s="221"/>
      <c r="E630" s="222"/>
      <c r="F630" s="223"/>
    </row>
    <row r="631" s="179" customFormat="1" spans="1:6">
      <c r="A631" s="226" t="s">
        <v>54</v>
      </c>
      <c r="B631" s="237" t="s">
        <v>230</v>
      </c>
      <c r="C631" s="221">
        <v>2</v>
      </c>
      <c r="D631" s="221" t="s">
        <v>222</v>
      </c>
      <c r="E631" s="222">
        <v>3225</v>
      </c>
      <c r="F631" s="223">
        <f t="shared" ref="F631" si="14">E631*C631</f>
        <v>6450</v>
      </c>
    </row>
    <row r="632" s="179" customFormat="1" spans="1:6">
      <c r="A632" s="226"/>
      <c r="B632" s="237"/>
      <c r="C632" s="221"/>
      <c r="D632" s="221"/>
      <c r="E632" s="222"/>
      <c r="F632" s="223"/>
    </row>
    <row r="633" s="179" customFormat="1" spans="1:6">
      <c r="A633" s="226"/>
      <c r="B633" s="237"/>
      <c r="C633" s="221"/>
      <c r="D633" s="221"/>
      <c r="E633" s="222"/>
      <c r="F633" s="246"/>
    </row>
    <row r="634" s="179" customFormat="1" spans="1:6">
      <c r="A634" s="238"/>
      <c r="B634" s="247" t="s">
        <v>57</v>
      </c>
      <c r="C634" s="216"/>
      <c r="D634" s="216"/>
      <c r="E634" s="217"/>
      <c r="F634" s="218">
        <f>SUM(F616:F633)</f>
        <v>165902</v>
      </c>
    </row>
    <row r="635" s="179" customFormat="1" spans="1:6">
      <c r="A635" s="226"/>
      <c r="B635" s="262" t="s">
        <v>58</v>
      </c>
      <c r="C635" s="221"/>
      <c r="D635" s="221"/>
      <c r="E635" s="222"/>
      <c r="F635" s="223">
        <f>F634</f>
        <v>165902</v>
      </c>
    </row>
    <row r="636" s="179" customFormat="1" spans="1:6">
      <c r="A636" s="226"/>
      <c r="B636" s="237"/>
      <c r="C636" s="221"/>
      <c r="D636" s="221"/>
      <c r="E636" s="222"/>
      <c r="F636" s="223"/>
    </row>
    <row r="637" s="179" customFormat="1" spans="1:6">
      <c r="A637" s="226"/>
      <c r="B637" s="244" t="s">
        <v>231</v>
      </c>
      <c r="C637" s="221"/>
      <c r="D637" s="221"/>
      <c r="E637" s="222"/>
      <c r="F637" s="223"/>
    </row>
    <row r="638" s="179" customFormat="1" ht="81" customHeight="1" spans="1:6">
      <c r="A638" s="226" t="s">
        <v>16</v>
      </c>
      <c r="B638" s="237" t="s">
        <v>232</v>
      </c>
      <c r="C638" s="252">
        <v>0</v>
      </c>
      <c r="D638" s="251" t="s">
        <v>222</v>
      </c>
      <c r="E638" s="252">
        <v>2750</v>
      </c>
      <c r="F638" s="253" t="s">
        <v>113</v>
      </c>
    </row>
    <row r="639" s="179" customFormat="1" spans="1:6">
      <c r="A639" s="226"/>
      <c r="B639" s="237"/>
      <c r="C639" s="251"/>
      <c r="D639" s="251"/>
      <c r="E639" s="252"/>
      <c r="F639" s="253"/>
    </row>
    <row r="640" s="179" customFormat="1" spans="1:6">
      <c r="A640" s="226"/>
      <c r="B640" s="244" t="s">
        <v>233</v>
      </c>
      <c r="C640" s="251"/>
      <c r="D640" s="251"/>
      <c r="E640" s="252"/>
      <c r="F640" s="253"/>
    </row>
    <row r="641" s="179" customFormat="1" ht="69" spans="1:6">
      <c r="A641" s="226" t="s">
        <v>19</v>
      </c>
      <c r="B641" s="237" t="s">
        <v>234</v>
      </c>
      <c r="C641" s="251">
        <v>24</v>
      </c>
      <c r="D641" s="251" t="s">
        <v>222</v>
      </c>
      <c r="E641" s="252">
        <v>4187</v>
      </c>
      <c r="F641" s="253">
        <f>E641*C641</f>
        <v>100488</v>
      </c>
    </row>
    <row r="642" s="179" customFormat="1" spans="1:6">
      <c r="A642" s="226"/>
      <c r="B642" s="237"/>
      <c r="C642" s="251"/>
      <c r="D642" s="251"/>
      <c r="E642" s="252"/>
      <c r="F642" s="253"/>
    </row>
    <row r="643" s="179" customFormat="1" spans="1:6">
      <c r="A643" s="226"/>
      <c r="B643" s="244" t="s">
        <v>235</v>
      </c>
      <c r="C643" s="251"/>
      <c r="D643" s="251"/>
      <c r="E643" s="252"/>
      <c r="F643" s="253"/>
    </row>
    <row r="644" s="179" customFormat="1" ht="69" spans="1:6">
      <c r="A644" s="226" t="s">
        <v>23</v>
      </c>
      <c r="B644" s="237" t="s">
        <v>236</v>
      </c>
      <c r="C644" s="251">
        <v>4</v>
      </c>
      <c r="D644" s="251" t="s">
        <v>222</v>
      </c>
      <c r="E644" s="252">
        <v>5280</v>
      </c>
      <c r="F644" s="253">
        <f>E644*C644</f>
        <v>21120</v>
      </c>
    </row>
    <row r="645" s="179" customFormat="1" spans="1:6">
      <c r="A645" s="226"/>
      <c r="B645" s="237"/>
      <c r="C645" s="251"/>
      <c r="D645" s="251"/>
      <c r="E645" s="252"/>
      <c r="F645" s="253"/>
    </row>
    <row r="646" s="179" customFormat="1" spans="1:6">
      <c r="A646" s="226"/>
      <c r="B646" s="244" t="s">
        <v>237</v>
      </c>
      <c r="C646" s="251"/>
      <c r="D646" s="251"/>
      <c r="E646" s="252"/>
      <c r="F646" s="253"/>
    </row>
    <row r="647" s="179" customFormat="1" ht="96.6" spans="1:6">
      <c r="A647" s="226" t="s">
        <v>25</v>
      </c>
      <c r="B647" s="237" t="s">
        <v>238</v>
      </c>
      <c r="C647" s="251">
        <v>2</v>
      </c>
      <c r="D647" s="251" t="s">
        <v>222</v>
      </c>
      <c r="E647" s="252">
        <v>8670</v>
      </c>
      <c r="F647" s="253">
        <f>E647*C647</f>
        <v>17340</v>
      </c>
    </row>
    <row r="648" s="179" customFormat="1" spans="1:6">
      <c r="A648" s="226"/>
      <c r="B648" s="237"/>
      <c r="C648" s="251"/>
      <c r="D648" s="251"/>
      <c r="E648" s="252"/>
      <c r="F648" s="253"/>
    </row>
    <row r="649" s="179" customFormat="1" spans="1:6">
      <c r="A649" s="226"/>
      <c r="B649" s="244" t="s">
        <v>239</v>
      </c>
      <c r="C649" s="251"/>
      <c r="D649" s="251"/>
      <c r="E649" s="252"/>
      <c r="F649" s="253"/>
    </row>
    <row r="650" s="179" customFormat="1" ht="69" spans="1:6">
      <c r="A650" s="226" t="s">
        <v>40</v>
      </c>
      <c r="B650" s="237" t="s">
        <v>240</v>
      </c>
      <c r="C650" s="251">
        <v>2</v>
      </c>
      <c r="D650" s="251" t="s">
        <v>222</v>
      </c>
      <c r="E650" s="252">
        <v>4800</v>
      </c>
      <c r="F650" s="253">
        <f>E650*C650</f>
        <v>9600</v>
      </c>
    </row>
    <row r="651" s="179" customFormat="1" spans="1:6">
      <c r="A651" s="226"/>
      <c r="B651" s="237"/>
      <c r="C651" s="251"/>
      <c r="D651" s="251"/>
      <c r="E651" s="252"/>
      <c r="F651" s="253"/>
    </row>
    <row r="652" s="179" customFormat="1" spans="1:6">
      <c r="A652" s="226"/>
      <c r="B652" s="244" t="s">
        <v>241</v>
      </c>
      <c r="C652" s="251"/>
      <c r="D652" s="251"/>
      <c r="E652" s="252"/>
      <c r="F652" s="253"/>
    </row>
    <row r="653" s="179" customFormat="1" ht="55.2" spans="1:6">
      <c r="A653" s="226" t="s">
        <v>42</v>
      </c>
      <c r="B653" s="237" t="s">
        <v>242</v>
      </c>
      <c r="C653" s="251">
        <v>4</v>
      </c>
      <c r="D653" s="251" t="s">
        <v>222</v>
      </c>
      <c r="E653" s="252">
        <v>4300</v>
      </c>
      <c r="F653" s="253">
        <f>E653*C653</f>
        <v>17200</v>
      </c>
    </row>
    <row r="654" s="179" customFormat="1" spans="1:6">
      <c r="A654" s="226"/>
      <c r="B654" s="237"/>
      <c r="C654" s="251"/>
      <c r="D654" s="251"/>
      <c r="E654" s="252"/>
      <c r="F654" s="253"/>
    </row>
    <row r="655" s="179" customFormat="1" spans="1:6">
      <c r="A655" s="226"/>
      <c r="B655" s="237"/>
      <c r="C655" s="251"/>
      <c r="D655" s="251"/>
      <c r="E655" s="252"/>
      <c r="F655" s="268"/>
    </row>
    <row r="656" s="179" customFormat="1" spans="1:6">
      <c r="A656" s="238"/>
      <c r="B656" s="247" t="s">
        <v>57</v>
      </c>
      <c r="C656" s="216"/>
      <c r="D656" s="216"/>
      <c r="E656" s="217"/>
      <c r="F656" s="218">
        <f>SUM(F635:F655)</f>
        <v>331650</v>
      </c>
    </row>
    <row r="657" s="179" customFormat="1" spans="1:6">
      <c r="A657" s="226"/>
      <c r="B657" s="262" t="s">
        <v>58</v>
      </c>
      <c r="C657" s="221"/>
      <c r="D657" s="221"/>
      <c r="E657" s="222"/>
      <c r="F657" s="223">
        <f>F656</f>
        <v>331650</v>
      </c>
    </row>
    <row r="658" s="179" customFormat="1" spans="1:6">
      <c r="A658" s="226"/>
      <c r="B658" s="237"/>
      <c r="C658" s="251"/>
      <c r="D658" s="251"/>
      <c r="E658" s="252"/>
      <c r="F658" s="253"/>
    </row>
    <row r="659" s="179" customFormat="1" spans="1:6">
      <c r="A659" s="226"/>
      <c r="B659" s="244" t="s">
        <v>243</v>
      </c>
      <c r="C659" s="251"/>
      <c r="D659" s="251"/>
      <c r="E659" s="252"/>
      <c r="F659" s="253"/>
    </row>
    <row r="660" s="179" customFormat="1" ht="41.4" spans="1:6">
      <c r="A660" s="226" t="s">
        <v>46</v>
      </c>
      <c r="B660" s="237" t="s">
        <v>244</v>
      </c>
      <c r="C660" s="251">
        <v>2</v>
      </c>
      <c r="D660" s="251" t="s">
        <v>222</v>
      </c>
      <c r="E660" s="252">
        <v>2750</v>
      </c>
      <c r="F660" s="253">
        <f>E660*C660</f>
        <v>5500</v>
      </c>
    </row>
    <row r="661" s="179" customFormat="1" spans="1:6">
      <c r="A661" s="226"/>
      <c r="B661" s="237"/>
      <c r="C661" s="251"/>
      <c r="D661" s="251"/>
      <c r="E661" s="252"/>
      <c r="F661" s="253"/>
    </row>
    <row r="662" s="179" customFormat="1" ht="27.6" spans="1:6">
      <c r="A662" s="226"/>
      <c r="B662" s="244" t="s">
        <v>245</v>
      </c>
      <c r="C662" s="251"/>
      <c r="D662" s="251"/>
      <c r="E662" s="252"/>
      <c r="F662" s="253"/>
    </row>
    <row r="663" s="179" customFormat="1" ht="41.4" spans="1:6">
      <c r="A663" s="226" t="s">
        <v>48</v>
      </c>
      <c r="B663" s="237" t="s">
        <v>246</v>
      </c>
      <c r="C663" s="251"/>
      <c r="D663" s="251"/>
      <c r="E663" s="252"/>
      <c r="F663" s="253"/>
    </row>
    <row r="664" s="179" customFormat="1" spans="1:6">
      <c r="A664" s="226"/>
      <c r="B664" s="237" t="s">
        <v>247</v>
      </c>
      <c r="C664" s="251"/>
      <c r="D664" s="251"/>
      <c r="E664" s="252"/>
      <c r="F664" s="253"/>
    </row>
    <row r="665" s="179" customFormat="1" spans="1:6">
      <c r="A665" s="226"/>
      <c r="B665" s="237" t="s">
        <v>248</v>
      </c>
      <c r="C665" s="251"/>
      <c r="D665" s="251"/>
      <c r="E665" s="252"/>
      <c r="F665" s="253"/>
    </row>
    <row r="666" s="179" customFormat="1" spans="1:6">
      <c r="A666" s="226"/>
      <c r="B666" s="237" t="s">
        <v>249</v>
      </c>
      <c r="C666" s="251"/>
      <c r="D666" s="251"/>
      <c r="E666" s="252"/>
      <c r="F666" s="253"/>
    </row>
    <row r="667" s="179" customFormat="1" spans="1:6">
      <c r="A667" s="226"/>
      <c r="B667" s="237" t="s">
        <v>250</v>
      </c>
      <c r="C667" s="251"/>
      <c r="D667" s="251"/>
      <c r="E667" s="252"/>
      <c r="F667" s="253"/>
    </row>
    <row r="668" s="179" customFormat="1" spans="1:6">
      <c r="A668" s="226"/>
      <c r="B668" s="237" t="s">
        <v>251</v>
      </c>
      <c r="C668" s="251"/>
      <c r="D668" s="251"/>
      <c r="E668" s="252"/>
      <c r="F668" s="253"/>
    </row>
    <row r="669" s="179" customFormat="1" spans="1:6">
      <c r="A669" s="226"/>
      <c r="B669" s="237" t="s">
        <v>252</v>
      </c>
      <c r="C669" s="251"/>
      <c r="D669" s="251"/>
      <c r="E669" s="252"/>
      <c r="F669" s="253"/>
    </row>
    <row r="670" s="179" customFormat="1" spans="1:6">
      <c r="A670" s="226"/>
      <c r="B670" s="237" t="s">
        <v>253</v>
      </c>
      <c r="C670" s="251"/>
      <c r="D670" s="251"/>
      <c r="E670" s="252"/>
      <c r="F670" s="253"/>
    </row>
    <row r="671" s="179" customFormat="1" spans="1:6">
      <c r="A671" s="226"/>
      <c r="B671" s="237" t="s">
        <v>254</v>
      </c>
      <c r="C671" s="251">
        <v>2</v>
      </c>
      <c r="D671" s="251" t="s">
        <v>222</v>
      </c>
      <c r="E671" s="252">
        <v>72500</v>
      </c>
      <c r="F671" s="253">
        <f>E671*C671</f>
        <v>145000</v>
      </c>
    </row>
    <row r="672" s="179" customFormat="1" spans="1:6">
      <c r="A672" s="226"/>
      <c r="B672" s="237"/>
      <c r="C672" s="251"/>
      <c r="D672" s="251"/>
      <c r="E672" s="252"/>
      <c r="F672" s="253"/>
    </row>
    <row r="673" s="179" customFormat="1" spans="1:6">
      <c r="A673" s="226"/>
      <c r="B673" s="242"/>
      <c r="C673" s="251"/>
      <c r="D673" s="251"/>
      <c r="E673" s="252"/>
      <c r="F673" s="253"/>
    </row>
    <row r="674" s="179" customFormat="1" spans="1:6">
      <c r="A674" s="226"/>
      <c r="B674" s="244" t="s">
        <v>255</v>
      </c>
      <c r="C674" s="251"/>
      <c r="D674" s="251"/>
      <c r="E674" s="252"/>
      <c r="F674" s="253"/>
    </row>
    <row r="675" s="179" customFormat="1" spans="1:6">
      <c r="A675" s="226"/>
      <c r="B675" s="237"/>
      <c r="C675" s="251"/>
      <c r="D675" s="251"/>
      <c r="E675" s="252"/>
      <c r="F675" s="253"/>
    </row>
    <row r="676" s="179" customFormat="1" ht="55.2" spans="1:6">
      <c r="A676" s="226" t="s">
        <v>50</v>
      </c>
      <c r="B676" s="237" t="s">
        <v>256</v>
      </c>
      <c r="C676" s="251">
        <v>90</v>
      </c>
      <c r="D676" s="251" t="s">
        <v>81</v>
      </c>
      <c r="E676" s="252">
        <v>950</v>
      </c>
      <c r="F676" s="253">
        <f>E676*C676</f>
        <v>85500</v>
      </c>
    </row>
    <row r="677" s="179" customFormat="1" spans="1:6">
      <c r="A677" s="226"/>
      <c r="B677" s="242"/>
      <c r="C677" s="251"/>
      <c r="D677" s="251"/>
      <c r="E677" s="252"/>
      <c r="F677" s="253"/>
    </row>
    <row r="678" s="179" customFormat="1" spans="1:6">
      <c r="A678" s="226"/>
      <c r="B678" s="242"/>
      <c r="C678" s="251"/>
      <c r="D678" s="251"/>
      <c r="E678" s="252"/>
      <c r="F678" s="253"/>
    </row>
    <row r="679" s="179" customFormat="1" spans="1:6">
      <c r="A679" s="226"/>
      <c r="B679" s="244" t="s">
        <v>257</v>
      </c>
      <c r="C679" s="251"/>
      <c r="D679" s="251"/>
      <c r="E679" s="252"/>
      <c r="F679" s="253"/>
    </row>
    <row r="680" s="179" customFormat="1" ht="27.6" spans="1:6">
      <c r="A680" s="226" t="s">
        <v>54</v>
      </c>
      <c r="B680" s="237" t="s">
        <v>258</v>
      </c>
      <c r="C680" s="251">
        <v>2</v>
      </c>
      <c r="D680" s="251" t="s">
        <v>222</v>
      </c>
      <c r="E680" s="252">
        <v>8200</v>
      </c>
      <c r="F680" s="253">
        <f>E680*C680</f>
        <v>16400</v>
      </c>
    </row>
    <row r="681" s="179" customFormat="1" spans="1:6">
      <c r="A681" s="226"/>
      <c r="B681" s="242"/>
      <c r="C681" s="251"/>
      <c r="D681" s="251"/>
      <c r="E681" s="252"/>
      <c r="F681" s="253"/>
    </row>
    <row r="682" s="179" customFormat="1" spans="1:6">
      <c r="A682" s="226"/>
      <c r="B682" s="242"/>
      <c r="C682" s="251"/>
      <c r="D682" s="251"/>
      <c r="E682" s="252"/>
      <c r="F682" s="253"/>
    </row>
    <row r="683" s="179" customFormat="1" spans="1:6">
      <c r="A683" s="226"/>
      <c r="B683" s="244" t="s">
        <v>259</v>
      </c>
      <c r="C683" s="251"/>
      <c r="D683" s="251"/>
      <c r="E683" s="252"/>
      <c r="F683" s="253"/>
    </row>
    <row r="684" s="179" customFormat="1" ht="41.4" spans="1:6">
      <c r="A684" s="226" t="s">
        <v>50</v>
      </c>
      <c r="B684" s="237" t="s">
        <v>260</v>
      </c>
      <c r="C684" s="251">
        <v>2</v>
      </c>
      <c r="D684" s="251" t="s">
        <v>222</v>
      </c>
      <c r="E684" s="252">
        <v>7200</v>
      </c>
      <c r="F684" s="253">
        <f>E684*C684</f>
        <v>14400</v>
      </c>
    </row>
    <row r="685" s="179" customFormat="1" spans="1:6">
      <c r="A685" s="226"/>
      <c r="B685" s="237"/>
      <c r="C685" s="251"/>
      <c r="D685" s="251"/>
      <c r="E685" s="252"/>
      <c r="F685" s="253"/>
    </row>
    <row r="686" s="179" customFormat="1" spans="1:6">
      <c r="A686" s="226"/>
      <c r="B686" s="244" t="s">
        <v>261</v>
      </c>
      <c r="C686" s="251"/>
      <c r="D686" s="251"/>
      <c r="E686" s="252"/>
      <c r="F686" s="253"/>
    </row>
    <row r="687" s="179" customFormat="1" spans="1:6">
      <c r="A687" s="226" t="s">
        <v>54</v>
      </c>
      <c r="B687" s="237" t="s">
        <v>262</v>
      </c>
      <c r="C687" s="251">
        <v>1</v>
      </c>
      <c r="D687" s="251" t="s">
        <v>6</v>
      </c>
      <c r="E687" s="252">
        <v>40000</v>
      </c>
      <c r="F687" s="253">
        <v>40000</v>
      </c>
    </row>
    <row r="688" s="179" customFormat="1" spans="1:6">
      <c r="A688" s="226"/>
      <c r="B688" s="242"/>
      <c r="C688" s="251"/>
      <c r="D688" s="251"/>
      <c r="E688" s="252"/>
      <c r="F688" s="253"/>
    </row>
    <row r="689" s="179" customFormat="1" spans="1:6">
      <c r="A689" s="226"/>
      <c r="B689" s="242"/>
      <c r="C689" s="251"/>
      <c r="D689" s="251"/>
      <c r="E689" s="252"/>
      <c r="F689" s="253"/>
    </row>
    <row r="690" s="179" customFormat="1" ht="14.55" spans="1:6">
      <c r="A690" s="226"/>
      <c r="B690" s="233" t="s">
        <v>21</v>
      </c>
      <c r="C690" s="221"/>
      <c r="D690" s="221"/>
      <c r="E690" s="222"/>
      <c r="F690" s="234">
        <f>SUM(F657:F689)</f>
        <v>638450</v>
      </c>
    </row>
    <row r="691" s="179" customFormat="1" ht="14.55" spans="1:6">
      <c r="A691" s="226"/>
      <c r="B691" s="242"/>
      <c r="C691" s="221"/>
      <c r="D691" s="221"/>
      <c r="E691" s="222"/>
      <c r="F691" s="223"/>
    </row>
    <row r="692" s="179" customFormat="1" spans="1:6">
      <c r="A692" s="269"/>
      <c r="B692" s="241"/>
      <c r="C692" s="270"/>
      <c r="D692" s="270"/>
      <c r="E692" s="271"/>
      <c r="F692" s="272"/>
    </row>
    <row r="693" s="179" customFormat="1" spans="1:6">
      <c r="A693" s="226"/>
      <c r="B693" s="242"/>
      <c r="C693" s="221"/>
      <c r="D693" s="221"/>
      <c r="E693" s="222"/>
      <c r="F693" s="223"/>
    </row>
    <row r="694" s="179" customFormat="1" spans="1:6">
      <c r="A694" s="226"/>
      <c r="B694" s="242"/>
      <c r="C694" s="221"/>
      <c r="D694" s="221"/>
      <c r="E694" s="222"/>
      <c r="F694" s="223"/>
    </row>
    <row r="695" s="179" customFormat="1" spans="1:6">
      <c r="A695" s="226"/>
      <c r="B695" s="233" t="s">
        <v>263</v>
      </c>
      <c r="C695" s="221"/>
      <c r="D695" s="255"/>
      <c r="E695" s="256"/>
      <c r="F695" s="223"/>
    </row>
    <row r="696" s="179" customFormat="1" spans="1:6">
      <c r="A696" s="226"/>
      <c r="B696" s="237"/>
      <c r="C696" s="221"/>
      <c r="D696" s="255"/>
      <c r="E696" s="256"/>
      <c r="F696" s="223"/>
    </row>
    <row r="697" s="179" customFormat="1" spans="1:6">
      <c r="A697" s="226"/>
      <c r="B697" s="237"/>
      <c r="C697" s="221"/>
      <c r="D697" s="255"/>
      <c r="E697" s="256"/>
      <c r="F697" s="223"/>
    </row>
    <row r="698" s="179" customFormat="1" spans="1:6">
      <c r="A698" s="226"/>
      <c r="B698" s="244" t="s">
        <v>264</v>
      </c>
      <c r="C698" s="221"/>
      <c r="D698" s="255"/>
      <c r="E698" s="256"/>
      <c r="F698" s="223"/>
    </row>
    <row r="699" s="179" customFormat="1" ht="82.8" spans="1:6">
      <c r="A699" s="226"/>
      <c r="B699" s="243" t="s">
        <v>265</v>
      </c>
      <c r="C699" s="251"/>
      <c r="D699" s="266"/>
      <c r="E699" s="267"/>
      <c r="F699" s="253"/>
    </row>
    <row r="700" s="179" customFormat="1" spans="1:6">
      <c r="A700" s="226"/>
      <c r="B700" s="237"/>
      <c r="C700" s="251"/>
      <c r="D700" s="266"/>
      <c r="E700" s="267"/>
      <c r="F700" s="253"/>
    </row>
    <row r="701" s="179" customFormat="1" ht="27.6" spans="1:6">
      <c r="A701" s="226" t="s">
        <v>16</v>
      </c>
      <c r="B701" s="237" t="s">
        <v>266</v>
      </c>
      <c r="C701" s="251">
        <v>60</v>
      </c>
      <c r="D701" s="266" t="s">
        <v>169</v>
      </c>
      <c r="E701" s="267">
        <v>120.7</v>
      </c>
      <c r="F701" s="253">
        <f>E701*C701</f>
        <v>7242</v>
      </c>
    </row>
    <row r="702" s="179" customFormat="1" spans="1:6">
      <c r="A702" s="226"/>
      <c r="B702" s="237"/>
      <c r="C702" s="251"/>
      <c r="D702" s="266"/>
      <c r="E702" s="267"/>
      <c r="F702" s="253"/>
    </row>
    <row r="703" s="179" customFormat="1" ht="27.6" spans="1:6">
      <c r="A703" s="226" t="s">
        <v>19</v>
      </c>
      <c r="B703" s="237" t="s">
        <v>267</v>
      </c>
      <c r="C703" s="251">
        <v>30</v>
      </c>
      <c r="D703" s="266" t="s">
        <v>169</v>
      </c>
      <c r="E703" s="267">
        <v>152.06</v>
      </c>
      <c r="F703" s="253">
        <f>E703*C703</f>
        <v>4561.8</v>
      </c>
    </row>
    <row r="704" s="179" customFormat="1" spans="1:6">
      <c r="A704" s="226"/>
      <c r="B704" s="237"/>
      <c r="C704" s="251"/>
      <c r="D704" s="266"/>
      <c r="E704" s="267"/>
      <c r="F704" s="253"/>
    </row>
    <row r="705" s="179" customFormat="1" spans="1:6">
      <c r="A705" s="226"/>
      <c r="B705" s="237"/>
      <c r="C705" s="251"/>
      <c r="D705" s="266"/>
      <c r="E705" s="267"/>
      <c r="F705" s="253"/>
    </row>
    <row r="706" s="179" customFormat="1" spans="1:6">
      <c r="A706" s="226"/>
      <c r="B706" s="237"/>
      <c r="C706" s="251"/>
      <c r="D706" s="266"/>
      <c r="E706" s="267"/>
      <c r="F706" s="253"/>
    </row>
    <row r="707" s="179" customFormat="1" spans="1:6">
      <c r="A707" s="226"/>
      <c r="B707" s="244" t="s">
        <v>268</v>
      </c>
      <c r="C707" s="251"/>
      <c r="D707" s="266"/>
      <c r="E707" s="267"/>
      <c r="F707" s="253"/>
    </row>
    <row r="708" s="179" customFormat="1" ht="82.8" spans="1:6">
      <c r="A708" s="226"/>
      <c r="B708" s="243" t="s">
        <v>269</v>
      </c>
      <c r="C708" s="251"/>
      <c r="D708" s="266"/>
      <c r="E708" s="267"/>
      <c r="F708" s="253"/>
    </row>
    <row r="709" s="179" customFormat="1" spans="1:6">
      <c r="A709" s="226"/>
      <c r="B709" s="237"/>
      <c r="C709" s="251"/>
      <c r="D709" s="266"/>
      <c r="E709" s="267"/>
      <c r="F709" s="253"/>
    </row>
    <row r="710" s="179" customFormat="1" ht="27.6" spans="1:6">
      <c r="A710" s="226" t="s">
        <v>23</v>
      </c>
      <c r="B710" s="237" t="s">
        <v>270</v>
      </c>
      <c r="C710" s="251">
        <v>18</v>
      </c>
      <c r="D710" s="266" t="s">
        <v>169</v>
      </c>
      <c r="E710" s="267">
        <v>148.44</v>
      </c>
      <c r="F710" s="253">
        <f>E710*C710</f>
        <v>2671.92</v>
      </c>
    </row>
    <row r="711" s="179" customFormat="1" spans="1:6">
      <c r="A711" s="226"/>
      <c r="B711" s="237"/>
      <c r="C711" s="251"/>
      <c r="D711" s="266"/>
      <c r="E711" s="267"/>
      <c r="F711" s="253"/>
    </row>
    <row r="712" s="179" customFormat="1" ht="41.4" spans="1:6">
      <c r="A712" s="226" t="s">
        <v>25</v>
      </c>
      <c r="B712" s="237" t="s">
        <v>271</v>
      </c>
      <c r="C712" s="251">
        <v>32</v>
      </c>
      <c r="D712" s="266" t="s">
        <v>169</v>
      </c>
      <c r="E712" s="267">
        <v>359.38</v>
      </c>
      <c r="F712" s="253">
        <f>E712*C712</f>
        <v>11500.16</v>
      </c>
    </row>
    <row r="713" s="179" customFormat="1" spans="1:6">
      <c r="A713" s="226"/>
      <c r="B713" s="237"/>
      <c r="C713" s="251"/>
      <c r="D713" s="266"/>
      <c r="E713" s="267"/>
      <c r="F713" s="253"/>
    </row>
    <row r="714" s="179" customFormat="1" ht="27.6" spans="1:6">
      <c r="A714" s="226" t="s">
        <v>40</v>
      </c>
      <c r="B714" s="237" t="s">
        <v>272</v>
      </c>
      <c r="C714" s="251">
        <v>90</v>
      </c>
      <c r="D714" s="266" t="s">
        <v>169</v>
      </c>
      <c r="E714" s="267">
        <v>515.63</v>
      </c>
      <c r="F714" s="253">
        <f>E714*C714</f>
        <v>46406.7</v>
      </c>
    </row>
    <row r="715" s="179" customFormat="1" spans="1:6">
      <c r="A715" s="226"/>
      <c r="B715" s="237"/>
      <c r="C715" s="251"/>
      <c r="D715" s="266"/>
      <c r="E715" s="267"/>
      <c r="F715" s="253"/>
    </row>
    <row r="716" s="179" customFormat="1" spans="1:6">
      <c r="A716" s="226"/>
      <c r="B716" s="237"/>
      <c r="C716" s="251"/>
      <c r="D716" s="266"/>
      <c r="E716" s="267"/>
      <c r="F716" s="253"/>
    </row>
    <row r="717" s="179" customFormat="1" spans="1:6">
      <c r="A717" s="226"/>
      <c r="B717" s="244" t="s">
        <v>273</v>
      </c>
      <c r="C717" s="251"/>
      <c r="D717" s="266"/>
      <c r="E717" s="267"/>
      <c r="F717" s="253"/>
    </row>
    <row r="718" s="179" customFormat="1" spans="1:6">
      <c r="A718" s="226"/>
      <c r="B718" s="237"/>
      <c r="C718" s="251"/>
      <c r="D718" s="266"/>
      <c r="E718" s="267"/>
      <c r="F718" s="253"/>
    </row>
    <row r="719" s="179" customFormat="1" ht="41.4" spans="1:6">
      <c r="A719" s="226" t="s">
        <v>42</v>
      </c>
      <c r="B719" s="237" t="s">
        <v>274</v>
      </c>
      <c r="C719" s="251">
        <v>60</v>
      </c>
      <c r="D719" s="266" t="s">
        <v>169</v>
      </c>
      <c r="E719" s="267">
        <v>609.38</v>
      </c>
      <c r="F719" s="253">
        <f>E719*C719</f>
        <v>36562.8</v>
      </c>
    </row>
    <row r="720" s="179" customFormat="1" spans="1:6">
      <c r="A720" s="226"/>
      <c r="B720" s="237"/>
      <c r="C720" s="221"/>
      <c r="D720" s="255"/>
      <c r="E720" s="256"/>
      <c r="F720" s="223"/>
    </row>
    <row r="721" s="179" customFormat="1" spans="1:6">
      <c r="A721" s="226"/>
      <c r="B721" s="237"/>
      <c r="C721" s="221"/>
      <c r="D721" s="255"/>
      <c r="E721" s="256"/>
      <c r="F721" s="223"/>
    </row>
    <row r="722" s="179" customFormat="1" spans="1:6">
      <c r="A722" s="226"/>
      <c r="B722" s="237"/>
      <c r="C722" s="221"/>
      <c r="D722" s="255"/>
      <c r="E722" s="256"/>
      <c r="F722" s="246"/>
    </row>
    <row r="723" s="179" customFormat="1" spans="1:6">
      <c r="A723" s="238"/>
      <c r="B723" s="247" t="s">
        <v>57</v>
      </c>
      <c r="C723" s="216"/>
      <c r="D723" s="216"/>
      <c r="E723" s="217"/>
      <c r="F723" s="246">
        <f>SUM(F697:F722)</f>
        <v>108945.38</v>
      </c>
    </row>
    <row r="724" s="179" customFormat="1" spans="1:6">
      <c r="A724" s="226"/>
      <c r="B724" s="262" t="s">
        <v>58</v>
      </c>
      <c r="C724" s="221"/>
      <c r="D724" s="221"/>
      <c r="E724" s="222"/>
      <c r="F724" s="223">
        <f>F723</f>
        <v>108945.38</v>
      </c>
    </row>
    <row r="725" s="179" customFormat="1" spans="1:6">
      <c r="A725" s="226"/>
      <c r="B725" s="237"/>
      <c r="C725" s="221"/>
      <c r="D725" s="255"/>
      <c r="E725" s="256"/>
      <c r="F725" s="223"/>
    </row>
    <row r="726" s="179" customFormat="1" spans="1:6">
      <c r="A726" s="226"/>
      <c r="B726" s="237"/>
      <c r="C726" s="221"/>
      <c r="D726" s="255"/>
      <c r="E726" s="256"/>
      <c r="F726" s="223"/>
    </row>
    <row r="727" s="179" customFormat="1" spans="1:6">
      <c r="A727" s="226"/>
      <c r="B727" s="244" t="s">
        <v>275</v>
      </c>
      <c r="C727" s="221"/>
      <c r="D727" s="255"/>
      <c r="E727" s="256"/>
      <c r="F727" s="223"/>
    </row>
    <row r="728" s="179" customFormat="1" ht="41.4" spans="1:6">
      <c r="A728" s="226" t="s">
        <v>16</v>
      </c>
      <c r="B728" s="237" t="s">
        <v>276</v>
      </c>
      <c r="C728" s="251">
        <v>2</v>
      </c>
      <c r="D728" s="266" t="s">
        <v>277</v>
      </c>
      <c r="E728" s="267">
        <v>4500</v>
      </c>
      <c r="F728" s="253">
        <f>E728*C728</f>
        <v>9000</v>
      </c>
    </row>
    <row r="729" s="179" customFormat="1" spans="1:6">
      <c r="A729" s="226"/>
      <c r="B729" s="237"/>
      <c r="C729" s="251"/>
      <c r="D729" s="266"/>
      <c r="E729" s="267"/>
      <c r="F729" s="253"/>
    </row>
    <row r="730" s="179" customFormat="1" ht="41.4" spans="1:6">
      <c r="A730" s="226" t="s">
        <v>19</v>
      </c>
      <c r="B730" s="237" t="s">
        <v>278</v>
      </c>
      <c r="C730" s="251">
        <v>2</v>
      </c>
      <c r="D730" s="266" t="s">
        <v>277</v>
      </c>
      <c r="E730" s="267">
        <v>4500</v>
      </c>
      <c r="F730" s="253">
        <f>E730*C730</f>
        <v>9000</v>
      </c>
    </row>
    <row r="731" s="179" customFormat="1" spans="1:6">
      <c r="A731" s="226"/>
      <c r="B731" s="237"/>
      <c r="C731" s="251"/>
      <c r="D731" s="266"/>
      <c r="E731" s="267"/>
      <c r="F731" s="253"/>
    </row>
    <row r="732" s="179" customFormat="1" ht="55.2" spans="1:6">
      <c r="A732" s="226" t="s">
        <v>23</v>
      </c>
      <c r="B732" s="237" t="s">
        <v>279</v>
      </c>
      <c r="C732" s="251">
        <v>1</v>
      </c>
      <c r="D732" s="266" t="s">
        <v>277</v>
      </c>
      <c r="E732" s="267">
        <v>4500</v>
      </c>
      <c r="F732" s="253">
        <f>E732*C732</f>
        <v>4500</v>
      </c>
    </row>
    <row r="733" s="179" customFormat="1" spans="1:6">
      <c r="A733" s="226"/>
      <c r="B733" s="237"/>
      <c r="C733" s="251"/>
      <c r="D733" s="266"/>
      <c r="E733" s="267"/>
      <c r="F733" s="253"/>
    </row>
    <row r="734" s="179" customFormat="1" spans="1:6">
      <c r="A734" s="226"/>
      <c r="B734" s="244" t="s">
        <v>280</v>
      </c>
      <c r="C734" s="251"/>
      <c r="D734" s="266"/>
      <c r="E734" s="267"/>
      <c r="F734" s="253"/>
    </row>
    <row r="735" s="179" customFormat="1" ht="55.2" spans="1:6">
      <c r="A735" s="226" t="s">
        <v>25</v>
      </c>
      <c r="B735" s="237" t="s">
        <v>281</v>
      </c>
      <c r="C735" s="251">
        <v>2</v>
      </c>
      <c r="D735" s="266" t="s">
        <v>277</v>
      </c>
      <c r="E735" s="267">
        <v>6500</v>
      </c>
      <c r="F735" s="253">
        <f>E735*C735</f>
        <v>13000</v>
      </c>
    </row>
    <row r="736" s="179" customFormat="1" spans="1:6">
      <c r="A736" s="226"/>
      <c r="B736" s="237"/>
      <c r="C736" s="251"/>
      <c r="D736" s="266"/>
      <c r="E736" s="267"/>
      <c r="F736" s="253"/>
    </row>
    <row r="737" s="179" customFormat="1" spans="1:6">
      <c r="A737" s="226"/>
      <c r="B737" s="237"/>
      <c r="C737" s="251"/>
      <c r="D737" s="266"/>
      <c r="E737" s="267"/>
      <c r="F737" s="253"/>
    </row>
    <row r="738" s="179" customFormat="1" spans="1:6">
      <c r="A738" s="226"/>
      <c r="B738" s="244" t="s">
        <v>282</v>
      </c>
      <c r="C738" s="251"/>
      <c r="D738" s="266"/>
      <c r="E738" s="267"/>
      <c r="F738" s="253"/>
    </row>
    <row r="739" s="179" customFormat="1" ht="27.6" spans="1:6">
      <c r="A739" s="226" t="s">
        <v>40</v>
      </c>
      <c r="B739" s="237" t="s">
        <v>283</v>
      </c>
      <c r="C739" s="251">
        <v>2</v>
      </c>
      <c r="D739" s="266" t="s">
        <v>277</v>
      </c>
      <c r="E739" s="267">
        <v>15500</v>
      </c>
      <c r="F739" s="253">
        <f>E739*C739</f>
        <v>31000</v>
      </c>
    </row>
    <row r="740" s="179" customFormat="1" spans="1:6">
      <c r="A740" s="226"/>
      <c r="B740" s="237"/>
      <c r="C740" s="251"/>
      <c r="D740" s="266"/>
      <c r="E740" s="267"/>
      <c r="F740" s="253"/>
    </row>
    <row r="741" s="179" customFormat="1" ht="27.6" spans="1:6">
      <c r="A741" s="226"/>
      <c r="B741" s="244" t="s">
        <v>284</v>
      </c>
      <c r="C741" s="251"/>
      <c r="D741" s="266"/>
      <c r="E741" s="267"/>
      <c r="F741" s="253"/>
    </row>
    <row r="742" s="179" customFormat="1" spans="1:6">
      <c r="A742" s="226" t="s">
        <v>42</v>
      </c>
      <c r="B742" s="237" t="s">
        <v>285</v>
      </c>
      <c r="C742" s="251">
        <v>2</v>
      </c>
      <c r="D742" s="266" t="s">
        <v>277</v>
      </c>
      <c r="E742" s="267">
        <v>4950</v>
      </c>
      <c r="F742" s="253">
        <f>E742*C742</f>
        <v>9900</v>
      </c>
    </row>
    <row r="743" s="179" customFormat="1" spans="1:6">
      <c r="A743" s="226"/>
      <c r="B743" s="237"/>
      <c r="C743" s="251"/>
      <c r="D743" s="266"/>
      <c r="E743" s="267"/>
      <c r="F743" s="253"/>
    </row>
    <row r="744" s="179" customFormat="1" spans="1:6">
      <c r="A744" s="226" t="s">
        <v>46</v>
      </c>
      <c r="B744" s="237" t="s">
        <v>286</v>
      </c>
      <c r="C744" s="251">
        <v>2</v>
      </c>
      <c r="D744" s="266" t="s">
        <v>277</v>
      </c>
      <c r="E744" s="267">
        <v>4500</v>
      </c>
      <c r="F744" s="253">
        <f>E744*C744</f>
        <v>9000</v>
      </c>
    </row>
    <row r="745" s="179" customFormat="1" spans="1:6">
      <c r="A745" s="226"/>
      <c r="B745" s="237"/>
      <c r="C745" s="251"/>
      <c r="D745" s="266"/>
      <c r="E745" s="267"/>
      <c r="F745" s="253"/>
    </row>
    <row r="746" s="179" customFormat="1" spans="1:6">
      <c r="A746" s="226" t="s">
        <v>48</v>
      </c>
      <c r="B746" s="237" t="s">
        <v>287</v>
      </c>
      <c r="C746" s="251">
        <v>2</v>
      </c>
      <c r="D746" s="266" t="s">
        <v>277</v>
      </c>
      <c r="E746" s="267">
        <v>4200</v>
      </c>
      <c r="F746" s="253">
        <f>E746*C746</f>
        <v>8400</v>
      </c>
    </row>
    <row r="747" s="179" customFormat="1" spans="1:6">
      <c r="A747" s="226"/>
      <c r="B747" s="237"/>
      <c r="C747" s="251"/>
      <c r="D747" s="266"/>
      <c r="E747" s="267"/>
      <c r="F747" s="253"/>
    </row>
    <row r="748" s="179" customFormat="1" spans="1:6">
      <c r="A748" s="226" t="s">
        <v>50</v>
      </c>
      <c r="B748" s="237" t="s">
        <v>288</v>
      </c>
      <c r="C748" s="251">
        <v>2</v>
      </c>
      <c r="D748" s="266" t="s">
        <v>277</v>
      </c>
      <c r="E748" s="267">
        <v>1750</v>
      </c>
      <c r="F748" s="253">
        <f>E748*C748</f>
        <v>3500</v>
      </c>
    </row>
    <row r="749" s="179" customFormat="1" spans="1:6">
      <c r="A749" s="226"/>
      <c r="B749" s="237"/>
      <c r="C749" s="251"/>
      <c r="D749" s="266"/>
      <c r="E749" s="267"/>
      <c r="F749" s="253"/>
    </row>
    <row r="750" s="179" customFormat="1" spans="1:6">
      <c r="A750" s="226" t="s">
        <v>54</v>
      </c>
      <c r="B750" s="237" t="s">
        <v>289</v>
      </c>
      <c r="C750" s="251">
        <v>2</v>
      </c>
      <c r="D750" s="266" t="s">
        <v>277</v>
      </c>
      <c r="E750" s="267">
        <v>4500</v>
      </c>
      <c r="F750" s="253">
        <f>E750*C750</f>
        <v>9000</v>
      </c>
    </row>
    <row r="751" s="179" customFormat="1" spans="1:6">
      <c r="A751" s="226"/>
      <c r="B751" s="237"/>
      <c r="C751" s="251"/>
      <c r="D751" s="266"/>
      <c r="E751" s="267"/>
      <c r="F751" s="253"/>
    </row>
    <row r="752" s="179" customFormat="1" spans="1:6">
      <c r="A752" s="226" t="s">
        <v>105</v>
      </c>
      <c r="B752" s="237" t="s">
        <v>290</v>
      </c>
      <c r="C752" s="251">
        <v>2</v>
      </c>
      <c r="D752" s="266" t="s">
        <v>277</v>
      </c>
      <c r="E752" s="267">
        <v>10150</v>
      </c>
      <c r="F752" s="253">
        <f>E752*C752</f>
        <v>20300</v>
      </c>
    </row>
    <row r="753" s="179" customFormat="1" spans="1:6">
      <c r="A753" s="226"/>
      <c r="B753" s="237"/>
      <c r="C753" s="251"/>
      <c r="D753" s="266"/>
      <c r="E753" s="267"/>
      <c r="F753" s="253"/>
    </row>
    <row r="754" s="179" customFormat="1" spans="1:6">
      <c r="A754" s="226" t="s">
        <v>91</v>
      </c>
      <c r="B754" s="237" t="s">
        <v>291</v>
      </c>
      <c r="C754" s="251">
        <v>2</v>
      </c>
      <c r="D754" s="266" t="s">
        <v>277</v>
      </c>
      <c r="E754" s="267">
        <v>17850</v>
      </c>
      <c r="F754" s="253">
        <f>E754*C754</f>
        <v>35700</v>
      </c>
    </row>
    <row r="755" s="179" customFormat="1" spans="1:6">
      <c r="A755" s="226"/>
      <c r="B755" s="237"/>
      <c r="C755" s="251"/>
      <c r="D755" s="266"/>
      <c r="E755" s="267"/>
      <c r="F755" s="253"/>
    </row>
    <row r="756" s="179" customFormat="1" spans="1:6">
      <c r="A756" s="226" t="s">
        <v>93</v>
      </c>
      <c r="B756" s="237" t="s">
        <v>292</v>
      </c>
      <c r="C756" s="251">
        <v>2</v>
      </c>
      <c r="D756" s="266" t="s">
        <v>277</v>
      </c>
      <c r="E756" s="267">
        <v>2450</v>
      </c>
      <c r="F756" s="253">
        <f>E756*C756</f>
        <v>4900</v>
      </c>
    </row>
    <row r="757" s="179" customFormat="1" spans="1:6">
      <c r="A757" s="226"/>
      <c r="B757" s="237"/>
      <c r="C757" s="251"/>
      <c r="D757" s="266"/>
      <c r="E757" s="267"/>
      <c r="F757" s="253"/>
    </row>
    <row r="758" s="179" customFormat="1" spans="1:6">
      <c r="A758" s="226" t="s">
        <v>95</v>
      </c>
      <c r="B758" s="237" t="s">
        <v>293</v>
      </c>
      <c r="C758" s="251">
        <v>2</v>
      </c>
      <c r="D758" s="266" t="s">
        <v>277</v>
      </c>
      <c r="E758" s="267">
        <v>2500</v>
      </c>
      <c r="F758" s="253">
        <f>E758*C758</f>
        <v>5000</v>
      </c>
    </row>
    <row r="759" s="179" customFormat="1" spans="1:6">
      <c r="A759" s="226"/>
      <c r="B759" s="237"/>
      <c r="C759" s="221"/>
      <c r="D759" s="255"/>
      <c r="E759" s="256"/>
      <c r="F759" s="246"/>
    </row>
    <row r="760" s="179" customFormat="1" spans="1:6">
      <c r="A760" s="238"/>
      <c r="B760" s="247" t="s">
        <v>57</v>
      </c>
      <c r="C760" s="216"/>
      <c r="D760" s="216"/>
      <c r="E760" s="217"/>
      <c r="F760" s="246">
        <f>SUM(F724:F759)</f>
        <v>281145.38</v>
      </c>
    </row>
    <row r="761" s="179" customFormat="1" spans="1:6">
      <c r="A761" s="226"/>
      <c r="B761" s="262" t="s">
        <v>58</v>
      </c>
      <c r="C761" s="221"/>
      <c r="D761" s="221"/>
      <c r="E761" s="222"/>
      <c r="F761" s="223">
        <f>F760</f>
        <v>281145.38</v>
      </c>
    </row>
    <row r="762" s="179" customFormat="1" spans="1:6">
      <c r="A762" s="226"/>
      <c r="B762" s="237"/>
      <c r="C762" s="221"/>
      <c r="D762" s="255"/>
      <c r="E762" s="256"/>
      <c r="F762" s="223"/>
    </row>
    <row r="763" s="179" customFormat="1" ht="27.6" spans="1:6">
      <c r="A763" s="226"/>
      <c r="B763" s="244" t="s">
        <v>294</v>
      </c>
      <c r="C763" s="221"/>
      <c r="D763" s="255"/>
      <c r="E763" s="256"/>
      <c r="F763" s="223"/>
    </row>
    <row r="764" s="179" customFormat="1" spans="1:6">
      <c r="A764" s="226"/>
      <c r="B764" s="237"/>
      <c r="C764" s="221"/>
      <c r="D764" s="255"/>
      <c r="E764" s="256"/>
      <c r="F764" s="223"/>
    </row>
    <row r="765" s="179" customFormat="1" spans="1:6">
      <c r="A765" s="226" t="s">
        <v>16</v>
      </c>
      <c r="B765" s="237" t="s">
        <v>295</v>
      </c>
      <c r="C765" s="251">
        <v>4</v>
      </c>
      <c r="D765" s="266" t="s">
        <v>277</v>
      </c>
      <c r="E765" s="267">
        <v>4250</v>
      </c>
      <c r="F765" s="253">
        <f>E765*C765</f>
        <v>17000</v>
      </c>
    </row>
    <row r="766" s="179" customFormat="1" spans="1:6">
      <c r="A766" s="226"/>
      <c r="B766" s="237"/>
      <c r="C766" s="251"/>
      <c r="D766" s="266"/>
      <c r="E766" s="267"/>
      <c r="F766" s="253"/>
    </row>
    <row r="767" s="179" customFormat="1" spans="1:6">
      <c r="A767" s="226" t="s">
        <v>19</v>
      </c>
      <c r="B767" s="237" t="s">
        <v>296</v>
      </c>
      <c r="C767" s="251">
        <v>4</v>
      </c>
      <c r="D767" s="266" t="s">
        <v>277</v>
      </c>
      <c r="E767" s="267">
        <v>2500</v>
      </c>
      <c r="F767" s="253">
        <f>E767*C767</f>
        <v>10000</v>
      </c>
    </row>
    <row r="768" s="179" customFormat="1" spans="1:6">
      <c r="A768" s="226"/>
      <c r="B768" s="237"/>
      <c r="C768" s="251"/>
      <c r="D768" s="266"/>
      <c r="E768" s="267"/>
      <c r="F768" s="253"/>
    </row>
    <row r="769" s="179" customFormat="1" spans="1:6">
      <c r="A769" s="226"/>
      <c r="B769" s="244" t="s">
        <v>297</v>
      </c>
      <c r="C769" s="251"/>
      <c r="D769" s="266"/>
      <c r="E769" s="267"/>
      <c r="F769" s="253"/>
    </row>
    <row r="770" s="179" customFormat="1" ht="124.2" spans="1:6">
      <c r="A770" s="226" t="s">
        <v>23</v>
      </c>
      <c r="B770" s="237" t="s">
        <v>298</v>
      </c>
      <c r="C770" s="251">
        <v>3</v>
      </c>
      <c r="D770" s="266" t="s">
        <v>277</v>
      </c>
      <c r="E770" s="267">
        <v>53130</v>
      </c>
      <c r="F770" s="253">
        <f>E770*C770</f>
        <v>159390</v>
      </c>
    </row>
    <row r="771" s="179" customFormat="1" spans="1:6">
      <c r="A771" s="226"/>
      <c r="B771" s="237"/>
      <c r="C771" s="251"/>
      <c r="D771" s="266"/>
      <c r="E771" s="267"/>
      <c r="F771" s="253"/>
    </row>
    <row r="772" s="179" customFormat="1" spans="1:6">
      <c r="A772" s="226"/>
      <c r="B772" s="244" t="s">
        <v>299</v>
      </c>
      <c r="C772" s="251"/>
      <c r="D772" s="266"/>
      <c r="E772" s="267"/>
      <c r="F772" s="253"/>
    </row>
    <row r="773" s="179" customFormat="1" ht="179.4" spans="1:6">
      <c r="A773" s="226" t="s">
        <v>25</v>
      </c>
      <c r="B773" s="237" t="s">
        <v>300</v>
      </c>
      <c r="C773" s="251">
        <v>2</v>
      </c>
      <c r="D773" s="266" t="s">
        <v>277</v>
      </c>
      <c r="E773" s="267">
        <v>75700</v>
      </c>
      <c r="F773" s="253">
        <f>E773*C773</f>
        <v>151400</v>
      </c>
    </row>
    <row r="774" s="179" customFormat="1" spans="1:6">
      <c r="A774" s="226"/>
      <c r="B774" s="242"/>
      <c r="C774" s="251"/>
      <c r="D774" s="251"/>
      <c r="E774" s="252"/>
      <c r="F774" s="253"/>
    </row>
    <row r="775" s="179" customFormat="1" spans="1:6">
      <c r="A775" s="226"/>
      <c r="B775" s="244"/>
      <c r="C775" s="251"/>
      <c r="D775" s="251"/>
      <c r="E775" s="252"/>
      <c r="F775" s="253"/>
    </row>
    <row r="776" s="179" customFormat="1" spans="1:6">
      <c r="A776" s="226"/>
      <c r="B776" s="244" t="s">
        <v>301</v>
      </c>
      <c r="C776" s="251"/>
      <c r="D776" s="251"/>
      <c r="E776" s="252"/>
      <c r="F776" s="253"/>
    </row>
    <row r="777" s="179" customFormat="1" ht="27.6" spans="1:6">
      <c r="A777" s="226"/>
      <c r="B777" s="237" t="s">
        <v>302</v>
      </c>
      <c r="C777" s="251">
        <v>2</v>
      </c>
      <c r="D777" s="251" t="s">
        <v>6</v>
      </c>
      <c r="E777" s="252">
        <v>24000</v>
      </c>
      <c r="F777" s="253">
        <f>E777*C777</f>
        <v>48000</v>
      </c>
    </row>
    <row r="778" s="179" customFormat="1" spans="1:6">
      <c r="A778" s="226"/>
      <c r="B778" s="242"/>
      <c r="C778" s="251"/>
      <c r="D778" s="251"/>
      <c r="E778" s="252"/>
      <c r="F778" s="253"/>
    </row>
    <row r="779" s="179" customFormat="1" spans="1:6">
      <c r="A779" s="226"/>
      <c r="B779" s="242"/>
      <c r="C779" s="251"/>
      <c r="D779" s="251"/>
      <c r="E779" s="252"/>
      <c r="F779" s="253"/>
    </row>
    <row r="780" s="179" customFormat="1" spans="1:6">
      <c r="A780" s="226"/>
      <c r="B780" s="242"/>
      <c r="C780" s="251"/>
      <c r="D780" s="251"/>
      <c r="E780" s="252"/>
      <c r="F780" s="253"/>
    </row>
    <row r="781" s="179" customFormat="1" spans="1:6">
      <c r="A781" s="226"/>
      <c r="B781" s="242"/>
      <c r="C781" s="251"/>
      <c r="D781" s="251"/>
      <c r="E781" s="252"/>
      <c r="F781" s="253"/>
    </row>
    <row r="782" s="179" customFormat="1" ht="14.55" spans="1:6">
      <c r="A782" s="226"/>
      <c r="B782" s="233" t="s">
        <v>21</v>
      </c>
      <c r="C782" s="221"/>
      <c r="D782" s="221"/>
      <c r="E782" s="222"/>
      <c r="F782" s="234">
        <f>SUM(F761:F781)</f>
        <v>666935.38</v>
      </c>
    </row>
    <row r="783" s="179" customFormat="1" ht="14.55" spans="1:6">
      <c r="A783" s="226"/>
      <c r="B783" s="242"/>
      <c r="C783" s="251"/>
      <c r="D783" s="251"/>
      <c r="E783" s="252"/>
      <c r="F783" s="253"/>
    </row>
    <row r="784" s="179" customFormat="1" spans="1:6">
      <c r="A784" s="238"/>
      <c r="B784" s="241"/>
      <c r="C784" s="273"/>
      <c r="D784" s="273"/>
      <c r="E784" s="274"/>
      <c r="F784" s="275"/>
    </row>
    <row r="785" s="179" customFormat="1" spans="1:6">
      <c r="A785" s="226"/>
      <c r="B785" s="242"/>
      <c r="C785" s="251"/>
      <c r="D785" s="251"/>
      <c r="E785" s="252"/>
      <c r="F785" s="253"/>
    </row>
    <row r="786" s="179" customFormat="1" spans="1:6">
      <c r="A786" s="226"/>
      <c r="B786" s="242"/>
      <c r="C786" s="251"/>
      <c r="D786" s="251"/>
      <c r="E786" s="252"/>
      <c r="F786" s="253"/>
    </row>
    <row r="787" s="179" customFormat="1" spans="1:6">
      <c r="A787" s="226"/>
      <c r="B787" s="242"/>
      <c r="C787" s="251"/>
      <c r="D787" s="251"/>
      <c r="E787" s="252"/>
      <c r="F787" s="253"/>
    </row>
    <row r="788" s="179" customFormat="1" spans="1:6">
      <c r="A788" s="226"/>
      <c r="B788" s="240" t="s">
        <v>303</v>
      </c>
      <c r="C788" s="221"/>
      <c r="D788" s="251"/>
      <c r="E788" s="252"/>
      <c r="F788" s="253"/>
    </row>
    <row r="789" s="179" customFormat="1" spans="1:6">
      <c r="A789" s="226"/>
      <c r="B789" s="237"/>
      <c r="C789" s="221"/>
      <c r="D789" s="251"/>
      <c r="E789" s="252"/>
      <c r="F789" s="253"/>
    </row>
    <row r="790" s="179" customFormat="1" spans="1:6">
      <c r="A790" s="226"/>
      <c r="B790" s="224" t="s">
        <v>73</v>
      </c>
      <c r="C790" s="221"/>
      <c r="D790" s="251"/>
      <c r="E790" s="252"/>
      <c r="F790" s="253"/>
    </row>
    <row r="791" s="179" customFormat="1" spans="1:6">
      <c r="A791" s="226"/>
      <c r="B791" s="237"/>
      <c r="C791" s="221"/>
      <c r="D791" s="251"/>
      <c r="E791" s="252"/>
      <c r="F791" s="253"/>
    </row>
    <row r="792" s="179" customFormat="1" spans="1:6">
      <c r="A792" s="226"/>
      <c r="B792" s="237" t="s">
        <v>74</v>
      </c>
      <c r="C792" s="221"/>
      <c r="D792" s="251"/>
      <c r="E792" s="252"/>
      <c r="F792" s="253">
        <f>F296</f>
        <v>3703517.1</v>
      </c>
    </row>
    <row r="793" s="179" customFormat="1" spans="1:6">
      <c r="A793" s="226"/>
      <c r="B793" s="237"/>
      <c r="C793" s="221"/>
      <c r="D793" s="251"/>
      <c r="E793" s="252"/>
      <c r="F793" s="253"/>
    </row>
    <row r="794" s="179" customFormat="1" spans="1:6">
      <c r="A794" s="226"/>
      <c r="B794" s="235" t="s">
        <v>110</v>
      </c>
      <c r="C794" s="221"/>
      <c r="D794" s="221"/>
      <c r="E794" s="222"/>
      <c r="F794" s="223">
        <f>F320</f>
        <v>1330624.64</v>
      </c>
    </row>
    <row r="795" s="179" customFormat="1" spans="1:6">
      <c r="A795" s="226"/>
      <c r="B795" s="254"/>
      <c r="C795" s="221"/>
      <c r="D795" s="221"/>
      <c r="E795" s="222"/>
      <c r="F795" s="223"/>
    </row>
    <row r="796" s="179" customFormat="1" spans="1:6">
      <c r="A796" s="226"/>
      <c r="B796" s="235" t="s">
        <v>120</v>
      </c>
      <c r="C796" s="221"/>
      <c r="D796" s="221"/>
      <c r="E796" s="222"/>
      <c r="F796" s="223">
        <f>F340</f>
        <v>115500</v>
      </c>
    </row>
    <row r="797" s="179" customFormat="1" spans="1:6">
      <c r="A797" s="226"/>
      <c r="B797" s="254"/>
      <c r="C797" s="221"/>
      <c r="D797" s="221"/>
      <c r="E797" s="222"/>
      <c r="F797" s="223"/>
    </row>
    <row r="798" s="179" customFormat="1" spans="1:6">
      <c r="A798" s="226"/>
      <c r="B798" s="235" t="s">
        <v>125</v>
      </c>
      <c r="C798" s="221"/>
      <c r="D798" s="221"/>
      <c r="E798" s="222"/>
      <c r="F798" s="223">
        <f>F356</f>
        <v>846337</v>
      </c>
    </row>
    <row r="799" s="179" customFormat="1" spans="1:6">
      <c r="A799" s="226"/>
      <c r="B799" s="242"/>
      <c r="C799" s="221"/>
      <c r="D799" s="221"/>
      <c r="E799" s="222"/>
      <c r="F799" s="223"/>
    </row>
    <row r="800" s="179" customFormat="1" spans="1:6">
      <c r="A800" s="226"/>
      <c r="B800" s="235" t="s">
        <v>131</v>
      </c>
      <c r="C800" s="221"/>
      <c r="D800" s="221"/>
      <c r="E800" s="222"/>
      <c r="F800" s="223">
        <f>F375</f>
        <v>295797.6</v>
      </c>
    </row>
    <row r="801" s="179" customFormat="1" spans="1:6">
      <c r="A801" s="226"/>
      <c r="B801" s="242"/>
      <c r="C801" s="221"/>
      <c r="D801" s="221"/>
      <c r="E801" s="222"/>
      <c r="F801" s="223"/>
    </row>
    <row r="802" s="179" customFormat="1" spans="1:6">
      <c r="A802" s="226"/>
      <c r="B802" s="235" t="s">
        <v>138</v>
      </c>
      <c r="C802" s="221"/>
      <c r="D802" s="221"/>
      <c r="E802" s="222"/>
      <c r="F802" s="223">
        <f>F432</f>
        <v>1804382</v>
      </c>
    </row>
    <row r="803" s="179" customFormat="1" spans="1:6">
      <c r="A803" s="226"/>
      <c r="B803" s="242"/>
      <c r="C803" s="221"/>
      <c r="D803" s="221"/>
      <c r="E803" s="222"/>
      <c r="F803" s="223"/>
    </row>
    <row r="804" s="179" customFormat="1" spans="1:6">
      <c r="A804" s="226"/>
      <c r="B804" s="237" t="s">
        <v>156</v>
      </c>
      <c r="C804" s="221"/>
      <c r="D804" s="221"/>
      <c r="E804" s="222"/>
      <c r="F804" s="223">
        <f>F610</f>
        <v>2667686.45</v>
      </c>
    </row>
    <row r="805" s="179" customFormat="1" spans="1:6">
      <c r="A805" s="226"/>
      <c r="B805" s="242"/>
      <c r="C805" s="221"/>
      <c r="D805" s="221"/>
      <c r="E805" s="222"/>
      <c r="F805" s="223"/>
    </row>
    <row r="806" s="179" customFormat="1" spans="1:6">
      <c r="A806" s="226"/>
      <c r="B806" s="237" t="s">
        <v>218</v>
      </c>
      <c r="C806" s="221"/>
      <c r="D806" s="221"/>
      <c r="E806" s="222"/>
      <c r="F806" s="223">
        <f>F690</f>
        <v>638450</v>
      </c>
    </row>
    <row r="807" s="179" customFormat="1" spans="1:6">
      <c r="A807" s="226"/>
      <c r="B807" s="242"/>
      <c r="C807" s="221"/>
      <c r="D807" s="221"/>
      <c r="E807" s="222"/>
      <c r="F807" s="223"/>
    </row>
    <row r="808" s="179" customFormat="1" spans="1:6">
      <c r="A808" s="226"/>
      <c r="B808" s="237" t="s">
        <v>263</v>
      </c>
      <c r="C808" s="221"/>
      <c r="D808" s="221"/>
      <c r="E808" s="222"/>
      <c r="F808" s="223">
        <f>F782</f>
        <v>666935.38</v>
      </c>
    </row>
    <row r="809" s="179" customFormat="1" spans="1:6">
      <c r="A809" s="226"/>
      <c r="B809" s="242"/>
      <c r="C809" s="221"/>
      <c r="D809" s="221"/>
      <c r="E809" s="222"/>
      <c r="F809" s="223"/>
    </row>
    <row r="810" s="179" customFormat="1" spans="1:6">
      <c r="A810" s="226"/>
      <c r="B810" s="242"/>
      <c r="C810" s="221"/>
      <c r="D810" s="221"/>
      <c r="E810" s="222"/>
      <c r="F810" s="223"/>
    </row>
    <row r="811" s="179" customFormat="1" spans="1:6">
      <c r="A811" s="226"/>
      <c r="B811" s="242"/>
      <c r="C811" s="221"/>
      <c r="D811" s="221"/>
      <c r="E811" s="222"/>
      <c r="F811" s="223"/>
    </row>
    <row r="812" s="179" customFormat="1" ht="14.55" spans="1:6">
      <c r="A812" s="226"/>
      <c r="B812" s="233" t="s">
        <v>304</v>
      </c>
      <c r="C812" s="221"/>
      <c r="D812" s="221"/>
      <c r="E812" s="222"/>
      <c r="F812" s="276">
        <f>SUM(F790:F811)</f>
        <v>12069230.17</v>
      </c>
    </row>
    <row r="813" s="179" customFormat="1" ht="14.55" spans="1:6">
      <c r="A813" s="226"/>
      <c r="B813" s="242"/>
      <c r="C813" s="221"/>
      <c r="D813" s="221"/>
      <c r="E813" s="222"/>
      <c r="F813" s="223"/>
    </row>
    <row r="814" s="179" customFormat="1" spans="1:6">
      <c r="A814" s="226"/>
      <c r="B814" s="242"/>
      <c r="C814" s="221"/>
      <c r="D814" s="221"/>
      <c r="E814" s="222"/>
      <c r="F814" s="223"/>
    </row>
    <row r="815" s="179" customFormat="1" spans="1:6">
      <c r="A815" s="226"/>
      <c r="B815" s="242"/>
      <c r="C815" s="221"/>
      <c r="D815" s="221"/>
      <c r="E815" s="222"/>
      <c r="F815" s="223"/>
    </row>
    <row r="816" s="179" customFormat="1" spans="1:6">
      <c r="A816" s="226"/>
      <c r="B816" s="242"/>
      <c r="C816" s="221"/>
      <c r="D816" s="221"/>
      <c r="E816" s="222"/>
      <c r="F816" s="223"/>
    </row>
    <row r="817" s="179" customFormat="1" spans="1:6">
      <c r="A817" s="226"/>
      <c r="B817" s="242"/>
      <c r="C817" s="221"/>
      <c r="D817" s="221"/>
      <c r="E817" s="222"/>
      <c r="F817" s="223"/>
    </row>
    <row r="818" s="179" customFormat="1" spans="1:6">
      <c r="A818" s="226"/>
      <c r="B818" s="242"/>
      <c r="C818" s="221"/>
      <c r="D818" s="221"/>
      <c r="E818" s="222"/>
      <c r="F818" s="223"/>
    </row>
    <row r="819" s="179" customFormat="1" spans="1:6">
      <c r="A819" s="226"/>
      <c r="B819" s="242"/>
      <c r="C819" s="221"/>
      <c r="D819" s="221"/>
      <c r="E819" s="222"/>
      <c r="F819" s="223"/>
    </row>
    <row r="820" s="179" customFormat="1" spans="1:6">
      <c r="A820" s="226"/>
      <c r="B820" s="242"/>
      <c r="C820" s="221"/>
      <c r="D820" s="221"/>
      <c r="E820" s="222"/>
      <c r="F820" s="223"/>
    </row>
    <row r="821" s="179" customFormat="1" spans="1:6">
      <c r="A821" s="226"/>
      <c r="B821" s="242"/>
      <c r="C821" s="221"/>
      <c r="D821" s="221"/>
      <c r="E821" s="222"/>
      <c r="F821" s="223"/>
    </row>
    <row r="822" s="179" customFormat="1" spans="1:6">
      <c r="A822" s="226"/>
      <c r="B822" s="242"/>
      <c r="C822" s="221"/>
      <c r="D822" s="221"/>
      <c r="E822" s="222"/>
      <c r="F822" s="223"/>
    </row>
    <row r="823" s="179" customFormat="1" spans="1:6">
      <c r="A823" s="226"/>
      <c r="B823" s="242"/>
      <c r="C823" s="221"/>
      <c r="D823" s="221"/>
      <c r="E823" s="222"/>
      <c r="F823" s="223"/>
    </row>
    <row r="824" s="179" customFormat="1" spans="1:6">
      <c r="A824" s="226"/>
      <c r="B824" s="242"/>
      <c r="C824" s="221"/>
      <c r="D824" s="221"/>
      <c r="E824" s="222"/>
      <c r="F824" s="223"/>
    </row>
    <row r="825" s="179" customFormat="1" spans="1:6">
      <c r="A825" s="226"/>
      <c r="B825" s="242"/>
      <c r="C825" s="221"/>
      <c r="D825" s="221"/>
      <c r="E825" s="222"/>
      <c r="F825" s="223"/>
    </row>
    <row r="826" s="179" customFormat="1" spans="1:6">
      <c r="A826" s="226"/>
      <c r="B826" s="242"/>
      <c r="C826" s="221"/>
      <c r="D826" s="221"/>
      <c r="E826" s="222"/>
      <c r="F826" s="223"/>
    </row>
    <row r="827" s="179" customFormat="1" spans="1:6">
      <c r="A827" s="226"/>
      <c r="B827" s="242"/>
      <c r="C827" s="221"/>
      <c r="D827" s="221"/>
      <c r="E827" s="222"/>
      <c r="F827" s="223"/>
    </row>
    <row r="828" s="179" customFormat="1" spans="1:6">
      <c r="A828" s="226"/>
      <c r="B828" s="242"/>
      <c r="C828" s="221"/>
      <c r="D828" s="221"/>
      <c r="E828" s="222"/>
      <c r="F828" s="223"/>
    </row>
    <row r="829" s="179" customFormat="1" spans="1:6">
      <c r="A829" s="226"/>
      <c r="B829" s="242"/>
      <c r="C829" s="221"/>
      <c r="D829" s="221"/>
      <c r="E829" s="222"/>
      <c r="F829" s="223"/>
    </row>
    <row r="830" s="179" customFormat="1" spans="1:6">
      <c r="A830" s="226"/>
      <c r="B830" s="242"/>
      <c r="C830" s="221"/>
      <c r="D830" s="221"/>
      <c r="E830" s="222"/>
      <c r="F830" s="223"/>
    </row>
    <row r="831" s="179" customFormat="1" spans="1:6">
      <c r="A831" s="226"/>
      <c r="B831" s="242"/>
      <c r="C831" s="221"/>
      <c r="D831" s="221"/>
      <c r="E831" s="222"/>
      <c r="F831" s="223"/>
    </row>
    <row r="832" s="179" customFormat="1" ht="11.25" customHeight="1" spans="1:6">
      <c r="A832" s="226"/>
      <c r="B832" s="242"/>
      <c r="C832" s="221"/>
      <c r="D832" s="221"/>
      <c r="E832" s="222"/>
      <c r="F832" s="223"/>
    </row>
    <row r="833" s="179" customFormat="1" spans="1:6">
      <c r="A833" s="238"/>
      <c r="B833" s="241"/>
      <c r="C833" s="216"/>
      <c r="D833" s="216"/>
      <c r="E833" s="217"/>
      <c r="F833" s="218"/>
    </row>
    <row r="834" s="179" customFormat="1" ht="14.25" customHeight="1" spans="1:6">
      <c r="A834" s="226"/>
      <c r="B834" s="277" t="s">
        <v>305</v>
      </c>
      <c r="C834" s="278"/>
      <c r="D834" s="278"/>
      <c r="E834" s="279"/>
      <c r="F834" s="280"/>
    </row>
    <row r="835" s="179" customFormat="1" ht="14.25" customHeight="1" spans="1:6">
      <c r="A835" s="226"/>
      <c r="B835" s="277"/>
      <c r="C835" s="278"/>
      <c r="D835" s="278"/>
      <c r="E835" s="279"/>
      <c r="F835" s="280"/>
    </row>
    <row r="836" s="179" customFormat="1" ht="6" customHeight="1" spans="1:6">
      <c r="A836" s="226"/>
      <c r="B836" s="237"/>
      <c r="C836" s="281"/>
      <c r="D836" s="281"/>
      <c r="E836" s="282"/>
      <c r="F836" s="223"/>
    </row>
    <row r="837" s="179" customFormat="1" spans="1:6">
      <c r="A837" s="226"/>
      <c r="B837" s="224" t="s">
        <v>14</v>
      </c>
      <c r="C837" s="281"/>
      <c r="D837" s="281"/>
      <c r="E837" s="282"/>
      <c r="F837" s="223"/>
    </row>
    <row r="838" s="179" customFormat="1" ht="6" customHeight="1" spans="1:6">
      <c r="A838" s="226"/>
      <c r="B838" s="242"/>
      <c r="C838" s="281"/>
      <c r="D838" s="281"/>
      <c r="E838" s="282"/>
      <c r="F838" s="223"/>
    </row>
    <row r="839" s="179" customFormat="1" spans="1:6">
      <c r="A839" s="226"/>
      <c r="B839" s="235" t="s">
        <v>15</v>
      </c>
      <c r="C839" s="281"/>
      <c r="D839" s="283">
        <f>F17</f>
        <v>85000</v>
      </c>
      <c r="E839" s="284"/>
      <c r="F839" s="223"/>
    </row>
    <row r="840" s="179" customFormat="1" ht="6" customHeight="1" spans="1:6">
      <c r="A840" s="226"/>
      <c r="B840" s="254"/>
      <c r="C840" s="281"/>
      <c r="D840" s="281"/>
      <c r="E840" s="282"/>
      <c r="F840" s="223"/>
    </row>
    <row r="841" s="179" customFormat="1" spans="1:6">
      <c r="A841" s="226"/>
      <c r="B841" s="235" t="s">
        <v>22</v>
      </c>
      <c r="C841" s="281"/>
      <c r="D841" s="283">
        <f>F29</f>
        <v>540000</v>
      </c>
      <c r="E841" s="284"/>
      <c r="F841" s="223"/>
    </row>
    <row r="842" s="179" customFormat="1" ht="6" customHeight="1" spans="1:6">
      <c r="A842" s="226"/>
      <c r="B842" s="242"/>
      <c r="C842" s="281"/>
      <c r="D842" s="214"/>
      <c r="E842" s="285"/>
      <c r="F842" s="223"/>
    </row>
    <row r="843" s="179" customFormat="1" spans="1:6">
      <c r="A843" s="226"/>
      <c r="B843" s="286" t="s">
        <v>306</v>
      </c>
      <c r="C843" s="281"/>
      <c r="D843" s="287">
        <f>SUM(D839:E842)</f>
        <v>625000</v>
      </c>
      <c r="E843" s="288"/>
      <c r="F843" s="289">
        <f>D843</f>
        <v>625000</v>
      </c>
    </row>
    <row r="844" s="179" customFormat="1" ht="6" customHeight="1" spans="1:6">
      <c r="A844" s="226"/>
      <c r="B844" s="242"/>
      <c r="C844" s="281"/>
      <c r="D844" s="281"/>
      <c r="E844" s="282"/>
      <c r="F844" s="223"/>
    </row>
    <row r="845" s="179" customFormat="1" spans="1:6">
      <c r="A845" s="226"/>
      <c r="B845" s="224" t="s">
        <v>29</v>
      </c>
      <c r="C845" s="281"/>
      <c r="D845" s="281"/>
      <c r="E845" s="282"/>
      <c r="F845" s="223"/>
    </row>
    <row r="846" s="179" customFormat="1" ht="6" customHeight="1" spans="1:6">
      <c r="A846" s="226"/>
      <c r="B846" s="242"/>
      <c r="C846" s="281"/>
      <c r="D846" s="281"/>
      <c r="E846" s="282"/>
      <c r="F846" s="223"/>
    </row>
    <row r="847" s="179" customFormat="1" spans="1:6">
      <c r="A847" s="226"/>
      <c r="B847" s="235" t="s">
        <v>30</v>
      </c>
      <c r="C847" s="281"/>
      <c r="D847" s="283">
        <f>F148</f>
        <v>175858</v>
      </c>
      <c r="E847" s="284"/>
      <c r="F847" s="223"/>
    </row>
    <row r="848" s="179" customFormat="1" ht="6" customHeight="1" spans="1:6">
      <c r="A848" s="226"/>
      <c r="B848" s="237"/>
      <c r="C848" s="281"/>
      <c r="D848" s="281"/>
      <c r="E848" s="284"/>
      <c r="F848" s="223"/>
    </row>
    <row r="849" s="179" customFormat="1" spans="1:6">
      <c r="A849" s="226"/>
      <c r="B849" s="235" t="s">
        <v>35</v>
      </c>
      <c r="C849" s="281"/>
      <c r="D849" s="283">
        <f>F150</f>
        <v>775043.5</v>
      </c>
      <c r="E849" s="284"/>
      <c r="F849" s="223"/>
    </row>
    <row r="850" s="179" customFormat="1" ht="6" customHeight="1" spans="1:6">
      <c r="A850" s="226"/>
      <c r="B850" s="254"/>
      <c r="C850" s="281"/>
      <c r="D850" s="281"/>
      <c r="E850" s="284"/>
      <c r="F850" s="223"/>
    </row>
    <row r="851" s="179" customFormat="1" spans="1:6">
      <c r="A851" s="226"/>
      <c r="B851" s="235" t="s">
        <v>65</v>
      </c>
      <c r="C851" s="281"/>
      <c r="D851" s="283">
        <f>F152</f>
        <v>332156</v>
      </c>
      <c r="E851" s="284"/>
      <c r="F851" s="223"/>
    </row>
    <row r="852" s="179" customFormat="1" ht="6" customHeight="1" spans="1:6">
      <c r="A852" s="226"/>
      <c r="B852" s="254"/>
      <c r="C852" s="281"/>
      <c r="D852" s="281"/>
      <c r="E852" s="284"/>
      <c r="F852" s="223"/>
    </row>
    <row r="853" s="179" customFormat="1" spans="1:6">
      <c r="A853" s="226"/>
      <c r="B853" s="235" t="s">
        <v>67</v>
      </c>
      <c r="C853" s="281"/>
      <c r="D853" s="283">
        <f>F154</f>
        <v>25170.6</v>
      </c>
      <c r="E853" s="284"/>
      <c r="F853" s="223"/>
    </row>
    <row r="854" s="179" customFormat="1" ht="6" customHeight="1" spans="1:6">
      <c r="A854" s="226"/>
      <c r="B854" s="242"/>
      <c r="C854" s="281"/>
      <c r="D854" s="281"/>
      <c r="E854" s="282"/>
      <c r="F854" s="223"/>
    </row>
    <row r="855" s="179" customFormat="1" spans="1:6">
      <c r="A855" s="226"/>
      <c r="B855" s="286" t="s">
        <v>307</v>
      </c>
      <c r="C855" s="281"/>
      <c r="D855" s="287">
        <f>SUM(D847:E853)</f>
        <v>1308228.1</v>
      </c>
      <c r="E855" s="288"/>
      <c r="F855" s="289">
        <f>D855</f>
        <v>1308228.1</v>
      </c>
    </row>
    <row r="856" s="179" customFormat="1" ht="6" customHeight="1" spans="1:6">
      <c r="A856" s="226"/>
      <c r="B856" s="242"/>
      <c r="C856" s="281"/>
      <c r="D856" s="281"/>
      <c r="E856" s="282"/>
      <c r="F856" s="223"/>
    </row>
    <row r="857" s="179" customFormat="1" spans="1:6">
      <c r="A857" s="226"/>
      <c r="B857" s="224" t="s">
        <v>73</v>
      </c>
      <c r="C857" s="281"/>
      <c r="D857" s="281"/>
      <c r="E857" s="282"/>
      <c r="F857" s="223"/>
    </row>
    <row r="858" s="179" customFormat="1" ht="6" customHeight="1" spans="1:6">
      <c r="A858" s="226"/>
      <c r="B858" s="237"/>
      <c r="C858" s="281"/>
      <c r="D858" s="281"/>
      <c r="E858" s="282"/>
      <c r="F858" s="223"/>
    </row>
    <row r="859" s="179" customFormat="1" spans="1:6">
      <c r="A859" s="226"/>
      <c r="B859" s="237" t="s">
        <v>74</v>
      </c>
      <c r="C859" s="281"/>
      <c r="D859" s="283">
        <f>F792</f>
        <v>3703517.1</v>
      </c>
      <c r="E859" s="284"/>
      <c r="F859" s="223"/>
    </row>
    <row r="860" s="179" customFormat="1" ht="6" customHeight="1" spans="1:6">
      <c r="A860" s="226"/>
      <c r="B860" s="237"/>
      <c r="C860" s="281"/>
      <c r="D860" s="283"/>
      <c r="E860" s="284"/>
      <c r="F860" s="223"/>
    </row>
    <row r="861" s="179" customFormat="1" spans="1:6">
      <c r="A861" s="226"/>
      <c r="B861" s="235" t="s">
        <v>110</v>
      </c>
      <c r="C861" s="281"/>
      <c r="D861" s="283">
        <f>F794</f>
        <v>1330624.64</v>
      </c>
      <c r="E861" s="284"/>
      <c r="F861" s="223"/>
    </row>
    <row r="862" s="179" customFormat="1" ht="6" customHeight="1" spans="1:6">
      <c r="A862" s="226"/>
      <c r="B862" s="254"/>
      <c r="C862" s="281"/>
      <c r="D862" s="283"/>
      <c r="E862" s="284"/>
      <c r="F862" s="223"/>
    </row>
    <row r="863" s="179" customFormat="1" spans="1:6">
      <c r="A863" s="226"/>
      <c r="B863" s="235" t="s">
        <v>120</v>
      </c>
      <c r="C863" s="281"/>
      <c r="D863" s="283">
        <f>F796</f>
        <v>115500</v>
      </c>
      <c r="E863" s="284"/>
      <c r="F863" s="223"/>
    </row>
    <row r="864" s="179" customFormat="1" ht="6" customHeight="1" spans="1:6">
      <c r="A864" s="226"/>
      <c r="B864" s="254"/>
      <c r="C864" s="281"/>
      <c r="D864" s="283"/>
      <c r="E864" s="284"/>
      <c r="F864" s="223"/>
    </row>
    <row r="865" s="179" customFormat="1" spans="1:6">
      <c r="A865" s="226"/>
      <c r="B865" s="235" t="s">
        <v>125</v>
      </c>
      <c r="C865" s="281"/>
      <c r="D865" s="283">
        <f>F798</f>
        <v>846337</v>
      </c>
      <c r="E865" s="284"/>
      <c r="F865" s="223"/>
    </row>
    <row r="866" s="179" customFormat="1" ht="6" customHeight="1" spans="1:6">
      <c r="A866" s="226"/>
      <c r="B866" s="242"/>
      <c r="C866" s="281"/>
      <c r="D866" s="283"/>
      <c r="E866" s="284"/>
      <c r="F866" s="223"/>
    </row>
    <row r="867" s="179" customFormat="1" spans="1:6">
      <c r="A867" s="226"/>
      <c r="B867" s="235" t="s">
        <v>131</v>
      </c>
      <c r="C867" s="281"/>
      <c r="D867" s="283">
        <f>F800</f>
        <v>295797.6</v>
      </c>
      <c r="E867" s="284"/>
      <c r="F867" s="223"/>
    </row>
    <row r="868" s="179" customFormat="1" ht="6" customHeight="1" spans="1:6">
      <c r="A868" s="226"/>
      <c r="B868" s="242"/>
      <c r="C868" s="281"/>
      <c r="D868" s="283"/>
      <c r="E868" s="284"/>
      <c r="F868" s="223"/>
    </row>
    <row r="869" s="179" customFormat="1" spans="1:6">
      <c r="A869" s="226"/>
      <c r="B869" s="235" t="s">
        <v>138</v>
      </c>
      <c r="C869" s="281"/>
      <c r="D869" s="283">
        <f>F802</f>
        <v>1804382</v>
      </c>
      <c r="E869" s="284"/>
      <c r="F869" s="223"/>
    </row>
    <row r="870" s="179" customFormat="1" ht="6" customHeight="1" spans="1:6">
      <c r="A870" s="226"/>
      <c r="B870" s="242"/>
      <c r="C870" s="281"/>
      <c r="D870" s="283"/>
      <c r="E870" s="284"/>
      <c r="F870" s="223"/>
    </row>
    <row r="871" s="179" customFormat="1" spans="1:6">
      <c r="A871" s="226"/>
      <c r="B871" s="237" t="s">
        <v>156</v>
      </c>
      <c r="C871" s="281"/>
      <c r="D871" s="283">
        <f>F804</f>
        <v>2667686.45</v>
      </c>
      <c r="E871" s="284"/>
      <c r="F871" s="223"/>
    </row>
    <row r="872" s="179" customFormat="1" ht="6" customHeight="1" spans="1:6">
      <c r="A872" s="226"/>
      <c r="B872" s="242"/>
      <c r="C872" s="281"/>
      <c r="D872" s="283"/>
      <c r="E872" s="284"/>
      <c r="F872" s="223"/>
    </row>
    <row r="873" s="179" customFormat="1" spans="1:6">
      <c r="A873" s="226"/>
      <c r="B873" s="237" t="s">
        <v>218</v>
      </c>
      <c r="C873" s="281"/>
      <c r="D873" s="283">
        <f>F806</f>
        <v>638450</v>
      </c>
      <c r="E873" s="284"/>
      <c r="F873" s="223"/>
    </row>
    <row r="874" s="179" customFormat="1" ht="6" customHeight="1" spans="1:6">
      <c r="A874" s="226"/>
      <c r="B874" s="242"/>
      <c r="C874" s="281"/>
      <c r="D874" s="283"/>
      <c r="E874" s="284"/>
      <c r="F874" s="223"/>
    </row>
    <row r="875" s="179" customFormat="1" spans="1:6">
      <c r="A875" s="226"/>
      <c r="B875" s="237" t="s">
        <v>263</v>
      </c>
      <c r="C875" s="281"/>
      <c r="D875" s="283">
        <f>F808</f>
        <v>666935.38</v>
      </c>
      <c r="E875" s="284"/>
      <c r="F875" s="223"/>
    </row>
    <row r="876" s="179" customFormat="1" ht="6" customHeight="1" spans="1:6">
      <c r="A876" s="226"/>
      <c r="B876" s="242"/>
      <c r="C876" s="281"/>
      <c r="D876" s="281"/>
      <c r="E876" s="284"/>
      <c r="F876" s="223"/>
    </row>
    <row r="877" s="179" customFormat="1" spans="1:6">
      <c r="A877" s="226"/>
      <c r="B877" s="286" t="s">
        <v>308</v>
      </c>
      <c r="C877" s="281"/>
      <c r="D877" s="287">
        <f>SUM(D857:E876)</f>
        <v>12069230.17</v>
      </c>
      <c r="E877" s="288"/>
      <c r="F877" s="289">
        <f>D877</f>
        <v>12069230.17</v>
      </c>
    </row>
    <row r="878" s="179" customFormat="1" spans="1:6">
      <c r="A878" s="238"/>
      <c r="B878" s="241"/>
      <c r="C878" s="214"/>
      <c r="D878" s="214"/>
      <c r="E878" s="285"/>
      <c r="F878" s="246"/>
    </row>
    <row r="879" s="179" customFormat="1" ht="14.55" spans="1:7">
      <c r="A879" s="290"/>
      <c r="B879" s="291" t="s">
        <v>309</v>
      </c>
      <c r="C879" s="292"/>
      <c r="D879" s="292"/>
      <c r="E879" s="293"/>
      <c r="F879" s="294">
        <f>SUM(F842:F878)</f>
        <v>14002458.27</v>
      </c>
      <c r="G879" s="295">
        <f>F879*0.75</f>
        <v>10501843.7</v>
      </c>
    </row>
    <row r="880" s="179" customFormat="1" ht="14.55" spans="1:6">
      <c r="A880" s="296"/>
      <c r="B880" s="297"/>
      <c r="C880" s="298"/>
      <c r="D880" s="298"/>
      <c r="E880" s="299"/>
      <c r="F880" s="300"/>
    </row>
    <row r="881" s="179" customFormat="1" ht="12" customHeight="1" spans="1:6">
      <c r="A881" s="301"/>
      <c r="B881" s="242"/>
      <c r="C881" s="281"/>
      <c r="D881" s="281"/>
      <c r="E881" s="302"/>
      <c r="F881" s="223"/>
    </row>
    <row r="882" s="179" customFormat="1" ht="34.5" customHeight="1" spans="1:6">
      <c r="A882" s="301"/>
      <c r="B882" s="303" t="s">
        <v>310</v>
      </c>
      <c r="C882" s="303"/>
      <c r="D882" s="303"/>
      <c r="E882" s="303"/>
      <c r="F882" s="304"/>
    </row>
    <row r="883" s="179" customFormat="1" spans="1:6">
      <c r="A883" s="301"/>
      <c r="B883" s="242"/>
      <c r="C883" s="281"/>
      <c r="D883" s="281"/>
      <c r="E883" s="302"/>
      <c r="F883" s="223"/>
    </row>
    <row r="884" s="179" customFormat="1" spans="1:6">
      <c r="A884" s="301"/>
      <c r="B884" s="305" t="s">
        <v>311</v>
      </c>
      <c r="C884" s="281"/>
      <c r="D884" s="281"/>
      <c r="E884" s="302"/>
      <c r="F884" s="223"/>
    </row>
    <row r="885" s="179" customFormat="1" spans="1:6">
      <c r="A885" s="301"/>
      <c r="B885" s="306"/>
      <c r="C885" s="307" t="s">
        <v>312</v>
      </c>
      <c r="D885" s="281"/>
      <c r="E885" s="302"/>
      <c r="F885" s="223"/>
    </row>
    <row r="886" s="179" customFormat="1" ht="15.75" customHeight="1" spans="1:6">
      <c r="A886" s="301"/>
      <c r="B886" s="242"/>
      <c r="C886" s="308" t="s">
        <v>313</v>
      </c>
      <c r="D886" s="281"/>
      <c r="E886" s="302"/>
      <c r="F886" s="223"/>
    </row>
    <row r="887" s="179" customFormat="1" ht="15.75" customHeight="1" spans="1:6">
      <c r="A887" s="301"/>
      <c r="B887" s="242"/>
      <c r="C887" s="309" t="s">
        <v>314</v>
      </c>
      <c r="D887" s="281"/>
      <c r="E887" s="302"/>
      <c r="F887" s="223"/>
    </row>
    <row r="888" s="179" customFormat="1" ht="15.75" customHeight="1" spans="1:6">
      <c r="A888" s="301"/>
      <c r="B888" s="242"/>
      <c r="C888" s="310" t="s">
        <v>315</v>
      </c>
      <c r="D888" s="281"/>
      <c r="E888" s="302"/>
      <c r="F888" s="223"/>
    </row>
    <row r="889" s="179" customFormat="1" ht="15.75" customHeight="1" spans="1:6">
      <c r="A889" s="301"/>
      <c r="B889" s="242"/>
      <c r="C889" s="311" t="s">
        <v>316</v>
      </c>
      <c r="D889" s="281"/>
      <c r="E889" s="302"/>
      <c r="F889" s="223"/>
    </row>
    <row r="890" s="179" customFormat="1" ht="15.75" customHeight="1" spans="1:6">
      <c r="A890" s="301"/>
      <c r="B890" s="242"/>
      <c r="C890" s="307" t="s">
        <v>317</v>
      </c>
      <c r="D890" s="281"/>
      <c r="E890" s="302"/>
      <c r="F890" s="223"/>
    </row>
    <row r="891" s="179" customFormat="1" ht="15.75" customHeight="1" spans="1:6">
      <c r="A891" s="301"/>
      <c r="B891" s="242"/>
      <c r="C891" s="307" t="s">
        <v>318</v>
      </c>
      <c r="D891" s="281"/>
      <c r="E891" s="302"/>
      <c r="F891" s="223"/>
    </row>
    <row r="892" s="179" customFormat="1" ht="14.55" spans="1:6">
      <c r="A892" s="312"/>
      <c r="B892" s="313"/>
      <c r="C892" s="314"/>
      <c r="D892" s="314"/>
      <c r="E892" s="315"/>
      <c r="F892" s="316"/>
    </row>
  </sheetData>
  <mergeCells count="34">
    <mergeCell ref="E2:F2"/>
    <mergeCell ref="D839:E839"/>
    <mergeCell ref="D841:E841"/>
    <mergeCell ref="D843:E843"/>
    <mergeCell ref="D847:E847"/>
    <mergeCell ref="D848:E848"/>
    <mergeCell ref="D849:E849"/>
    <mergeCell ref="D850:E850"/>
    <mergeCell ref="D851:E851"/>
    <mergeCell ref="D852:E852"/>
    <mergeCell ref="D853:E853"/>
    <mergeCell ref="D855:E855"/>
    <mergeCell ref="D859:E859"/>
    <mergeCell ref="D860:E860"/>
    <mergeCell ref="D861:E861"/>
    <mergeCell ref="D862:E862"/>
    <mergeCell ref="D863:E863"/>
    <mergeCell ref="D864:E864"/>
    <mergeCell ref="D865:E865"/>
    <mergeCell ref="D866:E866"/>
    <mergeCell ref="D867:E867"/>
    <mergeCell ref="D868:E868"/>
    <mergeCell ref="D869:E869"/>
    <mergeCell ref="D870:E870"/>
    <mergeCell ref="D871:E871"/>
    <mergeCell ref="D872:E872"/>
    <mergeCell ref="D873:E873"/>
    <mergeCell ref="D874:E874"/>
    <mergeCell ref="D875:E875"/>
    <mergeCell ref="D876:E876"/>
    <mergeCell ref="D877:E877"/>
    <mergeCell ref="B879:E879"/>
    <mergeCell ref="B882:F882"/>
    <mergeCell ref="B834:E835"/>
  </mergeCells>
  <printOptions horizontalCentered="1"/>
  <pageMargins left="0.21" right="0" top="0.5" bottom="0.5" header="0.2" footer="0.2"/>
  <pageSetup paperSize="9" orientation="portrait" useFirstPageNumber="1"/>
  <headerFooter alignWithMargins="0">
    <oddFooter>&amp;L&amp;8BILL OF QUANTITIES/ MR. S.M.C.S. SIRIWARDHANA/&amp;D&amp;RPAGE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31"/>
  <sheetViews>
    <sheetView view="pageBreakPreview" zoomScale="120" zoomScaleNormal="110" workbookViewId="0">
      <pane ySplit="2" topLeftCell="A635" activePane="bottomLeft" state="frozen"/>
      <selection/>
      <selection pane="bottomLeft" activeCell="B580" sqref="B580:E635"/>
    </sheetView>
  </sheetViews>
  <sheetFormatPr defaultColWidth="9" defaultRowHeight="13.8"/>
  <cols>
    <col min="1" max="1" width="9.13888888888889" style="3"/>
    <col min="2" max="2" width="45.1388888888889" style="3" customWidth="1"/>
    <col min="3" max="3" width="7" style="1" customWidth="1"/>
    <col min="4" max="4" width="5.28703703703704" style="4" customWidth="1"/>
    <col min="5" max="5" width="9.13888888888889" style="1" customWidth="1"/>
    <col min="6" max="6" width="11.287037037037" style="1" customWidth="1"/>
    <col min="7" max="7" width="1.85185185185185" style="1" customWidth="1"/>
    <col min="8" max="8" width="13.4259259259259" style="1" customWidth="1"/>
    <col min="9" max="9" width="4.85185185185185" style="1" customWidth="1"/>
    <col min="10" max="10" width="4.57407407407407" style="1" customWidth="1"/>
    <col min="11" max="13" width="7.42592592592593" style="1" customWidth="1"/>
    <col min="14" max="14" width="8.71296296296296" style="1" customWidth="1"/>
    <col min="15" max="15" width="6.85185185185185" style="1" customWidth="1"/>
    <col min="16" max="16" width="9.13888888888889" style="3" customWidth="1"/>
    <col min="17" max="19" width="10.287037037037" style="3" customWidth="1"/>
    <col min="20" max="20" width="9.13888888888889" style="3" customWidth="1"/>
    <col min="21" max="21" width="11" style="3" customWidth="1"/>
    <col min="22" max="22" width="10.8518518518519" style="3" customWidth="1"/>
    <col min="23" max="23" width="11" style="3" customWidth="1"/>
    <col min="24" max="16384" width="9.13888888888889" style="3"/>
  </cols>
  <sheetData>
    <row r="1" ht="12.75" customHeight="1" spans="1:23">
      <c r="A1" s="5" t="s">
        <v>319</v>
      </c>
      <c r="B1" s="5"/>
      <c r="C1" s="5"/>
      <c r="D1" s="5"/>
      <c r="E1" s="5"/>
      <c r="F1" s="5"/>
      <c r="G1" s="5"/>
      <c r="H1" s="6">
        <f>F248+F221+F139+F115+F16+F282+F299+F471+F503+F574+F638+F688+F704</f>
        <v>13324449.39</v>
      </c>
      <c r="I1" s="5"/>
      <c r="J1" s="5"/>
      <c r="K1" s="5"/>
      <c r="L1" s="5"/>
      <c r="M1" s="5"/>
      <c r="N1" s="5"/>
      <c r="O1" s="5"/>
      <c r="P1" s="49" t="s">
        <v>320</v>
      </c>
      <c r="Q1" s="49"/>
      <c r="R1" s="49"/>
      <c r="S1" s="49"/>
      <c r="T1" s="49"/>
      <c r="U1" s="49"/>
      <c r="V1" s="49"/>
      <c r="W1" s="49"/>
    </row>
    <row r="2" spans="1:23">
      <c r="A2" s="7" t="s">
        <v>6</v>
      </c>
      <c r="B2" s="8" t="s">
        <v>7</v>
      </c>
      <c r="C2" s="9" t="s">
        <v>8</v>
      </c>
      <c r="D2" s="9" t="s">
        <v>9</v>
      </c>
      <c r="E2" s="9" t="s">
        <v>10</v>
      </c>
      <c r="F2" s="10" t="s">
        <v>11</v>
      </c>
      <c r="G2" s="11"/>
      <c r="H2" s="11"/>
      <c r="I2" s="11" t="s">
        <v>186</v>
      </c>
      <c r="J2" s="11" t="s">
        <v>186</v>
      </c>
      <c r="K2" s="11" t="s">
        <v>105</v>
      </c>
      <c r="L2" s="11" t="s">
        <v>321</v>
      </c>
      <c r="M2" s="11" t="s">
        <v>48</v>
      </c>
      <c r="N2" s="11" t="s">
        <v>8</v>
      </c>
      <c r="O2" s="11" t="s">
        <v>322</v>
      </c>
      <c r="P2" s="49" t="s">
        <v>323</v>
      </c>
      <c r="Q2" s="49"/>
      <c r="R2" s="49" t="s">
        <v>324</v>
      </c>
      <c r="S2" s="49"/>
      <c r="T2" s="49" t="s">
        <v>325</v>
      </c>
      <c r="U2" s="49"/>
      <c r="V2" s="49" t="s">
        <v>326</v>
      </c>
      <c r="W2" s="49"/>
    </row>
    <row r="3" spans="1:6">
      <c r="A3" s="12" t="s">
        <v>16</v>
      </c>
      <c r="B3" s="13" t="s">
        <v>327</v>
      </c>
      <c r="C3" s="14"/>
      <c r="D3" s="15"/>
      <c r="E3" s="14"/>
      <c r="F3" s="16"/>
    </row>
    <row r="4" spans="1:6">
      <c r="A4" s="12"/>
      <c r="B4" s="17"/>
      <c r="C4" s="14"/>
      <c r="D4" s="15"/>
      <c r="E4" s="14">
        <v>2.83</v>
      </c>
      <c r="F4" s="16"/>
    </row>
    <row r="5" spans="1:15">
      <c r="A5" s="18" t="s">
        <v>328</v>
      </c>
      <c r="B5" s="19" t="s">
        <v>31</v>
      </c>
      <c r="C5" s="20">
        <f>O7</f>
        <v>8</v>
      </c>
      <c r="D5" s="21" t="s">
        <v>32</v>
      </c>
      <c r="E5" s="22">
        <v>3950</v>
      </c>
      <c r="F5" s="16">
        <f>E5*C5</f>
        <v>31600</v>
      </c>
      <c r="H5" s="1" t="s">
        <v>329</v>
      </c>
      <c r="I5" s="50"/>
      <c r="J5" s="51">
        <v>20</v>
      </c>
      <c r="K5" s="52">
        <v>3.5</v>
      </c>
      <c r="L5" s="52">
        <v>3.5</v>
      </c>
      <c r="M5" s="52">
        <v>3</v>
      </c>
      <c r="N5" s="52">
        <f>PRODUCT(I5:M5)</f>
        <v>735</v>
      </c>
      <c r="O5" s="53"/>
    </row>
    <row r="6" spans="1:15">
      <c r="A6" s="18"/>
      <c r="B6" s="19"/>
      <c r="C6" s="23"/>
      <c r="D6" s="21"/>
      <c r="E6" s="14"/>
      <c r="F6" s="16"/>
      <c r="H6" s="1" t="s">
        <v>330</v>
      </c>
      <c r="I6" s="50"/>
      <c r="J6" s="51">
        <v>1</v>
      </c>
      <c r="K6" s="52">
        <f>12+3</f>
        <v>15</v>
      </c>
      <c r="L6" s="52">
        <v>2</v>
      </c>
      <c r="M6" s="52">
        <v>2</v>
      </c>
      <c r="N6" s="52">
        <f>PRODUCT(I6:M6)</f>
        <v>60</v>
      </c>
      <c r="O6" s="53"/>
    </row>
    <row r="7" spans="1:15">
      <c r="A7" s="18"/>
      <c r="B7" s="19"/>
      <c r="C7" s="23"/>
      <c r="D7" s="21"/>
      <c r="E7" s="14"/>
      <c r="F7" s="16"/>
      <c r="I7" s="50"/>
      <c r="J7" s="50"/>
      <c r="N7" s="52">
        <f>SUM(N4:N6)</f>
        <v>795</v>
      </c>
      <c r="O7" s="53">
        <f>ROUNDUP(N7/100,1)</f>
        <v>8</v>
      </c>
    </row>
    <row r="8" spans="1:15">
      <c r="A8" s="18"/>
      <c r="B8" s="19"/>
      <c r="C8" s="23"/>
      <c r="D8" s="21"/>
      <c r="E8" s="14"/>
      <c r="F8" s="16"/>
      <c r="I8" s="50"/>
      <c r="J8" s="50"/>
      <c r="O8" s="53">
        <f>ROUNDUP(N8/100,0)</f>
        <v>0</v>
      </c>
    </row>
    <row r="9" spans="1:15">
      <c r="A9" s="18" t="s">
        <v>331</v>
      </c>
      <c r="B9" s="19" t="s">
        <v>332</v>
      </c>
      <c r="C9" s="20">
        <f>O12</f>
        <v>7.8</v>
      </c>
      <c r="D9" s="21" t="s">
        <v>32</v>
      </c>
      <c r="E9" s="22">
        <v>3660</v>
      </c>
      <c r="F9" s="16">
        <f t="shared" ref="F9:F14" si="0">E9*C9</f>
        <v>28548</v>
      </c>
      <c r="H9" s="1" t="s">
        <v>333</v>
      </c>
      <c r="J9" s="51">
        <v>1</v>
      </c>
      <c r="K9" s="52">
        <f>32+12+12+81</f>
        <v>137</v>
      </c>
      <c r="L9" s="52">
        <v>1.5</v>
      </c>
      <c r="M9" s="52">
        <v>2</v>
      </c>
      <c r="N9" s="52">
        <f>PRODUCT(I9:M9)</f>
        <v>411</v>
      </c>
      <c r="O9" s="52"/>
    </row>
    <row r="10" spans="1:15">
      <c r="A10" s="18"/>
      <c r="B10" s="19"/>
      <c r="C10" s="23"/>
      <c r="D10" s="21"/>
      <c r="E10" s="14"/>
      <c r="F10" s="16"/>
      <c r="H10" s="1" t="s">
        <v>334</v>
      </c>
      <c r="J10" s="51">
        <v>1</v>
      </c>
      <c r="K10" s="52">
        <f>15+11-3+21-3</f>
        <v>41</v>
      </c>
      <c r="L10" s="52">
        <v>1.5</v>
      </c>
      <c r="M10" s="52">
        <v>1.5</v>
      </c>
      <c r="N10" s="52">
        <f>PRODUCT(I10:M10)</f>
        <v>92.25</v>
      </c>
      <c r="O10" s="52"/>
    </row>
    <row r="11" spans="1:15">
      <c r="A11" s="18"/>
      <c r="B11" s="19"/>
      <c r="C11" s="23"/>
      <c r="D11" s="21"/>
      <c r="E11" s="14"/>
      <c r="F11" s="16"/>
      <c r="H11" s="1" t="s">
        <v>335</v>
      </c>
      <c r="J11" s="51">
        <v>1</v>
      </c>
      <c r="K11" s="52">
        <f>50-6</f>
        <v>44</v>
      </c>
      <c r="L11" s="52">
        <v>2.5</v>
      </c>
      <c r="M11" s="52">
        <v>2.5</v>
      </c>
      <c r="N11" s="52">
        <f>PRODUCT(I11:M11)</f>
        <v>275</v>
      </c>
      <c r="O11" s="52"/>
    </row>
    <row r="12" spans="1:15">
      <c r="A12" s="18"/>
      <c r="B12" s="19"/>
      <c r="C12" s="23"/>
      <c r="D12" s="21"/>
      <c r="E12" s="14"/>
      <c r="F12" s="16"/>
      <c r="J12" s="51"/>
      <c r="K12" s="52"/>
      <c r="L12" s="52"/>
      <c r="M12" s="52"/>
      <c r="N12" s="52">
        <f>SUM(N9:N11)</f>
        <v>778.25</v>
      </c>
      <c r="O12" s="53">
        <f>ROUNDUP(N12/100,1)</f>
        <v>7.8</v>
      </c>
    </row>
    <row r="13" spans="1:15">
      <c r="A13" s="18"/>
      <c r="B13" s="19"/>
      <c r="C13" s="23"/>
      <c r="D13" s="21"/>
      <c r="E13" s="14"/>
      <c r="F13" s="16"/>
      <c r="J13" s="51"/>
      <c r="K13" s="52"/>
      <c r="L13" s="52"/>
      <c r="M13" s="52"/>
      <c r="N13" s="52"/>
      <c r="O13" s="53"/>
    </row>
    <row r="14" spans="1:15">
      <c r="A14" s="18" t="s">
        <v>336</v>
      </c>
      <c r="B14" s="24" t="s">
        <v>34</v>
      </c>
      <c r="C14" s="22">
        <f>O16</f>
        <v>20.3</v>
      </c>
      <c r="D14" s="21" t="s">
        <v>32</v>
      </c>
      <c r="E14" s="22">
        <f>3800*1.5</f>
        <v>5700</v>
      </c>
      <c r="F14" s="16">
        <f t="shared" si="0"/>
        <v>115710</v>
      </c>
      <c r="J14" s="51">
        <v>1</v>
      </c>
      <c r="K14" s="52">
        <v>35</v>
      </c>
      <c r="L14" s="52">
        <v>16</v>
      </c>
      <c r="M14" s="52">
        <v>1</v>
      </c>
      <c r="N14" s="52">
        <f t="shared" ref="N14" si="1">PRODUCT(I14:M14)</f>
        <v>560</v>
      </c>
      <c r="O14" s="53"/>
    </row>
    <row r="15" spans="1:15">
      <c r="A15" s="12"/>
      <c r="B15" s="24"/>
      <c r="C15" s="14"/>
      <c r="D15" s="21"/>
      <c r="E15" s="14"/>
      <c r="F15" s="25"/>
      <c r="J15" s="51">
        <v>1</v>
      </c>
      <c r="K15" s="52">
        <v>35</v>
      </c>
      <c r="L15" s="52">
        <v>21</v>
      </c>
      <c r="M15" s="52">
        <v>2</v>
      </c>
      <c r="N15" s="52">
        <f t="shared" ref="N15" si="2">PRODUCT(I15:M15)</f>
        <v>1470</v>
      </c>
      <c r="O15" s="53"/>
    </row>
    <row r="16" ht="14.55" spans="1:15">
      <c r="A16" s="12"/>
      <c r="B16" s="26" t="s">
        <v>337</v>
      </c>
      <c r="C16" s="14"/>
      <c r="D16" s="15"/>
      <c r="E16" s="14"/>
      <c r="F16" s="27">
        <f>SUM(F4:F15)</f>
        <v>175858</v>
      </c>
      <c r="G16" s="28"/>
      <c r="H16" s="28"/>
      <c r="I16" s="28"/>
      <c r="J16" s="28"/>
      <c r="K16" s="28"/>
      <c r="L16" s="28"/>
      <c r="M16" s="28"/>
      <c r="N16" s="52">
        <f>SUM(N13:N15)</f>
        <v>2030</v>
      </c>
      <c r="O16" s="53">
        <f>ROUNDUP(N16/100,1)</f>
        <v>20.3</v>
      </c>
    </row>
    <row r="17" ht="14.55" spans="1:6">
      <c r="A17" s="29"/>
      <c r="B17" s="30"/>
      <c r="C17" s="14"/>
      <c r="D17" s="15"/>
      <c r="E17" s="14"/>
      <c r="F17" s="31"/>
    </row>
    <row r="18" spans="1:6">
      <c r="A18" s="32" t="s">
        <v>19</v>
      </c>
      <c r="B18" s="33" t="s">
        <v>338</v>
      </c>
      <c r="C18" s="14"/>
      <c r="D18" s="15"/>
      <c r="E18" s="14"/>
      <c r="F18" s="16"/>
    </row>
    <row r="19" spans="1:6">
      <c r="A19" s="32"/>
      <c r="B19" s="34" t="s">
        <v>339</v>
      </c>
      <c r="C19" s="14"/>
      <c r="D19" s="15"/>
      <c r="E19" s="14"/>
      <c r="F19" s="16"/>
    </row>
    <row r="20" spans="1:6">
      <c r="A20" s="32"/>
      <c r="B20" s="35" t="s">
        <v>340</v>
      </c>
      <c r="C20" s="14"/>
      <c r="D20" s="15"/>
      <c r="E20" s="14"/>
      <c r="F20" s="16"/>
    </row>
    <row r="21" spans="1:15">
      <c r="A21" s="36" t="s">
        <v>341</v>
      </c>
      <c r="B21" s="37" t="s">
        <v>38</v>
      </c>
      <c r="C21" s="20">
        <f>O23</f>
        <v>2.8</v>
      </c>
      <c r="D21" s="21" t="s">
        <v>39</v>
      </c>
      <c r="E21" s="38">
        <v>6640</v>
      </c>
      <c r="F21" s="16">
        <f>E21*C21</f>
        <v>18592</v>
      </c>
      <c r="H21" s="1" t="s">
        <v>329</v>
      </c>
      <c r="I21" s="50"/>
      <c r="J21" s="51">
        <v>20</v>
      </c>
      <c r="K21" s="52">
        <v>3.5</v>
      </c>
      <c r="L21" s="52">
        <v>3.5</v>
      </c>
      <c r="M21" s="52"/>
      <c r="N21" s="52">
        <f>PRODUCT(I21:M21)</f>
        <v>245</v>
      </c>
      <c r="O21" s="53"/>
    </row>
    <row r="22" spans="1:15">
      <c r="A22" s="36"/>
      <c r="B22" s="37"/>
      <c r="C22" s="21"/>
      <c r="D22" s="21"/>
      <c r="E22" s="39"/>
      <c r="F22" s="16"/>
      <c r="H22" s="1" t="s">
        <v>330</v>
      </c>
      <c r="I22" s="50"/>
      <c r="J22" s="51">
        <v>1</v>
      </c>
      <c r="K22" s="52">
        <f>K6</f>
        <v>15</v>
      </c>
      <c r="L22" s="52">
        <v>2</v>
      </c>
      <c r="M22" s="52"/>
      <c r="N22" s="52">
        <f>PRODUCT(I22:M22)</f>
        <v>30</v>
      </c>
      <c r="O22" s="53"/>
    </row>
    <row r="23" spans="1:15">
      <c r="A23" s="36"/>
      <c r="B23" s="37"/>
      <c r="C23" s="21"/>
      <c r="D23" s="21"/>
      <c r="E23" s="39"/>
      <c r="F23" s="16"/>
      <c r="I23" s="50"/>
      <c r="J23" s="50"/>
      <c r="N23" s="52">
        <f>SUM(N20:N22)</f>
        <v>275</v>
      </c>
      <c r="O23" s="53">
        <f>ROUNDUP(N23/100,1)</f>
        <v>2.8</v>
      </c>
    </row>
    <row r="24" spans="1:15">
      <c r="A24" s="36"/>
      <c r="B24" s="37"/>
      <c r="C24" s="21"/>
      <c r="D24" s="21"/>
      <c r="E24" s="39"/>
      <c r="F24" s="16"/>
      <c r="I24" s="50"/>
      <c r="J24" s="50"/>
      <c r="O24" s="54"/>
    </row>
    <row r="25" spans="1:15">
      <c r="A25" s="36" t="s">
        <v>342</v>
      </c>
      <c r="B25" s="37" t="s">
        <v>41</v>
      </c>
      <c r="C25" s="20">
        <f>O28</f>
        <v>2.3</v>
      </c>
      <c r="D25" s="21" t="s">
        <v>39</v>
      </c>
      <c r="E25" s="38">
        <v>6640</v>
      </c>
      <c r="F25" s="16">
        <f t="shared" ref="F25:F30" si="3">E25*C25</f>
        <v>15272</v>
      </c>
      <c r="H25" s="1" t="s">
        <v>333</v>
      </c>
      <c r="J25" s="51">
        <v>1</v>
      </c>
      <c r="K25" s="52">
        <f>32+12+12</f>
        <v>56</v>
      </c>
      <c r="L25" s="52">
        <v>1.5</v>
      </c>
      <c r="M25" s="52"/>
      <c r="N25" s="52">
        <f>PRODUCT(I25:M25)</f>
        <v>84</v>
      </c>
      <c r="O25" s="52"/>
    </row>
    <row r="26" spans="1:15">
      <c r="A26" s="36"/>
      <c r="B26" s="37"/>
      <c r="C26" s="23"/>
      <c r="D26" s="21"/>
      <c r="E26" s="39"/>
      <c r="F26" s="16"/>
      <c r="H26" s="1" t="s">
        <v>334</v>
      </c>
      <c r="J26" s="51">
        <v>1</v>
      </c>
      <c r="K26" s="52">
        <f>15+11-3</f>
        <v>23</v>
      </c>
      <c r="L26" s="52">
        <v>1.5</v>
      </c>
      <c r="M26" s="52"/>
      <c r="N26" s="52">
        <f>PRODUCT(I26:M26)</f>
        <v>34.5</v>
      </c>
      <c r="O26" s="52"/>
    </row>
    <row r="27" spans="1:15">
      <c r="A27" s="36"/>
      <c r="B27" s="37"/>
      <c r="C27" s="23"/>
      <c r="D27" s="21"/>
      <c r="E27" s="39"/>
      <c r="F27" s="16"/>
      <c r="H27" s="1" t="s">
        <v>335</v>
      </c>
      <c r="J27" s="51">
        <v>1</v>
      </c>
      <c r="K27" s="52">
        <f>41</f>
        <v>41</v>
      </c>
      <c r="L27" s="52">
        <v>2.5</v>
      </c>
      <c r="M27" s="52"/>
      <c r="N27" s="52">
        <f>PRODUCT(I27:M27)</f>
        <v>102.5</v>
      </c>
      <c r="O27" s="52"/>
    </row>
    <row r="28" spans="1:15">
      <c r="A28" s="36"/>
      <c r="B28" s="37"/>
      <c r="C28" s="23"/>
      <c r="D28" s="21"/>
      <c r="E28" s="39"/>
      <c r="F28" s="16"/>
      <c r="J28" s="51"/>
      <c r="K28" s="52"/>
      <c r="L28" s="52"/>
      <c r="M28" s="52"/>
      <c r="N28" s="52">
        <f>SUM(N25:N27)</f>
        <v>221</v>
      </c>
      <c r="O28" s="53">
        <f>ROUNDUP(N28/100,1)</f>
        <v>2.3</v>
      </c>
    </row>
    <row r="29" spans="1:6">
      <c r="A29" s="36"/>
      <c r="B29" s="37"/>
      <c r="C29" s="23"/>
      <c r="D29" s="21"/>
      <c r="E29" s="39"/>
      <c r="F29" s="16"/>
    </row>
    <row r="30" spans="1:15">
      <c r="A30" s="36" t="s">
        <v>343</v>
      </c>
      <c r="B30" s="37" t="s">
        <v>43</v>
      </c>
      <c r="C30" s="20">
        <f>O32</f>
        <v>13</v>
      </c>
      <c r="D30" s="21" t="s">
        <v>39</v>
      </c>
      <c r="E30" s="38">
        <f>E25/2*3-50</f>
        <v>9910</v>
      </c>
      <c r="F30" s="16">
        <f t="shared" si="3"/>
        <v>128830</v>
      </c>
      <c r="J30" s="51">
        <v>1</v>
      </c>
      <c r="K30" s="52">
        <v>35</v>
      </c>
      <c r="L30" s="52">
        <v>16</v>
      </c>
      <c r="M30" s="52"/>
      <c r="N30" s="52">
        <f t="shared" ref="N30:N31" si="4">PRODUCT(I30:M30)</f>
        <v>560</v>
      </c>
      <c r="O30" s="53"/>
    </row>
    <row r="31" s="1" customFormat="1" spans="1:23">
      <c r="A31" s="32"/>
      <c r="B31" s="37"/>
      <c r="C31" s="14"/>
      <c r="D31" s="15"/>
      <c r="E31" s="14"/>
      <c r="F31" s="16"/>
      <c r="J31" s="51">
        <v>1</v>
      </c>
      <c r="K31" s="52">
        <v>35</v>
      </c>
      <c r="L31" s="52">
        <v>21</v>
      </c>
      <c r="M31" s="52"/>
      <c r="N31" s="52">
        <f t="shared" si="4"/>
        <v>735</v>
      </c>
      <c r="O31" s="53"/>
      <c r="P31" s="3"/>
      <c r="Q31" s="3"/>
      <c r="R31" s="3"/>
      <c r="S31" s="3"/>
      <c r="T31" s="3"/>
      <c r="U31" s="3"/>
      <c r="V31" s="3"/>
      <c r="W31" s="3"/>
    </row>
    <row r="32" s="1" customFormat="1" spans="1:23">
      <c r="A32" s="32"/>
      <c r="B32" s="35" t="s">
        <v>344</v>
      </c>
      <c r="C32" s="14"/>
      <c r="D32" s="15"/>
      <c r="E32" s="14"/>
      <c r="F32" s="16"/>
      <c r="N32" s="1">
        <f>SUM(N30:N31)</f>
        <v>1295</v>
      </c>
      <c r="O32" s="53">
        <f>ROUNDUP(N32/100,1)</f>
        <v>13</v>
      </c>
      <c r="P32" s="3"/>
      <c r="Q32" s="3"/>
      <c r="R32" s="3"/>
      <c r="S32" s="3"/>
      <c r="T32" s="3"/>
      <c r="U32" s="3"/>
      <c r="V32" s="3"/>
      <c r="W32" s="3"/>
    </row>
    <row r="33" s="1" customFormat="1" spans="1:23">
      <c r="A33" s="32" t="s">
        <v>345</v>
      </c>
      <c r="B33" s="26" t="s">
        <v>346</v>
      </c>
      <c r="C33" s="40"/>
      <c r="D33" s="15"/>
      <c r="E33" s="14"/>
      <c r="F33" s="16"/>
      <c r="P33" s="3"/>
      <c r="Q33" s="3"/>
      <c r="R33" s="3"/>
      <c r="S33" s="3"/>
      <c r="T33" s="3"/>
      <c r="U33" s="3"/>
      <c r="V33" s="3"/>
      <c r="W33" s="3"/>
    </row>
    <row r="34" s="1" customFormat="1" spans="1:23">
      <c r="A34" s="36" t="s">
        <v>347</v>
      </c>
      <c r="B34" s="41" t="s">
        <v>348</v>
      </c>
      <c r="C34" s="42">
        <f>O37</f>
        <v>2.4</v>
      </c>
      <c r="D34" s="43" t="s">
        <v>32</v>
      </c>
      <c r="E34" s="44">
        <f>16000*1.1*2.3</f>
        <v>40480</v>
      </c>
      <c r="F34" s="45">
        <f>E34*C34</f>
        <v>97152</v>
      </c>
      <c r="H34" s="1" t="s">
        <v>329</v>
      </c>
      <c r="J34" s="51">
        <v>20</v>
      </c>
      <c r="K34" s="52">
        <v>3.5</v>
      </c>
      <c r="L34" s="52">
        <v>3.5</v>
      </c>
      <c r="M34" s="52">
        <v>0.75</v>
      </c>
      <c r="N34" s="52">
        <f>PRODUCT(I34:M34)</f>
        <v>183.75</v>
      </c>
      <c r="O34" s="53"/>
      <c r="P34" s="3"/>
      <c r="Q34" s="3"/>
      <c r="R34" s="3"/>
      <c r="S34" s="3"/>
      <c r="T34" s="3"/>
      <c r="U34" s="3"/>
      <c r="V34" s="3"/>
      <c r="W34" s="3"/>
    </row>
    <row r="35" s="1" customFormat="1" spans="1:23">
      <c r="A35" s="36"/>
      <c r="B35" s="41"/>
      <c r="C35" s="46"/>
      <c r="D35" s="43"/>
      <c r="E35" s="44"/>
      <c r="F35" s="45"/>
      <c r="H35" s="1" t="s">
        <v>349</v>
      </c>
      <c r="J35" s="51">
        <v>6</v>
      </c>
      <c r="K35" s="52">
        <v>2.5</v>
      </c>
      <c r="L35" s="52">
        <v>2.5</v>
      </c>
      <c r="M35" s="52">
        <v>0.75</v>
      </c>
      <c r="N35" s="52">
        <f>PRODUCT(I35:M35)</f>
        <v>28.13</v>
      </c>
      <c r="O35" s="53"/>
      <c r="P35" s="3"/>
      <c r="Q35" s="3"/>
      <c r="R35" s="3"/>
      <c r="S35" s="3"/>
      <c r="T35" s="3"/>
      <c r="U35" s="3"/>
      <c r="V35" s="3"/>
      <c r="W35" s="3"/>
    </row>
    <row r="36" s="1" customFormat="1" spans="1:23">
      <c r="A36" s="36"/>
      <c r="B36" s="41"/>
      <c r="C36" s="46"/>
      <c r="D36" s="43"/>
      <c r="E36" s="44"/>
      <c r="F36" s="45"/>
      <c r="H36" s="1" t="s">
        <v>330</v>
      </c>
      <c r="J36" s="51">
        <v>1</v>
      </c>
      <c r="K36" s="52">
        <f>K22</f>
        <v>15</v>
      </c>
      <c r="L36" s="52">
        <v>2</v>
      </c>
      <c r="M36" s="52">
        <v>0.75</v>
      </c>
      <c r="N36" s="52">
        <f>PRODUCT(I36:M36)</f>
        <v>22.5</v>
      </c>
      <c r="O36" s="53"/>
      <c r="P36" s="3"/>
      <c r="Q36" s="3"/>
      <c r="R36" s="3"/>
      <c r="S36" s="3"/>
      <c r="T36" s="3"/>
      <c r="U36" s="3"/>
      <c r="V36" s="3"/>
      <c r="W36" s="3"/>
    </row>
    <row r="37" s="1" customFormat="1" spans="1:23">
      <c r="A37" s="36"/>
      <c r="B37" s="41"/>
      <c r="C37" s="46"/>
      <c r="D37" s="43"/>
      <c r="E37" s="44"/>
      <c r="F37" s="45"/>
      <c r="J37" s="50"/>
      <c r="N37" s="52">
        <f>SUM(N34:N36)</f>
        <v>234.38</v>
      </c>
      <c r="O37" s="53">
        <f>ROUNDUP(N37/100,1)</f>
        <v>2.4</v>
      </c>
      <c r="P37" s="3"/>
      <c r="Q37" s="3"/>
      <c r="R37" s="3"/>
      <c r="S37" s="3"/>
      <c r="T37" s="3"/>
      <c r="U37" s="3"/>
      <c r="V37" s="3"/>
      <c r="W37" s="3"/>
    </row>
    <row r="38" s="1" customFormat="1" spans="1:23">
      <c r="A38" s="36"/>
      <c r="B38" s="41"/>
      <c r="C38" s="46"/>
      <c r="D38" s="43"/>
      <c r="E38" s="44"/>
      <c r="F38" s="45"/>
      <c r="P38" s="3"/>
      <c r="Q38" s="3"/>
      <c r="R38" s="3"/>
      <c r="S38" s="3"/>
      <c r="T38" s="3"/>
      <c r="U38" s="3"/>
      <c r="V38" s="3"/>
      <c r="W38" s="3"/>
    </row>
    <row r="39" s="1" customFormat="1" spans="1:23">
      <c r="A39" s="36" t="s">
        <v>350</v>
      </c>
      <c r="B39" s="41" t="s">
        <v>351</v>
      </c>
      <c r="C39" s="42">
        <f>O42</f>
        <v>0.8</v>
      </c>
      <c r="D39" s="43" t="s">
        <v>32</v>
      </c>
      <c r="E39" s="44">
        <f>16000*1.1*2.3</f>
        <v>40480</v>
      </c>
      <c r="F39" s="45">
        <f t="shared" ref="F39:F44" si="5">E39*C39</f>
        <v>32384</v>
      </c>
      <c r="H39" s="1" t="s">
        <v>329</v>
      </c>
      <c r="J39" s="51">
        <v>20</v>
      </c>
      <c r="K39" s="52">
        <v>0.75</v>
      </c>
      <c r="L39" s="52">
        <v>0.75</v>
      </c>
      <c r="M39" s="52">
        <v>3.5</v>
      </c>
      <c r="N39" s="52">
        <f>PRODUCT(I39:M39)</f>
        <v>39.38</v>
      </c>
      <c r="O39" s="53"/>
      <c r="P39" s="3"/>
      <c r="Q39" s="3"/>
      <c r="R39" s="3"/>
      <c r="S39" s="3"/>
      <c r="T39" s="3"/>
      <c r="U39" s="3"/>
      <c r="V39" s="3"/>
      <c r="W39" s="3"/>
    </row>
    <row r="40" s="1" customFormat="1" spans="1:23">
      <c r="A40" s="36"/>
      <c r="B40" s="41"/>
      <c r="C40" s="46"/>
      <c r="D40" s="43"/>
      <c r="E40" s="44"/>
      <c r="F40" s="45"/>
      <c r="H40" s="1" t="s">
        <v>349</v>
      </c>
      <c r="J40" s="51">
        <v>6</v>
      </c>
      <c r="K40" s="52">
        <v>0.75</v>
      </c>
      <c r="L40" s="52">
        <v>0.75</v>
      </c>
      <c r="M40" s="52">
        <v>5</v>
      </c>
      <c r="N40" s="52">
        <f>PRODUCT(I40:M40)</f>
        <v>16.88</v>
      </c>
      <c r="O40" s="53"/>
      <c r="P40" s="3"/>
      <c r="Q40" s="3"/>
      <c r="R40" s="3"/>
      <c r="S40" s="3"/>
      <c r="T40" s="3"/>
      <c r="U40" s="3"/>
      <c r="V40" s="3"/>
      <c r="W40" s="3"/>
    </row>
    <row r="41" s="1" customFormat="1" spans="1:23">
      <c r="A41" s="36"/>
      <c r="B41" s="41"/>
      <c r="C41" s="46"/>
      <c r="D41" s="43"/>
      <c r="E41" s="44"/>
      <c r="F41" s="45"/>
      <c r="H41" s="1" t="s">
        <v>330</v>
      </c>
      <c r="J41" s="51">
        <v>1</v>
      </c>
      <c r="K41" s="52">
        <f>K36</f>
        <v>15</v>
      </c>
      <c r="L41" s="52">
        <v>0.5</v>
      </c>
      <c r="M41" s="52">
        <v>2.5</v>
      </c>
      <c r="N41" s="52">
        <f>PRODUCT(I41:M41)</f>
        <v>18.75</v>
      </c>
      <c r="O41" s="53"/>
      <c r="P41" s="3"/>
      <c r="Q41" s="3"/>
      <c r="R41" s="3"/>
      <c r="S41" s="3"/>
      <c r="T41" s="3"/>
      <c r="U41" s="3"/>
      <c r="V41" s="3"/>
      <c r="W41" s="3"/>
    </row>
    <row r="42" s="1" customFormat="1" spans="1:23">
      <c r="A42" s="36"/>
      <c r="B42" s="41"/>
      <c r="C42" s="46"/>
      <c r="D42" s="43"/>
      <c r="E42" s="44"/>
      <c r="F42" s="45"/>
      <c r="J42" s="50"/>
      <c r="N42" s="52">
        <f>SUM(N39:N41)</f>
        <v>75.01</v>
      </c>
      <c r="O42" s="53">
        <f>ROUNDUP(N42/100,1)</f>
        <v>0.8</v>
      </c>
      <c r="P42" s="3"/>
      <c r="Q42" s="3"/>
      <c r="R42" s="3"/>
      <c r="S42" s="3"/>
      <c r="T42" s="3"/>
      <c r="U42" s="3"/>
      <c r="V42" s="3"/>
      <c r="W42" s="3"/>
    </row>
    <row r="43" s="1" customFormat="1" spans="1:23">
      <c r="A43" s="36"/>
      <c r="B43" s="41"/>
      <c r="C43" s="46"/>
      <c r="D43" s="43"/>
      <c r="E43" s="44"/>
      <c r="F43" s="45"/>
      <c r="J43" s="50"/>
      <c r="N43" s="52"/>
      <c r="O43" s="53"/>
      <c r="P43" s="3"/>
      <c r="Q43" s="3"/>
      <c r="R43" s="3"/>
      <c r="S43" s="3"/>
      <c r="T43" s="3"/>
      <c r="U43" s="3"/>
      <c r="V43" s="3"/>
      <c r="W43" s="3"/>
    </row>
    <row r="44" s="1" customFormat="1" spans="1:23">
      <c r="A44" s="36" t="s">
        <v>352</v>
      </c>
      <c r="B44" s="41" t="s">
        <v>51</v>
      </c>
      <c r="C44" s="42">
        <f>O48</f>
        <v>1.1</v>
      </c>
      <c r="D44" s="43" t="s">
        <v>32</v>
      </c>
      <c r="E44" s="44">
        <f>16000*1.1*2.3</f>
        <v>40480</v>
      </c>
      <c r="F44" s="45">
        <f t="shared" si="5"/>
        <v>44528</v>
      </c>
      <c r="H44" s="1" t="s">
        <v>333</v>
      </c>
      <c r="J44" s="51">
        <v>1</v>
      </c>
      <c r="K44" s="52">
        <f>39+18+18</f>
        <v>75</v>
      </c>
      <c r="L44" s="52">
        <v>1</v>
      </c>
      <c r="M44" s="52">
        <v>0.33</v>
      </c>
      <c r="N44" s="52">
        <f>PRODUCT(I44:M44)</f>
        <v>24.75</v>
      </c>
      <c r="O44" s="52"/>
      <c r="P44" s="3"/>
      <c r="Q44" s="3"/>
      <c r="R44" s="3"/>
      <c r="S44" s="3"/>
      <c r="T44" s="3"/>
      <c r="U44" s="3"/>
      <c r="V44" s="3"/>
      <c r="W44" s="3"/>
    </row>
    <row r="45" s="1" customFormat="1" spans="1:23">
      <c r="A45" s="36"/>
      <c r="B45" s="37"/>
      <c r="C45" s="20"/>
      <c r="D45" s="21"/>
      <c r="E45" s="14"/>
      <c r="F45" s="16"/>
      <c r="H45" s="1" t="s">
        <v>333</v>
      </c>
      <c r="J45" s="51">
        <v>1</v>
      </c>
      <c r="K45" s="52">
        <f>21+21+21+11+36+11+11+3+15</f>
        <v>150</v>
      </c>
      <c r="L45" s="52">
        <v>1</v>
      </c>
      <c r="M45" s="52">
        <v>0.33</v>
      </c>
      <c r="N45" s="52">
        <f>PRODUCT(I45:M45)</f>
        <v>49.5</v>
      </c>
      <c r="O45" s="52"/>
      <c r="P45" s="3"/>
      <c r="Q45" s="3"/>
      <c r="R45" s="3"/>
      <c r="S45" s="3"/>
      <c r="T45" s="3"/>
      <c r="U45" s="3"/>
      <c r="V45" s="3"/>
      <c r="W45" s="3"/>
    </row>
    <row r="46" s="1" customFormat="1" spans="1:23">
      <c r="A46" s="36"/>
      <c r="B46" s="37"/>
      <c r="C46" s="23"/>
      <c r="D46" s="21"/>
      <c r="E46" s="14"/>
      <c r="F46" s="16"/>
      <c r="H46" s="1" t="s">
        <v>334</v>
      </c>
      <c r="J46" s="51">
        <v>1</v>
      </c>
      <c r="K46" s="52">
        <f>14+11+10+11</f>
        <v>46</v>
      </c>
      <c r="L46" s="52">
        <v>1</v>
      </c>
      <c r="M46" s="52">
        <v>0.33</v>
      </c>
      <c r="N46" s="52">
        <f>PRODUCT(I46:M46)</f>
        <v>15.18</v>
      </c>
      <c r="O46" s="52"/>
      <c r="P46" s="3"/>
      <c r="Q46" s="3"/>
      <c r="R46" s="3"/>
      <c r="S46" s="3"/>
      <c r="T46" s="3"/>
      <c r="U46" s="3"/>
      <c r="V46" s="3"/>
      <c r="W46" s="3"/>
    </row>
    <row r="47" s="1" customFormat="1" spans="1:23">
      <c r="A47" s="36"/>
      <c r="B47" s="37"/>
      <c r="C47" s="23"/>
      <c r="D47" s="21"/>
      <c r="E47" s="14"/>
      <c r="F47" s="16"/>
      <c r="H47" s="1" t="s">
        <v>335</v>
      </c>
      <c r="J47" s="51">
        <v>1</v>
      </c>
      <c r="K47" s="52">
        <f>41</f>
        <v>41</v>
      </c>
      <c r="L47" s="52">
        <v>1</v>
      </c>
      <c r="M47" s="52">
        <v>0.33</v>
      </c>
      <c r="N47" s="52">
        <f>PRODUCT(I47:M47)</f>
        <v>13.53</v>
      </c>
      <c r="O47" s="52"/>
      <c r="P47" s="3"/>
      <c r="Q47" s="3"/>
      <c r="R47" s="3"/>
      <c r="S47" s="3"/>
      <c r="T47" s="3"/>
      <c r="U47" s="3"/>
      <c r="V47" s="3"/>
      <c r="W47" s="3"/>
    </row>
    <row r="48" s="1" customFormat="1" spans="1:23">
      <c r="A48" s="36"/>
      <c r="B48" s="37"/>
      <c r="C48" s="23"/>
      <c r="D48" s="21"/>
      <c r="E48" s="14"/>
      <c r="F48" s="16"/>
      <c r="J48" s="51"/>
      <c r="K48" s="52"/>
      <c r="L48" s="52"/>
      <c r="M48" s="52"/>
      <c r="N48" s="52">
        <f>SUM(N44:N47)</f>
        <v>102.96</v>
      </c>
      <c r="O48" s="53">
        <f>ROUNDUP(N48/100,1)</f>
        <v>1.1</v>
      </c>
      <c r="P48" s="3"/>
      <c r="Q48" s="3"/>
      <c r="R48" s="3"/>
      <c r="S48" s="3"/>
      <c r="T48" s="3"/>
      <c r="U48" s="3"/>
      <c r="V48" s="3"/>
      <c r="W48" s="3"/>
    </row>
    <row r="49" s="1" customFormat="1" spans="1:23">
      <c r="A49" s="36"/>
      <c r="B49" s="37"/>
      <c r="C49" s="23"/>
      <c r="D49" s="21"/>
      <c r="E49" s="14"/>
      <c r="F49" s="16"/>
      <c r="P49" s="3"/>
      <c r="Q49" s="3"/>
      <c r="R49" s="3"/>
      <c r="S49" s="3"/>
      <c r="T49" s="3"/>
      <c r="U49" s="3"/>
      <c r="V49" s="3"/>
      <c r="W49" s="3"/>
    </row>
    <row r="50" s="1" customFormat="1" spans="1:23">
      <c r="A50" s="32"/>
      <c r="B50" s="37"/>
      <c r="C50" s="14"/>
      <c r="D50" s="15"/>
      <c r="E50" s="14"/>
      <c r="F50" s="16"/>
      <c r="P50" s="3"/>
      <c r="Q50" s="3"/>
      <c r="R50" s="3"/>
      <c r="S50" s="3"/>
      <c r="T50" s="3"/>
      <c r="U50" s="3"/>
      <c r="V50" s="3"/>
      <c r="W50" s="3"/>
    </row>
    <row r="51" s="1" customFormat="1" spans="1:23">
      <c r="A51" s="32" t="s">
        <v>353</v>
      </c>
      <c r="B51" s="47" t="s">
        <v>354</v>
      </c>
      <c r="C51" s="44"/>
      <c r="D51" s="48"/>
      <c r="E51" s="44"/>
      <c r="F51" s="16"/>
      <c r="P51" s="3"/>
      <c r="Q51" s="3"/>
      <c r="R51" s="3"/>
      <c r="S51" s="3"/>
      <c r="T51" s="3"/>
      <c r="U51" s="3"/>
      <c r="V51" s="3"/>
      <c r="W51" s="3"/>
    </row>
    <row r="52" s="1" customFormat="1" spans="1:23">
      <c r="A52" s="36" t="s">
        <v>355</v>
      </c>
      <c r="B52" s="41" t="s">
        <v>76</v>
      </c>
      <c r="C52" s="42">
        <f>O52</f>
        <v>1.2</v>
      </c>
      <c r="D52" s="43" t="s">
        <v>32</v>
      </c>
      <c r="E52" s="44">
        <f>16600*1.1*2.3</f>
        <v>41998</v>
      </c>
      <c r="F52" s="16">
        <f>E52*C52</f>
        <v>50397.6</v>
      </c>
      <c r="H52" s="1" t="s">
        <v>329</v>
      </c>
      <c r="J52" s="51">
        <v>20</v>
      </c>
      <c r="K52" s="52">
        <v>0.75</v>
      </c>
      <c r="L52" s="52">
        <v>0.75</v>
      </c>
      <c r="M52" s="52">
        <v>10.5</v>
      </c>
      <c r="N52" s="52">
        <f>PRODUCT(I52:M52)</f>
        <v>118.13</v>
      </c>
      <c r="O52" s="53">
        <f>ROUNDUP(N52/100,1)</f>
        <v>1.2</v>
      </c>
      <c r="P52" s="3"/>
      <c r="Q52" s="3"/>
      <c r="R52" s="3"/>
      <c r="S52" s="3"/>
      <c r="T52" s="3"/>
      <c r="U52" s="3"/>
      <c r="V52" s="3"/>
      <c r="W52" s="3"/>
    </row>
    <row r="53" s="1" customFormat="1" spans="1:23">
      <c r="A53" s="36"/>
      <c r="B53" s="41"/>
      <c r="C53" s="46"/>
      <c r="D53" s="43"/>
      <c r="E53" s="44"/>
      <c r="F53" s="16"/>
      <c r="J53" s="50"/>
      <c r="O53" s="54"/>
      <c r="P53" s="3"/>
      <c r="Q53" s="3"/>
      <c r="R53" s="3"/>
      <c r="S53" s="3"/>
      <c r="T53" s="3"/>
      <c r="U53" s="3"/>
      <c r="V53" s="3"/>
      <c r="W53" s="3"/>
    </row>
    <row r="54" s="1" customFormat="1" spans="1:23">
      <c r="A54" s="36"/>
      <c r="B54" s="41"/>
      <c r="C54" s="46"/>
      <c r="D54" s="43"/>
      <c r="E54" s="44"/>
      <c r="F54" s="16"/>
      <c r="J54" s="50"/>
      <c r="O54" s="54"/>
      <c r="P54" s="3"/>
      <c r="Q54" s="3"/>
      <c r="R54" s="3"/>
      <c r="S54" s="3"/>
      <c r="T54" s="3"/>
      <c r="U54" s="3"/>
      <c r="V54" s="3"/>
      <c r="W54" s="3"/>
    </row>
    <row r="55" s="1" customFormat="1" spans="1:23">
      <c r="A55" s="36" t="s">
        <v>356</v>
      </c>
      <c r="B55" s="41" t="s">
        <v>77</v>
      </c>
      <c r="C55" s="42">
        <f>O57</f>
        <v>1.4</v>
      </c>
      <c r="D55" s="43" t="s">
        <v>32</v>
      </c>
      <c r="E55" s="44">
        <f>16600*1.1*2.3</f>
        <v>41998</v>
      </c>
      <c r="F55" s="16">
        <f t="shared" ref="F55:F64" si="6">E55*C55</f>
        <v>58797.2</v>
      </c>
      <c r="H55" s="1" t="s">
        <v>357</v>
      </c>
      <c r="J55" s="51">
        <v>1</v>
      </c>
      <c r="K55" s="52">
        <f>(18*4)+(40*3)</f>
        <v>192</v>
      </c>
      <c r="L55" s="52">
        <v>0.75</v>
      </c>
      <c r="M55" s="52">
        <v>0.58</v>
      </c>
      <c r="N55" s="52">
        <f>PRODUCT(I55:M55)</f>
        <v>83.52</v>
      </c>
      <c r="O55" s="53"/>
      <c r="P55" s="3"/>
      <c r="Q55" s="3"/>
      <c r="R55" s="3"/>
      <c r="S55" s="3"/>
      <c r="T55" s="3"/>
      <c r="U55" s="3"/>
      <c r="V55" s="3"/>
      <c r="W55" s="3"/>
    </row>
    <row r="56" s="1" customFormat="1" spans="1:23">
      <c r="A56" s="36"/>
      <c r="B56" s="41"/>
      <c r="C56" s="46"/>
      <c r="D56" s="43"/>
      <c r="E56" s="44"/>
      <c r="F56" s="16"/>
      <c r="H56" s="1" t="s">
        <v>358</v>
      </c>
      <c r="J56" s="51">
        <v>1</v>
      </c>
      <c r="K56" s="52">
        <f>(21*4)+(3*3)+(4*4)</f>
        <v>109</v>
      </c>
      <c r="L56" s="52">
        <v>0.75</v>
      </c>
      <c r="M56" s="52">
        <v>0.58</v>
      </c>
      <c r="N56" s="52">
        <f>PRODUCT(I56:M56)</f>
        <v>47.42</v>
      </c>
      <c r="O56" s="53"/>
      <c r="P56" s="3"/>
      <c r="Q56" s="3"/>
      <c r="R56" s="3"/>
      <c r="S56" s="3"/>
      <c r="T56" s="3"/>
      <c r="U56" s="3"/>
      <c r="V56" s="3"/>
      <c r="W56" s="3"/>
    </row>
    <row r="57" s="1" customFormat="1" spans="1:23">
      <c r="A57" s="36"/>
      <c r="B57" s="41"/>
      <c r="C57" s="46"/>
      <c r="D57" s="43"/>
      <c r="E57" s="44"/>
      <c r="F57" s="16"/>
      <c r="N57" s="52">
        <f>SUM(N53:N56)</f>
        <v>130.94</v>
      </c>
      <c r="O57" s="53">
        <f>ROUNDUP(N57/100,1)</f>
        <v>1.4</v>
      </c>
      <c r="P57" s="3"/>
      <c r="Q57" s="3"/>
      <c r="R57" s="3"/>
      <c r="S57" s="3"/>
      <c r="T57" s="3"/>
      <c r="U57" s="3"/>
      <c r="V57" s="3"/>
      <c r="W57" s="3"/>
    </row>
    <row r="58" s="1" customFormat="1" spans="1:23">
      <c r="A58" s="36"/>
      <c r="B58" s="41"/>
      <c r="C58" s="46"/>
      <c r="D58" s="43"/>
      <c r="E58" s="44"/>
      <c r="F58" s="16"/>
      <c r="P58" s="3"/>
      <c r="Q58" s="3"/>
      <c r="R58" s="3"/>
      <c r="S58" s="3"/>
      <c r="T58" s="3"/>
      <c r="U58" s="3"/>
      <c r="V58" s="3"/>
      <c r="W58" s="3"/>
    </row>
    <row r="59" s="1" customFormat="1" spans="1:23">
      <c r="A59" s="36"/>
      <c r="B59" s="41"/>
      <c r="C59" s="46"/>
      <c r="D59" s="43"/>
      <c r="E59" s="44"/>
      <c r="F59" s="16"/>
      <c r="P59" s="3"/>
      <c r="Q59" s="3"/>
      <c r="R59" s="3"/>
      <c r="S59" s="3"/>
      <c r="T59" s="3"/>
      <c r="U59" s="3"/>
      <c r="V59" s="3"/>
      <c r="W59" s="3"/>
    </row>
    <row r="60" s="1" customFormat="1" spans="1:23">
      <c r="A60" s="36" t="s">
        <v>359</v>
      </c>
      <c r="B60" s="41" t="s">
        <v>78</v>
      </c>
      <c r="C60" s="42">
        <f>O62</f>
        <v>7.7</v>
      </c>
      <c r="D60" s="43" t="s">
        <v>32</v>
      </c>
      <c r="E60" s="44">
        <f>16600*1.1*2.3</f>
        <v>41998</v>
      </c>
      <c r="F60" s="16">
        <f t="shared" si="6"/>
        <v>323384.6</v>
      </c>
      <c r="H60" s="1" t="s">
        <v>360</v>
      </c>
      <c r="J60" s="51">
        <v>1</v>
      </c>
      <c r="K60" s="52">
        <v>38</v>
      </c>
      <c r="L60" s="52">
        <v>20</v>
      </c>
      <c r="M60" s="52">
        <v>0.42</v>
      </c>
      <c r="N60" s="52">
        <f>PRODUCT(I60:M60)</f>
        <v>319.2</v>
      </c>
      <c r="O60" s="53"/>
      <c r="P60" s="3"/>
      <c r="Q60" s="3"/>
      <c r="R60" s="3"/>
      <c r="S60" s="3"/>
      <c r="T60" s="3"/>
      <c r="U60" s="3"/>
      <c r="V60" s="3"/>
      <c r="W60" s="3"/>
    </row>
    <row r="61" s="1" customFormat="1" spans="1:23">
      <c r="A61" s="36"/>
      <c r="B61" s="41"/>
      <c r="C61" s="46"/>
      <c r="D61" s="43"/>
      <c r="E61" s="44"/>
      <c r="F61" s="16"/>
      <c r="H61" s="1" t="s">
        <v>361</v>
      </c>
      <c r="J61" s="51">
        <v>1</v>
      </c>
      <c r="K61" s="52">
        <v>39</v>
      </c>
      <c r="L61" s="52">
        <v>27</v>
      </c>
      <c r="M61" s="52">
        <v>0.42</v>
      </c>
      <c r="N61" s="52">
        <f>PRODUCT(I61:M61)</f>
        <v>442.26</v>
      </c>
      <c r="O61" s="53"/>
      <c r="P61" s="3"/>
      <c r="Q61" s="3"/>
      <c r="R61" s="3"/>
      <c r="S61" s="3"/>
      <c r="T61" s="3"/>
      <c r="U61" s="3"/>
      <c r="V61" s="3"/>
      <c r="W61" s="3"/>
    </row>
    <row r="62" s="1" customFormat="1" spans="1:23">
      <c r="A62" s="36"/>
      <c r="B62" s="41"/>
      <c r="C62" s="46"/>
      <c r="D62" s="43"/>
      <c r="E62" s="44"/>
      <c r="F62" s="16"/>
      <c r="N62" s="52">
        <f>SUM(N58:N61)</f>
        <v>761.46</v>
      </c>
      <c r="O62" s="53">
        <f>ROUNDUP(N62/100,1)</f>
        <v>7.7</v>
      </c>
      <c r="P62" s="3"/>
      <c r="Q62" s="3"/>
      <c r="R62" s="3"/>
      <c r="S62" s="3"/>
      <c r="T62" s="3"/>
      <c r="U62" s="3"/>
      <c r="V62" s="3"/>
      <c r="W62" s="3"/>
    </row>
    <row r="63" s="1" customFormat="1" spans="1:23">
      <c r="A63" s="36"/>
      <c r="B63" s="41"/>
      <c r="C63" s="46"/>
      <c r="D63" s="43"/>
      <c r="E63" s="44"/>
      <c r="F63" s="16"/>
      <c r="P63" s="3"/>
      <c r="Q63" s="3"/>
      <c r="R63" s="3"/>
      <c r="S63" s="3"/>
      <c r="T63" s="3"/>
      <c r="U63" s="3"/>
      <c r="V63" s="3"/>
      <c r="W63" s="3"/>
    </row>
    <row r="64" s="1" customFormat="1" spans="1:23">
      <c r="A64" s="36" t="s">
        <v>362</v>
      </c>
      <c r="B64" s="41" t="s">
        <v>363</v>
      </c>
      <c r="C64" s="42">
        <f>O68</f>
        <v>0.6</v>
      </c>
      <c r="D64" s="43" t="s">
        <v>32</v>
      </c>
      <c r="E64" s="44">
        <f>16600*1.1*2.3</f>
        <v>41998</v>
      </c>
      <c r="F64" s="16">
        <f t="shared" si="6"/>
        <v>25198.8</v>
      </c>
      <c r="H64" s="1" t="s">
        <v>360</v>
      </c>
      <c r="I64" s="1">
        <v>0.5</v>
      </c>
      <c r="J64" s="51">
        <v>18</v>
      </c>
      <c r="K64" s="52">
        <v>3.5</v>
      </c>
      <c r="L64" s="52">
        <v>0.83</v>
      </c>
      <c r="M64" s="52">
        <v>0.5</v>
      </c>
      <c r="N64" s="52">
        <f>PRODUCT(I64:M64)</f>
        <v>13.07</v>
      </c>
      <c r="O64" s="53"/>
      <c r="P64" s="3"/>
      <c r="Q64" s="3"/>
      <c r="R64" s="3"/>
      <c r="S64" s="3"/>
      <c r="T64" s="3"/>
      <c r="U64" s="3"/>
      <c r="V64" s="3"/>
      <c r="W64" s="3"/>
    </row>
    <row r="65" s="1" customFormat="1" spans="1:23">
      <c r="A65" s="36"/>
      <c r="B65" s="37"/>
      <c r="C65" s="23"/>
      <c r="D65" s="21"/>
      <c r="E65" s="14"/>
      <c r="F65" s="16"/>
      <c r="H65" s="1" t="s">
        <v>364</v>
      </c>
      <c r="J65" s="51">
        <v>1</v>
      </c>
      <c r="K65" s="52">
        <v>13</v>
      </c>
      <c r="L65" s="52">
        <v>3.5</v>
      </c>
      <c r="M65" s="52">
        <v>0.33</v>
      </c>
      <c r="N65" s="52">
        <f>PRODUCT(I65:M65)</f>
        <v>15.02</v>
      </c>
      <c r="O65" s="53"/>
      <c r="P65" s="3"/>
      <c r="Q65" s="3"/>
      <c r="R65" s="3"/>
      <c r="S65" s="3"/>
      <c r="T65" s="3"/>
      <c r="U65" s="3"/>
      <c r="V65" s="3"/>
      <c r="W65" s="3"/>
    </row>
    <row r="66" s="1" customFormat="1" spans="1:23">
      <c r="A66" s="36"/>
      <c r="B66" s="37"/>
      <c r="C66" s="23"/>
      <c r="D66" s="21"/>
      <c r="E66" s="14"/>
      <c r="F66" s="16"/>
      <c r="H66" s="1" t="s">
        <v>361</v>
      </c>
      <c r="I66" s="1">
        <v>0.5</v>
      </c>
      <c r="J66" s="66">
        <v>19</v>
      </c>
      <c r="K66" s="52">
        <v>0.83</v>
      </c>
      <c r="L66" s="52">
        <v>0.5</v>
      </c>
      <c r="M66" s="52">
        <f>PRODUCT(H66:L66)</f>
        <v>3.94</v>
      </c>
      <c r="N66" s="52">
        <f>PRODUCT(I66:M66)</f>
        <v>15.53</v>
      </c>
      <c r="O66" s="53"/>
      <c r="P66" s="3"/>
      <c r="Q66" s="3"/>
      <c r="R66" s="3"/>
      <c r="S66" s="3"/>
      <c r="T66" s="3"/>
      <c r="U66" s="3"/>
      <c r="V66" s="3"/>
      <c r="W66" s="3"/>
    </row>
    <row r="67" s="1" customFormat="1" spans="1:23">
      <c r="A67" s="36"/>
      <c r="B67" s="37"/>
      <c r="C67" s="23"/>
      <c r="D67" s="21"/>
      <c r="E67" s="14"/>
      <c r="F67" s="16"/>
      <c r="H67" s="1" t="s">
        <v>364</v>
      </c>
      <c r="J67" s="51">
        <v>1</v>
      </c>
      <c r="K67" s="52">
        <v>13</v>
      </c>
      <c r="L67" s="52">
        <v>3.5</v>
      </c>
      <c r="M67" s="52">
        <v>0.33</v>
      </c>
      <c r="N67" s="52">
        <f>PRODUCT(I67:M67)</f>
        <v>15.02</v>
      </c>
      <c r="O67" s="53"/>
      <c r="P67" s="3"/>
      <c r="Q67" s="3"/>
      <c r="R67" s="3"/>
      <c r="S67" s="3"/>
      <c r="T67" s="3"/>
      <c r="U67" s="3"/>
      <c r="V67" s="3"/>
      <c r="W67" s="3"/>
    </row>
    <row r="68" s="1" customFormat="1" spans="1:23">
      <c r="A68" s="36"/>
      <c r="B68" s="37"/>
      <c r="C68" s="23"/>
      <c r="D68" s="21"/>
      <c r="E68" s="14"/>
      <c r="F68" s="16"/>
      <c r="N68" s="52">
        <f>SUM(N64:N67)</f>
        <v>58.64</v>
      </c>
      <c r="O68" s="53">
        <f>ROUNDUP(N68/100,1)</f>
        <v>0.6</v>
      </c>
      <c r="P68" s="3"/>
      <c r="Q68" s="3"/>
      <c r="R68" s="3"/>
      <c r="S68" s="3"/>
      <c r="T68" s="3"/>
      <c r="U68" s="3"/>
      <c r="V68" s="3"/>
      <c r="W68" s="3"/>
    </row>
    <row r="69" s="1" customFormat="1" spans="1:23">
      <c r="A69" s="36"/>
      <c r="B69" s="37"/>
      <c r="C69" s="23"/>
      <c r="D69" s="21"/>
      <c r="E69" s="14"/>
      <c r="F69" s="16"/>
      <c r="P69" s="3"/>
      <c r="Q69" s="3"/>
      <c r="R69" s="3"/>
      <c r="S69" s="3"/>
      <c r="T69" s="3"/>
      <c r="U69" s="3"/>
      <c r="V69" s="3"/>
      <c r="W69" s="3"/>
    </row>
    <row r="70" s="1" customFormat="1" spans="1:23">
      <c r="A70" s="32"/>
      <c r="B70" s="37"/>
      <c r="C70" s="14"/>
      <c r="D70" s="15"/>
      <c r="E70" s="14"/>
      <c r="F70" s="16"/>
      <c r="P70" s="3"/>
      <c r="Q70" s="3"/>
      <c r="R70" s="3"/>
      <c r="S70" s="3"/>
      <c r="T70" s="3"/>
      <c r="U70" s="3"/>
      <c r="V70" s="3"/>
      <c r="W70" s="3"/>
    </row>
    <row r="71" s="1" customFormat="1" spans="1:23">
      <c r="A71" s="32" t="s">
        <v>365</v>
      </c>
      <c r="B71" s="47" t="s">
        <v>366</v>
      </c>
      <c r="C71" s="44"/>
      <c r="D71" s="48"/>
      <c r="E71" s="44"/>
      <c r="F71" s="16"/>
      <c r="P71" s="3"/>
      <c r="Q71" s="3"/>
      <c r="R71" s="3"/>
      <c r="S71" s="3"/>
      <c r="T71" s="3"/>
      <c r="U71" s="3"/>
      <c r="V71" s="3"/>
      <c r="W71" s="3"/>
    </row>
    <row r="72" s="1" customFormat="1" spans="1:23">
      <c r="A72" s="36" t="s">
        <v>367</v>
      </c>
      <c r="B72" s="41" t="s">
        <v>85</v>
      </c>
      <c r="C72" s="42">
        <f>O72</f>
        <v>0.8</v>
      </c>
      <c r="D72" s="43" t="s">
        <v>32</v>
      </c>
      <c r="E72" s="44">
        <f>17000*1.1*2.3</f>
        <v>43010</v>
      </c>
      <c r="F72" s="16">
        <f>C72*E72</f>
        <v>34408</v>
      </c>
      <c r="H72" s="1" t="s">
        <v>329</v>
      </c>
      <c r="J72" s="51">
        <v>12</v>
      </c>
      <c r="K72" s="52">
        <v>0.75</v>
      </c>
      <c r="L72" s="52">
        <v>0.75</v>
      </c>
      <c r="M72" s="52">
        <v>10.5</v>
      </c>
      <c r="N72" s="52">
        <f>PRODUCT(I72:M72)</f>
        <v>70.88</v>
      </c>
      <c r="O72" s="53">
        <f>ROUNDUP(N72/100,1)</f>
        <v>0.8</v>
      </c>
      <c r="P72" s="3"/>
      <c r="Q72" s="3"/>
      <c r="R72" s="3"/>
      <c r="S72" s="3"/>
      <c r="T72" s="3"/>
      <c r="U72" s="3"/>
      <c r="V72" s="3"/>
      <c r="W72" s="3"/>
    </row>
    <row r="73" s="1" customFormat="1" spans="1:23">
      <c r="A73" s="36"/>
      <c r="B73" s="41"/>
      <c r="C73" s="46"/>
      <c r="D73" s="43"/>
      <c r="E73" s="44"/>
      <c r="F73" s="16"/>
      <c r="P73" s="3"/>
      <c r="Q73" s="3"/>
      <c r="R73" s="3"/>
      <c r="S73" s="3"/>
      <c r="T73" s="3"/>
      <c r="U73" s="3"/>
      <c r="V73" s="3"/>
      <c r="W73" s="3"/>
    </row>
    <row r="74" s="1" customFormat="1" spans="1:23">
      <c r="A74" s="36"/>
      <c r="B74" s="41"/>
      <c r="C74" s="46"/>
      <c r="D74" s="43"/>
      <c r="E74" s="44"/>
      <c r="F74" s="16"/>
      <c r="P74" s="3"/>
      <c r="Q74" s="3"/>
      <c r="R74" s="3"/>
      <c r="S74" s="3"/>
      <c r="T74" s="3"/>
      <c r="U74" s="3"/>
      <c r="V74" s="3"/>
      <c r="W74" s="3"/>
    </row>
    <row r="75" s="1" customFormat="1" spans="1:23">
      <c r="A75" s="36" t="s">
        <v>368</v>
      </c>
      <c r="B75" s="41" t="s">
        <v>86</v>
      </c>
      <c r="C75" s="42">
        <v>3.25</v>
      </c>
      <c r="D75" s="43" t="s">
        <v>32</v>
      </c>
      <c r="E75" s="44">
        <f>17000*1.1*2.3</f>
        <v>43010</v>
      </c>
      <c r="F75" s="16">
        <f t="shared" ref="F75:F91" si="7">C75*E75</f>
        <v>139782.5</v>
      </c>
      <c r="H75" s="1" t="s">
        <v>357</v>
      </c>
      <c r="J75" s="51">
        <v>1</v>
      </c>
      <c r="K75" s="52">
        <f>(19*5)+(40*3)</f>
        <v>215</v>
      </c>
      <c r="L75" s="52">
        <v>0.75</v>
      </c>
      <c r="M75" s="52">
        <v>0.58</v>
      </c>
      <c r="N75" s="52">
        <f>PRODUCT(I75:M75)</f>
        <v>93.53</v>
      </c>
      <c r="O75" s="53"/>
      <c r="P75" s="3"/>
      <c r="Q75" s="3"/>
      <c r="R75" s="3"/>
      <c r="S75" s="3"/>
      <c r="T75" s="3"/>
      <c r="U75" s="3"/>
      <c r="V75" s="3"/>
      <c r="W75" s="3"/>
    </row>
    <row r="76" s="1" customFormat="1" spans="1:23">
      <c r="A76" s="36"/>
      <c r="B76" s="41"/>
      <c r="C76" s="46"/>
      <c r="D76" s="43"/>
      <c r="E76" s="44"/>
      <c r="F76" s="16"/>
      <c r="H76" s="1" t="s">
        <v>358</v>
      </c>
      <c r="J76" s="51">
        <v>0</v>
      </c>
      <c r="K76" s="52">
        <f>(21*4)+(3*3)+(4*4)</f>
        <v>109</v>
      </c>
      <c r="L76" s="52">
        <v>0.75</v>
      </c>
      <c r="M76" s="52">
        <v>0.58</v>
      </c>
      <c r="N76" s="52">
        <f>PRODUCT(I76:M76)</f>
        <v>0</v>
      </c>
      <c r="O76" s="53"/>
      <c r="P76" s="3"/>
      <c r="Q76" s="3"/>
      <c r="R76" s="3"/>
      <c r="S76" s="3"/>
      <c r="T76" s="3"/>
      <c r="U76" s="3"/>
      <c r="V76" s="3"/>
      <c r="W76" s="3"/>
    </row>
    <row r="77" s="1" customFormat="1" spans="1:23">
      <c r="A77" s="36"/>
      <c r="B77" s="41"/>
      <c r="C77" s="46"/>
      <c r="D77" s="43"/>
      <c r="E77" s="44"/>
      <c r="F77" s="16"/>
      <c r="N77" s="52">
        <f>SUM(N73:N76)</f>
        <v>93.53</v>
      </c>
      <c r="O77" s="53">
        <f>ROUNDUP(N77/100,1)</f>
        <v>1</v>
      </c>
      <c r="P77" s="3"/>
      <c r="Q77" s="3"/>
      <c r="R77" s="3"/>
      <c r="S77" s="3"/>
      <c r="T77" s="3"/>
      <c r="U77" s="3"/>
      <c r="V77" s="3"/>
      <c r="W77" s="3"/>
    </row>
    <row r="78" s="1" customFormat="1" spans="1:23">
      <c r="A78" s="36"/>
      <c r="B78" s="41"/>
      <c r="C78" s="46"/>
      <c r="D78" s="43"/>
      <c r="E78" s="44"/>
      <c r="F78" s="16"/>
      <c r="P78" s="3"/>
      <c r="Q78" s="3"/>
      <c r="R78" s="3"/>
      <c r="S78" s="3"/>
      <c r="T78" s="3"/>
      <c r="U78" s="3"/>
      <c r="V78" s="3"/>
      <c r="W78" s="3"/>
    </row>
    <row r="79" s="1" customFormat="1" spans="1:23">
      <c r="A79" s="36"/>
      <c r="B79" s="41"/>
      <c r="C79" s="46"/>
      <c r="D79" s="43"/>
      <c r="E79" s="44"/>
      <c r="F79" s="16"/>
      <c r="P79" s="3"/>
      <c r="Q79" s="3"/>
      <c r="R79" s="3"/>
      <c r="S79" s="3"/>
      <c r="T79" s="3"/>
      <c r="U79" s="3"/>
      <c r="V79" s="3"/>
      <c r="W79" s="3"/>
    </row>
    <row r="80" s="1" customFormat="1" spans="1:23">
      <c r="A80" s="36"/>
      <c r="B80" s="41"/>
      <c r="C80" s="46"/>
      <c r="D80" s="43"/>
      <c r="E80" s="44"/>
      <c r="F80" s="16"/>
      <c r="P80" s="3"/>
      <c r="Q80" s="3"/>
      <c r="R80" s="3"/>
      <c r="S80" s="3"/>
      <c r="T80" s="3"/>
      <c r="U80" s="3"/>
      <c r="V80" s="3"/>
      <c r="W80" s="3"/>
    </row>
    <row r="81" s="1" customFormat="1" spans="1:23">
      <c r="A81" s="36" t="s">
        <v>369</v>
      </c>
      <c r="B81" s="41" t="s">
        <v>87</v>
      </c>
      <c r="C81" s="42">
        <f>O85</f>
        <v>4.4</v>
      </c>
      <c r="D81" s="43" t="s">
        <v>32</v>
      </c>
      <c r="E81" s="44">
        <f>17000*1.1*2.3</f>
        <v>43010</v>
      </c>
      <c r="F81" s="16">
        <f t="shared" si="7"/>
        <v>189244</v>
      </c>
      <c r="H81" s="1" t="s">
        <v>360</v>
      </c>
      <c r="J81" s="51">
        <v>1</v>
      </c>
      <c r="K81" s="52">
        <v>38</v>
      </c>
      <c r="L81" s="52">
        <v>20</v>
      </c>
      <c r="M81" s="52">
        <v>0.42</v>
      </c>
      <c r="N81" s="52">
        <f>PRODUCT(I81:M81)</f>
        <v>319.2</v>
      </c>
      <c r="O81" s="53"/>
      <c r="P81" s="3"/>
      <c r="Q81" s="3"/>
      <c r="R81" s="3"/>
      <c r="S81" s="3"/>
      <c r="T81" s="3"/>
      <c r="U81" s="3"/>
      <c r="V81" s="3"/>
      <c r="W81" s="3"/>
    </row>
    <row r="82" s="1" customFormat="1" spans="1:23">
      <c r="A82" s="36"/>
      <c r="B82" s="41"/>
      <c r="C82" s="46"/>
      <c r="D82" s="43"/>
      <c r="E82" s="44"/>
      <c r="F82" s="16"/>
      <c r="H82" s="1" t="s">
        <v>370</v>
      </c>
      <c r="J82" s="51">
        <v>1</v>
      </c>
      <c r="K82" s="52">
        <v>20</v>
      </c>
      <c r="L82" s="52">
        <v>4</v>
      </c>
      <c r="M82" s="52">
        <v>0.75</v>
      </c>
      <c r="N82" s="52">
        <f>PRODUCT(I82:M82)</f>
        <v>60</v>
      </c>
      <c r="O82" s="53"/>
      <c r="P82" s="3"/>
      <c r="Q82" s="3"/>
      <c r="R82" s="3"/>
      <c r="S82" s="3"/>
      <c r="T82" s="3"/>
      <c r="U82" s="3"/>
      <c r="V82" s="3"/>
      <c r="W82" s="3"/>
    </row>
    <row r="83" s="1" customFormat="1" spans="1:23">
      <c r="A83" s="36"/>
      <c r="B83" s="41"/>
      <c r="C83" s="46"/>
      <c r="D83" s="43"/>
      <c r="E83" s="44"/>
      <c r="F83" s="16"/>
      <c r="H83" s="1" t="s">
        <v>361</v>
      </c>
      <c r="J83" s="51">
        <v>0</v>
      </c>
      <c r="K83" s="52">
        <v>39</v>
      </c>
      <c r="L83" s="52">
        <v>27</v>
      </c>
      <c r="M83" s="52">
        <v>0.42</v>
      </c>
      <c r="N83" s="52">
        <f>PRODUCT(I83:M83)</f>
        <v>0</v>
      </c>
      <c r="O83" s="53"/>
      <c r="P83" s="3"/>
      <c r="Q83" s="3"/>
      <c r="R83" s="3"/>
      <c r="S83" s="3"/>
      <c r="T83" s="3"/>
      <c r="U83" s="3"/>
      <c r="V83" s="3"/>
      <c r="W83" s="3"/>
    </row>
    <row r="84" s="1" customFormat="1" spans="1:23">
      <c r="A84" s="36"/>
      <c r="B84" s="41"/>
      <c r="C84" s="46"/>
      <c r="D84" s="43"/>
      <c r="E84" s="44"/>
      <c r="F84" s="16"/>
      <c r="H84" s="1" t="s">
        <v>371</v>
      </c>
      <c r="J84" s="51">
        <v>1</v>
      </c>
      <c r="K84" s="52">
        <v>16</v>
      </c>
      <c r="L84" s="52">
        <v>10</v>
      </c>
      <c r="M84" s="52">
        <v>0.33</v>
      </c>
      <c r="N84" s="52">
        <f>PRODUCT(I84:M84)</f>
        <v>52.8</v>
      </c>
      <c r="O84" s="53"/>
      <c r="P84" s="3"/>
      <c r="Q84" s="3"/>
      <c r="R84" s="3"/>
      <c r="S84" s="3"/>
      <c r="T84" s="3"/>
      <c r="U84" s="3"/>
      <c r="V84" s="3"/>
      <c r="W84" s="3"/>
    </row>
    <row r="85" s="1" customFormat="1" spans="1:23">
      <c r="A85" s="36"/>
      <c r="B85" s="41"/>
      <c r="C85" s="46"/>
      <c r="D85" s="43"/>
      <c r="E85" s="44"/>
      <c r="F85" s="16"/>
      <c r="N85" s="52">
        <f>SUM(N81:N84)</f>
        <v>432</v>
      </c>
      <c r="O85" s="53">
        <f>ROUNDUP(N85/100,1)</f>
        <v>4.4</v>
      </c>
      <c r="P85" s="3"/>
      <c r="Q85" s="3"/>
      <c r="R85" s="3"/>
      <c r="S85" s="3"/>
      <c r="T85" s="3"/>
      <c r="U85" s="3"/>
      <c r="V85" s="3"/>
      <c r="W85" s="3"/>
    </row>
    <row r="86" s="1" customFormat="1" spans="1:23">
      <c r="A86" s="36"/>
      <c r="B86" s="41"/>
      <c r="C86" s="46"/>
      <c r="D86" s="43"/>
      <c r="E86" s="44"/>
      <c r="F86" s="16"/>
      <c r="P86" s="3"/>
      <c r="Q86" s="3"/>
      <c r="R86" s="3"/>
      <c r="S86" s="3"/>
      <c r="T86" s="3"/>
      <c r="U86" s="3"/>
      <c r="V86" s="3"/>
      <c r="W86" s="3"/>
    </row>
    <row r="87" s="1" customFormat="1" spans="1:23">
      <c r="A87" s="36"/>
      <c r="B87" s="41"/>
      <c r="C87" s="46"/>
      <c r="D87" s="43"/>
      <c r="E87" s="44"/>
      <c r="F87" s="16"/>
      <c r="P87" s="3"/>
      <c r="Q87" s="3"/>
      <c r="R87" s="3"/>
      <c r="S87" s="3"/>
      <c r="T87" s="3"/>
      <c r="U87" s="3"/>
      <c r="V87" s="3"/>
      <c r="W87" s="3"/>
    </row>
    <row r="88" s="1" customFormat="1" spans="1:23">
      <c r="A88" s="36" t="s">
        <v>372</v>
      </c>
      <c r="B88" s="41" t="s">
        <v>88</v>
      </c>
      <c r="C88" s="42">
        <f>N88</f>
        <v>0.8</v>
      </c>
      <c r="D88" s="43" t="s">
        <v>32</v>
      </c>
      <c r="E88" s="44">
        <f>17000*1.1*2.3</f>
        <v>43010</v>
      </c>
      <c r="F88" s="16">
        <f t="shared" si="7"/>
        <v>34408</v>
      </c>
      <c r="H88" s="1" t="s">
        <v>373</v>
      </c>
      <c r="I88" s="51">
        <v>12</v>
      </c>
      <c r="J88" s="52">
        <v>0.75</v>
      </c>
      <c r="K88" s="52">
        <v>0.75</v>
      </c>
      <c r="L88" s="52">
        <v>10.66</v>
      </c>
      <c r="M88" s="52">
        <f>PRODUCT(H88:L88)</f>
        <v>71.96</v>
      </c>
      <c r="N88" s="53">
        <f>ROUNDUP(M88/100,1)</f>
        <v>0.8</v>
      </c>
      <c r="P88" s="3"/>
      <c r="Q88" s="3"/>
      <c r="R88" s="3"/>
      <c r="S88" s="3"/>
      <c r="T88" s="3"/>
      <c r="U88" s="3"/>
      <c r="V88" s="3"/>
      <c r="W88" s="3"/>
    </row>
    <row r="89" s="1" customFormat="1" spans="1:23">
      <c r="A89" s="36"/>
      <c r="B89" s="41"/>
      <c r="C89" s="42"/>
      <c r="D89" s="43"/>
      <c r="E89" s="44"/>
      <c r="F89" s="16"/>
      <c r="H89" s="1" t="s">
        <v>371</v>
      </c>
      <c r="I89" s="50"/>
      <c r="N89" s="54"/>
      <c r="P89" s="3"/>
      <c r="Q89" s="3"/>
      <c r="R89" s="3"/>
      <c r="S89" s="3"/>
      <c r="T89" s="3"/>
      <c r="U89" s="3"/>
      <c r="V89" s="3"/>
      <c r="W89" s="3"/>
    </row>
    <row r="90" s="1" customFormat="1" spans="1:23">
      <c r="A90" s="36"/>
      <c r="B90" s="41"/>
      <c r="C90" s="46"/>
      <c r="D90" s="43"/>
      <c r="E90" s="44"/>
      <c r="F90" s="16"/>
      <c r="I90" s="50"/>
      <c r="N90" s="54"/>
      <c r="P90" s="3"/>
      <c r="Q90" s="3"/>
      <c r="R90" s="3"/>
      <c r="S90" s="3"/>
      <c r="T90" s="3"/>
      <c r="U90" s="3"/>
      <c r="V90" s="3"/>
      <c r="W90" s="3"/>
    </row>
    <row r="91" s="1" customFormat="1" spans="1:23">
      <c r="A91" s="36" t="s">
        <v>374</v>
      </c>
      <c r="B91" s="41" t="s">
        <v>363</v>
      </c>
      <c r="C91" s="42">
        <f>O95</f>
        <v>0.6</v>
      </c>
      <c r="D91" s="43" t="s">
        <v>32</v>
      </c>
      <c r="E91" s="44">
        <f>17000*1.1*2.3</f>
        <v>43010</v>
      </c>
      <c r="F91" s="16">
        <f t="shared" si="7"/>
        <v>25806</v>
      </c>
      <c r="H91" s="1" t="s">
        <v>360</v>
      </c>
      <c r="I91" s="1">
        <v>0.5</v>
      </c>
      <c r="J91" s="51">
        <v>18</v>
      </c>
      <c r="K91" s="52">
        <v>3.5</v>
      </c>
      <c r="L91" s="52">
        <v>0.83</v>
      </c>
      <c r="M91" s="52">
        <v>0.5</v>
      </c>
      <c r="N91" s="52">
        <f>PRODUCT(I91:M91)</f>
        <v>13.07</v>
      </c>
      <c r="O91" s="53"/>
      <c r="P91" s="3"/>
      <c r="Q91" s="3"/>
      <c r="R91" s="3"/>
      <c r="S91" s="3"/>
      <c r="T91" s="3"/>
      <c r="U91" s="3"/>
      <c r="V91" s="3"/>
      <c r="W91" s="3"/>
    </row>
    <row r="92" s="1" customFormat="1" spans="1:23">
      <c r="A92" s="36"/>
      <c r="B92" s="37"/>
      <c r="C92" s="23"/>
      <c r="D92" s="21"/>
      <c r="E92" s="14"/>
      <c r="F92" s="16"/>
      <c r="H92" s="1" t="s">
        <v>364</v>
      </c>
      <c r="J92" s="51">
        <v>1</v>
      </c>
      <c r="K92" s="52">
        <v>13</v>
      </c>
      <c r="L92" s="52">
        <v>3.5</v>
      </c>
      <c r="M92" s="52">
        <v>0.33</v>
      </c>
      <c r="N92" s="52">
        <f>PRODUCT(I92:M92)</f>
        <v>15.02</v>
      </c>
      <c r="O92" s="53"/>
      <c r="P92" s="3"/>
      <c r="Q92" s="3"/>
      <c r="R92" s="3"/>
      <c r="S92" s="3"/>
      <c r="T92" s="3"/>
      <c r="U92" s="3"/>
      <c r="V92" s="3"/>
      <c r="W92" s="3"/>
    </row>
    <row r="93" s="1" customFormat="1" spans="1:23">
      <c r="A93" s="36"/>
      <c r="B93" s="37"/>
      <c r="C93" s="23"/>
      <c r="D93" s="21"/>
      <c r="E93" s="14"/>
      <c r="F93" s="16"/>
      <c r="H93" s="1" t="s">
        <v>361</v>
      </c>
      <c r="I93" s="1">
        <v>0.5</v>
      </c>
      <c r="J93" s="66">
        <v>19</v>
      </c>
      <c r="K93" s="52">
        <v>0.83</v>
      </c>
      <c r="L93" s="52">
        <v>0.5</v>
      </c>
      <c r="M93" s="52">
        <f>PRODUCT(H93:L93)</f>
        <v>3.94</v>
      </c>
      <c r="N93" s="52">
        <f>PRODUCT(I93:M93)</f>
        <v>15.53</v>
      </c>
      <c r="O93" s="53"/>
      <c r="P93" s="3"/>
      <c r="Q93" s="3"/>
      <c r="R93" s="3"/>
      <c r="S93" s="3"/>
      <c r="T93" s="3"/>
      <c r="U93" s="3"/>
      <c r="V93" s="3"/>
      <c r="W93" s="3"/>
    </row>
    <row r="94" s="1" customFormat="1" spans="1:23">
      <c r="A94" s="36"/>
      <c r="B94" s="37"/>
      <c r="C94" s="23"/>
      <c r="D94" s="21"/>
      <c r="E94" s="14"/>
      <c r="F94" s="16"/>
      <c r="H94" s="1" t="s">
        <v>364</v>
      </c>
      <c r="J94" s="51">
        <v>1</v>
      </c>
      <c r="K94" s="52">
        <v>13</v>
      </c>
      <c r="L94" s="52">
        <v>3.5</v>
      </c>
      <c r="M94" s="52">
        <v>0.33</v>
      </c>
      <c r="N94" s="52">
        <f>PRODUCT(I94:M94)</f>
        <v>15.02</v>
      </c>
      <c r="O94" s="53"/>
      <c r="P94" s="3"/>
      <c r="Q94" s="3"/>
      <c r="R94" s="3"/>
      <c r="S94" s="3"/>
      <c r="T94" s="3"/>
      <c r="U94" s="3"/>
      <c r="V94" s="3"/>
      <c r="W94" s="3"/>
    </row>
    <row r="95" s="1" customFormat="1" spans="1:23">
      <c r="A95" s="36"/>
      <c r="B95" s="37"/>
      <c r="C95" s="23"/>
      <c r="D95" s="21"/>
      <c r="E95" s="14"/>
      <c r="F95" s="16"/>
      <c r="N95" s="52">
        <f>SUM(N91:N94)</f>
        <v>58.64</v>
      </c>
      <c r="O95" s="53">
        <f>ROUNDUP(N95/100,1)</f>
        <v>0.6</v>
      </c>
      <c r="P95" s="3"/>
      <c r="Q95" s="3"/>
      <c r="R95" s="3"/>
      <c r="S95" s="3"/>
      <c r="T95" s="3"/>
      <c r="U95" s="3"/>
      <c r="V95" s="3"/>
      <c r="W95" s="3"/>
    </row>
    <row r="96" s="1" customFormat="1" spans="1:23">
      <c r="A96" s="36"/>
      <c r="B96" s="37"/>
      <c r="C96" s="23"/>
      <c r="D96" s="21"/>
      <c r="E96" s="14"/>
      <c r="F96" s="16"/>
      <c r="P96" s="3"/>
      <c r="Q96" s="3"/>
      <c r="R96" s="3"/>
      <c r="S96" s="3"/>
      <c r="T96" s="3"/>
      <c r="U96" s="3"/>
      <c r="V96" s="3"/>
      <c r="W96" s="3"/>
    </row>
    <row r="97" s="1" customFormat="1" spans="1:23">
      <c r="A97" s="36"/>
      <c r="B97" s="37"/>
      <c r="C97" s="23"/>
      <c r="D97" s="21"/>
      <c r="E97" s="14"/>
      <c r="F97" s="16"/>
      <c r="P97" s="3"/>
      <c r="Q97" s="3"/>
      <c r="R97" s="3"/>
      <c r="S97" s="3"/>
      <c r="T97" s="3"/>
      <c r="U97" s="3"/>
      <c r="V97" s="3"/>
      <c r="W97" s="3"/>
    </row>
    <row r="98" s="1" customFormat="1" spans="1:23">
      <c r="A98" s="29"/>
      <c r="B98" s="30"/>
      <c r="C98" s="14"/>
      <c r="D98" s="15"/>
      <c r="E98" s="14"/>
      <c r="F98" s="16"/>
      <c r="P98" s="3"/>
      <c r="Q98" s="3"/>
      <c r="R98" s="3"/>
      <c r="S98" s="3"/>
      <c r="T98" s="3"/>
      <c r="U98" s="3"/>
      <c r="V98" s="3"/>
      <c r="W98" s="3"/>
    </row>
    <row r="99" s="1" customFormat="1" spans="1:23">
      <c r="A99" s="32" t="s">
        <v>375</v>
      </c>
      <c r="B99" s="55" t="s">
        <v>376</v>
      </c>
      <c r="C99" s="14"/>
      <c r="D99" s="15"/>
      <c r="E99" s="14"/>
      <c r="F99" s="16"/>
      <c r="P99" s="3"/>
      <c r="Q99" s="3"/>
      <c r="R99" s="3"/>
      <c r="S99" s="3"/>
      <c r="T99" s="3"/>
      <c r="U99" s="3"/>
      <c r="V99" s="3"/>
      <c r="W99" s="3"/>
    </row>
    <row r="100" s="1" customFormat="1" spans="1:23">
      <c r="A100" s="36"/>
      <c r="B100" s="55" t="s">
        <v>111</v>
      </c>
      <c r="C100" s="14"/>
      <c r="D100" s="15"/>
      <c r="E100" s="14"/>
      <c r="F100" s="16"/>
      <c r="P100" s="3"/>
      <c r="Q100" s="3"/>
      <c r="R100" s="3"/>
      <c r="S100" s="3"/>
      <c r="T100" s="3"/>
      <c r="U100" s="3"/>
      <c r="V100" s="3"/>
      <c r="W100" s="3"/>
    </row>
    <row r="101" s="1" customFormat="1" spans="1:23">
      <c r="A101" s="36" t="s">
        <v>377</v>
      </c>
      <c r="B101" s="56" t="s">
        <v>80</v>
      </c>
      <c r="C101" s="46">
        <v>0</v>
      </c>
      <c r="D101" s="48" t="s">
        <v>81</v>
      </c>
      <c r="E101" s="57">
        <v>1320</v>
      </c>
      <c r="F101" s="16">
        <f t="shared" ref="F101:F102" si="8">E101*C101</f>
        <v>0</v>
      </c>
      <c r="P101" s="3"/>
      <c r="Q101" s="3"/>
      <c r="R101" s="3"/>
      <c r="S101" s="3"/>
      <c r="T101" s="3"/>
      <c r="U101" s="3"/>
      <c r="V101" s="3"/>
      <c r="W101" s="3"/>
    </row>
    <row r="102" s="1" customFormat="1" spans="1:23">
      <c r="A102" s="36" t="s">
        <v>378</v>
      </c>
      <c r="B102" s="56" t="s">
        <v>83</v>
      </c>
      <c r="C102" s="46">
        <v>0</v>
      </c>
      <c r="D102" s="48" t="s">
        <v>81</v>
      </c>
      <c r="E102" s="57">
        <v>2290</v>
      </c>
      <c r="F102" s="16">
        <f t="shared" si="8"/>
        <v>0</v>
      </c>
      <c r="P102" s="3"/>
      <c r="Q102" s="3"/>
      <c r="R102" s="3"/>
      <c r="S102" s="3"/>
      <c r="T102" s="3"/>
      <c r="U102" s="3"/>
      <c r="V102" s="3"/>
      <c r="W102" s="3"/>
    </row>
    <row r="103" s="1" customFormat="1" spans="1:23">
      <c r="A103" s="36"/>
      <c r="B103" s="58"/>
      <c r="C103" s="23"/>
      <c r="D103" s="15"/>
      <c r="E103" s="40"/>
      <c r="F103" s="16"/>
      <c r="P103" s="3"/>
      <c r="Q103" s="3"/>
      <c r="R103" s="3"/>
      <c r="S103" s="3"/>
      <c r="T103" s="3"/>
      <c r="U103" s="3"/>
      <c r="V103" s="3"/>
      <c r="W103" s="3"/>
    </row>
    <row r="104" s="1" customFormat="1" spans="1:23">
      <c r="A104" s="29"/>
      <c r="B104" s="30"/>
      <c r="C104" s="14"/>
      <c r="D104" s="15"/>
      <c r="E104" s="14"/>
      <c r="F104" s="16"/>
      <c r="P104" s="3"/>
      <c r="Q104" s="3"/>
      <c r="R104" s="3"/>
      <c r="S104" s="3"/>
      <c r="T104" s="3"/>
      <c r="U104" s="3"/>
      <c r="V104" s="3"/>
      <c r="W104" s="3"/>
    </row>
    <row r="105" s="1" customFormat="1" spans="1:23">
      <c r="A105" s="32"/>
      <c r="B105" s="55" t="s">
        <v>379</v>
      </c>
      <c r="C105" s="14"/>
      <c r="D105" s="15"/>
      <c r="E105" s="14"/>
      <c r="F105" s="16"/>
      <c r="P105" s="3"/>
      <c r="Q105" s="3"/>
      <c r="R105" s="3"/>
      <c r="S105" s="3"/>
      <c r="T105" s="3"/>
      <c r="U105" s="3"/>
      <c r="V105" s="3"/>
      <c r="W105" s="3"/>
    </row>
    <row r="106" s="1" customFormat="1" spans="1:23">
      <c r="A106" s="36" t="s">
        <v>380</v>
      </c>
      <c r="B106" s="59" t="s">
        <v>80</v>
      </c>
      <c r="C106" s="42">
        <f>4+4</f>
        <v>8</v>
      </c>
      <c r="D106" s="48" t="s">
        <v>81</v>
      </c>
      <c r="E106" s="57">
        <v>520</v>
      </c>
      <c r="F106" s="16">
        <f t="shared" ref="F106:F107" si="9">E106*C106</f>
        <v>4160</v>
      </c>
      <c r="P106" s="3"/>
      <c r="Q106" s="3"/>
      <c r="R106" s="3"/>
      <c r="S106" s="3"/>
      <c r="T106" s="3"/>
      <c r="U106" s="3"/>
      <c r="V106" s="3"/>
      <c r="W106" s="3"/>
    </row>
    <row r="107" s="1" customFormat="1" spans="1:23">
      <c r="A107" s="36" t="s">
        <v>381</v>
      </c>
      <c r="B107" s="56" t="s">
        <v>83</v>
      </c>
      <c r="C107" s="42">
        <f>8+9+12+8+8+4+4</f>
        <v>53</v>
      </c>
      <c r="D107" s="48" t="s">
        <v>81</v>
      </c>
      <c r="E107" s="57">
        <v>890</v>
      </c>
      <c r="F107" s="16">
        <f t="shared" si="9"/>
        <v>47170</v>
      </c>
      <c r="P107" s="3"/>
      <c r="Q107" s="3"/>
      <c r="R107" s="3"/>
      <c r="S107" s="3"/>
      <c r="T107" s="3"/>
      <c r="U107" s="3"/>
      <c r="V107" s="3"/>
      <c r="W107" s="3"/>
    </row>
    <row r="108" spans="1:6">
      <c r="A108" s="36"/>
      <c r="B108" s="58"/>
      <c r="C108" s="23"/>
      <c r="D108" s="15"/>
      <c r="E108" s="40"/>
      <c r="F108" s="16"/>
    </row>
    <row r="109" spans="1:6">
      <c r="A109" s="36"/>
      <c r="B109" s="58"/>
      <c r="C109" s="14"/>
      <c r="D109" s="15"/>
      <c r="E109" s="14"/>
      <c r="F109" s="16"/>
    </row>
    <row r="110" spans="1:6">
      <c r="A110" s="32" t="s">
        <v>382</v>
      </c>
      <c r="B110" s="55" t="s">
        <v>118</v>
      </c>
      <c r="C110" s="14"/>
      <c r="D110" s="15"/>
      <c r="E110" s="14"/>
      <c r="F110" s="16"/>
    </row>
    <row r="111" spans="1:6">
      <c r="A111" s="36" t="s">
        <v>380</v>
      </c>
      <c r="B111" s="59" t="s">
        <v>80</v>
      </c>
      <c r="C111" s="42">
        <f>4+4+4</f>
        <v>12</v>
      </c>
      <c r="D111" s="48" t="s">
        <v>81</v>
      </c>
      <c r="E111" s="57">
        <f>E106*1.05</f>
        <v>546</v>
      </c>
      <c r="F111" s="16">
        <f t="shared" ref="F111:F112" si="10">E111*C111</f>
        <v>6552</v>
      </c>
    </row>
    <row r="112" spans="1:6">
      <c r="A112" s="36" t="s">
        <v>381</v>
      </c>
      <c r="B112" s="56" t="s">
        <v>83</v>
      </c>
      <c r="C112" s="42">
        <f>8+9+11+9+7+8+4+4</f>
        <v>60</v>
      </c>
      <c r="D112" s="48" t="s">
        <v>81</v>
      </c>
      <c r="E112" s="57">
        <v>930</v>
      </c>
      <c r="F112" s="16">
        <f t="shared" si="10"/>
        <v>55800</v>
      </c>
    </row>
    <row r="113" spans="1:6">
      <c r="A113" s="36"/>
      <c r="B113" s="60"/>
      <c r="C113" s="23"/>
      <c r="D113" s="15"/>
      <c r="E113" s="61"/>
      <c r="F113" s="16"/>
    </row>
    <row r="114" spans="1:6">
      <c r="A114" s="36"/>
      <c r="B114" s="60"/>
      <c r="C114" s="23"/>
      <c r="D114" s="15"/>
      <c r="E114" s="14"/>
      <c r="F114" s="25"/>
    </row>
    <row r="115" ht="14.55" spans="1:15">
      <c r="A115" s="32"/>
      <c r="B115" s="26" t="s">
        <v>383</v>
      </c>
      <c r="C115" s="14"/>
      <c r="D115" s="15"/>
      <c r="E115" s="14"/>
      <c r="F115" s="27">
        <f>SUM(F19:F114)</f>
        <v>1331866.7</v>
      </c>
      <c r="G115" s="28"/>
      <c r="H115" s="28"/>
      <c r="I115" s="28"/>
      <c r="J115" s="28"/>
      <c r="K115" s="28"/>
      <c r="L115" s="28"/>
      <c r="M115" s="28"/>
      <c r="N115" s="28"/>
      <c r="O115" s="28"/>
    </row>
    <row r="116" ht="14.55" spans="1:6">
      <c r="A116" s="29"/>
      <c r="B116" s="30"/>
      <c r="C116" s="14"/>
      <c r="D116" s="15"/>
      <c r="E116" s="14"/>
      <c r="F116" s="31"/>
    </row>
    <row r="117" spans="1:6">
      <c r="A117" s="29"/>
      <c r="B117" s="30"/>
      <c r="C117" s="14"/>
      <c r="D117" s="15"/>
      <c r="E117" s="14"/>
      <c r="F117" s="16"/>
    </row>
    <row r="118" spans="1:6">
      <c r="A118" s="29"/>
      <c r="B118" s="30"/>
      <c r="C118" s="14"/>
      <c r="D118" s="15"/>
      <c r="E118" s="14"/>
      <c r="F118" s="16"/>
    </row>
    <row r="119" spans="1:6">
      <c r="A119" s="29"/>
      <c r="B119" s="30"/>
      <c r="C119" s="14"/>
      <c r="D119" s="15"/>
      <c r="E119" s="14"/>
      <c r="F119" s="16"/>
    </row>
    <row r="120" spans="1:6">
      <c r="A120" s="29"/>
      <c r="B120" s="30"/>
      <c r="C120" s="14"/>
      <c r="D120" s="15"/>
      <c r="E120" s="14"/>
      <c r="F120" s="16"/>
    </row>
    <row r="121" spans="1:6">
      <c r="A121" s="29"/>
      <c r="B121" s="30"/>
      <c r="C121" s="14"/>
      <c r="D121" s="15"/>
      <c r="E121" s="14"/>
      <c r="F121" s="16"/>
    </row>
    <row r="122" spans="1:6">
      <c r="A122" s="32" t="s">
        <v>23</v>
      </c>
      <c r="B122" s="62" t="s">
        <v>52</v>
      </c>
      <c r="C122" s="14"/>
      <c r="D122" s="15"/>
      <c r="E122" s="14"/>
      <c r="F122" s="16"/>
    </row>
    <row r="123" spans="1:6">
      <c r="A123" s="29"/>
      <c r="B123" s="30"/>
      <c r="C123" s="40"/>
      <c r="D123" s="15"/>
      <c r="E123" s="14"/>
      <c r="F123" s="16"/>
    </row>
    <row r="124" spans="1:6">
      <c r="A124" s="36" t="s">
        <v>384</v>
      </c>
      <c r="B124" s="63" t="s">
        <v>55</v>
      </c>
      <c r="C124" s="64">
        <f>410*C34</f>
        <v>984</v>
      </c>
      <c r="D124" s="65" t="s">
        <v>56</v>
      </c>
      <c r="E124" s="44">
        <v>200</v>
      </c>
      <c r="F124" s="16">
        <f>E124*C124</f>
        <v>196800</v>
      </c>
    </row>
    <row r="125" spans="1:6">
      <c r="A125" s="36" t="s">
        <v>385</v>
      </c>
      <c r="B125" s="41" t="s">
        <v>60</v>
      </c>
      <c r="C125" s="64">
        <f>C39*500</f>
        <v>400</v>
      </c>
      <c r="D125" s="65" t="s">
        <v>56</v>
      </c>
      <c r="E125" s="44">
        <v>200</v>
      </c>
      <c r="F125" s="16">
        <f t="shared" ref="F125:F136" si="11">E125*C125</f>
        <v>80000</v>
      </c>
    </row>
    <row r="126" spans="1:6">
      <c r="A126" s="36" t="s">
        <v>386</v>
      </c>
      <c r="B126" s="63" t="s">
        <v>61</v>
      </c>
      <c r="C126" s="64">
        <f>C44*270</f>
        <v>297</v>
      </c>
      <c r="D126" s="65" t="s">
        <v>56</v>
      </c>
      <c r="E126" s="44">
        <v>200</v>
      </c>
      <c r="F126" s="16">
        <f t="shared" si="11"/>
        <v>59400</v>
      </c>
    </row>
    <row r="127" spans="1:6">
      <c r="A127" s="36" t="s">
        <v>387</v>
      </c>
      <c r="B127" s="63" t="s">
        <v>97</v>
      </c>
      <c r="C127" s="64">
        <f>530*C52</f>
        <v>636</v>
      </c>
      <c r="D127" s="65" t="s">
        <v>56</v>
      </c>
      <c r="E127" s="44">
        <v>210</v>
      </c>
      <c r="F127" s="16">
        <f t="shared" si="11"/>
        <v>133560</v>
      </c>
    </row>
    <row r="128" spans="1:6">
      <c r="A128" s="36" t="s">
        <v>388</v>
      </c>
      <c r="B128" s="63" t="s">
        <v>98</v>
      </c>
      <c r="C128" s="64">
        <f>1380*C52</f>
        <v>1656</v>
      </c>
      <c r="D128" s="65" t="s">
        <v>56</v>
      </c>
      <c r="E128" s="44">
        <v>210</v>
      </c>
      <c r="F128" s="16">
        <f t="shared" si="11"/>
        <v>347760</v>
      </c>
    </row>
    <row r="129" spans="1:6">
      <c r="A129" s="36"/>
      <c r="B129" s="63" t="s">
        <v>99</v>
      </c>
      <c r="C129" s="64">
        <f>300*C60</f>
        <v>2310</v>
      </c>
      <c r="D129" s="65" t="s">
        <v>56</v>
      </c>
      <c r="E129" s="44">
        <v>210</v>
      </c>
      <c r="F129" s="16">
        <f t="shared" ref="F129:F130" si="12">E129*C129</f>
        <v>485100</v>
      </c>
    </row>
    <row r="130" spans="1:6">
      <c r="A130" s="36"/>
      <c r="B130" s="63" t="s">
        <v>100</v>
      </c>
      <c r="C130" s="64">
        <f>580*C64</f>
        <v>348</v>
      </c>
      <c r="D130" s="65" t="s">
        <v>56</v>
      </c>
      <c r="E130" s="44">
        <v>210</v>
      </c>
      <c r="F130" s="16">
        <f t="shared" si="12"/>
        <v>73080</v>
      </c>
    </row>
    <row r="131" spans="1:6">
      <c r="A131" s="36"/>
      <c r="B131" s="67"/>
      <c r="C131" s="68"/>
      <c r="D131" s="69"/>
      <c r="E131" s="14"/>
      <c r="F131" s="16"/>
    </row>
    <row r="132" spans="1:6">
      <c r="A132" s="36" t="s">
        <v>389</v>
      </c>
      <c r="B132" s="63" t="s">
        <v>101</v>
      </c>
      <c r="C132" s="64">
        <f>C72*530</f>
        <v>424</v>
      </c>
      <c r="D132" s="65" t="s">
        <v>56</v>
      </c>
      <c r="E132" s="44">
        <v>220</v>
      </c>
      <c r="F132" s="16">
        <f t="shared" si="11"/>
        <v>93280</v>
      </c>
    </row>
    <row r="133" spans="1:6">
      <c r="A133" s="36"/>
      <c r="B133" s="63" t="s">
        <v>102</v>
      </c>
      <c r="C133" s="64">
        <f>700*C75</f>
        <v>2275</v>
      </c>
      <c r="D133" s="65" t="s">
        <v>56</v>
      </c>
      <c r="E133" s="44">
        <v>220</v>
      </c>
      <c r="F133" s="16">
        <f t="shared" ref="F133:F134" si="13">E133*C133</f>
        <v>500500</v>
      </c>
    </row>
    <row r="134" spans="1:6">
      <c r="A134" s="36" t="s">
        <v>390</v>
      </c>
      <c r="B134" s="63" t="s">
        <v>103</v>
      </c>
      <c r="C134" s="64">
        <f>300*C81</f>
        <v>1320</v>
      </c>
      <c r="D134" s="65" t="s">
        <v>56</v>
      </c>
      <c r="E134" s="44">
        <v>220</v>
      </c>
      <c r="F134" s="16">
        <f t="shared" si="13"/>
        <v>290400</v>
      </c>
    </row>
    <row r="135" spans="1:6">
      <c r="A135" s="36" t="s">
        <v>391</v>
      </c>
      <c r="B135" s="63" t="s">
        <v>88</v>
      </c>
      <c r="C135" s="64">
        <f>C88*420</f>
        <v>336</v>
      </c>
      <c r="D135" s="65" t="s">
        <v>56</v>
      </c>
      <c r="E135" s="44">
        <v>220</v>
      </c>
      <c r="F135" s="16">
        <f t="shared" si="11"/>
        <v>73920</v>
      </c>
    </row>
    <row r="136" spans="1:6">
      <c r="A136" s="36" t="s">
        <v>392</v>
      </c>
      <c r="B136" s="63" t="s">
        <v>104</v>
      </c>
      <c r="C136" s="64">
        <f>500*C91</f>
        <v>300</v>
      </c>
      <c r="D136" s="65" t="s">
        <v>56</v>
      </c>
      <c r="E136" s="44">
        <v>220</v>
      </c>
      <c r="F136" s="16">
        <f t="shared" si="11"/>
        <v>66000</v>
      </c>
    </row>
    <row r="137" spans="1:6">
      <c r="A137" s="36"/>
      <c r="B137" s="67"/>
      <c r="C137" s="68"/>
      <c r="D137" s="69"/>
      <c r="E137" s="14"/>
      <c r="F137" s="16"/>
    </row>
    <row r="138" spans="1:6">
      <c r="A138" s="36"/>
      <c r="B138" s="67"/>
      <c r="C138" s="23"/>
      <c r="D138" s="69"/>
      <c r="E138" s="14"/>
      <c r="F138" s="25"/>
    </row>
    <row r="139" ht="14.55" spans="1:15">
      <c r="A139" s="36"/>
      <c r="B139" s="26" t="s">
        <v>393</v>
      </c>
      <c r="C139" s="40"/>
      <c r="D139" s="21"/>
      <c r="E139" s="14"/>
      <c r="F139" s="27">
        <f>SUM(F123:F138)</f>
        <v>2399800</v>
      </c>
      <c r="G139" s="28"/>
      <c r="H139" s="28"/>
      <c r="I139" s="28"/>
      <c r="J139" s="28"/>
      <c r="K139" s="28"/>
      <c r="L139" s="28"/>
      <c r="M139" s="28"/>
      <c r="N139" s="28"/>
      <c r="O139" s="28"/>
    </row>
    <row r="140" ht="14.55" spans="1:6">
      <c r="A140" s="70"/>
      <c r="B140" s="67"/>
      <c r="C140" s="14"/>
      <c r="D140" s="21"/>
      <c r="E140" s="14"/>
      <c r="F140" s="31"/>
    </row>
    <row r="141" spans="1:6">
      <c r="A141" s="32" t="s">
        <v>25</v>
      </c>
      <c r="B141" s="33" t="s">
        <v>394</v>
      </c>
      <c r="C141" s="14"/>
      <c r="D141" s="15"/>
      <c r="E141" s="14"/>
      <c r="F141" s="16"/>
    </row>
    <row r="142" spans="1:6">
      <c r="A142" s="32"/>
      <c r="B142" s="33"/>
      <c r="C142" s="14"/>
      <c r="D142" s="15"/>
      <c r="E142" s="14"/>
      <c r="F142" s="16"/>
    </row>
    <row r="143" spans="1:15">
      <c r="A143" s="36" t="s">
        <v>395</v>
      </c>
      <c r="B143" s="63" t="s">
        <v>64</v>
      </c>
      <c r="C143" s="46">
        <f>O152</f>
        <v>5.8</v>
      </c>
      <c r="D143" s="43" t="s">
        <v>39</v>
      </c>
      <c r="E143" s="71">
        <f>1375*10.76</f>
        <v>14795</v>
      </c>
      <c r="F143" s="16">
        <f>E143*C143</f>
        <v>85811</v>
      </c>
      <c r="H143" s="1" t="s">
        <v>329</v>
      </c>
      <c r="I143" s="73">
        <v>4</v>
      </c>
      <c r="J143" s="51">
        <v>20</v>
      </c>
      <c r="K143" s="52">
        <v>3.5</v>
      </c>
      <c r="L143" s="52"/>
      <c r="M143" s="52">
        <v>0.75</v>
      </c>
      <c r="N143" s="52">
        <f t="shared" ref="N143:N148" si="14">PRODUCT(I143:M143)</f>
        <v>210</v>
      </c>
      <c r="O143" s="53"/>
    </row>
    <row r="144" spans="1:15">
      <c r="A144" s="36"/>
      <c r="B144" s="67"/>
      <c r="C144" s="23"/>
      <c r="D144" s="69"/>
      <c r="E144" s="39"/>
      <c r="F144" s="16"/>
      <c r="H144" s="1" t="s">
        <v>349</v>
      </c>
      <c r="I144" s="1">
        <v>4</v>
      </c>
      <c r="J144" s="51">
        <v>6</v>
      </c>
      <c r="K144" s="52">
        <v>2.5</v>
      </c>
      <c r="L144" s="52"/>
      <c r="M144" s="52">
        <v>0.75</v>
      </c>
      <c r="N144" s="52">
        <f t="shared" si="14"/>
        <v>45</v>
      </c>
      <c r="O144" s="53"/>
    </row>
    <row r="145" spans="1:15">
      <c r="A145" s="36"/>
      <c r="B145" s="67"/>
      <c r="C145" s="23"/>
      <c r="D145" s="69"/>
      <c r="E145" s="39"/>
      <c r="F145" s="16"/>
      <c r="H145" s="1" t="s">
        <v>330</v>
      </c>
      <c r="I145" s="1">
        <v>2</v>
      </c>
      <c r="J145" s="51">
        <v>1</v>
      </c>
      <c r="K145" s="52">
        <f>K131</f>
        <v>0</v>
      </c>
      <c r="L145" s="52">
        <v>2</v>
      </c>
      <c r="M145" s="52">
        <v>0.75</v>
      </c>
      <c r="N145" s="52">
        <f t="shared" si="14"/>
        <v>0</v>
      </c>
      <c r="O145" s="53"/>
    </row>
    <row r="146" spans="1:15">
      <c r="A146" s="36"/>
      <c r="B146" s="67"/>
      <c r="C146" s="23"/>
      <c r="D146" s="69"/>
      <c r="E146" s="39"/>
      <c r="F146" s="16"/>
      <c r="H146" s="1" t="s">
        <v>329</v>
      </c>
      <c r="I146" s="1">
        <v>4</v>
      </c>
      <c r="J146" s="51">
        <v>20</v>
      </c>
      <c r="K146" s="52">
        <v>0.75</v>
      </c>
      <c r="L146" s="52"/>
      <c r="M146" s="52">
        <v>3.5</v>
      </c>
      <c r="N146" s="52">
        <f t="shared" si="14"/>
        <v>210</v>
      </c>
      <c r="O146" s="53"/>
    </row>
    <row r="147" spans="1:15">
      <c r="A147" s="36"/>
      <c r="B147" s="67"/>
      <c r="C147" s="23"/>
      <c r="D147" s="69"/>
      <c r="E147" s="39"/>
      <c r="F147" s="16"/>
      <c r="H147" s="1" t="s">
        <v>349</v>
      </c>
      <c r="I147" s="1">
        <v>4</v>
      </c>
      <c r="J147" s="51">
        <v>6</v>
      </c>
      <c r="K147" s="52">
        <v>0.75</v>
      </c>
      <c r="L147" s="52"/>
      <c r="M147" s="52">
        <v>5</v>
      </c>
      <c r="N147" s="52">
        <f t="shared" si="14"/>
        <v>90</v>
      </c>
      <c r="O147" s="53"/>
    </row>
    <row r="148" spans="1:15">
      <c r="A148" s="36"/>
      <c r="B148" s="67"/>
      <c r="C148" s="23"/>
      <c r="D148" s="69"/>
      <c r="E148" s="39"/>
      <c r="F148" s="16"/>
      <c r="H148" s="1" t="s">
        <v>330</v>
      </c>
      <c r="I148" s="1">
        <v>2.5</v>
      </c>
      <c r="J148" s="51">
        <v>1</v>
      </c>
      <c r="K148" s="52">
        <f>K143</f>
        <v>3.5</v>
      </c>
      <c r="L148" s="52"/>
      <c r="M148" s="52">
        <v>2.5</v>
      </c>
      <c r="N148" s="52">
        <f t="shared" si="14"/>
        <v>21.88</v>
      </c>
      <c r="O148" s="53"/>
    </row>
    <row r="149" spans="1:15">
      <c r="A149" s="36"/>
      <c r="B149" s="67"/>
      <c r="C149" s="23"/>
      <c r="D149" s="69"/>
      <c r="E149" s="39"/>
      <c r="F149" s="16"/>
      <c r="J149" s="50"/>
      <c r="N149" s="52"/>
      <c r="O149" s="53"/>
    </row>
    <row r="150" spans="1:15">
      <c r="A150" s="36"/>
      <c r="B150" s="67"/>
      <c r="C150" s="23"/>
      <c r="D150" s="69"/>
      <c r="E150" s="39"/>
      <c r="F150" s="16"/>
      <c r="J150" s="50"/>
      <c r="N150" s="52"/>
      <c r="O150" s="53"/>
    </row>
    <row r="151" spans="1:15">
      <c r="A151" s="36"/>
      <c r="B151" s="67"/>
      <c r="C151" s="23"/>
      <c r="D151" s="69"/>
      <c r="E151" s="39"/>
      <c r="F151" s="16"/>
      <c r="J151" s="50"/>
      <c r="N151" s="52"/>
      <c r="O151" s="53"/>
    </row>
    <row r="152" spans="1:15">
      <c r="A152" s="36"/>
      <c r="B152" s="67"/>
      <c r="C152" s="23"/>
      <c r="D152" s="69"/>
      <c r="E152" s="39"/>
      <c r="F152" s="16"/>
      <c r="J152" s="50"/>
      <c r="N152" s="52">
        <f>SUM(N143:N151)</f>
        <v>576.88</v>
      </c>
      <c r="O152" s="53">
        <f>ROUNDUP(N152/100,1)</f>
        <v>5.8</v>
      </c>
    </row>
    <row r="153" spans="1:6">
      <c r="A153" s="36"/>
      <c r="B153" s="67"/>
      <c r="C153" s="23"/>
      <c r="D153" s="69"/>
      <c r="E153" s="39"/>
      <c r="F153" s="16"/>
    </row>
    <row r="154" spans="1:6">
      <c r="A154" s="36"/>
      <c r="B154" s="67"/>
      <c r="C154" s="23"/>
      <c r="D154" s="69"/>
      <c r="E154" s="39"/>
      <c r="F154" s="16"/>
    </row>
    <row r="155" spans="1:15">
      <c r="A155" s="36" t="s">
        <v>396</v>
      </c>
      <c r="B155" s="63" t="s">
        <v>61</v>
      </c>
      <c r="C155" s="42">
        <f>O159</f>
        <v>1.1</v>
      </c>
      <c r="D155" s="43" t="s">
        <v>39</v>
      </c>
      <c r="E155" s="72">
        <f>1375*10.76</f>
        <v>14795</v>
      </c>
      <c r="F155" s="16">
        <f t="shared" ref="F155:F190" si="15">E155*C155</f>
        <v>16274.5</v>
      </c>
      <c r="H155" s="1" t="s">
        <v>333</v>
      </c>
      <c r="J155" s="51">
        <v>1</v>
      </c>
      <c r="K155" s="52">
        <f>39+18+18</f>
        <v>75</v>
      </c>
      <c r="L155" s="52">
        <v>1</v>
      </c>
      <c r="M155" s="52">
        <v>0.33</v>
      </c>
      <c r="N155" s="52">
        <f>PRODUCT(I155:M155)</f>
        <v>24.75</v>
      </c>
      <c r="O155" s="52"/>
    </row>
    <row r="156" spans="1:15">
      <c r="A156" s="36"/>
      <c r="B156" s="67"/>
      <c r="C156" s="23"/>
      <c r="D156" s="21"/>
      <c r="E156" s="39"/>
      <c r="F156" s="16"/>
      <c r="H156" s="1" t="s">
        <v>333</v>
      </c>
      <c r="J156" s="51">
        <v>1</v>
      </c>
      <c r="K156" s="52">
        <f>21+21+21+11+36+11+11+3+15</f>
        <v>150</v>
      </c>
      <c r="L156" s="52">
        <v>1</v>
      </c>
      <c r="M156" s="52">
        <v>0.33</v>
      </c>
      <c r="N156" s="52">
        <f>PRODUCT(I156:M156)</f>
        <v>49.5</v>
      </c>
      <c r="O156" s="52"/>
    </row>
    <row r="157" spans="1:15">
      <c r="A157" s="36"/>
      <c r="B157" s="67"/>
      <c r="C157" s="23"/>
      <c r="D157" s="21"/>
      <c r="E157" s="39"/>
      <c r="F157" s="16"/>
      <c r="H157" s="1" t="s">
        <v>334</v>
      </c>
      <c r="J157" s="51">
        <v>1</v>
      </c>
      <c r="K157" s="52">
        <f>14+11+10+11</f>
        <v>46</v>
      </c>
      <c r="L157" s="52">
        <v>1</v>
      </c>
      <c r="M157" s="52">
        <v>0.33</v>
      </c>
      <c r="N157" s="52">
        <f>PRODUCT(I157:M157)</f>
        <v>15.18</v>
      </c>
      <c r="O157" s="52"/>
    </row>
    <row r="158" spans="1:15">
      <c r="A158" s="36"/>
      <c r="B158" s="67"/>
      <c r="C158" s="23"/>
      <c r="D158" s="21"/>
      <c r="E158" s="39"/>
      <c r="F158" s="16"/>
      <c r="H158" s="1" t="s">
        <v>335</v>
      </c>
      <c r="J158" s="51">
        <v>1</v>
      </c>
      <c r="K158" s="52">
        <f>41</f>
        <v>41</v>
      </c>
      <c r="L158" s="52">
        <v>1</v>
      </c>
      <c r="M158" s="52">
        <v>0.33</v>
      </c>
      <c r="N158" s="52">
        <f>PRODUCT(I158:M158)</f>
        <v>13.53</v>
      </c>
      <c r="O158" s="52"/>
    </row>
    <row r="159" spans="1:15">
      <c r="A159" s="36"/>
      <c r="B159" s="67"/>
      <c r="C159" s="23"/>
      <c r="D159" s="21"/>
      <c r="E159" s="39"/>
      <c r="F159" s="16"/>
      <c r="J159" s="51"/>
      <c r="K159" s="52"/>
      <c r="L159" s="52"/>
      <c r="M159" s="52"/>
      <c r="N159" s="52">
        <f>SUM(N155:N158)</f>
        <v>102.96</v>
      </c>
      <c r="O159" s="53">
        <f>ROUNDUP(N159/100,1)</f>
        <v>1.1</v>
      </c>
    </row>
    <row r="160" spans="1:15">
      <c r="A160" s="36"/>
      <c r="B160" s="67"/>
      <c r="C160" s="23"/>
      <c r="D160" s="21"/>
      <c r="E160" s="39"/>
      <c r="F160" s="16"/>
      <c r="J160" s="50"/>
      <c r="O160" s="54"/>
    </row>
    <row r="161" spans="1:15">
      <c r="A161" s="36" t="s">
        <v>397</v>
      </c>
      <c r="B161" s="63" t="s">
        <v>97</v>
      </c>
      <c r="C161" s="42">
        <f>O161</f>
        <v>6.3</v>
      </c>
      <c r="D161" s="43" t="s">
        <v>39</v>
      </c>
      <c r="E161" s="72">
        <v>15120</v>
      </c>
      <c r="F161" s="16">
        <f t="shared" si="15"/>
        <v>95256</v>
      </c>
      <c r="H161" s="1" t="s">
        <v>329</v>
      </c>
      <c r="I161" s="1">
        <v>4</v>
      </c>
      <c r="J161" s="51">
        <v>20</v>
      </c>
      <c r="K161" s="52">
        <v>0.75</v>
      </c>
      <c r="L161" s="52"/>
      <c r="M161" s="52">
        <v>10.5</v>
      </c>
      <c r="N161" s="52">
        <f>PRODUCT(I161:M161)</f>
        <v>630</v>
      </c>
      <c r="O161" s="53">
        <f>ROUNDUP(N161/100,1)</f>
        <v>6.3</v>
      </c>
    </row>
    <row r="162" spans="1:6">
      <c r="A162" s="36"/>
      <c r="B162" s="63"/>
      <c r="C162" s="46"/>
      <c r="D162" s="43"/>
      <c r="E162" s="71"/>
      <c r="F162" s="16"/>
    </row>
    <row r="163" spans="1:6">
      <c r="A163" s="36"/>
      <c r="B163" s="63"/>
      <c r="C163" s="46"/>
      <c r="D163" s="43"/>
      <c r="E163" s="71"/>
      <c r="F163" s="16"/>
    </row>
    <row r="164" spans="1:15">
      <c r="A164" s="36"/>
      <c r="B164" s="63" t="s">
        <v>106</v>
      </c>
      <c r="C164" s="42">
        <f>O168</f>
        <v>4.5</v>
      </c>
      <c r="D164" s="43" t="s">
        <v>39</v>
      </c>
      <c r="E164" s="71">
        <f>E161*1.1</f>
        <v>16632</v>
      </c>
      <c r="F164" s="16">
        <f t="shared" ref="F164" si="16">E164*C164</f>
        <v>74844</v>
      </c>
      <c r="H164" s="1" t="s">
        <v>357</v>
      </c>
      <c r="J164" s="51">
        <v>2</v>
      </c>
      <c r="K164" s="52">
        <f>(18*4)+(40*3)</f>
        <v>192</v>
      </c>
      <c r="L164" s="52"/>
      <c r="M164" s="52">
        <v>0.58</v>
      </c>
      <c r="N164" s="52">
        <f>PRODUCT(I164:M164)</f>
        <v>222.72</v>
      </c>
      <c r="O164" s="53"/>
    </row>
    <row r="165" spans="1:15">
      <c r="A165" s="36"/>
      <c r="B165" s="63"/>
      <c r="C165" s="46"/>
      <c r="D165" s="43"/>
      <c r="E165" s="71"/>
      <c r="F165" s="16"/>
      <c r="J165" s="51">
        <v>1</v>
      </c>
      <c r="K165" s="52">
        <v>192</v>
      </c>
      <c r="L165" s="52">
        <v>0.75</v>
      </c>
      <c r="M165" s="52"/>
      <c r="N165" s="52">
        <f>PRODUCT(I165:M165)</f>
        <v>144</v>
      </c>
      <c r="O165" s="53"/>
    </row>
    <row r="166" spans="1:15">
      <c r="A166" s="36"/>
      <c r="B166" s="63"/>
      <c r="C166" s="46"/>
      <c r="D166" s="43"/>
      <c r="E166" s="71"/>
      <c r="F166" s="16"/>
      <c r="H166" s="1" t="s">
        <v>358</v>
      </c>
      <c r="J166" s="51">
        <v>1</v>
      </c>
      <c r="K166" s="52">
        <f>(21*4)+(3*3)+(4*4)</f>
        <v>109</v>
      </c>
      <c r="L166" s="52">
        <v>0.75</v>
      </c>
      <c r="M166" s="52"/>
      <c r="N166" s="52">
        <f>PRODUCT(I166:M166)</f>
        <v>81.75</v>
      </c>
      <c r="O166" s="53"/>
    </row>
    <row r="167" spans="1:15">
      <c r="A167" s="36"/>
      <c r="B167" s="63"/>
      <c r="C167" s="46"/>
      <c r="D167" s="43"/>
      <c r="E167" s="71"/>
      <c r="F167" s="16"/>
      <c r="J167" s="51">
        <v>2</v>
      </c>
      <c r="K167" s="52">
        <f>(21*4)+(3*3)+(4*4)</f>
        <v>109</v>
      </c>
      <c r="L167" s="52"/>
      <c r="M167" s="52">
        <v>0.58</v>
      </c>
      <c r="N167" s="52">
        <f>PRODUCT(I167:M167)</f>
        <v>126.44</v>
      </c>
      <c r="O167" s="53"/>
    </row>
    <row r="168" spans="1:15">
      <c r="A168" s="36"/>
      <c r="B168" s="63"/>
      <c r="C168" s="46"/>
      <c r="D168" s="43"/>
      <c r="E168" s="71"/>
      <c r="F168" s="16"/>
      <c r="N168" s="52">
        <f>SUM(N162:N166)</f>
        <v>448.47</v>
      </c>
      <c r="O168" s="53">
        <f>ROUNDUP(N168/100,1)</f>
        <v>4.5</v>
      </c>
    </row>
    <row r="169" spans="1:6">
      <c r="A169" s="36"/>
      <c r="B169" s="63"/>
      <c r="C169" s="46"/>
      <c r="D169" s="43"/>
      <c r="E169" s="71"/>
      <c r="F169" s="16"/>
    </row>
    <row r="170" spans="1:6">
      <c r="A170" s="36"/>
      <c r="B170" s="63"/>
      <c r="C170" s="46"/>
      <c r="D170" s="43"/>
      <c r="E170" s="71"/>
      <c r="F170" s="16"/>
    </row>
    <row r="171" spans="1:15">
      <c r="A171" s="36" t="s">
        <v>398</v>
      </c>
      <c r="B171" s="63" t="s">
        <v>99</v>
      </c>
      <c r="C171" s="42">
        <f>O175</f>
        <v>5.4</v>
      </c>
      <c r="D171" s="43" t="s">
        <v>39</v>
      </c>
      <c r="E171" s="71">
        <f>E161*1.05</f>
        <v>15876</v>
      </c>
      <c r="F171" s="16">
        <f t="shared" si="15"/>
        <v>85730.4</v>
      </c>
      <c r="H171" s="1" t="s">
        <v>360</v>
      </c>
      <c r="J171" s="51">
        <v>1</v>
      </c>
      <c r="K171" s="52">
        <v>38</v>
      </c>
      <c r="L171" s="52">
        <v>20</v>
      </c>
      <c r="M171" s="52">
        <v>0.42</v>
      </c>
      <c r="N171" s="52">
        <f>PRODUCT(I171:M171)</f>
        <v>319.2</v>
      </c>
      <c r="O171" s="53"/>
    </row>
    <row r="172" spans="1:15">
      <c r="A172" s="36"/>
      <c r="B172" s="63"/>
      <c r="C172" s="46"/>
      <c r="D172" s="43"/>
      <c r="E172" s="71"/>
      <c r="F172" s="16"/>
      <c r="H172" s="1" t="s">
        <v>399</v>
      </c>
      <c r="J172" s="51">
        <v>-1</v>
      </c>
      <c r="K172" s="52">
        <v>192</v>
      </c>
      <c r="L172" s="52">
        <v>0.75</v>
      </c>
      <c r="M172" s="52"/>
      <c r="N172" s="52">
        <f t="shared" ref="N172:N174" si="17">PRODUCT(I172:M172)</f>
        <v>-144</v>
      </c>
      <c r="O172" s="53"/>
    </row>
    <row r="173" spans="1:15">
      <c r="A173" s="36"/>
      <c r="B173" s="63"/>
      <c r="C173" s="46"/>
      <c r="D173" s="43"/>
      <c r="E173" s="71"/>
      <c r="F173" s="16"/>
      <c r="H173" s="1" t="s">
        <v>361</v>
      </c>
      <c r="J173" s="51">
        <v>1</v>
      </c>
      <c r="K173" s="52">
        <v>39</v>
      </c>
      <c r="L173" s="52">
        <v>27</v>
      </c>
      <c r="M173" s="52">
        <v>0.42</v>
      </c>
      <c r="N173" s="52">
        <f t="shared" si="17"/>
        <v>442.26</v>
      </c>
      <c r="O173" s="53"/>
    </row>
    <row r="174" spans="1:15">
      <c r="A174" s="36"/>
      <c r="B174" s="63"/>
      <c r="C174" s="46"/>
      <c r="D174" s="43"/>
      <c r="E174" s="71"/>
      <c r="F174" s="16"/>
      <c r="H174" s="1" t="s">
        <v>399</v>
      </c>
      <c r="J174" s="50">
        <v>-1</v>
      </c>
      <c r="K174" s="1">
        <v>109</v>
      </c>
      <c r="L174" s="1">
        <v>0.75</v>
      </c>
      <c r="N174" s="52">
        <f t="shared" si="17"/>
        <v>-81.75</v>
      </c>
      <c r="O174" s="53"/>
    </row>
    <row r="175" spans="1:15">
      <c r="A175" s="36"/>
      <c r="B175" s="63"/>
      <c r="C175" s="46"/>
      <c r="D175" s="43"/>
      <c r="E175" s="71"/>
      <c r="F175" s="16"/>
      <c r="N175" s="52">
        <f>SUM(N171:N174)</f>
        <v>535.71</v>
      </c>
      <c r="O175" s="53">
        <f>ROUNDUP(N175/100,1)</f>
        <v>5.4</v>
      </c>
    </row>
    <row r="176" spans="1:6">
      <c r="A176" s="36"/>
      <c r="B176" s="63"/>
      <c r="C176" s="46"/>
      <c r="D176" s="43"/>
      <c r="E176" s="71"/>
      <c r="F176" s="16"/>
    </row>
    <row r="177" spans="1:6">
      <c r="A177" s="36"/>
      <c r="B177" s="63"/>
      <c r="C177" s="46"/>
      <c r="D177" s="43"/>
      <c r="E177" s="71"/>
      <c r="F177" s="16"/>
    </row>
    <row r="178" spans="1:15">
      <c r="A178" s="36"/>
      <c r="B178" s="63" t="s">
        <v>107</v>
      </c>
      <c r="C178" s="42">
        <f>O184</f>
        <v>1.6</v>
      </c>
      <c r="D178" s="43" t="s">
        <v>39</v>
      </c>
      <c r="E178" s="71">
        <v>16600</v>
      </c>
      <c r="F178" s="16">
        <f t="shared" ref="F178" si="18">E178*C178</f>
        <v>26560</v>
      </c>
      <c r="H178" s="1" t="s">
        <v>360</v>
      </c>
      <c r="J178" s="51">
        <v>18</v>
      </c>
      <c r="K178" s="52">
        <v>3.5</v>
      </c>
      <c r="L178" s="52"/>
      <c r="M178" s="52">
        <v>0.5</v>
      </c>
      <c r="N178" s="52">
        <f t="shared" ref="N178:N183" si="19">PRODUCT(I178:M178)</f>
        <v>31.5</v>
      </c>
      <c r="O178" s="53"/>
    </row>
    <row r="179" spans="1:15">
      <c r="A179" s="36"/>
      <c r="B179" s="67"/>
      <c r="C179" s="20"/>
      <c r="D179" s="21"/>
      <c r="E179" s="39"/>
      <c r="F179" s="16"/>
      <c r="H179" s="1" t="s">
        <v>400</v>
      </c>
      <c r="J179" s="51">
        <v>2</v>
      </c>
      <c r="K179" s="52">
        <v>13</v>
      </c>
      <c r="L179" s="52"/>
      <c r="M179" s="52">
        <v>0.33</v>
      </c>
      <c r="N179" s="52">
        <f t="shared" si="19"/>
        <v>8.58</v>
      </c>
      <c r="O179" s="53"/>
    </row>
    <row r="180" spans="1:15">
      <c r="A180" s="36"/>
      <c r="B180" s="67"/>
      <c r="C180" s="23"/>
      <c r="D180" s="21"/>
      <c r="E180" s="39"/>
      <c r="F180" s="16"/>
      <c r="H180" s="1" t="s">
        <v>364</v>
      </c>
      <c r="J180" s="51">
        <v>1</v>
      </c>
      <c r="K180" s="52">
        <v>13</v>
      </c>
      <c r="L180" s="52">
        <v>3.5</v>
      </c>
      <c r="M180" s="52"/>
      <c r="N180" s="52">
        <f t="shared" si="19"/>
        <v>45.5</v>
      </c>
      <c r="O180" s="53"/>
    </row>
    <row r="181" spans="1:15">
      <c r="A181" s="36"/>
      <c r="B181" s="67"/>
      <c r="C181" s="23"/>
      <c r="D181" s="21"/>
      <c r="E181" s="39"/>
      <c r="F181" s="16"/>
      <c r="H181" s="1" t="s">
        <v>361</v>
      </c>
      <c r="I181" s="1">
        <v>0.5</v>
      </c>
      <c r="J181" s="66">
        <v>19</v>
      </c>
      <c r="K181" s="52">
        <v>0.83</v>
      </c>
      <c r="L181" s="52">
        <v>0.5</v>
      </c>
      <c r="M181" s="52">
        <f>PRODUCT(H181:L181)</f>
        <v>3.94</v>
      </c>
      <c r="N181" s="52">
        <f t="shared" si="19"/>
        <v>15.53</v>
      </c>
      <c r="O181" s="53"/>
    </row>
    <row r="182" spans="1:15">
      <c r="A182" s="36"/>
      <c r="B182" s="67"/>
      <c r="C182" s="23"/>
      <c r="D182" s="21"/>
      <c r="E182" s="39"/>
      <c r="F182" s="16"/>
      <c r="H182" s="1" t="s">
        <v>400</v>
      </c>
      <c r="J182" s="51">
        <v>2</v>
      </c>
      <c r="K182" s="52">
        <v>13</v>
      </c>
      <c r="L182" s="52"/>
      <c r="M182" s="52">
        <v>0.33</v>
      </c>
      <c r="N182" s="52">
        <f t="shared" si="19"/>
        <v>8.58</v>
      </c>
      <c r="O182" s="53"/>
    </row>
    <row r="183" spans="1:15">
      <c r="A183" s="36"/>
      <c r="B183" s="67"/>
      <c r="C183" s="23"/>
      <c r="D183" s="21"/>
      <c r="E183" s="39"/>
      <c r="F183" s="16"/>
      <c r="H183" s="1" t="s">
        <v>364</v>
      </c>
      <c r="J183" s="51">
        <v>1</v>
      </c>
      <c r="K183" s="52">
        <v>13</v>
      </c>
      <c r="L183" s="52">
        <v>3.5</v>
      </c>
      <c r="M183" s="52"/>
      <c r="N183" s="52">
        <f t="shared" si="19"/>
        <v>45.5</v>
      </c>
      <c r="O183" s="53"/>
    </row>
    <row r="184" spans="1:15">
      <c r="A184" s="36"/>
      <c r="B184" s="67"/>
      <c r="C184" s="23"/>
      <c r="D184" s="21"/>
      <c r="E184" s="39"/>
      <c r="F184" s="16"/>
      <c r="N184" s="52">
        <f>SUM(N178:N183)</f>
        <v>155.19</v>
      </c>
      <c r="O184" s="53">
        <f>ROUNDUP(N184/100,1)</f>
        <v>1.6</v>
      </c>
    </row>
    <row r="185" spans="1:6">
      <c r="A185" s="36"/>
      <c r="B185" s="67"/>
      <c r="C185" s="23"/>
      <c r="D185" s="21"/>
      <c r="E185" s="39"/>
      <c r="F185" s="16"/>
    </row>
    <row r="186" spans="1:6">
      <c r="A186" s="36"/>
      <c r="B186" s="67"/>
      <c r="C186" s="23"/>
      <c r="D186" s="21"/>
      <c r="E186" s="39"/>
      <c r="F186" s="16"/>
    </row>
    <row r="187" spans="1:6">
      <c r="A187" s="36"/>
      <c r="B187" s="67"/>
      <c r="C187" s="23"/>
      <c r="D187" s="21"/>
      <c r="E187" s="39"/>
      <c r="F187" s="16"/>
    </row>
    <row r="188" spans="1:6">
      <c r="A188" s="36"/>
      <c r="B188" s="67"/>
      <c r="C188" s="23"/>
      <c r="D188" s="21"/>
      <c r="E188" s="39"/>
      <c r="F188" s="16"/>
    </row>
    <row r="189" spans="1:6">
      <c r="A189" s="36"/>
      <c r="B189" s="67"/>
      <c r="C189" s="23"/>
      <c r="D189" s="21"/>
      <c r="E189" s="39"/>
      <c r="F189" s="16"/>
    </row>
    <row r="190" spans="1:15">
      <c r="A190" s="36" t="s">
        <v>401</v>
      </c>
      <c r="B190" s="63" t="s">
        <v>101</v>
      </c>
      <c r="C190" s="42">
        <f>O190</f>
        <v>3.8</v>
      </c>
      <c r="D190" s="43" t="s">
        <v>39</v>
      </c>
      <c r="E190" s="71">
        <v>15725</v>
      </c>
      <c r="F190" s="16">
        <f t="shared" si="15"/>
        <v>59755</v>
      </c>
      <c r="H190" s="1" t="s">
        <v>329</v>
      </c>
      <c r="I190" s="1">
        <v>4</v>
      </c>
      <c r="J190" s="51">
        <v>12</v>
      </c>
      <c r="K190" s="52">
        <v>0.75</v>
      </c>
      <c r="L190" s="52"/>
      <c r="M190" s="52">
        <v>10.5</v>
      </c>
      <c r="N190" s="52">
        <f>PRODUCT(I190:M190)</f>
        <v>378</v>
      </c>
      <c r="O190" s="53">
        <f>ROUNDUP(N190/100,1)</f>
        <v>3.8</v>
      </c>
    </row>
    <row r="191" spans="1:6">
      <c r="A191" s="36"/>
      <c r="B191" s="63"/>
      <c r="C191" s="46"/>
      <c r="D191" s="43"/>
      <c r="E191" s="71"/>
      <c r="F191" s="16"/>
    </row>
    <row r="192" spans="1:15">
      <c r="A192" s="36"/>
      <c r="B192" s="63" t="s">
        <v>102</v>
      </c>
      <c r="C192" s="42">
        <f>O195</f>
        <v>4.2</v>
      </c>
      <c r="D192" s="43" t="s">
        <v>39</v>
      </c>
      <c r="E192" s="71">
        <v>17300</v>
      </c>
      <c r="F192" s="16">
        <f t="shared" ref="F192" si="20">E192*C192</f>
        <v>72660</v>
      </c>
      <c r="H192" s="1" t="s">
        <v>357</v>
      </c>
      <c r="J192" s="51">
        <v>2</v>
      </c>
      <c r="K192" s="52">
        <f>(19*5)+(40*3)</f>
        <v>215</v>
      </c>
      <c r="L192" s="52"/>
      <c r="M192" s="52">
        <v>0.58</v>
      </c>
      <c r="N192" s="52">
        <f>PRODUCT(I192:M192)</f>
        <v>249.4</v>
      </c>
      <c r="O192" s="53"/>
    </row>
    <row r="193" spans="1:15">
      <c r="A193" s="36"/>
      <c r="B193" s="63"/>
      <c r="C193" s="42"/>
      <c r="D193" s="43"/>
      <c r="E193" s="71"/>
      <c r="F193" s="16"/>
      <c r="J193" s="51">
        <v>1</v>
      </c>
      <c r="K193" s="52">
        <v>215</v>
      </c>
      <c r="L193" s="52">
        <v>0.75</v>
      </c>
      <c r="M193" s="52"/>
      <c r="N193" s="52">
        <f t="shared" ref="N193:N194" si="21">PRODUCT(I193:M193)</f>
        <v>161.25</v>
      </c>
      <c r="O193" s="53"/>
    </row>
    <row r="194" spans="1:15">
      <c r="A194" s="36"/>
      <c r="B194" s="63"/>
      <c r="C194" s="46"/>
      <c r="D194" s="43"/>
      <c r="E194" s="71"/>
      <c r="F194" s="16"/>
      <c r="H194" s="1" t="s">
        <v>358</v>
      </c>
      <c r="J194" s="51">
        <v>0</v>
      </c>
      <c r="K194" s="52">
        <f>(21*4)+(3*3)+(4*4)</f>
        <v>109</v>
      </c>
      <c r="L194" s="52">
        <v>0.75</v>
      </c>
      <c r="M194" s="52">
        <v>0.58</v>
      </c>
      <c r="N194" s="52">
        <f t="shared" si="21"/>
        <v>0</v>
      </c>
      <c r="O194" s="53"/>
    </row>
    <row r="195" spans="1:15">
      <c r="A195" s="36"/>
      <c r="B195" s="63"/>
      <c r="C195" s="42"/>
      <c r="D195" s="43"/>
      <c r="E195" s="71"/>
      <c r="F195" s="16"/>
      <c r="N195" s="52">
        <f>SUM(N192:N194)</f>
        <v>410.65</v>
      </c>
      <c r="O195" s="53">
        <f>ROUNDUP(N195/100,1)</f>
        <v>4.2</v>
      </c>
    </row>
    <row r="196" spans="1:15">
      <c r="A196" s="36"/>
      <c r="B196" s="63"/>
      <c r="C196" s="46"/>
      <c r="D196" s="43"/>
      <c r="E196" s="71"/>
      <c r="F196" s="16"/>
      <c r="O196" s="54"/>
    </row>
    <row r="197" spans="1:15">
      <c r="A197" s="36"/>
      <c r="B197" s="63" t="s">
        <v>108</v>
      </c>
      <c r="C197" s="42">
        <f>O203</f>
        <v>8.4</v>
      </c>
      <c r="D197" s="43" t="s">
        <v>39</v>
      </c>
      <c r="E197" s="71">
        <v>16500</v>
      </c>
      <c r="F197" s="16">
        <f t="shared" ref="F197" si="22">E197*C197</f>
        <v>138600</v>
      </c>
      <c r="H197" s="1" t="s">
        <v>360</v>
      </c>
      <c r="J197" s="51">
        <v>1</v>
      </c>
      <c r="K197" s="52">
        <v>38</v>
      </c>
      <c r="L197" s="52">
        <v>20</v>
      </c>
      <c r="M197" s="52"/>
      <c r="N197" s="52">
        <f>PRODUCT(I197:M197)</f>
        <v>760</v>
      </c>
      <c r="O197" s="53"/>
    </row>
    <row r="198" spans="1:15">
      <c r="A198" s="36"/>
      <c r="B198" s="63"/>
      <c r="C198" s="46"/>
      <c r="D198" s="43"/>
      <c r="E198" s="71"/>
      <c r="F198" s="16"/>
      <c r="H198" s="1" t="s">
        <v>402</v>
      </c>
      <c r="J198" s="51">
        <v>-1</v>
      </c>
      <c r="K198" s="52">
        <f>K192</f>
        <v>215</v>
      </c>
      <c r="L198" s="52">
        <v>0.75</v>
      </c>
      <c r="M198" s="52"/>
      <c r="N198" s="52">
        <f>PRODUCT(I198:M198)</f>
        <v>-161.25</v>
      </c>
      <c r="O198" s="53"/>
    </row>
    <row r="199" spans="1:15">
      <c r="A199" s="36"/>
      <c r="B199" s="63"/>
      <c r="C199" s="46"/>
      <c r="D199" s="43"/>
      <c r="E199" s="71"/>
      <c r="F199" s="16"/>
      <c r="H199" s="1" t="s">
        <v>370</v>
      </c>
      <c r="J199" s="51">
        <v>1</v>
      </c>
      <c r="K199" s="52">
        <v>20</v>
      </c>
      <c r="L199" s="52">
        <v>4</v>
      </c>
      <c r="M199" s="52"/>
      <c r="N199" s="52">
        <f>PRODUCT(I199:M199)</f>
        <v>80</v>
      </c>
      <c r="O199" s="53"/>
    </row>
    <row r="200" spans="1:15">
      <c r="A200" s="36"/>
      <c r="B200" s="63"/>
      <c r="C200" s="46"/>
      <c r="D200" s="43"/>
      <c r="E200" s="71"/>
      <c r="F200" s="16"/>
      <c r="J200" s="51"/>
      <c r="K200" s="52"/>
      <c r="L200" s="52"/>
      <c r="M200" s="52"/>
      <c r="N200" s="52"/>
      <c r="O200" s="53"/>
    </row>
    <row r="201" spans="1:15">
      <c r="A201" s="36"/>
      <c r="B201" s="63"/>
      <c r="C201" s="46"/>
      <c r="D201" s="43"/>
      <c r="E201" s="71"/>
      <c r="F201" s="16"/>
      <c r="H201" s="1" t="s">
        <v>361</v>
      </c>
      <c r="J201" s="51">
        <v>0</v>
      </c>
      <c r="K201" s="52">
        <v>39</v>
      </c>
      <c r="L201" s="52">
        <v>27</v>
      </c>
      <c r="M201" s="52"/>
      <c r="N201" s="52">
        <f>PRODUCT(I201:M201)</f>
        <v>0</v>
      </c>
      <c r="O201" s="53"/>
    </row>
    <row r="202" spans="1:15">
      <c r="A202" s="36"/>
      <c r="B202" s="63"/>
      <c r="C202" s="46"/>
      <c r="D202" s="43"/>
      <c r="E202" s="71"/>
      <c r="F202" s="16"/>
      <c r="H202" s="1" t="s">
        <v>371</v>
      </c>
      <c r="J202" s="51">
        <v>1</v>
      </c>
      <c r="K202" s="52">
        <v>16</v>
      </c>
      <c r="L202" s="52">
        <v>10</v>
      </c>
      <c r="M202" s="52"/>
      <c r="N202" s="52">
        <f>PRODUCT(I202:M202)</f>
        <v>160</v>
      </c>
      <c r="O202" s="53"/>
    </row>
    <row r="203" spans="1:15">
      <c r="A203" s="36"/>
      <c r="B203" s="63"/>
      <c r="C203" s="46"/>
      <c r="D203" s="43"/>
      <c r="E203" s="71"/>
      <c r="F203" s="16"/>
      <c r="N203" s="52">
        <f>SUM(N197:N202)</f>
        <v>838.75</v>
      </c>
      <c r="O203" s="53">
        <f>ROUNDUP(N203/100,1)</f>
        <v>8.4</v>
      </c>
    </row>
    <row r="204" spans="1:15">
      <c r="A204" s="36"/>
      <c r="B204" s="63"/>
      <c r="C204" s="46"/>
      <c r="D204" s="43"/>
      <c r="E204" s="71"/>
      <c r="F204" s="16"/>
      <c r="O204" s="54"/>
    </row>
    <row r="205" spans="1:15">
      <c r="A205" s="36"/>
      <c r="B205" s="63"/>
      <c r="C205" s="46"/>
      <c r="D205" s="43"/>
      <c r="E205" s="71"/>
      <c r="F205" s="16"/>
      <c r="O205" s="54"/>
    </row>
    <row r="206" spans="1:15">
      <c r="A206" s="36" t="s">
        <v>403</v>
      </c>
      <c r="B206" s="63" t="s">
        <v>88</v>
      </c>
      <c r="C206" s="42">
        <f>O206</f>
        <v>3.9</v>
      </c>
      <c r="D206" s="43" t="s">
        <v>39</v>
      </c>
      <c r="E206" s="71">
        <f>E190*1.04</f>
        <v>16354</v>
      </c>
      <c r="F206" s="16">
        <f>E206*C206</f>
        <v>63780.6</v>
      </c>
      <c r="H206" s="1" t="s">
        <v>373</v>
      </c>
      <c r="I206" s="3">
        <v>4</v>
      </c>
      <c r="J206" s="51">
        <v>12</v>
      </c>
      <c r="K206" s="52">
        <v>0.75</v>
      </c>
      <c r="L206" s="52"/>
      <c r="M206" s="52">
        <v>10.66</v>
      </c>
      <c r="N206" s="52">
        <f>PRODUCT(H206:M206)</f>
        <v>383.76</v>
      </c>
      <c r="O206" s="53">
        <f>ROUNDUP(N206/100,1)</f>
        <v>3.9</v>
      </c>
    </row>
    <row r="207" spans="1:15">
      <c r="A207" s="36"/>
      <c r="B207" s="63"/>
      <c r="C207" s="46"/>
      <c r="D207" s="43"/>
      <c r="E207" s="71"/>
      <c r="F207" s="16"/>
      <c r="O207" s="54"/>
    </row>
    <row r="208" spans="1:15">
      <c r="A208" s="36"/>
      <c r="B208" s="63"/>
      <c r="C208" s="46"/>
      <c r="D208" s="43"/>
      <c r="E208" s="71"/>
      <c r="F208" s="16"/>
      <c r="O208" s="54"/>
    </row>
    <row r="209" spans="1:15">
      <c r="A209" s="36"/>
      <c r="B209" s="63"/>
      <c r="C209" s="46"/>
      <c r="D209" s="43"/>
      <c r="E209" s="71"/>
      <c r="F209" s="16"/>
      <c r="O209" s="54"/>
    </row>
    <row r="210" spans="1:6">
      <c r="A210" s="36"/>
      <c r="B210" s="63"/>
      <c r="C210" s="46"/>
      <c r="D210" s="43"/>
      <c r="E210" s="71"/>
      <c r="F210" s="16"/>
    </row>
    <row r="211" spans="1:15">
      <c r="A211" s="36"/>
      <c r="B211" s="63" t="s">
        <v>109</v>
      </c>
      <c r="C211" s="42">
        <f>O217</f>
        <v>1.6</v>
      </c>
      <c r="D211" s="43" t="s">
        <v>39</v>
      </c>
      <c r="E211" s="71">
        <f>16600*1.04</f>
        <v>17264</v>
      </c>
      <c r="F211" s="16">
        <f t="shared" ref="F211" si="23">E211*C211</f>
        <v>27622.4</v>
      </c>
      <c r="H211" s="1" t="s">
        <v>360</v>
      </c>
      <c r="J211" s="51">
        <v>18</v>
      </c>
      <c r="K211" s="52">
        <v>3.5</v>
      </c>
      <c r="L211" s="52"/>
      <c r="M211" s="52">
        <v>0.5</v>
      </c>
      <c r="N211" s="52">
        <f t="shared" ref="N211:N216" si="24">PRODUCT(I211:M211)</f>
        <v>31.5</v>
      </c>
      <c r="O211" s="53"/>
    </row>
    <row r="212" spans="1:15">
      <c r="A212" s="36"/>
      <c r="B212" s="63"/>
      <c r="C212" s="46"/>
      <c r="D212" s="43"/>
      <c r="E212" s="71"/>
      <c r="F212" s="16"/>
      <c r="H212" s="1" t="s">
        <v>400</v>
      </c>
      <c r="J212" s="51">
        <v>2</v>
      </c>
      <c r="K212" s="52">
        <v>13</v>
      </c>
      <c r="L212" s="52"/>
      <c r="M212" s="52">
        <v>0.33</v>
      </c>
      <c r="N212" s="52">
        <f t="shared" si="24"/>
        <v>8.58</v>
      </c>
      <c r="O212" s="53"/>
    </row>
    <row r="213" spans="1:15">
      <c r="A213" s="36"/>
      <c r="B213" s="63"/>
      <c r="C213" s="46"/>
      <c r="D213" s="43"/>
      <c r="E213" s="71"/>
      <c r="F213" s="16"/>
      <c r="H213" s="1" t="s">
        <v>364</v>
      </c>
      <c r="J213" s="51">
        <v>1</v>
      </c>
      <c r="K213" s="52">
        <v>13</v>
      </c>
      <c r="L213" s="52">
        <v>3.5</v>
      </c>
      <c r="M213" s="52"/>
      <c r="N213" s="52">
        <f t="shared" si="24"/>
        <v>45.5</v>
      </c>
      <c r="O213" s="53"/>
    </row>
    <row r="214" spans="1:15">
      <c r="A214" s="36"/>
      <c r="B214" s="67"/>
      <c r="C214" s="23"/>
      <c r="D214" s="21"/>
      <c r="E214" s="39"/>
      <c r="F214" s="16"/>
      <c r="H214" s="1" t="s">
        <v>361</v>
      </c>
      <c r="I214" s="1">
        <v>0.5</v>
      </c>
      <c r="J214" s="66">
        <v>19</v>
      </c>
      <c r="K214" s="52">
        <v>0.83</v>
      </c>
      <c r="L214" s="52">
        <v>0.5</v>
      </c>
      <c r="M214" s="52">
        <f>PRODUCT(H214:L214)</f>
        <v>3.94</v>
      </c>
      <c r="N214" s="52">
        <f t="shared" si="24"/>
        <v>15.53</v>
      </c>
      <c r="O214" s="53"/>
    </row>
    <row r="215" spans="1:15">
      <c r="A215" s="36"/>
      <c r="B215" s="67"/>
      <c r="C215" s="23"/>
      <c r="D215" s="21"/>
      <c r="E215" s="39"/>
      <c r="F215" s="16"/>
      <c r="H215" s="1" t="s">
        <v>400</v>
      </c>
      <c r="J215" s="51">
        <v>2</v>
      </c>
      <c r="K215" s="52">
        <v>13</v>
      </c>
      <c r="L215" s="52"/>
      <c r="M215" s="52">
        <v>0.33</v>
      </c>
      <c r="N215" s="52">
        <f t="shared" si="24"/>
        <v>8.58</v>
      </c>
      <c r="O215" s="53"/>
    </row>
    <row r="216" spans="1:15">
      <c r="A216" s="36"/>
      <c r="B216" s="67"/>
      <c r="C216" s="23"/>
      <c r="D216" s="21"/>
      <c r="E216" s="39"/>
      <c r="F216" s="16"/>
      <c r="H216" s="1" t="s">
        <v>364</v>
      </c>
      <c r="J216" s="51">
        <v>1</v>
      </c>
      <c r="K216" s="52">
        <v>13</v>
      </c>
      <c r="L216" s="52">
        <v>3.5</v>
      </c>
      <c r="M216" s="52"/>
      <c r="N216" s="52">
        <f t="shared" si="24"/>
        <v>45.5</v>
      </c>
      <c r="O216" s="53"/>
    </row>
    <row r="217" spans="1:15">
      <c r="A217" s="36"/>
      <c r="B217" s="67"/>
      <c r="C217" s="23"/>
      <c r="D217" s="21"/>
      <c r="E217" s="39"/>
      <c r="F217" s="16"/>
      <c r="N217" s="52">
        <f>SUM(N211:N216)</f>
        <v>155.19</v>
      </c>
      <c r="O217" s="53">
        <f>ROUNDUP(N217/100,1)</f>
        <v>1.6</v>
      </c>
    </row>
    <row r="218" spans="1:6">
      <c r="A218" s="36"/>
      <c r="B218" s="67"/>
      <c r="C218" s="23"/>
      <c r="D218" s="21"/>
      <c r="E218" s="39"/>
      <c r="F218" s="16"/>
    </row>
    <row r="219" spans="1:6">
      <c r="A219" s="36"/>
      <c r="B219" s="67"/>
      <c r="C219" s="23"/>
      <c r="D219" s="21"/>
      <c r="E219" s="39"/>
      <c r="F219" s="16"/>
    </row>
    <row r="220" spans="1:6">
      <c r="A220" s="29"/>
      <c r="B220" s="30"/>
      <c r="C220" s="30"/>
      <c r="D220" s="15"/>
      <c r="E220" s="30"/>
      <c r="F220" s="25"/>
    </row>
    <row r="221" ht="14.55" spans="1:15">
      <c r="A221" s="29"/>
      <c r="B221" s="26" t="s">
        <v>404</v>
      </c>
      <c r="C221" s="14"/>
      <c r="D221" s="15"/>
      <c r="E221" s="14"/>
      <c r="F221" s="27">
        <f>SUM(F143:F220)</f>
        <v>746893.9</v>
      </c>
      <c r="G221" s="28"/>
      <c r="H221" s="28"/>
      <c r="I221" s="28"/>
      <c r="J221" s="28"/>
      <c r="K221" s="28"/>
      <c r="L221" s="28"/>
      <c r="M221" s="28"/>
      <c r="N221" s="28"/>
      <c r="O221" s="28"/>
    </row>
    <row r="222" ht="14.55" spans="1:6">
      <c r="A222" s="29"/>
      <c r="B222" s="30"/>
      <c r="C222" s="14"/>
      <c r="D222" s="15"/>
      <c r="E222" s="14"/>
      <c r="F222" s="31"/>
    </row>
    <row r="223" spans="1:6">
      <c r="A223" s="74" t="s">
        <v>40</v>
      </c>
      <c r="B223" s="75" t="s">
        <v>405</v>
      </c>
      <c r="C223" s="44"/>
      <c r="D223" s="48"/>
      <c r="E223" s="44"/>
      <c r="F223" s="45"/>
    </row>
    <row r="224" spans="1:6">
      <c r="A224" s="74"/>
      <c r="B224" s="75"/>
      <c r="C224" s="44"/>
      <c r="D224" s="48"/>
      <c r="E224" s="44"/>
      <c r="F224" s="45"/>
    </row>
    <row r="225" spans="1:15">
      <c r="A225" s="76" t="s">
        <v>406</v>
      </c>
      <c r="B225" s="77" t="s">
        <v>407</v>
      </c>
      <c r="C225" s="78">
        <f>O231</f>
        <v>11</v>
      </c>
      <c r="D225" s="48" t="s">
        <v>32</v>
      </c>
      <c r="E225" s="78">
        <f>9700*1.1*2.83</f>
        <v>30196.1</v>
      </c>
      <c r="F225" s="45">
        <f>E225*C225</f>
        <v>332157.1</v>
      </c>
      <c r="H225" s="1" t="s">
        <v>333</v>
      </c>
      <c r="J225" s="51">
        <v>1</v>
      </c>
      <c r="K225" s="52">
        <f>32+12+12+81</f>
        <v>137</v>
      </c>
      <c r="L225" s="52">
        <v>1.58</v>
      </c>
      <c r="M225" s="52">
        <v>1.5</v>
      </c>
      <c r="N225" s="52">
        <f t="shared" ref="N225:N230" si="25">PRODUCT(I225:M225)</f>
        <v>324.69</v>
      </c>
      <c r="O225" s="52"/>
    </row>
    <row r="226" spans="1:15">
      <c r="A226" s="36"/>
      <c r="B226" s="79"/>
      <c r="C226" s="14"/>
      <c r="D226" s="15"/>
      <c r="E226" s="14"/>
      <c r="F226" s="16"/>
      <c r="J226" s="51">
        <v>1</v>
      </c>
      <c r="K226" s="52">
        <f>32+12+12+81</f>
        <v>137</v>
      </c>
      <c r="L226" s="52">
        <v>1.08</v>
      </c>
      <c r="M226" s="52">
        <v>1.5</v>
      </c>
      <c r="N226" s="52">
        <f t="shared" si="25"/>
        <v>221.94</v>
      </c>
      <c r="O226" s="52"/>
    </row>
    <row r="227" spans="1:15">
      <c r="A227" s="36"/>
      <c r="B227" s="79"/>
      <c r="C227" s="14"/>
      <c r="D227" s="15"/>
      <c r="E227" s="14"/>
      <c r="F227" s="16"/>
      <c r="H227" s="1" t="s">
        <v>334</v>
      </c>
      <c r="J227" s="51">
        <v>1</v>
      </c>
      <c r="K227" s="52">
        <f>15+11-3+21-3</f>
        <v>41</v>
      </c>
      <c r="L227" s="52">
        <v>1.5</v>
      </c>
      <c r="M227" s="52">
        <v>1.5</v>
      </c>
      <c r="N227" s="52">
        <f t="shared" si="25"/>
        <v>92.25</v>
      </c>
      <c r="O227" s="52"/>
    </row>
    <row r="228" spans="1:15">
      <c r="A228" s="36"/>
      <c r="B228" s="79"/>
      <c r="C228" s="14"/>
      <c r="D228" s="15"/>
      <c r="E228" s="14"/>
      <c r="F228" s="16"/>
      <c r="J228" s="51">
        <v>1</v>
      </c>
      <c r="K228" s="52">
        <v>41</v>
      </c>
      <c r="L228" s="52">
        <v>1</v>
      </c>
      <c r="M228" s="52">
        <v>1</v>
      </c>
      <c r="N228" s="52">
        <f t="shared" si="25"/>
        <v>41</v>
      </c>
      <c r="O228" s="52"/>
    </row>
    <row r="229" spans="1:15">
      <c r="A229" s="36"/>
      <c r="B229" s="79"/>
      <c r="C229" s="14"/>
      <c r="D229" s="15"/>
      <c r="E229" s="14"/>
      <c r="F229" s="16"/>
      <c r="H229" s="1" t="s">
        <v>335</v>
      </c>
      <c r="J229" s="51">
        <v>1</v>
      </c>
      <c r="K229" s="52">
        <v>44</v>
      </c>
      <c r="L229" s="52">
        <v>2.5</v>
      </c>
      <c r="M229" s="52">
        <v>2.5</v>
      </c>
      <c r="N229" s="52">
        <f t="shared" si="25"/>
        <v>275</v>
      </c>
      <c r="O229" s="52"/>
    </row>
    <row r="230" spans="1:15">
      <c r="A230" s="36"/>
      <c r="B230" s="79"/>
      <c r="C230" s="14"/>
      <c r="D230" s="15"/>
      <c r="E230" s="14"/>
      <c r="F230" s="16"/>
      <c r="J230" s="51">
        <v>1</v>
      </c>
      <c r="K230" s="52">
        <v>44</v>
      </c>
      <c r="L230" s="52">
        <v>1.25</v>
      </c>
      <c r="M230" s="52">
        <v>2.5</v>
      </c>
      <c r="N230" s="52">
        <f t="shared" si="25"/>
        <v>137.5</v>
      </c>
      <c r="O230" s="52"/>
    </row>
    <row r="231" spans="1:15">
      <c r="A231" s="36"/>
      <c r="B231" s="79"/>
      <c r="C231" s="14"/>
      <c r="D231" s="15"/>
      <c r="E231" s="14"/>
      <c r="F231" s="16"/>
      <c r="J231" s="51"/>
      <c r="K231" s="52"/>
      <c r="L231" s="52"/>
      <c r="M231" s="52"/>
      <c r="N231" s="52">
        <f>SUM(N225:N230)</f>
        <v>1092.38</v>
      </c>
      <c r="O231" s="53">
        <f>ROUNDUP(N231/100,1)</f>
        <v>11</v>
      </c>
    </row>
    <row r="232" spans="1:6">
      <c r="A232" s="36"/>
      <c r="B232" s="79"/>
      <c r="C232" s="14"/>
      <c r="D232" s="15"/>
      <c r="E232" s="14"/>
      <c r="F232" s="16"/>
    </row>
    <row r="233" spans="1:6">
      <c r="A233" s="29"/>
      <c r="B233" s="30"/>
      <c r="C233" s="14"/>
      <c r="D233" s="15"/>
      <c r="E233" s="14"/>
      <c r="F233" s="16"/>
    </row>
    <row r="234" spans="1:6">
      <c r="A234" s="36"/>
      <c r="B234" s="80" t="s">
        <v>408</v>
      </c>
      <c r="C234" s="44"/>
      <c r="D234" s="48"/>
      <c r="E234" s="44"/>
      <c r="F234" s="16"/>
    </row>
    <row r="235" spans="1:15">
      <c r="A235" s="36" t="s">
        <v>409</v>
      </c>
      <c r="B235" s="81" t="s">
        <v>112</v>
      </c>
      <c r="C235" s="46">
        <v>0</v>
      </c>
      <c r="D235" s="48" t="s">
        <v>39</v>
      </c>
      <c r="E235" s="71">
        <f>1995*10.76</f>
        <v>21466.2</v>
      </c>
      <c r="F235" s="16">
        <f>E235*C235</f>
        <v>0</v>
      </c>
      <c r="N235" s="52"/>
      <c r="O235" s="53">
        <f>ROUNDUP(N235/100,1)</f>
        <v>0</v>
      </c>
    </row>
    <row r="236" spans="1:15">
      <c r="A236" s="36" t="s">
        <v>410</v>
      </c>
      <c r="B236" s="82" t="s">
        <v>114</v>
      </c>
      <c r="C236" s="46">
        <f>O236</f>
        <v>1</v>
      </c>
      <c r="D236" s="48" t="s">
        <v>39</v>
      </c>
      <c r="E236" s="44">
        <f>3540*10.76</f>
        <v>38090.4</v>
      </c>
      <c r="F236" s="16">
        <f t="shared" ref="F236:F245" si="26">E236*C236</f>
        <v>38090.4</v>
      </c>
      <c r="N236" s="52">
        <v>97</v>
      </c>
      <c r="O236" s="53">
        <f>ROUNDUP(N236/100,1)</f>
        <v>1</v>
      </c>
    </row>
    <row r="237" spans="1:6">
      <c r="A237" s="36"/>
      <c r="B237" s="82"/>
      <c r="C237" s="46"/>
      <c r="D237" s="48"/>
      <c r="E237" s="44"/>
      <c r="F237" s="16"/>
    </row>
    <row r="238" spans="1:6">
      <c r="A238" s="36"/>
      <c r="B238" s="82"/>
      <c r="C238" s="46"/>
      <c r="D238" s="48"/>
      <c r="E238" s="44"/>
      <c r="F238" s="16"/>
    </row>
    <row r="239" spans="1:6">
      <c r="A239" s="36"/>
      <c r="B239" s="80" t="s">
        <v>411</v>
      </c>
      <c r="C239" s="46"/>
      <c r="D239" s="48"/>
      <c r="E239" s="44"/>
      <c r="F239" s="16"/>
    </row>
    <row r="240" spans="1:15">
      <c r="A240" s="36"/>
      <c r="B240" s="82" t="s">
        <v>116</v>
      </c>
      <c r="C240" s="46">
        <f t="shared" ref="C240:C241" si="27">O240</f>
        <v>1.3</v>
      </c>
      <c r="D240" s="48" t="s">
        <v>39</v>
      </c>
      <c r="E240" s="44">
        <f>2090*10.76</f>
        <v>22488.4</v>
      </c>
      <c r="F240" s="16">
        <f>E240*C240</f>
        <v>29234.92</v>
      </c>
      <c r="N240" s="52">
        <v>125</v>
      </c>
      <c r="O240" s="53">
        <f t="shared" ref="O240:O241" si="28">ROUNDUP(N240/100,1)</f>
        <v>1.3</v>
      </c>
    </row>
    <row r="241" spans="1:15">
      <c r="A241" s="36" t="s">
        <v>412</v>
      </c>
      <c r="B241" s="82" t="s">
        <v>117</v>
      </c>
      <c r="C241" s="46">
        <f t="shared" si="27"/>
        <v>12.7</v>
      </c>
      <c r="D241" s="48" t="s">
        <v>39</v>
      </c>
      <c r="E241" s="44">
        <f>3615*10.76</f>
        <v>38897.4</v>
      </c>
      <c r="F241" s="16">
        <f t="shared" si="26"/>
        <v>493996.98</v>
      </c>
      <c r="N241" s="52">
        <v>1263</v>
      </c>
      <c r="O241" s="53">
        <f t="shared" si="28"/>
        <v>12.7</v>
      </c>
    </row>
    <row r="242" spans="1:6">
      <c r="A242" s="36" t="s">
        <v>413</v>
      </c>
      <c r="B242" s="83"/>
      <c r="C242" s="83"/>
      <c r="D242" s="83"/>
      <c r="E242" s="83"/>
      <c r="F242" s="3"/>
    </row>
    <row r="243" spans="1:6">
      <c r="A243" s="36"/>
      <c r="B243" s="82"/>
      <c r="C243" s="46"/>
      <c r="D243" s="48"/>
      <c r="E243" s="44"/>
      <c r="F243" s="16"/>
    </row>
    <row r="244" spans="1:6">
      <c r="A244" s="36"/>
      <c r="B244" s="80" t="s">
        <v>118</v>
      </c>
      <c r="C244" s="46"/>
      <c r="D244" s="48"/>
      <c r="E244" s="44"/>
      <c r="F244" s="16"/>
    </row>
    <row r="245" spans="1:15">
      <c r="A245" s="36" t="s">
        <v>414</v>
      </c>
      <c r="B245" s="81" t="s">
        <v>119</v>
      </c>
      <c r="C245" s="46">
        <f t="shared" ref="C245:C246" si="29">O245</f>
        <v>3.3</v>
      </c>
      <c r="D245" s="48" t="s">
        <v>39</v>
      </c>
      <c r="E245" s="44">
        <f>2190*10.76</f>
        <v>23564.4</v>
      </c>
      <c r="F245" s="16">
        <f t="shared" si="26"/>
        <v>77762.52</v>
      </c>
      <c r="N245" s="52">
        <v>325</v>
      </c>
      <c r="O245" s="53">
        <f t="shared" ref="O245:O246" si="30">ROUNDUP(N245/100,1)</f>
        <v>3.3</v>
      </c>
    </row>
    <row r="246" spans="1:15">
      <c r="A246" s="36" t="s">
        <v>415</v>
      </c>
      <c r="B246" s="82" t="s">
        <v>117</v>
      </c>
      <c r="C246" s="46">
        <f t="shared" si="29"/>
        <v>17.3</v>
      </c>
      <c r="D246" s="48" t="s">
        <v>39</v>
      </c>
      <c r="E246" s="44">
        <f>3715*10.76</f>
        <v>39973.4</v>
      </c>
      <c r="F246" s="16">
        <f t="shared" ref="F246" si="31">E246*C246</f>
        <v>691539.82</v>
      </c>
      <c r="N246" s="52">
        <v>1728</v>
      </c>
      <c r="O246" s="53">
        <f t="shared" si="30"/>
        <v>17.3</v>
      </c>
    </row>
    <row r="247" ht="17.25" customHeight="1" spans="1:15">
      <c r="A247" s="36"/>
      <c r="B247" s="60"/>
      <c r="C247" s="23"/>
      <c r="D247" s="15"/>
      <c r="E247" s="14"/>
      <c r="F247" s="25"/>
      <c r="G247" s="28"/>
      <c r="H247" s="28"/>
      <c r="I247" s="28"/>
      <c r="J247" s="28"/>
      <c r="K247" s="28"/>
      <c r="L247" s="28"/>
      <c r="M247" s="28"/>
      <c r="N247" s="28"/>
      <c r="O247" s="28"/>
    </row>
    <row r="248" ht="14.55" spans="1:6">
      <c r="A248" s="32"/>
      <c r="B248" s="26" t="s">
        <v>416</v>
      </c>
      <c r="C248" s="84"/>
      <c r="D248" s="85"/>
      <c r="E248" s="84"/>
      <c r="F248" s="27">
        <f>SUM(F224:F247)</f>
        <v>1662781.74</v>
      </c>
    </row>
    <row r="249" s="1" customFormat="1" ht="14.55" spans="1:23">
      <c r="A249" s="29"/>
      <c r="B249" s="30"/>
      <c r="C249" s="14"/>
      <c r="D249" s="15"/>
      <c r="E249" s="14"/>
      <c r="F249" s="31"/>
      <c r="P249" s="3"/>
      <c r="Q249" s="3"/>
      <c r="R249" s="3"/>
      <c r="S249" s="3"/>
      <c r="T249" s="3"/>
      <c r="U249" s="3"/>
      <c r="V249" s="3"/>
      <c r="W249" s="3"/>
    </row>
    <row r="250" s="1" customFormat="1" spans="1:23">
      <c r="A250" s="29"/>
      <c r="B250" s="30"/>
      <c r="C250" s="14"/>
      <c r="D250" s="15"/>
      <c r="E250" s="14"/>
      <c r="F250" s="16"/>
      <c r="P250" s="3"/>
      <c r="Q250" s="3"/>
      <c r="R250" s="3"/>
      <c r="S250" s="3"/>
      <c r="T250" s="3"/>
      <c r="U250" s="3"/>
      <c r="V250" s="3"/>
      <c r="W250" s="3"/>
    </row>
    <row r="251" s="1" customFormat="1" spans="1:23">
      <c r="A251" s="29"/>
      <c r="B251" s="30"/>
      <c r="C251" s="14"/>
      <c r="D251" s="15"/>
      <c r="E251" s="14"/>
      <c r="F251" s="16"/>
      <c r="P251" s="3"/>
      <c r="Q251" s="3"/>
      <c r="R251" s="3"/>
      <c r="S251" s="3"/>
      <c r="T251" s="3"/>
      <c r="U251" s="3"/>
      <c r="V251" s="3"/>
      <c r="W251" s="3"/>
    </row>
    <row r="252" s="1" customFormat="1" spans="1:23">
      <c r="A252" s="29"/>
      <c r="B252" s="30"/>
      <c r="C252" s="14"/>
      <c r="D252" s="15"/>
      <c r="E252" s="14"/>
      <c r="F252" s="16"/>
      <c r="P252" s="3"/>
      <c r="Q252" s="3"/>
      <c r="R252" s="3"/>
      <c r="S252" s="3"/>
      <c r="T252" s="3"/>
      <c r="U252" s="3"/>
      <c r="V252" s="3"/>
      <c r="W252" s="3"/>
    </row>
    <row r="253" s="1" customFormat="1" spans="1:23">
      <c r="A253" s="29"/>
      <c r="B253" s="30"/>
      <c r="C253" s="14"/>
      <c r="D253" s="15"/>
      <c r="E253" s="14"/>
      <c r="F253" s="16"/>
      <c r="P253" s="3"/>
      <c r="Q253" s="3"/>
      <c r="R253" s="3"/>
      <c r="S253" s="3"/>
      <c r="T253" s="3"/>
      <c r="U253" s="3"/>
      <c r="V253" s="3"/>
      <c r="W253" s="3"/>
    </row>
    <row r="254" s="1" customFormat="1" spans="1:23">
      <c r="A254" s="32" t="s">
        <v>42</v>
      </c>
      <c r="B254" s="35" t="s">
        <v>417</v>
      </c>
      <c r="C254" s="14"/>
      <c r="D254" s="15"/>
      <c r="E254" s="14"/>
      <c r="F254" s="16"/>
      <c r="P254" s="3"/>
      <c r="Q254" s="3"/>
      <c r="R254" s="3"/>
      <c r="S254" s="3"/>
      <c r="T254" s="3"/>
      <c r="U254" s="3"/>
      <c r="V254" s="3"/>
      <c r="W254" s="3"/>
    </row>
    <row r="255" s="1" customFormat="1" spans="1:23">
      <c r="A255" s="32"/>
      <c r="B255" s="35"/>
      <c r="C255" s="14"/>
      <c r="D255" s="15"/>
      <c r="E255" s="14"/>
      <c r="F255" s="16"/>
      <c r="P255" s="3"/>
      <c r="Q255" s="3"/>
      <c r="R255" s="3"/>
      <c r="S255" s="3"/>
      <c r="T255" s="3"/>
      <c r="U255" s="3"/>
      <c r="V255" s="3"/>
      <c r="W255" s="3"/>
    </row>
    <row r="256" s="1" customFormat="1" spans="1:23">
      <c r="A256" s="36" t="s">
        <v>418</v>
      </c>
      <c r="B256" s="86" t="s">
        <v>68</v>
      </c>
      <c r="C256" s="78">
        <f>C30</f>
        <v>13</v>
      </c>
      <c r="D256" s="48" t="s">
        <v>39</v>
      </c>
      <c r="E256" s="78">
        <f>110*10.76</f>
        <v>1183.6</v>
      </c>
      <c r="F256" s="45">
        <f>E256*C256</f>
        <v>15386.8</v>
      </c>
      <c r="P256" s="3"/>
      <c r="Q256" s="3"/>
      <c r="R256" s="3"/>
      <c r="S256" s="3"/>
      <c r="T256" s="3"/>
      <c r="U256" s="3"/>
      <c r="V256" s="3"/>
      <c r="W256" s="3"/>
    </row>
    <row r="257" s="1" customFormat="1" spans="1:23">
      <c r="A257" s="36"/>
      <c r="B257" s="86"/>
      <c r="C257" s="44"/>
      <c r="D257" s="48"/>
      <c r="E257" s="44"/>
      <c r="F257" s="45"/>
      <c r="P257" s="3"/>
      <c r="Q257" s="3"/>
      <c r="R257" s="3"/>
      <c r="S257" s="3"/>
      <c r="T257" s="3"/>
      <c r="U257" s="3"/>
      <c r="V257" s="3"/>
      <c r="W257" s="3"/>
    </row>
    <row r="258" s="1" customFormat="1" spans="1:23">
      <c r="A258" s="36"/>
      <c r="B258" s="86"/>
      <c r="C258" s="44"/>
      <c r="D258" s="48"/>
      <c r="E258" s="44"/>
      <c r="F258" s="45"/>
      <c r="P258" s="3"/>
      <c r="Q258" s="3"/>
      <c r="R258" s="3"/>
      <c r="S258" s="3"/>
      <c r="T258" s="3"/>
      <c r="U258" s="3"/>
      <c r="V258" s="3"/>
      <c r="W258" s="3"/>
    </row>
    <row r="259" s="1" customFormat="1" spans="1:23">
      <c r="A259" s="36"/>
      <c r="B259" s="75" t="s">
        <v>69</v>
      </c>
      <c r="C259" s="46"/>
      <c r="D259" s="48"/>
      <c r="E259" s="71"/>
      <c r="F259" s="45"/>
      <c r="P259" s="3"/>
      <c r="Q259" s="3"/>
      <c r="R259" s="3"/>
      <c r="S259" s="3"/>
      <c r="T259" s="3"/>
      <c r="U259" s="3"/>
      <c r="V259" s="3"/>
      <c r="W259" s="3"/>
    </row>
    <row r="260" ht="15.75" customHeight="1" spans="1:15">
      <c r="A260" s="87" t="s">
        <v>419</v>
      </c>
      <c r="B260" s="88" t="s">
        <v>70</v>
      </c>
      <c r="C260" s="78">
        <f>O263</f>
        <v>2.6</v>
      </c>
      <c r="D260" s="48" t="s">
        <v>39</v>
      </c>
      <c r="E260" s="72">
        <f>350*10.76</f>
        <v>3766</v>
      </c>
      <c r="F260" s="45">
        <f>E260*C260</f>
        <v>9791.6</v>
      </c>
      <c r="H260" s="1" t="s">
        <v>333</v>
      </c>
      <c r="J260" s="51">
        <v>1</v>
      </c>
      <c r="K260" s="52">
        <f>32+12+12+81</f>
        <v>137</v>
      </c>
      <c r="L260" s="52">
        <v>1.25</v>
      </c>
      <c r="M260" s="52"/>
      <c r="N260" s="52">
        <f>PRODUCT(I260:M260)</f>
        <v>171.25</v>
      </c>
      <c r="O260" s="52"/>
    </row>
    <row r="261" ht="15.75" customHeight="1" spans="1:15">
      <c r="A261" s="87"/>
      <c r="B261" s="88"/>
      <c r="C261" s="46"/>
      <c r="D261" s="48"/>
      <c r="E261" s="71"/>
      <c r="F261" s="45"/>
      <c r="H261" s="1" t="s">
        <v>334</v>
      </c>
      <c r="J261" s="51">
        <v>1</v>
      </c>
      <c r="K261" s="52">
        <f>15+11-3+21-3</f>
        <v>41</v>
      </c>
      <c r="L261" s="52">
        <v>1</v>
      </c>
      <c r="M261" s="52"/>
      <c r="N261" s="52">
        <f>PRODUCT(I261:M261)</f>
        <v>41</v>
      </c>
      <c r="O261" s="52"/>
    </row>
    <row r="262" ht="15.75" customHeight="1" spans="1:15">
      <c r="A262" s="87"/>
      <c r="B262" s="88"/>
      <c r="C262" s="46"/>
      <c r="D262" s="48"/>
      <c r="E262" s="71"/>
      <c r="F262" s="45"/>
      <c r="H262" s="1" t="s">
        <v>335</v>
      </c>
      <c r="J262" s="51">
        <v>1</v>
      </c>
      <c r="K262" s="52">
        <f>50-6</f>
        <v>44</v>
      </c>
      <c r="L262" s="52">
        <v>1</v>
      </c>
      <c r="M262" s="52"/>
      <c r="N262" s="52">
        <f>PRODUCT(I262:M262)</f>
        <v>44</v>
      </c>
      <c r="O262" s="52"/>
    </row>
    <row r="263" ht="15.75" customHeight="1" spans="1:15">
      <c r="A263" s="87"/>
      <c r="B263" s="89"/>
      <c r="C263" s="23"/>
      <c r="D263" s="15"/>
      <c r="E263" s="39"/>
      <c r="F263" s="16"/>
      <c r="J263" s="51"/>
      <c r="K263" s="52"/>
      <c r="L263" s="52"/>
      <c r="M263" s="52"/>
      <c r="N263" s="52">
        <f>SUM(N260:N262)</f>
        <v>256.25</v>
      </c>
      <c r="O263" s="53">
        <f>ROUNDUP(N263/100,1)</f>
        <v>2.6</v>
      </c>
    </row>
    <row r="264" ht="15.75" customHeight="1" spans="1:6">
      <c r="A264" s="87"/>
      <c r="B264" s="89"/>
      <c r="C264" s="23"/>
      <c r="D264" s="15"/>
      <c r="E264" s="39"/>
      <c r="F264" s="16"/>
    </row>
    <row r="265" spans="1:6">
      <c r="A265" s="87"/>
      <c r="B265" s="89"/>
      <c r="C265" s="23"/>
      <c r="D265" s="15"/>
      <c r="E265" s="39"/>
      <c r="F265" s="16"/>
    </row>
    <row r="266" ht="90" customHeight="1" spans="1:6">
      <c r="A266" s="87" t="s">
        <v>420</v>
      </c>
      <c r="B266" s="90" t="s">
        <v>421</v>
      </c>
      <c r="C266" s="46"/>
      <c r="D266" s="48"/>
      <c r="E266" s="71"/>
      <c r="F266" s="16">
        <f t="shared" ref="F266" si="32">E266*C266</f>
        <v>0</v>
      </c>
    </row>
    <row r="267" ht="14.25" customHeight="1" spans="1:6">
      <c r="A267" s="87"/>
      <c r="B267" s="90"/>
      <c r="C267" s="46"/>
      <c r="D267" s="48"/>
      <c r="E267" s="71"/>
      <c r="F267" s="25"/>
    </row>
    <row r="268" ht="14.25" customHeight="1" spans="1:15">
      <c r="A268" s="87"/>
      <c r="B268" s="90" t="s">
        <v>122</v>
      </c>
      <c r="C268" s="42">
        <f>O270</f>
        <v>1.9</v>
      </c>
      <c r="D268" s="48" t="s">
        <v>39</v>
      </c>
      <c r="E268" s="71">
        <f>165*100</f>
        <v>16500</v>
      </c>
      <c r="F268" s="25">
        <f>E268*C268</f>
        <v>31350</v>
      </c>
      <c r="H268" s="1" t="s">
        <v>422</v>
      </c>
      <c r="J268" s="51">
        <v>1</v>
      </c>
      <c r="K268" s="52">
        <v>9</v>
      </c>
      <c r="L268" s="52">
        <v>4.66</v>
      </c>
      <c r="M268" s="52"/>
      <c r="N268" s="52">
        <f>PRODUCT(I268:M268)</f>
        <v>41.94</v>
      </c>
      <c r="O268" s="52"/>
    </row>
    <row r="269" ht="14.25" customHeight="1" spans="1:15">
      <c r="A269" s="87"/>
      <c r="B269" s="90"/>
      <c r="C269" s="46"/>
      <c r="D269" s="48"/>
      <c r="E269" s="71"/>
      <c r="F269" s="25"/>
      <c r="H269" s="1" t="s">
        <v>423</v>
      </c>
      <c r="J269" s="51">
        <v>1</v>
      </c>
      <c r="K269" s="52">
        <f>(K268+L268)*2-3</f>
        <v>24.32</v>
      </c>
      <c r="L269" s="52"/>
      <c r="M269" s="52">
        <v>6</v>
      </c>
      <c r="N269" s="52">
        <f>PRODUCT(I269:M269)</f>
        <v>145.92</v>
      </c>
      <c r="O269" s="52"/>
    </row>
    <row r="270" ht="14.25" customHeight="1" spans="1:15">
      <c r="A270" s="87"/>
      <c r="B270" s="90"/>
      <c r="C270" s="46"/>
      <c r="D270" s="48"/>
      <c r="E270" s="71"/>
      <c r="F270" s="25"/>
      <c r="J270" s="51"/>
      <c r="K270" s="52"/>
      <c r="L270" s="52"/>
      <c r="M270" s="52"/>
      <c r="N270" s="52">
        <f>SUM(N264:N269)</f>
        <v>187.86</v>
      </c>
      <c r="O270" s="53">
        <f>ROUNDUP(N270/100,1)</f>
        <v>1.9</v>
      </c>
    </row>
    <row r="271" ht="14.25" customHeight="1" spans="1:15">
      <c r="A271" s="87"/>
      <c r="B271" s="90" t="s">
        <v>123</v>
      </c>
      <c r="C271" s="42">
        <f>O273</f>
        <v>1.9</v>
      </c>
      <c r="D271" s="48" t="s">
        <v>39</v>
      </c>
      <c r="E271" s="71">
        <f>165*100</f>
        <v>16500</v>
      </c>
      <c r="F271" s="25">
        <f>E271*C271</f>
        <v>31350</v>
      </c>
      <c r="H271" s="1" t="s">
        <v>422</v>
      </c>
      <c r="J271" s="51">
        <v>1</v>
      </c>
      <c r="K271" s="52">
        <v>9</v>
      </c>
      <c r="L271" s="52">
        <v>4.66</v>
      </c>
      <c r="M271" s="52"/>
      <c r="N271" s="52">
        <f>PRODUCT(I271:M271)</f>
        <v>41.94</v>
      </c>
      <c r="O271" s="52"/>
    </row>
    <row r="272" ht="14.25" customHeight="1" spans="1:15">
      <c r="A272" s="87"/>
      <c r="B272" s="90"/>
      <c r="C272" s="46"/>
      <c r="D272" s="48"/>
      <c r="E272" s="71"/>
      <c r="F272" s="25"/>
      <c r="H272" s="1" t="s">
        <v>423</v>
      </c>
      <c r="J272" s="51">
        <v>1</v>
      </c>
      <c r="K272" s="52">
        <f>(K271+L271)*2-3</f>
        <v>24.32</v>
      </c>
      <c r="L272" s="52"/>
      <c r="M272" s="52">
        <v>6</v>
      </c>
      <c r="N272" s="52">
        <f>PRODUCT(I272:M272)</f>
        <v>145.92</v>
      </c>
      <c r="O272" s="52"/>
    </row>
    <row r="273" ht="14.25" customHeight="1" spans="1:15">
      <c r="A273" s="87"/>
      <c r="B273" s="90"/>
      <c r="C273" s="46"/>
      <c r="D273" s="48"/>
      <c r="E273" s="71"/>
      <c r="F273" s="25"/>
      <c r="J273" s="51"/>
      <c r="K273" s="52"/>
      <c r="L273" s="52"/>
      <c r="M273" s="52"/>
      <c r="N273" s="52">
        <f>SUM(N271:N272)</f>
        <v>187.86</v>
      </c>
      <c r="O273" s="53">
        <f>ROUNDUP(N273/100,1)</f>
        <v>1.9</v>
      </c>
    </row>
    <row r="274" ht="14.25" customHeight="1" spans="1:15">
      <c r="A274" s="87"/>
      <c r="B274" s="90"/>
      <c r="C274" s="46"/>
      <c r="D274" s="48"/>
      <c r="E274" s="71"/>
      <c r="F274" s="25"/>
      <c r="J274" s="51"/>
      <c r="K274" s="52"/>
      <c r="L274" s="52"/>
      <c r="M274" s="52"/>
      <c r="N274" s="52"/>
      <c r="O274" s="53"/>
    </row>
    <row r="275" ht="14.25" customHeight="1" spans="1:15">
      <c r="A275" s="87"/>
      <c r="B275" s="90" t="s">
        <v>124</v>
      </c>
      <c r="C275" s="42">
        <f>O279</f>
        <v>3.2</v>
      </c>
      <c r="D275" s="48" t="s">
        <v>39</v>
      </c>
      <c r="E275" s="71">
        <f>165*100</f>
        <v>16500</v>
      </c>
      <c r="F275" s="25">
        <f>E275*C275</f>
        <v>52800</v>
      </c>
      <c r="H275" s="1" t="s">
        <v>370</v>
      </c>
      <c r="J275" s="51">
        <v>1</v>
      </c>
      <c r="K275" s="52">
        <v>20</v>
      </c>
      <c r="L275" s="52">
        <v>4</v>
      </c>
      <c r="M275" s="52"/>
      <c r="N275" s="52">
        <f>PRODUCT(I275:M275)</f>
        <v>80</v>
      </c>
      <c r="O275" s="53"/>
    </row>
    <row r="276" ht="14.25" customHeight="1" spans="1:15">
      <c r="A276" s="87"/>
      <c r="B276" s="91"/>
      <c r="C276" s="23"/>
      <c r="D276" s="15"/>
      <c r="E276" s="39"/>
      <c r="F276" s="25"/>
      <c r="H276" s="1" t="s">
        <v>424</v>
      </c>
      <c r="J276" s="51">
        <v>1</v>
      </c>
      <c r="K276" s="52">
        <f>(K275+L275)*2</f>
        <v>48</v>
      </c>
      <c r="L276" s="52"/>
      <c r="M276" s="52">
        <v>0.67</v>
      </c>
      <c r="N276" s="52">
        <f>PRODUCT(I276:M276)</f>
        <v>32.16</v>
      </c>
      <c r="O276" s="53"/>
    </row>
    <row r="277" ht="14.25" customHeight="1" spans="1:15">
      <c r="A277" s="87"/>
      <c r="B277" s="91"/>
      <c r="C277" s="23"/>
      <c r="D277" s="15"/>
      <c r="E277" s="39"/>
      <c r="F277" s="25"/>
      <c r="H277" s="1" t="s">
        <v>371</v>
      </c>
      <c r="J277" s="51">
        <v>1</v>
      </c>
      <c r="K277" s="52">
        <v>16</v>
      </c>
      <c r="L277" s="52">
        <v>10</v>
      </c>
      <c r="M277" s="52"/>
      <c r="N277" s="52">
        <f>PRODUCT(I277:M277)</f>
        <v>160</v>
      </c>
      <c r="O277" s="53"/>
    </row>
    <row r="278" ht="14.25" customHeight="1" spans="1:15">
      <c r="A278" s="87"/>
      <c r="B278" s="91"/>
      <c r="C278" s="23"/>
      <c r="D278" s="15"/>
      <c r="E278" s="39"/>
      <c r="F278" s="25"/>
      <c r="H278" s="1" t="s">
        <v>424</v>
      </c>
      <c r="J278" s="51">
        <v>1</v>
      </c>
      <c r="K278" s="52">
        <f>(K277+L277)*2</f>
        <v>52</v>
      </c>
      <c r="L278" s="52"/>
      <c r="M278" s="52">
        <v>0.75</v>
      </c>
      <c r="N278" s="52">
        <f>PRODUCT(I278:M278)</f>
        <v>39</v>
      </c>
      <c r="O278" s="53"/>
    </row>
    <row r="279" ht="14.25" customHeight="1" spans="1:15">
      <c r="A279" s="87"/>
      <c r="B279" s="91"/>
      <c r="C279" s="23"/>
      <c r="D279" s="15"/>
      <c r="E279" s="39"/>
      <c r="F279" s="25"/>
      <c r="N279" s="52">
        <f>SUM(N275:N278)</f>
        <v>311.16</v>
      </c>
      <c r="O279" s="53">
        <f>ROUNDUP(N279/100,1)</f>
        <v>3.2</v>
      </c>
    </row>
    <row r="280" ht="14.25" customHeight="1" spans="1:6">
      <c r="A280" s="87"/>
      <c r="B280" s="91"/>
      <c r="C280" s="23"/>
      <c r="D280" s="15"/>
      <c r="E280" s="39"/>
      <c r="F280" s="25"/>
    </row>
    <row r="281" spans="1:6">
      <c r="A281" s="36"/>
      <c r="B281" s="92"/>
      <c r="C281" s="14"/>
      <c r="D281" s="15"/>
      <c r="E281" s="14"/>
      <c r="F281" s="25"/>
    </row>
    <row r="282" ht="14.55" spans="1:15">
      <c r="A282" s="32"/>
      <c r="B282" s="26" t="s">
        <v>425</v>
      </c>
      <c r="C282" s="14"/>
      <c r="D282" s="15"/>
      <c r="E282" s="14"/>
      <c r="F282" s="27">
        <f>SUM(F254:F281)</f>
        <v>140678.4</v>
      </c>
      <c r="G282" s="28"/>
      <c r="H282" s="28"/>
      <c r="I282" s="28"/>
      <c r="J282" s="28"/>
      <c r="K282" s="28"/>
      <c r="L282" s="28"/>
      <c r="M282" s="28"/>
      <c r="N282" s="28"/>
      <c r="O282" s="28"/>
    </row>
    <row r="283" ht="14.55" spans="1:6">
      <c r="A283" s="29"/>
      <c r="B283" s="30"/>
      <c r="C283" s="14"/>
      <c r="D283" s="15"/>
      <c r="E283" s="14"/>
      <c r="F283" s="31"/>
    </row>
    <row r="284" spans="1:6">
      <c r="A284" s="32" t="s">
        <v>46</v>
      </c>
      <c r="B284" s="75" t="s">
        <v>426</v>
      </c>
      <c r="C284" s="44"/>
      <c r="D284" s="48"/>
      <c r="E284" s="44"/>
      <c r="F284" s="16"/>
    </row>
    <row r="285" ht="68.25" customHeight="1" spans="1:15">
      <c r="A285" s="87" t="s">
        <v>427</v>
      </c>
      <c r="B285" s="93" t="s">
        <v>126</v>
      </c>
      <c r="C285" s="42">
        <f>O289</f>
        <v>9.7</v>
      </c>
      <c r="D285" s="94" t="str">
        <f>D256</f>
        <v>Sqr.</v>
      </c>
      <c r="E285" s="71">
        <f>7250*10.76</f>
        <v>78010</v>
      </c>
      <c r="F285" s="16">
        <f>E285*C285</f>
        <v>756697</v>
      </c>
      <c r="H285" s="1" t="s">
        <v>428</v>
      </c>
      <c r="J285" s="51">
        <v>1</v>
      </c>
      <c r="K285" s="52">
        <v>41</v>
      </c>
      <c r="L285" s="52">
        <v>23</v>
      </c>
      <c r="M285" s="52"/>
      <c r="N285" s="52">
        <f>PRODUCT(I285:M285)</f>
        <v>943</v>
      </c>
      <c r="O285" s="53"/>
    </row>
    <row r="286" ht="15.75" customHeight="1" spans="1:15">
      <c r="A286" s="87"/>
      <c r="B286" s="93"/>
      <c r="C286" s="46"/>
      <c r="D286" s="94"/>
      <c r="E286" s="71"/>
      <c r="F286" s="16"/>
      <c r="J286" s="51">
        <v>1</v>
      </c>
      <c r="K286" s="52">
        <v>10.3</v>
      </c>
      <c r="L286" s="52">
        <v>2.5</v>
      </c>
      <c r="M286" s="52"/>
      <c r="N286" s="52">
        <f>PRODUCT(I286:M286)</f>
        <v>25.75</v>
      </c>
      <c r="O286" s="53"/>
    </row>
    <row r="287" ht="15.75" customHeight="1" spans="1:15">
      <c r="A287" s="87"/>
      <c r="B287" s="93"/>
      <c r="C287" s="46"/>
      <c r="D287" s="94"/>
      <c r="E287" s="71"/>
      <c r="F287" s="16"/>
      <c r="J287" s="51">
        <v>1</v>
      </c>
      <c r="K287" s="52">
        <v>8.75</v>
      </c>
      <c r="L287" s="52">
        <v>2.5</v>
      </c>
      <c r="M287" s="52"/>
      <c r="N287" s="52">
        <f>PRODUCT(I287:M287)</f>
        <v>21.88</v>
      </c>
      <c r="O287" s="53"/>
    </row>
    <row r="288" ht="15.75" customHeight="1" spans="1:15">
      <c r="A288" s="87"/>
      <c r="B288" s="93"/>
      <c r="C288" s="46"/>
      <c r="D288" s="94"/>
      <c r="E288" s="71"/>
      <c r="F288" s="16"/>
      <c r="J288" s="50">
        <v>-1</v>
      </c>
      <c r="K288" s="1">
        <v>17</v>
      </c>
      <c r="L288" s="1">
        <v>2</v>
      </c>
      <c r="N288" s="52">
        <f>PRODUCT(I288:M288)</f>
        <v>-34</v>
      </c>
      <c r="O288" s="53"/>
    </row>
    <row r="289" ht="15.75" customHeight="1" spans="1:15">
      <c r="A289" s="87"/>
      <c r="B289" s="93"/>
      <c r="C289" s="46"/>
      <c r="D289" s="94"/>
      <c r="E289" s="71"/>
      <c r="F289" s="16"/>
      <c r="N289" s="52">
        <f>SUM(N283:N286)</f>
        <v>968.75</v>
      </c>
      <c r="O289" s="53">
        <f>ROUNDUP(N289/100,1)</f>
        <v>9.7</v>
      </c>
    </row>
    <row r="290" ht="15.75" customHeight="1" spans="1:6">
      <c r="A290" s="87"/>
      <c r="B290" s="93"/>
      <c r="C290" s="46"/>
      <c r="D290" s="94"/>
      <c r="E290" s="71"/>
      <c r="F290" s="16"/>
    </row>
    <row r="291" ht="15.75" customHeight="1" spans="1:6">
      <c r="A291" s="87"/>
      <c r="B291" s="93"/>
      <c r="C291" s="46"/>
      <c r="D291" s="94"/>
      <c r="E291" s="71"/>
      <c r="F291" s="16"/>
    </row>
    <row r="292" ht="14.25" customHeight="1" spans="1:15">
      <c r="A292" s="87" t="s">
        <v>429</v>
      </c>
      <c r="B292" s="88" t="s">
        <v>127</v>
      </c>
      <c r="C292" s="42">
        <f>O294</f>
        <v>84</v>
      </c>
      <c r="D292" s="48" t="s">
        <v>81</v>
      </c>
      <c r="E292" s="71">
        <f>1300*1.05/3.2</f>
        <v>426.56</v>
      </c>
      <c r="F292" s="16">
        <f t="shared" ref="F292:F297" si="33">E292*C292</f>
        <v>35831.04</v>
      </c>
      <c r="H292" s="1" t="s">
        <v>428</v>
      </c>
      <c r="J292" s="51">
        <v>2</v>
      </c>
      <c r="K292" s="52">
        <v>39</v>
      </c>
      <c r="L292" s="52"/>
      <c r="M292" s="52"/>
      <c r="N292" s="52">
        <f>PRODUCT(I292:M292)</f>
        <v>78</v>
      </c>
      <c r="O292" s="53"/>
    </row>
    <row r="293" ht="14.25" customHeight="1" spans="1:15">
      <c r="A293" s="87"/>
      <c r="B293" s="88"/>
      <c r="C293" s="46"/>
      <c r="D293" s="48"/>
      <c r="E293" s="71"/>
      <c r="F293" s="16"/>
      <c r="J293" s="51">
        <v>1</v>
      </c>
      <c r="K293" s="52">
        <v>6</v>
      </c>
      <c r="L293" s="52"/>
      <c r="M293" s="52"/>
      <c r="N293" s="52">
        <f>PRODUCT(I293:M293)</f>
        <v>6</v>
      </c>
      <c r="O293" s="53"/>
    </row>
    <row r="294" ht="14.25" customHeight="1" spans="1:15">
      <c r="A294" s="87"/>
      <c r="B294" s="88"/>
      <c r="C294" s="46"/>
      <c r="D294" s="48"/>
      <c r="E294" s="71"/>
      <c r="F294" s="16"/>
      <c r="N294" s="52">
        <f>SUM(N290:N293)</f>
        <v>84</v>
      </c>
      <c r="O294" s="53">
        <f>ROUNDUP(N294,1)</f>
        <v>84</v>
      </c>
    </row>
    <row r="295" ht="15.75" customHeight="1" spans="1:6">
      <c r="A295" s="87" t="s">
        <v>430</v>
      </c>
      <c r="B295" s="82" t="s">
        <v>128</v>
      </c>
      <c r="C295" s="42">
        <f>10+12</f>
        <v>22</v>
      </c>
      <c r="D295" s="48" t="s">
        <v>81</v>
      </c>
      <c r="E295" s="71">
        <f>1270/3.2</f>
        <v>396.88</v>
      </c>
      <c r="F295" s="16">
        <f t="shared" si="33"/>
        <v>8731.36</v>
      </c>
    </row>
    <row r="296" ht="26.25" customHeight="1" spans="1:6">
      <c r="A296" s="87" t="s">
        <v>431</v>
      </c>
      <c r="B296" s="82" t="s">
        <v>129</v>
      </c>
      <c r="C296" s="42">
        <f>22+22+3+3</f>
        <v>50</v>
      </c>
      <c r="D296" s="48" t="s">
        <v>81</v>
      </c>
      <c r="E296" s="71">
        <f t="shared" ref="E296:E297" si="34">1270/3.2</f>
        <v>396.88</v>
      </c>
      <c r="F296" s="16">
        <f t="shared" si="33"/>
        <v>19844</v>
      </c>
    </row>
    <row r="297" ht="15.75" customHeight="1" spans="1:6">
      <c r="A297" s="87" t="s">
        <v>432</v>
      </c>
      <c r="B297" s="95" t="s">
        <v>130</v>
      </c>
      <c r="C297" s="78">
        <f>32*2</f>
        <v>64</v>
      </c>
      <c r="D297" s="48" t="s">
        <v>81</v>
      </c>
      <c r="E297" s="71">
        <f t="shared" si="34"/>
        <v>396.88</v>
      </c>
      <c r="F297" s="16">
        <f t="shared" si="33"/>
        <v>25400.32</v>
      </c>
    </row>
    <row r="298" spans="1:6">
      <c r="A298" s="29"/>
      <c r="B298" s="96"/>
      <c r="C298" s="14"/>
      <c r="D298" s="15"/>
      <c r="E298" s="14"/>
      <c r="F298" s="25"/>
    </row>
    <row r="299" ht="14.55" spans="1:15">
      <c r="A299" s="29"/>
      <c r="B299" s="26" t="s">
        <v>433</v>
      </c>
      <c r="C299" s="14"/>
      <c r="D299" s="15"/>
      <c r="E299" s="14"/>
      <c r="F299" s="27">
        <f>SUM(F285:F297)</f>
        <v>846503.72</v>
      </c>
      <c r="G299" s="28"/>
      <c r="H299" s="28"/>
      <c r="I299" s="28"/>
      <c r="J299" s="28"/>
      <c r="K299" s="28"/>
      <c r="L299" s="28"/>
      <c r="M299" s="28"/>
      <c r="N299" s="28"/>
      <c r="O299" s="28"/>
    </row>
    <row r="300" ht="14.55" spans="1:6">
      <c r="A300" s="29"/>
      <c r="B300" s="30"/>
      <c r="C300" s="14"/>
      <c r="D300" s="15"/>
      <c r="E300" s="14"/>
      <c r="F300" s="31"/>
    </row>
    <row r="301" spans="1:6">
      <c r="A301" s="32" t="s">
        <v>48</v>
      </c>
      <c r="B301" s="97" t="s">
        <v>434</v>
      </c>
      <c r="C301" s="14"/>
      <c r="D301" s="15"/>
      <c r="E301" s="14"/>
      <c r="F301" s="16"/>
    </row>
    <row r="302" spans="1:6">
      <c r="A302" s="32"/>
      <c r="B302" s="98" t="s">
        <v>173</v>
      </c>
      <c r="C302" s="44"/>
      <c r="D302" s="48"/>
      <c r="E302" s="44"/>
      <c r="F302" s="16"/>
    </row>
    <row r="303" spans="1:15">
      <c r="A303" s="36" t="s">
        <v>435</v>
      </c>
      <c r="B303" s="81" t="s">
        <v>174</v>
      </c>
      <c r="C303" s="42">
        <f>O305</f>
        <v>6.6</v>
      </c>
      <c r="D303" s="48" t="s">
        <v>161</v>
      </c>
      <c r="E303" s="71">
        <f>690*10.76*1.1</f>
        <v>8166.84</v>
      </c>
      <c r="F303" s="16">
        <f>E303*C303</f>
        <v>53901.14</v>
      </c>
      <c r="H303" s="1" t="s">
        <v>436</v>
      </c>
      <c r="J303" s="51">
        <v>1</v>
      </c>
      <c r="K303" s="52">
        <v>69</v>
      </c>
      <c r="L303" s="52"/>
      <c r="M303" s="52">
        <v>9.5</v>
      </c>
      <c r="N303" s="52">
        <f>PRODUCT(I303:M303)</f>
        <v>655.5</v>
      </c>
      <c r="O303" s="53"/>
    </row>
    <row r="304" spans="1:15">
      <c r="A304" s="36"/>
      <c r="B304" s="81"/>
      <c r="C304" s="46"/>
      <c r="D304" s="48"/>
      <c r="E304" s="71"/>
      <c r="F304" s="16"/>
      <c r="J304" s="51"/>
      <c r="K304" s="52"/>
      <c r="L304" s="52"/>
      <c r="M304" s="52"/>
      <c r="N304" s="52">
        <f>PRODUCT(I304:M304)</f>
        <v>0</v>
      </c>
      <c r="O304" s="53"/>
    </row>
    <row r="305" spans="1:15">
      <c r="A305" s="36"/>
      <c r="B305" s="81"/>
      <c r="C305" s="46"/>
      <c r="D305" s="48"/>
      <c r="E305" s="71"/>
      <c r="F305" s="16"/>
      <c r="N305" s="52">
        <f>SUM(N301:N304)</f>
        <v>655.5</v>
      </c>
      <c r="O305" s="53">
        <f>ROUNDUP(N305/100,1)</f>
        <v>6.6</v>
      </c>
    </row>
    <row r="306" spans="1:15">
      <c r="A306" s="36" t="s">
        <v>437</v>
      </c>
      <c r="B306" s="81" t="s">
        <v>175</v>
      </c>
      <c r="C306" s="42">
        <f>O309</f>
        <v>19.8</v>
      </c>
      <c r="D306" s="48" t="s">
        <v>161</v>
      </c>
      <c r="E306" s="71">
        <f>710*10.76*1.1</f>
        <v>8403.56</v>
      </c>
      <c r="F306" s="16">
        <f t="shared" ref="F306:F314" si="35">E306*C306</f>
        <v>166390.49</v>
      </c>
      <c r="H306" s="1" t="s">
        <v>438</v>
      </c>
      <c r="J306" s="51">
        <v>1</v>
      </c>
      <c r="K306" s="52">
        <f>145+14+14+18+14+9+14+14+2</f>
        <v>244</v>
      </c>
      <c r="L306" s="52"/>
      <c r="M306" s="52">
        <v>9.5</v>
      </c>
      <c r="N306" s="52">
        <f>PRODUCT(I306:M306)</f>
        <v>2318</v>
      </c>
      <c r="O306" s="53"/>
    </row>
    <row r="307" spans="1:15">
      <c r="A307" s="36"/>
      <c r="B307" s="81"/>
      <c r="C307" s="46"/>
      <c r="D307" s="48"/>
      <c r="E307" s="71"/>
      <c r="F307" s="16"/>
      <c r="J307" s="51">
        <v>-1</v>
      </c>
      <c r="K307" s="52">
        <v>258.75</v>
      </c>
      <c r="L307" s="52"/>
      <c r="M307" s="52"/>
      <c r="N307" s="52">
        <f>PRODUCT(I307:M307)</f>
        <v>-258.75</v>
      </c>
      <c r="O307" s="53"/>
    </row>
    <row r="308" spans="1:15">
      <c r="A308" s="36"/>
      <c r="B308" s="81"/>
      <c r="C308" s="46"/>
      <c r="D308" s="48"/>
      <c r="E308" s="71"/>
      <c r="F308" s="16"/>
      <c r="J308" s="50">
        <v>-1</v>
      </c>
      <c r="K308" s="52">
        <v>84</v>
      </c>
      <c r="N308" s="52">
        <f>PRODUCT(I308:M308)</f>
        <v>-84</v>
      </c>
      <c r="O308" s="53"/>
    </row>
    <row r="309" spans="1:15">
      <c r="A309" s="36"/>
      <c r="B309" s="81"/>
      <c r="C309" s="46"/>
      <c r="D309" s="48"/>
      <c r="E309" s="71"/>
      <c r="F309" s="16"/>
      <c r="N309" s="52">
        <f>SUM(N306:N308)</f>
        <v>1975.25</v>
      </c>
      <c r="O309" s="53">
        <f>ROUNDUP(N309/100,1)</f>
        <v>19.8</v>
      </c>
    </row>
    <row r="310" spans="1:6">
      <c r="A310" s="36"/>
      <c r="B310" s="81"/>
      <c r="C310" s="46"/>
      <c r="D310" s="48"/>
      <c r="E310" s="71"/>
      <c r="F310" s="16"/>
    </row>
    <row r="311" spans="1:6">
      <c r="A311" s="36"/>
      <c r="B311" s="81"/>
      <c r="C311" s="46"/>
      <c r="D311" s="48"/>
      <c r="E311" s="71"/>
      <c r="F311" s="16"/>
    </row>
    <row r="312" spans="1:6">
      <c r="A312" s="36"/>
      <c r="B312" s="81"/>
      <c r="C312" s="46"/>
      <c r="D312" s="48"/>
      <c r="E312" s="71"/>
      <c r="F312" s="16"/>
    </row>
    <row r="313" spans="1:6">
      <c r="A313" s="36"/>
      <c r="B313" s="81"/>
      <c r="C313" s="46"/>
      <c r="D313" s="48"/>
      <c r="E313" s="71"/>
      <c r="F313" s="16"/>
    </row>
    <row r="314" spans="1:15">
      <c r="A314" s="36" t="s">
        <v>439</v>
      </c>
      <c r="B314" s="81" t="s">
        <v>176</v>
      </c>
      <c r="C314" s="42">
        <f>O317</f>
        <v>31.8</v>
      </c>
      <c r="D314" s="48" t="s">
        <v>161</v>
      </c>
      <c r="E314" s="71">
        <f>730*1.1*10.76</f>
        <v>8640.28</v>
      </c>
      <c r="F314" s="16">
        <f t="shared" si="35"/>
        <v>274760.9</v>
      </c>
      <c r="H314" s="1" t="s">
        <v>440</v>
      </c>
      <c r="J314" s="51">
        <v>1</v>
      </c>
      <c r="K314" s="52">
        <f>160+13+13+4+4+14.5+14.5+14.5+15+15+20</f>
        <v>287.5</v>
      </c>
      <c r="L314" s="52"/>
      <c r="M314" s="52">
        <v>12.7</v>
      </c>
      <c r="N314" s="52">
        <f>PRODUCT(I314:M314)</f>
        <v>3651.25</v>
      </c>
      <c r="O314" s="53"/>
    </row>
    <row r="315" spans="1:15">
      <c r="A315" s="36"/>
      <c r="B315" s="81"/>
      <c r="C315" s="46"/>
      <c r="D315" s="48"/>
      <c r="E315" s="71"/>
      <c r="F315" s="16"/>
      <c r="J315" s="51">
        <v>-1</v>
      </c>
      <c r="K315" s="52">
        <v>303.25</v>
      </c>
      <c r="L315" s="52"/>
      <c r="M315" s="52"/>
      <c r="N315" s="52">
        <f>PRODUCT(I315:M315)</f>
        <v>-303.25</v>
      </c>
      <c r="O315" s="53"/>
    </row>
    <row r="316" spans="1:15">
      <c r="A316" s="36"/>
      <c r="B316" s="81"/>
      <c r="C316" s="46"/>
      <c r="D316" s="48"/>
      <c r="E316" s="71"/>
      <c r="F316" s="16"/>
      <c r="J316" s="50">
        <v>-1</v>
      </c>
      <c r="K316" s="52">
        <v>168</v>
      </c>
      <c r="N316" s="52">
        <f>PRODUCT(I316:M316)</f>
        <v>-168</v>
      </c>
      <c r="O316" s="53"/>
    </row>
    <row r="317" spans="1:15">
      <c r="A317" s="36"/>
      <c r="B317" s="81"/>
      <c r="C317" s="46"/>
      <c r="D317" s="48"/>
      <c r="E317" s="71"/>
      <c r="F317" s="16"/>
      <c r="N317" s="52">
        <f>SUM(N314:N316)</f>
        <v>3180</v>
      </c>
      <c r="O317" s="53">
        <f>ROUNDUP(N317/100,1)</f>
        <v>31.8</v>
      </c>
    </row>
    <row r="318" spans="1:6">
      <c r="A318" s="36"/>
      <c r="B318" s="81"/>
      <c r="C318" s="46"/>
      <c r="D318" s="48"/>
      <c r="E318" s="71"/>
      <c r="F318" s="16"/>
    </row>
    <row r="319" spans="1:6">
      <c r="A319" s="36"/>
      <c r="B319" s="81"/>
      <c r="C319" s="46"/>
      <c r="D319" s="48"/>
      <c r="E319" s="71"/>
      <c r="F319" s="16"/>
    </row>
    <row r="320" spans="1:6">
      <c r="A320" s="32"/>
      <c r="B320" s="98" t="s">
        <v>177</v>
      </c>
      <c r="C320" s="99"/>
      <c r="D320" s="99"/>
      <c r="E320" s="99"/>
      <c r="F320" s="16"/>
    </row>
    <row r="321" spans="1:15">
      <c r="A321" s="36" t="s">
        <v>441</v>
      </c>
      <c r="B321" s="81" t="s">
        <v>178</v>
      </c>
      <c r="C321" s="42">
        <f>O325</f>
        <v>5</v>
      </c>
      <c r="D321" s="48" t="s">
        <v>161</v>
      </c>
      <c r="E321" s="71">
        <f>850*1.1*10.76</f>
        <v>10060.6</v>
      </c>
      <c r="F321" s="16">
        <f>E321*C321</f>
        <v>50303</v>
      </c>
      <c r="H321" s="1" t="s">
        <v>357</v>
      </c>
      <c r="J321" s="51">
        <v>2</v>
      </c>
      <c r="K321" s="52">
        <f>(18*4)+(40*3)</f>
        <v>192</v>
      </c>
      <c r="L321" s="52"/>
      <c r="M321" s="52">
        <v>0.58</v>
      </c>
      <c r="N321" s="52">
        <f>PRODUCT(I321:M321)</f>
        <v>222.72</v>
      </c>
      <c r="O321" s="53"/>
    </row>
    <row r="322" spans="1:15">
      <c r="A322" s="36"/>
      <c r="B322" s="81"/>
      <c r="C322" s="46"/>
      <c r="D322" s="48"/>
      <c r="E322" s="71"/>
      <c r="F322" s="16"/>
      <c r="J322" s="51">
        <v>1</v>
      </c>
      <c r="K322" s="52">
        <f>(18*4)+(40*3)</f>
        <v>192</v>
      </c>
      <c r="L322" s="52">
        <v>0.75</v>
      </c>
      <c r="M322" s="52"/>
      <c r="N322" s="52">
        <f>PRODUCT(I322:M322)</f>
        <v>144</v>
      </c>
      <c r="O322" s="53"/>
    </row>
    <row r="323" spans="1:15">
      <c r="A323" s="36"/>
      <c r="B323" s="81"/>
      <c r="C323" s="46"/>
      <c r="D323" s="48"/>
      <c r="E323" s="71"/>
      <c r="F323" s="16"/>
      <c r="J323" s="51">
        <v>-1</v>
      </c>
      <c r="K323" s="52">
        <f>1+1+15+11+3.5</f>
        <v>31.5</v>
      </c>
      <c r="L323" s="52">
        <f>0.75+0.58</f>
        <v>1.33</v>
      </c>
      <c r="M323" s="52"/>
      <c r="N323" s="52">
        <f>PRODUCT(I323:M323)</f>
        <v>-41.9</v>
      </c>
      <c r="O323" s="53"/>
    </row>
    <row r="324" spans="1:15">
      <c r="A324" s="36"/>
      <c r="B324" s="81"/>
      <c r="C324" s="46"/>
      <c r="D324" s="48"/>
      <c r="E324" s="71"/>
      <c r="F324" s="16"/>
      <c r="H324" s="1" t="s">
        <v>373</v>
      </c>
      <c r="J324" s="50">
        <f>24</f>
        <v>24</v>
      </c>
      <c r="K324" s="52">
        <v>0.75</v>
      </c>
      <c r="L324" s="52"/>
      <c r="M324" s="52">
        <v>9.5</v>
      </c>
      <c r="N324" s="52">
        <f>PRODUCT(I324:M324)</f>
        <v>171</v>
      </c>
      <c r="O324" s="53"/>
    </row>
    <row r="325" spans="1:15">
      <c r="A325" s="36"/>
      <c r="B325" s="81"/>
      <c r="C325" s="46"/>
      <c r="D325" s="48"/>
      <c r="E325" s="71"/>
      <c r="F325" s="16"/>
      <c r="N325" s="52">
        <f>SUM(N321:N324)</f>
        <v>495.82</v>
      </c>
      <c r="O325" s="53">
        <f>ROUNDUP(N325/100,1)</f>
        <v>5</v>
      </c>
    </row>
    <row r="326" spans="1:6">
      <c r="A326" s="36"/>
      <c r="B326" s="81"/>
      <c r="C326" s="46"/>
      <c r="D326" s="48"/>
      <c r="E326" s="71"/>
      <c r="F326" s="16"/>
    </row>
    <row r="327" spans="1:15">
      <c r="A327" s="36" t="s">
        <v>442</v>
      </c>
      <c r="B327" s="81" t="s">
        <v>180</v>
      </c>
      <c r="C327" s="42">
        <f>O331</f>
        <v>1.7</v>
      </c>
      <c r="D327" s="48" t="str">
        <f>D321</f>
        <v>Sqr</v>
      </c>
      <c r="E327" s="71">
        <f>880*1.1*10.76</f>
        <v>10415.68</v>
      </c>
      <c r="F327" s="16">
        <f t="shared" ref="F327:F334" si="36">E327*C327</f>
        <v>17706.66</v>
      </c>
      <c r="H327" s="1" t="s">
        <v>357</v>
      </c>
      <c r="J327" s="51">
        <v>2</v>
      </c>
      <c r="K327" s="52">
        <f>(19*5)+(40*3)</f>
        <v>215</v>
      </c>
      <c r="L327" s="52"/>
      <c r="M327" s="52">
        <v>0.58</v>
      </c>
      <c r="N327" s="52">
        <f>PRODUCT(I327:M327)</f>
        <v>249.4</v>
      </c>
      <c r="O327" s="53"/>
    </row>
    <row r="328" spans="1:15">
      <c r="A328" s="36"/>
      <c r="B328" s="81"/>
      <c r="C328" s="46"/>
      <c r="D328" s="48"/>
      <c r="E328" s="71"/>
      <c r="F328" s="16"/>
      <c r="J328" s="51">
        <v>-1</v>
      </c>
      <c r="K328" s="52">
        <f>18+18+39+39</f>
        <v>114</v>
      </c>
      <c r="L328" s="52">
        <v>1.33</v>
      </c>
      <c r="M328" s="52"/>
      <c r="N328" s="52">
        <f>PRODUCT(I328:M328)</f>
        <v>-151.62</v>
      </c>
      <c r="O328" s="53"/>
    </row>
    <row r="329" spans="1:15">
      <c r="A329" s="36"/>
      <c r="B329" s="81"/>
      <c r="C329" s="46"/>
      <c r="D329" s="48"/>
      <c r="E329" s="71"/>
      <c r="F329" s="16"/>
      <c r="J329" s="51"/>
      <c r="K329" s="52"/>
      <c r="L329" s="52"/>
      <c r="M329" s="52"/>
      <c r="N329" s="52">
        <f>PRODUCT(I329:M329)</f>
        <v>0</v>
      </c>
      <c r="O329" s="53"/>
    </row>
    <row r="330" spans="1:15">
      <c r="A330" s="36"/>
      <c r="B330" s="81"/>
      <c r="C330" s="46"/>
      <c r="D330" s="48"/>
      <c r="E330" s="71"/>
      <c r="F330" s="16"/>
      <c r="H330" s="1" t="s">
        <v>373</v>
      </c>
      <c r="J330" s="50">
        <v>10</v>
      </c>
      <c r="K330" s="52">
        <v>0.75</v>
      </c>
      <c r="L330" s="52"/>
      <c r="M330" s="52">
        <v>9.5</v>
      </c>
      <c r="N330" s="52">
        <f>PRODUCT(I330:M330)</f>
        <v>71.25</v>
      </c>
      <c r="O330" s="53"/>
    </row>
    <row r="331" spans="1:15">
      <c r="A331" s="36"/>
      <c r="B331" s="81"/>
      <c r="C331" s="46"/>
      <c r="D331" s="48"/>
      <c r="E331" s="71"/>
      <c r="F331" s="16"/>
      <c r="N331" s="52">
        <f>SUM(N327:N330)</f>
        <v>169.03</v>
      </c>
      <c r="O331" s="53">
        <f>ROUNDUP(N331/100,1)</f>
        <v>1.7</v>
      </c>
    </row>
    <row r="332" spans="1:6">
      <c r="A332" s="36"/>
      <c r="B332" s="81"/>
      <c r="C332" s="46"/>
      <c r="D332" s="48"/>
      <c r="E332" s="71"/>
      <c r="F332" s="16"/>
    </row>
    <row r="333" spans="1:6">
      <c r="A333" s="36"/>
      <c r="B333" s="81"/>
      <c r="C333" s="46"/>
      <c r="D333" s="48"/>
      <c r="E333" s="71"/>
      <c r="F333" s="16"/>
    </row>
    <row r="334" spans="1:15">
      <c r="A334" s="36" t="s">
        <v>443</v>
      </c>
      <c r="B334" s="81" t="s">
        <v>182</v>
      </c>
      <c r="C334" s="42">
        <f>O335</f>
        <v>1</v>
      </c>
      <c r="D334" s="48" t="str">
        <f>D327</f>
        <v>Sqr</v>
      </c>
      <c r="E334" s="71">
        <f>900*1.1*10.76</f>
        <v>10652.4</v>
      </c>
      <c r="F334" s="16">
        <f t="shared" si="36"/>
        <v>10652.4</v>
      </c>
      <c r="H334" s="1" t="s">
        <v>373</v>
      </c>
      <c r="J334" s="50">
        <v>10</v>
      </c>
      <c r="K334" s="52">
        <v>0.75</v>
      </c>
      <c r="L334" s="52"/>
      <c r="M334" s="52">
        <v>12.7</v>
      </c>
      <c r="N334" s="52">
        <f>PRODUCT(I334:M334)</f>
        <v>95.25</v>
      </c>
      <c r="O334" s="53"/>
    </row>
    <row r="335" spans="1:15">
      <c r="A335" s="36"/>
      <c r="B335" s="81"/>
      <c r="C335" s="46"/>
      <c r="D335" s="48"/>
      <c r="E335" s="71"/>
      <c r="F335" s="16"/>
      <c r="N335" s="52">
        <f>SUM(N334)</f>
        <v>95.25</v>
      </c>
      <c r="O335" s="53">
        <f>ROUNDUP(N335/100,1)</f>
        <v>1</v>
      </c>
    </row>
    <row r="336" spans="1:6">
      <c r="A336" s="36"/>
      <c r="B336" s="60"/>
      <c r="C336" s="23"/>
      <c r="D336" s="15"/>
      <c r="E336" s="39"/>
      <c r="F336" s="16"/>
    </row>
    <row r="337" spans="1:6">
      <c r="A337" s="36"/>
      <c r="B337" s="60"/>
      <c r="C337" s="30"/>
      <c r="D337" s="30"/>
      <c r="E337" s="30"/>
      <c r="F337" s="16"/>
    </row>
    <row r="338" spans="1:6">
      <c r="A338" s="32"/>
      <c r="B338" s="98" t="s">
        <v>183</v>
      </c>
      <c r="C338" s="46"/>
      <c r="D338" s="48"/>
      <c r="E338" s="71"/>
      <c r="F338" s="16"/>
    </row>
    <row r="339" spans="1:15">
      <c r="A339" s="36" t="s">
        <v>444</v>
      </c>
      <c r="B339" s="81" t="s">
        <v>185</v>
      </c>
      <c r="C339" s="78">
        <f>N340</f>
        <v>40</v>
      </c>
      <c r="D339" s="48" t="s">
        <v>169</v>
      </c>
      <c r="E339" s="71">
        <f>180*1.1/3.2</f>
        <v>61.88</v>
      </c>
      <c r="F339" s="16">
        <f>E339*C339</f>
        <v>2475.2</v>
      </c>
      <c r="J339" s="50">
        <v>4</v>
      </c>
      <c r="K339" s="52">
        <v>10</v>
      </c>
      <c r="L339" s="52"/>
      <c r="M339" s="52"/>
      <c r="N339" s="52">
        <f>PRODUCT(I339:M339)</f>
        <v>40</v>
      </c>
      <c r="O339" s="53"/>
    </row>
    <row r="340" spans="1:15">
      <c r="A340" s="36"/>
      <c r="B340" s="81"/>
      <c r="C340" s="57"/>
      <c r="D340" s="48"/>
      <c r="E340" s="71"/>
      <c r="F340" s="16"/>
      <c r="N340" s="52">
        <f>SUM(N339)</f>
        <v>40</v>
      </c>
      <c r="O340" s="53">
        <f>ROUNDUP(N340/100,1)</f>
        <v>0.4</v>
      </c>
    </row>
    <row r="341" spans="1:6">
      <c r="A341" s="36"/>
      <c r="B341" s="81"/>
      <c r="C341" s="57"/>
      <c r="D341" s="48"/>
      <c r="E341" s="71"/>
      <c r="F341" s="16"/>
    </row>
    <row r="342" spans="1:15">
      <c r="A342" s="36" t="s">
        <v>445</v>
      </c>
      <c r="B342" s="81" t="s">
        <v>187</v>
      </c>
      <c r="C342" s="78">
        <f>O343</f>
        <v>196</v>
      </c>
      <c r="D342" s="48" t="s">
        <v>169</v>
      </c>
      <c r="E342" s="71">
        <f>190*1.1/3.2</f>
        <v>65.31</v>
      </c>
      <c r="F342" s="16">
        <f t="shared" ref="F342:F345" si="37">E342*C342</f>
        <v>12800.76</v>
      </c>
      <c r="J342" s="50">
        <v>1</v>
      </c>
      <c r="K342" s="52">
        <f>7+8+8+20+12+117+24</f>
        <v>196</v>
      </c>
      <c r="L342" s="52"/>
      <c r="M342" s="52"/>
      <c r="N342" s="52">
        <f>PRODUCT(I342:M342)</f>
        <v>196</v>
      </c>
      <c r="O342" s="53"/>
    </row>
    <row r="343" spans="1:15">
      <c r="A343" s="36"/>
      <c r="B343" s="81"/>
      <c r="C343" s="57"/>
      <c r="D343" s="48"/>
      <c r="E343" s="71"/>
      <c r="F343" s="16"/>
      <c r="N343" s="52">
        <f>SUM(N342)</f>
        <v>196</v>
      </c>
      <c r="O343" s="53">
        <f>ROUNDUP(N343,1)</f>
        <v>196</v>
      </c>
    </row>
    <row r="344" spans="1:6">
      <c r="A344" s="36"/>
      <c r="B344" s="81"/>
      <c r="C344" s="57"/>
      <c r="D344" s="48"/>
      <c r="E344" s="71"/>
      <c r="F344" s="16"/>
    </row>
    <row r="345" s="1" customFormat="1" spans="1:23">
      <c r="A345" s="36" t="s">
        <v>446</v>
      </c>
      <c r="B345" s="81" t="s">
        <v>189</v>
      </c>
      <c r="C345" s="78">
        <f>O346</f>
        <v>311</v>
      </c>
      <c r="D345" s="48" t="s">
        <v>169</v>
      </c>
      <c r="E345" s="71">
        <f>200*1.1/3.2</f>
        <v>68.75</v>
      </c>
      <c r="F345" s="16">
        <f t="shared" si="37"/>
        <v>21381.25</v>
      </c>
      <c r="J345" s="50">
        <v>1</v>
      </c>
      <c r="K345" s="52">
        <f>12+18+22+23+23+20+195-2</f>
        <v>311</v>
      </c>
      <c r="L345" s="52"/>
      <c r="M345" s="52"/>
      <c r="N345" s="52">
        <f>PRODUCT(I345:M345)</f>
        <v>311</v>
      </c>
      <c r="O345" s="53"/>
      <c r="P345" s="3"/>
      <c r="Q345" s="3"/>
      <c r="R345" s="3"/>
      <c r="S345" s="3"/>
      <c r="T345" s="3"/>
      <c r="U345" s="3"/>
      <c r="V345" s="3"/>
      <c r="W345" s="3"/>
    </row>
    <row r="346" s="1" customFormat="1" spans="1:23">
      <c r="A346" s="36"/>
      <c r="B346" s="81"/>
      <c r="C346" s="46"/>
      <c r="D346" s="48"/>
      <c r="E346" s="71"/>
      <c r="F346" s="16"/>
      <c r="N346" s="52">
        <f>SUM(N345)</f>
        <v>311</v>
      </c>
      <c r="O346" s="53">
        <f>ROUNDUP(N346,1)</f>
        <v>311</v>
      </c>
      <c r="P346" s="3"/>
      <c r="Q346" s="3"/>
      <c r="R346" s="3"/>
      <c r="S346" s="3"/>
      <c r="T346" s="3"/>
      <c r="U346" s="3"/>
      <c r="V346" s="3"/>
      <c r="W346" s="3"/>
    </row>
    <row r="347" s="1" customFormat="1" spans="1:23">
      <c r="A347" s="36"/>
      <c r="B347" s="81"/>
      <c r="C347" s="46"/>
      <c r="D347" s="48"/>
      <c r="E347" s="71"/>
      <c r="F347" s="16"/>
      <c r="P347" s="3"/>
      <c r="Q347" s="3"/>
      <c r="R347" s="3"/>
      <c r="S347" s="3"/>
      <c r="T347" s="3"/>
      <c r="U347" s="3"/>
      <c r="V347" s="3"/>
      <c r="W347" s="3"/>
    </row>
    <row r="348" s="1" customFormat="1" spans="1:23">
      <c r="A348" s="100"/>
      <c r="B348" s="98" t="s">
        <v>190</v>
      </c>
      <c r="C348" s="46"/>
      <c r="D348" s="48"/>
      <c r="E348" s="71"/>
      <c r="F348" s="16"/>
      <c r="P348" s="3"/>
      <c r="Q348" s="3"/>
      <c r="R348" s="3"/>
      <c r="S348" s="3"/>
      <c r="T348" s="3"/>
      <c r="U348" s="3"/>
      <c r="V348" s="3"/>
      <c r="W348" s="3"/>
    </row>
    <row r="349" s="1" customFormat="1" spans="1:23">
      <c r="A349" s="100"/>
      <c r="B349" s="98"/>
      <c r="C349" s="46"/>
      <c r="D349" s="48"/>
      <c r="E349" s="71"/>
      <c r="F349" s="16"/>
      <c r="P349" s="3"/>
      <c r="Q349" s="3"/>
      <c r="R349" s="3"/>
      <c r="S349" s="3"/>
      <c r="T349" s="3"/>
      <c r="U349" s="3"/>
      <c r="V349" s="3"/>
      <c r="W349" s="3"/>
    </row>
    <row r="350" s="1" customFormat="1" ht="27.6" spans="1:23">
      <c r="A350" s="101" t="s">
        <v>447</v>
      </c>
      <c r="B350" s="81" t="s">
        <v>448</v>
      </c>
      <c r="C350" s="42">
        <f>O351</f>
        <v>7.1</v>
      </c>
      <c r="D350" s="48" t="s">
        <v>161</v>
      </c>
      <c r="E350" s="71">
        <f>675*1.1*10.76</f>
        <v>7989.3</v>
      </c>
      <c r="F350" s="16">
        <f>E350*C350</f>
        <v>56724.03</v>
      </c>
      <c r="H350" s="1" t="s">
        <v>361</v>
      </c>
      <c r="J350" s="50">
        <v>1</v>
      </c>
      <c r="K350" s="52">
        <f>(12*18*2)+(15*18)</f>
        <v>702</v>
      </c>
      <c r="L350" s="52"/>
      <c r="M350" s="52">
        <v>1</v>
      </c>
      <c r="N350" s="52">
        <f>PRODUCT(I350:M350)</f>
        <v>702</v>
      </c>
      <c r="O350" s="53"/>
      <c r="P350" s="3"/>
      <c r="Q350" s="3"/>
      <c r="R350" s="3"/>
      <c r="S350" s="3"/>
      <c r="T350" s="3"/>
      <c r="U350" s="3"/>
      <c r="V350" s="3"/>
      <c r="W350" s="3"/>
    </row>
    <row r="351" s="1" customFormat="1" spans="1:23">
      <c r="A351" s="101"/>
      <c r="B351" s="81"/>
      <c r="C351" s="46"/>
      <c r="D351" s="48"/>
      <c r="E351" s="71"/>
      <c r="F351" s="16"/>
      <c r="N351" s="52">
        <f>SUM(N350)</f>
        <v>702</v>
      </c>
      <c r="O351" s="53">
        <f>ROUNDUP(N351/100,1)</f>
        <v>7.1</v>
      </c>
      <c r="P351" s="3"/>
      <c r="Q351" s="3"/>
      <c r="R351" s="3"/>
      <c r="S351" s="3"/>
      <c r="T351" s="3"/>
      <c r="U351" s="3"/>
      <c r="V351" s="3"/>
      <c r="W351" s="3"/>
    </row>
    <row r="352" s="1" customFormat="1" ht="27.6" spans="1:23">
      <c r="A352" s="101" t="s">
        <v>449</v>
      </c>
      <c r="B352" s="81" t="s">
        <v>450</v>
      </c>
      <c r="C352" s="42">
        <f>O353</f>
        <v>6.9</v>
      </c>
      <c r="D352" s="48" t="s">
        <v>161</v>
      </c>
      <c r="E352" s="71">
        <f>710*1.1*10.76</f>
        <v>8403.56</v>
      </c>
      <c r="F352" s="16">
        <f t="shared" ref="F352" si="38">E352*C352</f>
        <v>57984.56</v>
      </c>
      <c r="H352" s="1" t="s">
        <v>361</v>
      </c>
      <c r="J352" s="50">
        <v>1</v>
      </c>
      <c r="K352" s="52">
        <f>(9*18*3)+(11*18)</f>
        <v>684</v>
      </c>
      <c r="L352" s="52"/>
      <c r="M352" s="52">
        <v>1</v>
      </c>
      <c r="N352" s="52">
        <f>PRODUCT(I352:M352)</f>
        <v>684</v>
      </c>
      <c r="O352" s="53"/>
      <c r="P352" s="3"/>
      <c r="Q352" s="3"/>
      <c r="R352" s="3"/>
      <c r="S352" s="3"/>
      <c r="T352" s="3"/>
      <c r="U352" s="3"/>
      <c r="V352" s="3"/>
      <c r="W352" s="3"/>
    </row>
    <row r="353" s="1" customFormat="1" spans="1:23">
      <c r="A353" s="36"/>
      <c r="B353" s="81"/>
      <c r="C353" s="46"/>
      <c r="D353" s="48"/>
      <c r="E353" s="71"/>
      <c r="F353" s="16"/>
      <c r="N353" s="52">
        <f>SUM(N352)</f>
        <v>684</v>
      </c>
      <c r="O353" s="53">
        <f>ROUNDUP(N353/100,1)</f>
        <v>6.9</v>
      </c>
      <c r="P353" s="3"/>
      <c r="Q353" s="3"/>
      <c r="R353" s="3"/>
      <c r="S353" s="3"/>
      <c r="T353" s="3"/>
      <c r="U353" s="3"/>
      <c r="V353" s="3"/>
      <c r="W353" s="3"/>
    </row>
    <row r="354" spans="1:6">
      <c r="A354" s="36"/>
      <c r="B354" s="81"/>
      <c r="C354" s="46"/>
      <c r="D354" s="48"/>
      <c r="E354" s="71"/>
      <c r="F354" s="16"/>
    </row>
    <row r="355" spans="1:6">
      <c r="A355" s="36"/>
      <c r="B355" s="75" t="s">
        <v>193</v>
      </c>
      <c r="C355" s="46"/>
      <c r="D355" s="48"/>
      <c r="E355" s="71"/>
      <c r="F355" s="16"/>
    </row>
    <row r="356" ht="27.6" spans="1:15">
      <c r="A356" s="87" t="s">
        <v>451</v>
      </c>
      <c r="B356" s="88" t="s">
        <v>452</v>
      </c>
      <c r="C356" s="42">
        <f>O360</f>
        <v>4</v>
      </c>
      <c r="D356" s="48" t="s">
        <v>195</v>
      </c>
      <c r="E356" s="43">
        <f>615*1.1*10.76</f>
        <v>7279.14</v>
      </c>
      <c r="F356" s="16">
        <f>E356*C356</f>
        <v>29116.56</v>
      </c>
      <c r="H356" s="1" t="s">
        <v>453</v>
      </c>
      <c r="J356" s="51">
        <v>1</v>
      </c>
      <c r="K356" s="52">
        <v>40</v>
      </c>
      <c r="L356" s="52"/>
      <c r="M356" s="52">
        <v>3</v>
      </c>
      <c r="N356" s="52">
        <f>PRODUCT(I356:M356)</f>
        <v>120</v>
      </c>
      <c r="O356" s="53"/>
    </row>
    <row r="357" spans="1:15">
      <c r="A357" s="87"/>
      <c r="B357" s="88"/>
      <c r="C357" s="46"/>
      <c r="D357" s="48"/>
      <c r="E357" s="43"/>
      <c r="F357" s="16"/>
      <c r="J357" s="51">
        <v>1</v>
      </c>
      <c r="K357" s="52">
        <v>4</v>
      </c>
      <c r="L357" s="52"/>
      <c r="M357" s="52">
        <v>11</v>
      </c>
      <c r="N357" s="52">
        <f>PRODUCT(I357:M357)</f>
        <v>44</v>
      </c>
      <c r="O357" s="53"/>
    </row>
    <row r="358" spans="1:15">
      <c r="A358" s="87"/>
      <c r="B358" s="88"/>
      <c r="C358" s="46"/>
      <c r="D358" s="48"/>
      <c r="E358" s="43"/>
      <c r="F358" s="16"/>
      <c r="H358" s="1" t="s">
        <v>454</v>
      </c>
      <c r="J358" s="51">
        <v>1</v>
      </c>
      <c r="K358" s="52">
        <v>11</v>
      </c>
      <c r="L358" s="52"/>
      <c r="M358" s="52">
        <v>3</v>
      </c>
      <c r="N358" s="52">
        <f>PRODUCT(I358:M358)</f>
        <v>33</v>
      </c>
      <c r="O358" s="53"/>
    </row>
    <row r="359" spans="1:15">
      <c r="A359" s="87"/>
      <c r="B359" s="88"/>
      <c r="C359" s="46"/>
      <c r="D359" s="48"/>
      <c r="E359" s="43"/>
      <c r="F359" s="16"/>
      <c r="H359" s="1" t="s">
        <v>455</v>
      </c>
      <c r="J359" s="50">
        <v>2</v>
      </c>
      <c r="K359" s="52">
        <f>15+12</f>
        <v>27</v>
      </c>
      <c r="L359" s="52"/>
      <c r="M359" s="52">
        <v>9.5</v>
      </c>
      <c r="N359" s="52">
        <f>SUM(N356:N358)</f>
        <v>197</v>
      </c>
      <c r="O359" s="53"/>
    </row>
    <row r="360" spans="1:15">
      <c r="A360" s="87"/>
      <c r="B360" s="88"/>
      <c r="C360" s="46"/>
      <c r="D360" s="48"/>
      <c r="E360" s="43"/>
      <c r="F360" s="16"/>
      <c r="N360" s="52">
        <f>SUM(N356:N359)</f>
        <v>394</v>
      </c>
      <c r="O360" s="53">
        <f>ROUNDUP(N360/100,1)</f>
        <v>4</v>
      </c>
    </row>
    <row r="361" ht="27.6" spans="1:15">
      <c r="A361" s="87" t="s">
        <v>456</v>
      </c>
      <c r="B361" s="88" t="s">
        <v>457</v>
      </c>
      <c r="C361" s="42">
        <f>O365</f>
        <v>4.2</v>
      </c>
      <c r="D361" s="48" t="s">
        <v>195</v>
      </c>
      <c r="E361" s="102">
        <f>630*1.1*10.76</f>
        <v>7456.68</v>
      </c>
      <c r="F361" s="16">
        <f t="shared" ref="F361:F369" si="39">E361*C361</f>
        <v>31318.06</v>
      </c>
      <c r="H361" s="1" t="s">
        <v>453</v>
      </c>
      <c r="J361" s="51">
        <v>1</v>
      </c>
      <c r="K361" s="52">
        <v>40</v>
      </c>
      <c r="L361" s="52"/>
      <c r="M361" s="52">
        <v>10.5</v>
      </c>
      <c r="N361" s="52">
        <f>PRODUCT(I361:M361)</f>
        <v>420</v>
      </c>
      <c r="O361" s="53"/>
    </row>
    <row r="362" spans="1:15">
      <c r="A362" s="87"/>
      <c r="B362" s="88"/>
      <c r="C362" s="46"/>
      <c r="D362" s="48"/>
      <c r="E362" s="48"/>
      <c r="F362" s="16"/>
      <c r="H362" s="1" t="s">
        <v>458</v>
      </c>
      <c r="J362" s="51">
        <v>-1</v>
      </c>
      <c r="K362" s="52">
        <f>(56+23.75+80+62+29)</f>
        <v>250.75</v>
      </c>
      <c r="L362" s="52"/>
      <c r="M362" s="52">
        <v>1</v>
      </c>
      <c r="N362" s="52">
        <f>PRODUCT(I362:M362)</f>
        <v>-250.75</v>
      </c>
      <c r="O362" s="53"/>
    </row>
    <row r="363" spans="1:15">
      <c r="A363" s="87"/>
      <c r="B363" s="88"/>
      <c r="C363" s="46"/>
      <c r="D363" s="48"/>
      <c r="E363" s="48"/>
      <c r="F363" s="16"/>
      <c r="H363" s="1" t="s">
        <v>454</v>
      </c>
      <c r="J363" s="51">
        <v>1</v>
      </c>
      <c r="K363" s="52">
        <f>11+12</f>
        <v>23</v>
      </c>
      <c r="L363" s="52"/>
      <c r="M363" s="52">
        <v>10.5</v>
      </c>
      <c r="N363" s="52">
        <f>PRODUCT(I363:M363)</f>
        <v>241.5</v>
      </c>
      <c r="O363" s="53"/>
    </row>
    <row r="364" spans="1:15">
      <c r="A364" s="87"/>
      <c r="B364" s="88"/>
      <c r="C364" s="46"/>
      <c r="D364" s="48"/>
      <c r="E364" s="48"/>
      <c r="F364" s="16"/>
      <c r="H364" s="1" t="s">
        <v>455</v>
      </c>
      <c r="J364" s="50"/>
      <c r="K364" s="52"/>
      <c r="L364" s="52"/>
      <c r="M364" s="52"/>
      <c r="N364" s="52">
        <f>PRODUCT(I364:M364)</f>
        <v>0</v>
      </c>
      <c r="O364" s="53"/>
    </row>
    <row r="365" spans="1:15">
      <c r="A365" s="87"/>
      <c r="B365" s="88"/>
      <c r="C365" s="46"/>
      <c r="D365" s="48"/>
      <c r="E365" s="48"/>
      <c r="F365" s="16"/>
      <c r="N365" s="52">
        <f>SUM(N361:N364)</f>
        <v>410.75</v>
      </c>
      <c r="O365" s="53">
        <f>ROUNDUP(N365/100,1)</f>
        <v>4.2</v>
      </c>
    </row>
    <row r="366" spans="1:6">
      <c r="A366" s="87"/>
      <c r="B366" s="88"/>
      <c r="C366" s="46"/>
      <c r="D366" s="48"/>
      <c r="E366" s="48"/>
      <c r="F366" s="16"/>
    </row>
    <row r="367" spans="1:6">
      <c r="A367" s="87"/>
      <c r="B367" s="88"/>
      <c r="C367" s="46"/>
      <c r="D367" s="48"/>
      <c r="E367" s="48"/>
      <c r="F367" s="16"/>
    </row>
    <row r="368" spans="1:6">
      <c r="A368" s="87"/>
      <c r="B368" s="88"/>
      <c r="C368" s="46"/>
      <c r="D368" s="48"/>
      <c r="E368" s="48"/>
      <c r="F368" s="16"/>
    </row>
    <row r="369" ht="27.6" spans="1:15">
      <c r="A369" s="87" t="s">
        <v>459</v>
      </c>
      <c r="B369" s="88" t="s">
        <v>460</v>
      </c>
      <c r="C369" s="42">
        <f>O373</f>
        <v>5.9</v>
      </c>
      <c r="D369" s="48" t="s">
        <v>195</v>
      </c>
      <c r="E369" s="102">
        <f>650*1.1*10.76</f>
        <v>7693.4</v>
      </c>
      <c r="F369" s="16">
        <f t="shared" si="39"/>
        <v>45391.06</v>
      </c>
      <c r="H369" s="1" t="s">
        <v>453</v>
      </c>
      <c r="J369" s="51">
        <v>1</v>
      </c>
      <c r="K369" s="52">
        <v>40</v>
      </c>
      <c r="L369" s="52"/>
      <c r="M369" s="52">
        <v>14.5</v>
      </c>
      <c r="N369" s="52">
        <f>PRODUCT(I369:M369)</f>
        <v>580</v>
      </c>
      <c r="O369" s="53"/>
    </row>
    <row r="370" spans="1:15">
      <c r="A370" s="36"/>
      <c r="B370" s="60"/>
      <c r="C370" s="23"/>
      <c r="D370" s="15"/>
      <c r="E370" s="39"/>
      <c r="F370" s="16"/>
      <c r="H370" s="1" t="s">
        <v>458</v>
      </c>
      <c r="J370" s="51">
        <v>-1</v>
      </c>
      <c r="K370" s="52">
        <f>25+56+56+80+30+20+6</f>
        <v>273</v>
      </c>
      <c r="L370" s="52"/>
      <c r="M370" s="52">
        <v>1</v>
      </c>
      <c r="N370" s="52">
        <f>PRODUCT(I370:M370)</f>
        <v>-273</v>
      </c>
      <c r="O370" s="53"/>
    </row>
    <row r="371" spans="1:15">
      <c r="A371" s="36"/>
      <c r="B371" s="60"/>
      <c r="C371" s="23"/>
      <c r="D371" s="15"/>
      <c r="E371" s="39"/>
      <c r="F371" s="16"/>
      <c r="H371" s="1" t="s">
        <v>454</v>
      </c>
      <c r="J371" s="51">
        <v>1</v>
      </c>
      <c r="K371" s="52">
        <f>11+12</f>
        <v>23</v>
      </c>
      <c r="L371" s="52"/>
      <c r="M371" s="52">
        <v>12</v>
      </c>
      <c r="N371" s="52">
        <f>PRODUCT(I371:M371)</f>
        <v>276</v>
      </c>
      <c r="O371" s="53"/>
    </row>
    <row r="372" spans="1:15">
      <c r="A372" s="36"/>
      <c r="B372" s="60"/>
      <c r="C372" s="23"/>
      <c r="D372" s="15"/>
      <c r="E372" s="39"/>
      <c r="F372" s="16"/>
      <c r="H372" s="1" t="s">
        <v>455</v>
      </c>
      <c r="J372" s="50"/>
      <c r="K372" s="52"/>
      <c r="L372" s="52"/>
      <c r="M372" s="52"/>
      <c r="N372" s="52">
        <f>PRODUCT(I372:M372)</f>
        <v>0</v>
      </c>
      <c r="O372" s="53"/>
    </row>
    <row r="373" spans="1:15">
      <c r="A373" s="36"/>
      <c r="B373" s="60"/>
      <c r="C373" s="23"/>
      <c r="D373" s="15"/>
      <c r="E373" s="39"/>
      <c r="F373" s="16"/>
      <c r="N373" s="52">
        <f>SUM(N369:N372)</f>
        <v>583</v>
      </c>
      <c r="O373" s="53">
        <f>ROUNDUP(N373/100,1)</f>
        <v>5.9</v>
      </c>
    </row>
    <row r="374" spans="1:6">
      <c r="A374" s="36"/>
      <c r="B374" s="60"/>
      <c r="C374" s="23"/>
      <c r="D374" s="15"/>
      <c r="E374" s="39"/>
      <c r="F374" s="16"/>
    </row>
    <row r="375" spans="1:6">
      <c r="A375" s="36"/>
      <c r="B375" s="60"/>
      <c r="C375" s="23"/>
      <c r="D375" s="15"/>
      <c r="E375" s="39"/>
      <c r="F375" s="16"/>
    </row>
    <row r="376" spans="1:15">
      <c r="A376" s="29"/>
      <c r="B376" s="98" t="s">
        <v>183</v>
      </c>
      <c r="C376" s="99"/>
      <c r="D376" s="99"/>
      <c r="E376" s="99"/>
      <c r="F376" s="103"/>
      <c r="G376" s="3"/>
      <c r="H376" s="3"/>
      <c r="I376" s="3"/>
      <c r="J376" s="3"/>
      <c r="K376" s="3"/>
      <c r="L376" s="3"/>
      <c r="M376" s="3"/>
      <c r="N376" s="3"/>
      <c r="O376" s="3"/>
    </row>
    <row r="377" ht="27.6" spans="1:15">
      <c r="A377" s="36" t="s">
        <v>461</v>
      </c>
      <c r="B377" s="88" t="s">
        <v>462</v>
      </c>
      <c r="C377" s="78">
        <f>N381</f>
        <v>40</v>
      </c>
      <c r="D377" s="48" t="s">
        <v>81</v>
      </c>
      <c r="E377" s="71">
        <f>210*1.1/3.28</f>
        <v>70.43</v>
      </c>
      <c r="F377" s="16">
        <f>E377*C377</f>
        <v>2817.2</v>
      </c>
      <c r="H377" s="1" t="s">
        <v>453</v>
      </c>
      <c r="J377" s="51">
        <v>1</v>
      </c>
      <c r="K377" s="52">
        <v>40</v>
      </c>
      <c r="L377" s="52"/>
      <c r="M377" s="52">
        <v>1</v>
      </c>
      <c r="N377" s="52">
        <f>PRODUCT(I377:M377)</f>
        <v>40</v>
      </c>
      <c r="O377" s="53"/>
    </row>
    <row r="378" spans="1:15">
      <c r="A378" s="36"/>
      <c r="B378" s="88"/>
      <c r="C378" s="57"/>
      <c r="D378" s="48"/>
      <c r="E378" s="71"/>
      <c r="F378" s="16"/>
      <c r="J378" s="51"/>
      <c r="K378" s="52"/>
      <c r="L378" s="52"/>
      <c r="M378" s="52"/>
      <c r="N378" s="52">
        <f>PRODUCT(I378:M378)</f>
        <v>0</v>
      </c>
      <c r="O378" s="53"/>
    </row>
    <row r="379" spans="1:15">
      <c r="A379" s="36"/>
      <c r="B379" s="88"/>
      <c r="C379" s="57"/>
      <c r="D379" s="48"/>
      <c r="E379" s="71"/>
      <c r="F379" s="16"/>
      <c r="J379" s="51"/>
      <c r="K379" s="52"/>
      <c r="L379" s="52"/>
      <c r="M379" s="52"/>
      <c r="N379" s="52">
        <f>PRODUCT(I379:M379)</f>
        <v>0</v>
      </c>
      <c r="O379" s="53"/>
    </row>
    <row r="380" spans="1:15">
      <c r="A380" s="36"/>
      <c r="B380" s="88"/>
      <c r="C380" s="57"/>
      <c r="D380" s="48"/>
      <c r="E380" s="71"/>
      <c r="F380" s="16"/>
      <c r="J380" s="50"/>
      <c r="K380" s="52"/>
      <c r="L380" s="52"/>
      <c r="M380" s="52"/>
      <c r="N380" s="52"/>
      <c r="O380" s="53"/>
    </row>
    <row r="381" spans="1:15">
      <c r="A381" s="36"/>
      <c r="B381" s="88"/>
      <c r="C381" s="57"/>
      <c r="D381" s="48"/>
      <c r="E381" s="71"/>
      <c r="F381" s="16"/>
      <c r="N381" s="52">
        <f>SUM(N377:N380)</f>
        <v>40</v>
      </c>
      <c r="O381" s="53">
        <f>ROUNDUP(N381/100,1)</f>
        <v>0.4</v>
      </c>
    </row>
    <row r="382" spans="1:6">
      <c r="A382" s="36"/>
      <c r="B382" s="88"/>
      <c r="C382" s="57"/>
      <c r="D382" s="48"/>
      <c r="E382" s="71"/>
      <c r="F382" s="16"/>
    </row>
    <row r="383" spans="1:6">
      <c r="A383" s="36"/>
      <c r="B383" s="88"/>
      <c r="C383" s="57"/>
      <c r="D383" s="48"/>
      <c r="E383" s="71"/>
      <c r="F383" s="16"/>
    </row>
    <row r="384" spans="1:15">
      <c r="A384" s="36"/>
      <c r="B384" s="88"/>
      <c r="C384" s="57"/>
      <c r="D384" s="48"/>
      <c r="E384" s="71"/>
      <c r="F384" s="16"/>
      <c r="H384" s="1" t="s">
        <v>453</v>
      </c>
      <c r="J384" s="51">
        <v>1</v>
      </c>
      <c r="K384" s="52">
        <f>7+8+8+20+12+24</f>
        <v>79</v>
      </c>
      <c r="L384" s="52"/>
      <c r="M384" s="52">
        <v>1</v>
      </c>
      <c r="N384" s="52">
        <f>PRODUCT(I384:M384)</f>
        <v>79</v>
      </c>
      <c r="O384" s="53"/>
    </row>
    <row r="385" spans="1:15">
      <c r="A385" s="36"/>
      <c r="B385" s="88"/>
      <c r="C385" s="57"/>
      <c r="D385" s="48"/>
      <c r="E385" s="71"/>
      <c r="F385" s="16"/>
      <c r="J385" s="51"/>
      <c r="K385" s="52"/>
      <c r="L385" s="52"/>
      <c r="M385" s="52"/>
      <c r="N385" s="52">
        <f>PRODUCT(I385:M385)</f>
        <v>0</v>
      </c>
      <c r="O385" s="53"/>
    </row>
    <row r="386" ht="27.6" spans="1:15">
      <c r="A386" s="36" t="s">
        <v>463</v>
      </c>
      <c r="B386" s="88" t="s">
        <v>464</v>
      </c>
      <c r="C386" s="78">
        <f>N384</f>
        <v>79</v>
      </c>
      <c r="D386" s="48" t="s">
        <v>81</v>
      </c>
      <c r="E386" s="72">
        <f>220*1.1/3.28</f>
        <v>73.78</v>
      </c>
      <c r="F386" s="16">
        <f t="shared" ref="F386:F391" si="40">E386*C386</f>
        <v>5828.62</v>
      </c>
      <c r="J386" s="51"/>
      <c r="K386" s="52"/>
      <c r="L386" s="52"/>
      <c r="M386" s="52"/>
      <c r="N386" s="52">
        <f>PRODUCT(I386:M386)</f>
        <v>0</v>
      </c>
      <c r="O386" s="53"/>
    </row>
    <row r="387" spans="1:6">
      <c r="A387" s="36"/>
      <c r="B387" s="88"/>
      <c r="C387" s="57"/>
      <c r="D387" s="48"/>
      <c r="E387" s="71"/>
      <c r="F387" s="16"/>
    </row>
    <row r="388" spans="1:6">
      <c r="A388" s="36"/>
      <c r="B388" s="88"/>
      <c r="C388" s="57"/>
      <c r="D388" s="48"/>
      <c r="E388" s="71"/>
      <c r="F388" s="16"/>
    </row>
    <row r="389" spans="1:6">
      <c r="A389" s="36"/>
      <c r="B389" s="88"/>
      <c r="C389" s="57"/>
      <c r="D389" s="48"/>
      <c r="E389" s="71"/>
      <c r="F389" s="16"/>
    </row>
    <row r="390" spans="1:6">
      <c r="A390" s="36"/>
      <c r="B390" s="88"/>
      <c r="C390" s="57"/>
      <c r="D390" s="48"/>
      <c r="E390" s="71"/>
      <c r="F390" s="16"/>
    </row>
    <row r="391" ht="27.6" spans="1:15">
      <c r="A391" s="36" t="s">
        <v>465</v>
      </c>
      <c r="B391" s="88" t="s">
        <v>466</v>
      </c>
      <c r="C391" s="78">
        <f>N391</f>
        <v>118</v>
      </c>
      <c r="D391" s="48" t="s">
        <v>81</v>
      </c>
      <c r="E391" s="71">
        <f>225*1.1/3.28</f>
        <v>75.46</v>
      </c>
      <c r="F391" s="16">
        <f t="shared" si="40"/>
        <v>8904.28</v>
      </c>
      <c r="H391" s="1" t="s">
        <v>453</v>
      </c>
      <c r="J391" s="51">
        <v>1</v>
      </c>
      <c r="K391" s="52">
        <f>12+18+22+23+23+20</f>
        <v>118</v>
      </c>
      <c r="L391" s="52"/>
      <c r="M391" s="52">
        <v>1</v>
      </c>
      <c r="N391" s="52">
        <f>PRODUCT(I391:M391)</f>
        <v>118</v>
      </c>
      <c r="O391" s="53"/>
    </row>
    <row r="392" spans="1:15">
      <c r="A392" s="36"/>
      <c r="B392" s="88"/>
      <c r="C392" s="57"/>
      <c r="D392" s="48"/>
      <c r="E392" s="71"/>
      <c r="F392" s="16"/>
      <c r="J392" s="51"/>
      <c r="K392" s="52"/>
      <c r="L392" s="52"/>
      <c r="M392" s="52"/>
      <c r="N392" s="52">
        <f>PRODUCT(I392:M392)</f>
        <v>0</v>
      </c>
      <c r="O392" s="53"/>
    </row>
    <row r="393" spans="1:6">
      <c r="A393" s="36"/>
      <c r="B393" s="81"/>
      <c r="C393" s="46"/>
      <c r="D393" s="48"/>
      <c r="E393" s="71"/>
      <c r="F393" s="16"/>
    </row>
    <row r="394" spans="1:6">
      <c r="A394" s="36"/>
      <c r="B394" s="98" t="s">
        <v>202</v>
      </c>
      <c r="C394" s="46"/>
      <c r="D394" s="48"/>
      <c r="E394" s="71"/>
      <c r="F394" s="16"/>
    </row>
    <row r="395" ht="27.6" spans="1:15">
      <c r="A395" s="36"/>
      <c r="B395" s="81" t="s">
        <v>203</v>
      </c>
      <c r="C395" s="78">
        <f>O399</f>
        <v>2.1</v>
      </c>
      <c r="D395" s="48" t="s">
        <v>161</v>
      </c>
      <c r="E395" s="71">
        <f>1290*1.1*10.76</f>
        <v>15268.44</v>
      </c>
      <c r="F395" s="16">
        <f t="shared" ref="F395" si="41">E395*C395</f>
        <v>32063.72</v>
      </c>
      <c r="H395" s="1" t="s">
        <v>453</v>
      </c>
      <c r="J395" s="51">
        <v>1</v>
      </c>
      <c r="K395" s="52">
        <v>40</v>
      </c>
      <c r="L395" s="52"/>
      <c r="M395" s="52">
        <v>4</v>
      </c>
      <c r="N395" s="52">
        <f>PRODUCT(I395:M395)</f>
        <v>160</v>
      </c>
      <c r="O395" s="53"/>
    </row>
    <row r="396" spans="1:15">
      <c r="A396" s="36"/>
      <c r="B396" s="81"/>
      <c r="C396" s="57"/>
      <c r="D396" s="48"/>
      <c r="E396" s="71"/>
      <c r="F396" s="16"/>
      <c r="J396" s="51"/>
      <c r="K396" s="52"/>
      <c r="L396" s="52"/>
      <c r="M396" s="52"/>
      <c r="N396" s="52">
        <f>PRODUCT(I396:M396)</f>
        <v>0</v>
      </c>
      <c r="O396" s="53"/>
    </row>
    <row r="397" spans="1:15">
      <c r="A397" s="36"/>
      <c r="B397" s="81"/>
      <c r="C397" s="57"/>
      <c r="D397" s="48"/>
      <c r="E397" s="71"/>
      <c r="F397" s="16"/>
      <c r="H397" s="1" t="s">
        <v>454</v>
      </c>
      <c r="J397" s="51"/>
      <c r="K397" s="52"/>
      <c r="L397" s="52"/>
      <c r="M397" s="52"/>
      <c r="N397" s="52">
        <f>PRODUCT(I397:M397)</f>
        <v>0</v>
      </c>
      <c r="O397" s="53"/>
    </row>
    <row r="398" spans="1:15">
      <c r="A398" s="36"/>
      <c r="B398" s="81"/>
      <c r="C398" s="57"/>
      <c r="D398" s="48"/>
      <c r="E398" s="71"/>
      <c r="F398" s="16"/>
      <c r="H398" s="1" t="s">
        <v>455</v>
      </c>
      <c r="J398" s="50">
        <v>1</v>
      </c>
      <c r="K398" s="52">
        <f>15+12</f>
        <v>27</v>
      </c>
      <c r="L398" s="52"/>
      <c r="M398" s="52">
        <v>1.5</v>
      </c>
      <c r="N398" s="52">
        <f>PRODUCT(I398:M398)</f>
        <v>40.5</v>
      </c>
      <c r="O398" s="53"/>
    </row>
    <row r="399" spans="1:15">
      <c r="A399" s="36"/>
      <c r="B399" s="81"/>
      <c r="C399" s="57"/>
      <c r="D399" s="48"/>
      <c r="E399" s="71"/>
      <c r="F399" s="16"/>
      <c r="N399" s="52">
        <f>SUM(N395:N398)</f>
        <v>200.5</v>
      </c>
      <c r="O399" s="53">
        <f>ROUNDUP(N399/100,1)</f>
        <v>2.1</v>
      </c>
    </row>
    <row r="400" spans="1:6">
      <c r="A400" s="36"/>
      <c r="B400" s="81"/>
      <c r="C400" s="57"/>
      <c r="D400" s="48"/>
      <c r="E400" s="71"/>
      <c r="F400" s="16"/>
    </row>
    <row r="401" spans="1:6">
      <c r="A401" s="36"/>
      <c r="B401" s="81"/>
      <c r="C401" s="57"/>
      <c r="D401" s="48"/>
      <c r="E401" s="71"/>
      <c r="F401" s="16"/>
    </row>
    <row r="402" spans="1:6">
      <c r="A402" s="36"/>
      <c r="B402" s="81"/>
      <c r="C402" s="46"/>
      <c r="D402" s="48"/>
      <c r="E402" s="71"/>
      <c r="F402" s="16"/>
    </row>
    <row r="403" spans="1:6">
      <c r="A403" s="36"/>
      <c r="B403" s="80" t="s">
        <v>467</v>
      </c>
      <c r="C403" s="46"/>
      <c r="D403" s="48"/>
      <c r="E403" s="71"/>
      <c r="F403" s="16"/>
    </row>
    <row r="404" spans="1:6">
      <c r="A404" s="36"/>
      <c r="B404" s="60"/>
      <c r="C404" s="23"/>
      <c r="D404" s="15"/>
      <c r="E404" s="39"/>
      <c r="F404" s="16"/>
    </row>
    <row r="405" spans="1:6">
      <c r="A405" s="36"/>
      <c r="B405" s="98" t="s">
        <v>158</v>
      </c>
      <c r="C405" s="46"/>
      <c r="D405" s="48"/>
      <c r="E405" s="71"/>
      <c r="F405" s="16"/>
    </row>
    <row r="406" spans="1:6">
      <c r="A406" s="36"/>
      <c r="B406" s="98"/>
      <c r="C406" s="46"/>
      <c r="D406" s="48"/>
      <c r="E406" s="71"/>
      <c r="F406" s="16"/>
    </row>
    <row r="407" ht="27.6" spans="1:6">
      <c r="A407" s="101" t="s">
        <v>468</v>
      </c>
      <c r="B407" s="88" t="s">
        <v>469</v>
      </c>
      <c r="C407" s="46"/>
      <c r="D407" s="48"/>
      <c r="E407" s="43"/>
      <c r="F407" s="16"/>
    </row>
    <row r="408" spans="1:19">
      <c r="A408" s="101"/>
      <c r="B408" s="88" t="s">
        <v>167</v>
      </c>
      <c r="C408" s="42">
        <f>O412</f>
        <v>0</v>
      </c>
      <c r="D408" s="48" t="s">
        <v>161</v>
      </c>
      <c r="E408" s="43">
        <f>5200*10.76</f>
        <v>55952</v>
      </c>
      <c r="F408" s="16">
        <f t="shared" ref="F408:F424" si="42">E408*C408</f>
        <v>0</v>
      </c>
      <c r="H408" s="1" t="s">
        <v>453</v>
      </c>
      <c r="J408" s="51">
        <v>1</v>
      </c>
      <c r="K408" s="52">
        <v>0</v>
      </c>
      <c r="L408" s="52"/>
      <c r="M408" s="52"/>
      <c r="N408" s="52">
        <f>PRODUCT(I408:M408)</f>
        <v>0</v>
      </c>
      <c r="O408" s="53"/>
      <c r="P408" s="105">
        <v>250</v>
      </c>
      <c r="Q408" s="1">
        <f>P408*C408*10.76</f>
        <v>0</v>
      </c>
      <c r="R408" s="1"/>
      <c r="S408" s="1"/>
    </row>
    <row r="409" spans="1:19">
      <c r="A409" s="101"/>
      <c r="B409" s="88"/>
      <c r="C409" s="46"/>
      <c r="D409" s="48"/>
      <c r="E409" s="43"/>
      <c r="F409" s="16"/>
      <c r="J409" s="51"/>
      <c r="K409" s="52"/>
      <c r="L409" s="52"/>
      <c r="M409" s="52"/>
      <c r="N409" s="52">
        <f>PRODUCT(I409:M409)</f>
        <v>0</v>
      </c>
      <c r="O409" s="53"/>
      <c r="P409" s="105"/>
      <c r="Q409" s="1"/>
      <c r="R409" s="1"/>
      <c r="S409" s="1"/>
    </row>
    <row r="410" spans="1:19">
      <c r="A410" s="101"/>
      <c r="B410" s="88"/>
      <c r="C410" s="46"/>
      <c r="D410" s="48"/>
      <c r="E410" s="43"/>
      <c r="F410" s="16"/>
      <c r="H410" s="1" t="s">
        <v>454</v>
      </c>
      <c r="J410" s="51"/>
      <c r="K410" s="52"/>
      <c r="L410" s="52"/>
      <c r="M410" s="52"/>
      <c r="N410" s="52">
        <f>PRODUCT(I410:M410)</f>
        <v>0</v>
      </c>
      <c r="O410" s="53"/>
      <c r="P410" s="105"/>
      <c r="Q410" s="1"/>
      <c r="R410" s="1"/>
      <c r="S410" s="1"/>
    </row>
    <row r="411" spans="1:19">
      <c r="A411" s="101"/>
      <c r="B411" s="88"/>
      <c r="C411" s="46"/>
      <c r="D411" s="48"/>
      <c r="E411" s="43"/>
      <c r="F411" s="16"/>
      <c r="H411" s="1" t="s">
        <v>455</v>
      </c>
      <c r="J411" s="50">
        <v>1</v>
      </c>
      <c r="K411" s="52">
        <v>0</v>
      </c>
      <c r="L411" s="52"/>
      <c r="M411" s="52"/>
      <c r="N411" s="52">
        <f>PRODUCT(I411:M411)</f>
        <v>0</v>
      </c>
      <c r="O411" s="53"/>
      <c r="P411" s="105"/>
      <c r="Q411" s="1"/>
      <c r="R411" s="1"/>
      <c r="S411" s="1"/>
    </row>
    <row r="412" spans="1:19">
      <c r="A412" s="101"/>
      <c r="B412" s="88"/>
      <c r="C412" s="46"/>
      <c r="D412" s="48"/>
      <c r="E412" s="43"/>
      <c r="F412" s="16"/>
      <c r="N412" s="52">
        <f>SUM(N408:N411)</f>
        <v>0</v>
      </c>
      <c r="O412" s="53">
        <f>ROUNDUP(N412/100,1)</f>
        <v>0</v>
      </c>
      <c r="P412" s="105"/>
      <c r="Q412" s="1"/>
      <c r="R412" s="1"/>
      <c r="S412" s="1"/>
    </row>
    <row r="413" spans="1:19">
      <c r="A413" s="101"/>
      <c r="B413" s="88"/>
      <c r="C413" s="46"/>
      <c r="D413" s="48"/>
      <c r="E413" s="43"/>
      <c r="F413" s="16"/>
      <c r="P413" s="105"/>
      <c r="Q413" s="1"/>
      <c r="R413" s="1"/>
      <c r="S413" s="1"/>
    </row>
    <row r="414" spans="1:19">
      <c r="A414" s="101"/>
      <c r="B414" s="88"/>
      <c r="C414" s="46"/>
      <c r="D414" s="48"/>
      <c r="E414" s="43"/>
      <c r="F414" s="16"/>
      <c r="P414" s="105"/>
      <c r="Q414" s="1"/>
      <c r="R414" s="1"/>
      <c r="S414" s="1"/>
    </row>
    <row r="415" spans="1:19">
      <c r="A415" s="101"/>
      <c r="B415" s="88"/>
      <c r="C415" s="46"/>
      <c r="D415" s="48"/>
      <c r="E415" s="43"/>
      <c r="F415" s="16"/>
      <c r="P415" s="105"/>
      <c r="Q415" s="1"/>
      <c r="R415" s="1"/>
      <c r="S415" s="1"/>
    </row>
    <row r="416" spans="1:19">
      <c r="A416" s="101"/>
      <c r="B416" s="88" t="s">
        <v>470</v>
      </c>
      <c r="C416" s="42">
        <f>O420</f>
        <v>1.6</v>
      </c>
      <c r="D416" s="48" t="s">
        <v>161</v>
      </c>
      <c r="E416" s="43">
        <f>5250*10.76</f>
        <v>56490</v>
      </c>
      <c r="F416" s="16">
        <f t="shared" si="42"/>
        <v>90384</v>
      </c>
      <c r="H416" s="1" t="s">
        <v>471</v>
      </c>
      <c r="J416" s="51">
        <v>2</v>
      </c>
      <c r="K416" s="52">
        <v>9</v>
      </c>
      <c r="L416" s="52"/>
      <c r="M416" s="52">
        <v>6</v>
      </c>
      <c r="N416" s="52">
        <f>PRODUCT(I416:M416)</f>
        <v>108</v>
      </c>
      <c r="O416" s="53"/>
      <c r="P416" s="106">
        <f>P408</f>
        <v>250</v>
      </c>
      <c r="Q416" s="1">
        <f>P416*C416*10.76</f>
        <v>4304</v>
      </c>
      <c r="R416" s="1"/>
      <c r="S416" s="1"/>
    </row>
    <row r="417" spans="1:19">
      <c r="A417" s="101"/>
      <c r="B417" s="88"/>
      <c r="C417" s="46"/>
      <c r="D417" s="48"/>
      <c r="E417" s="43"/>
      <c r="F417" s="16"/>
      <c r="J417" s="51">
        <v>2</v>
      </c>
      <c r="K417" s="52">
        <v>5</v>
      </c>
      <c r="L417" s="52"/>
      <c r="M417" s="52">
        <v>6</v>
      </c>
      <c r="N417" s="52">
        <f>PRODUCT(I417:M417)</f>
        <v>60</v>
      </c>
      <c r="O417" s="53"/>
      <c r="P417" s="106"/>
      <c r="Q417" s="1"/>
      <c r="R417" s="1"/>
      <c r="S417" s="1"/>
    </row>
    <row r="418" spans="1:19">
      <c r="A418" s="101"/>
      <c r="B418" s="88"/>
      <c r="C418" s="46"/>
      <c r="D418" s="48"/>
      <c r="E418" s="43"/>
      <c r="F418" s="16"/>
      <c r="H418" s="1" t="s">
        <v>472</v>
      </c>
      <c r="J418" s="51">
        <v>-1</v>
      </c>
      <c r="K418" s="52">
        <v>2.5</v>
      </c>
      <c r="L418" s="52"/>
      <c r="M418" s="52">
        <v>6</v>
      </c>
      <c r="N418" s="52">
        <f>PRODUCT(I418:M418)</f>
        <v>-15</v>
      </c>
      <c r="O418" s="53"/>
      <c r="P418" s="106"/>
      <c r="Q418" s="1"/>
      <c r="R418" s="1"/>
      <c r="S418" s="1"/>
    </row>
    <row r="419" spans="1:19">
      <c r="A419" s="101"/>
      <c r="B419" s="88"/>
      <c r="C419" s="46"/>
      <c r="D419" s="48"/>
      <c r="E419" s="43"/>
      <c r="F419" s="16"/>
      <c r="J419" s="50"/>
      <c r="K419" s="52">
        <v>0</v>
      </c>
      <c r="L419" s="52"/>
      <c r="M419" s="52"/>
      <c r="N419" s="52">
        <f>PRODUCT(I419:M419)</f>
        <v>0</v>
      </c>
      <c r="O419" s="53"/>
      <c r="P419" s="106"/>
      <c r="Q419" s="1"/>
      <c r="R419" s="1"/>
      <c r="S419" s="1"/>
    </row>
    <row r="420" spans="1:19">
      <c r="A420" s="101"/>
      <c r="B420" s="88"/>
      <c r="C420" s="46"/>
      <c r="D420" s="48"/>
      <c r="E420" s="43"/>
      <c r="F420" s="16"/>
      <c r="N420" s="52">
        <f>SUM(N416:N419)</f>
        <v>153</v>
      </c>
      <c r="O420" s="53">
        <f>ROUNDUP(N420/100,1)</f>
        <v>1.6</v>
      </c>
      <c r="P420" s="106"/>
      <c r="Q420" s="1"/>
      <c r="R420" s="1"/>
      <c r="S420" s="1"/>
    </row>
    <row r="421" spans="1:19">
      <c r="A421" s="101"/>
      <c r="B421" s="88"/>
      <c r="C421" s="46"/>
      <c r="D421" s="48"/>
      <c r="E421" s="43"/>
      <c r="F421" s="16"/>
      <c r="P421" s="106"/>
      <c r="Q421" s="1"/>
      <c r="R421" s="1"/>
      <c r="S421" s="1"/>
    </row>
    <row r="422" spans="1:19">
      <c r="A422" s="101"/>
      <c r="B422" s="88"/>
      <c r="C422" s="46"/>
      <c r="D422" s="48"/>
      <c r="E422" s="43"/>
      <c r="F422" s="16"/>
      <c r="P422" s="106"/>
      <c r="Q422" s="1"/>
      <c r="R422" s="1"/>
      <c r="S422" s="1"/>
    </row>
    <row r="423" spans="1:19">
      <c r="A423" s="101"/>
      <c r="B423" s="88"/>
      <c r="C423" s="46"/>
      <c r="D423" s="48"/>
      <c r="E423" s="43"/>
      <c r="F423" s="16"/>
      <c r="P423" s="106"/>
      <c r="Q423" s="1"/>
      <c r="R423" s="1"/>
      <c r="S423" s="1"/>
    </row>
    <row r="424" spans="1:19">
      <c r="A424" s="101"/>
      <c r="B424" s="88" t="s">
        <v>473</v>
      </c>
      <c r="C424" s="42">
        <f>O428</f>
        <v>1.6</v>
      </c>
      <c r="D424" s="48" t="s">
        <v>161</v>
      </c>
      <c r="E424" s="43">
        <f>5250*10.76</f>
        <v>56490</v>
      </c>
      <c r="F424" s="16">
        <f t="shared" si="42"/>
        <v>90384</v>
      </c>
      <c r="H424" s="1" t="s">
        <v>471</v>
      </c>
      <c r="J424" s="51">
        <v>2</v>
      </c>
      <c r="K424" s="52">
        <v>9</v>
      </c>
      <c r="L424" s="52"/>
      <c r="M424" s="52">
        <v>6</v>
      </c>
      <c r="N424" s="52">
        <f>PRODUCT(I424:M424)</f>
        <v>108</v>
      </c>
      <c r="O424" s="53"/>
      <c r="P424" s="106">
        <f>P416</f>
        <v>250</v>
      </c>
      <c r="Q424" s="1">
        <f>P424*C424*10.76</f>
        <v>4304</v>
      </c>
      <c r="R424" s="1"/>
      <c r="S424" s="1"/>
    </row>
    <row r="425" spans="1:19">
      <c r="A425" s="101"/>
      <c r="B425" s="88"/>
      <c r="C425" s="46"/>
      <c r="D425" s="48"/>
      <c r="E425" s="43"/>
      <c r="F425" s="16"/>
      <c r="J425" s="51">
        <v>2</v>
      </c>
      <c r="K425" s="52">
        <v>5</v>
      </c>
      <c r="L425" s="52"/>
      <c r="M425" s="52">
        <v>6</v>
      </c>
      <c r="N425" s="52">
        <f>PRODUCT(I425:M425)</f>
        <v>60</v>
      </c>
      <c r="O425" s="53"/>
      <c r="P425" s="106"/>
      <c r="Q425" s="1"/>
      <c r="R425" s="1"/>
      <c r="S425" s="1"/>
    </row>
    <row r="426" spans="1:19">
      <c r="A426" s="101"/>
      <c r="B426" s="88"/>
      <c r="C426" s="46"/>
      <c r="D426" s="48"/>
      <c r="E426" s="43"/>
      <c r="F426" s="16"/>
      <c r="H426" s="1" t="s">
        <v>472</v>
      </c>
      <c r="J426" s="51">
        <v>-1</v>
      </c>
      <c r="K426" s="52">
        <v>2.5</v>
      </c>
      <c r="L426" s="52"/>
      <c r="M426" s="52">
        <v>6</v>
      </c>
      <c r="N426" s="52">
        <f>PRODUCT(I426:M426)</f>
        <v>-15</v>
      </c>
      <c r="O426" s="53"/>
      <c r="P426" s="106"/>
      <c r="Q426" s="1"/>
      <c r="R426" s="1"/>
      <c r="S426" s="1"/>
    </row>
    <row r="427" spans="1:19">
      <c r="A427" s="101"/>
      <c r="B427" s="88"/>
      <c r="C427" s="46"/>
      <c r="D427" s="48"/>
      <c r="E427" s="43"/>
      <c r="F427" s="16"/>
      <c r="J427" s="50"/>
      <c r="K427" s="52">
        <v>0</v>
      </c>
      <c r="L427" s="52"/>
      <c r="M427" s="52"/>
      <c r="N427" s="52">
        <f>PRODUCT(I427:M427)</f>
        <v>0</v>
      </c>
      <c r="O427" s="53"/>
      <c r="P427" s="106"/>
      <c r="Q427" s="1"/>
      <c r="R427" s="1"/>
      <c r="S427" s="1"/>
    </row>
    <row r="428" spans="1:15">
      <c r="A428" s="101"/>
      <c r="B428" s="88"/>
      <c r="C428" s="46"/>
      <c r="D428" s="48"/>
      <c r="E428" s="43"/>
      <c r="F428" s="16"/>
      <c r="N428" s="52">
        <f>SUM(N424:N427)</f>
        <v>153</v>
      </c>
      <c r="O428" s="53">
        <f>ROUNDUP(N428/100,1)</f>
        <v>1.6</v>
      </c>
    </row>
    <row r="429" spans="1:6">
      <c r="A429" s="36"/>
      <c r="B429" s="98" t="s">
        <v>164</v>
      </c>
      <c r="C429" s="46"/>
      <c r="D429" s="48"/>
      <c r="E429" s="71"/>
      <c r="F429" s="16"/>
    </row>
    <row r="430" ht="27.6" spans="1:6">
      <c r="A430" s="36"/>
      <c r="B430" s="81" t="s">
        <v>165</v>
      </c>
      <c r="C430" s="46"/>
      <c r="D430" s="48"/>
      <c r="E430" s="71"/>
      <c r="F430" s="16"/>
    </row>
    <row r="431" ht="27.6" spans="1:6">
      <c r="A431" s="87" t="s">
        <v>474</v>
      </c>
      <c r="B431" s="88" t="s">
        <v>475</v>
      </c>
      <c r="C431" s="46"/>
      <c r="D431" s="48"/>
      <c r="E431" s="43"/>
      <c r="F431" s="16"/>
    </row>
    <row r="432" spans="1:19">
      <c r="A432" s="36"/>
      <c r="B432" s="88" t="s">
        <v>167</v>
      </c>
      <c r="C432" s="42">
        <f>O432</f>
        <v>0.3</v>
      </c>
      <c r="D432" s="48" t="s">
        <v>161</v>
      </c>
      <c r="E432" s="102">
        <f>4750*10.76</f>
        <v>51110</v>
      </c>
      <c r="F432" s="16">
        <f t="shared" ref="F432:F456" si="43">E432*C432</f>
        <v>15333</v>
      </c>
      <c r="H432" s="1" t="s">
        <v>476</v>
      </c>
      <c r="J432" s="51">
        <v>2</v>
      </c>
      <c r="K432" s="52">
        <v>3</v>
      </c>
      <c r="L432" s="52">
        <v>4</v>
      </c>
      <c r="M432" s="52"/>
      <c r="N432" s="52">
        <f>PRODUCT(I432:M432)</f>
        <v>24</v>
      </c>
      <c r="O432" s="53">
        <f>ROUNDUP(N432/100,1)</f>
        <v>0.3</v>
      </c>
      <c r="P432" s="105">
        <v>180</v>
      </c>
      <c r="Q432" s="1">
        <f>P432*C432*10.76</f>
        <v>581.04</v>
      </c>
      <c r="R432" s="1"/>
      <c r="S432" s="1"/>
    </row>
    <row r="433" spans="1:19">
      <c r="A433" s="36"/>
      <c r="B433" s="88"/>
      <c r="C433" s="46"/>
      <c r="D433" s="48"/>
      <c r="E433" s="48"/>
      <c r="F433" s="16"/>
      <c r="J433" s="51"/>
      <c r="K433" s="52"/>
      <c r="L433" s="52"/>
      <c r="M433" s="52"/>
      <c r="N433" s="52">
        <f>PRODUCT(I433:M433)</f>
        <v>0</v>
      </c>
      <c r="O433" s="53"/>
      <c r="P433" s="105"/>
      <c r="Q433" s="1"/>
      <c r="R433" s="1"/>
      <c r="S433" s="1"/>
    </row>
    <row r="434" spans="1:19">
      <c r="A434" s="36"/>
      <c r="B434" s="88"/>
      <c r="C434" s="46"/>
      <c r="D434" s="48"/>
      <c r="E434" s="43"/>
      <c r="F434" s="16"/>
      <c r="P434" s="105"/>
      <c r="Q434" s="1"/>
      <c r="R434" s="1"/>
      <c r="S434" s="1"/>
    </row>
    <row r="435" spans="1:19">
      <c r="A435" s="36"/>
      <c r="B435" s="88" t="s">
        <v>168</v>
      </c>
      <c r="C435" s="42">
        <v>0</v>
      </c>
      <c r="D435" s="48" t="s">
        <v>169</v>
      </c>
      <c r="E435" s="102">
        <f>E432/100*0.33</f>
        <v>168.66</v>
      </c>
      <c r="F435" s="16">
        <f t="shared" si="43"/>
        <v>0</v>
      </c>
      <c r="P435" s="107">
        <f>P432</f>
        <v>180</v>
      </c>
      <c r="Q435" s="1">
        <f>P435*C435*10.76</f>
        <v>0</v>
      </c>
      <c r="R435" s="1"/>
      <c r="S435" s="1"/>
    </row>
    <row r="436" spans="1:19">
      <c r="A436" s="36"/>
      <c r="B436" s="88"/>
      <c r="C436" s="46"/>
      <c r="D436" s="48"/>
      <c r="E436" s="43"/>
      <c r="F436" s="16"/>
      <c r="P436" s="107"/>
      <c r="Q436" s="1"/>
      <c r="R436" s="1"/>
      <c r="S436" s="1"/>
    </row>
    <row r="437" spans="1:19">
      <c r="A437" s="36"/>
      <c r="B437" s="88" t="s">
        <v>170</v>
      </c>
      <c r="C437" s="42">
        <f>O437</f>
        <v>53</v>
      </c>
      <c r="D437" s="48" t="s">
        <v>169</v>
      </c>
      <c r="E437" s="102">
        <f>E432/100*0.83</f>
        <v>424.21</v>
      </c>
      <c r="F437" s="16">
        <f t="shared" ref="F437" si="44">E437*C437</f>
        <v>22483.13</v>
      </c>
      <c r="H437" s="1" t="s">
        <v>477</v>
      </c>
      <c r="J437" s="51">
        <v>15</v>
      </c>
      <c r="K437" s="52">
        <v>3.5</v>
      </c>
      <c r="L437" s="52"/>
      <c r="M437" s="52"/>
      <c r="N437" s="52">
        <f>PRODUCT(I437:M437)</f>
        <v>52.5</v>
      </c>
      <c r="O437" s="53">
        <f>ROUNDUP(N437,0)</f>
        <v>53</v>
      </c>
      <c r="P437" s="107"/>
      <c r="Q437" s="1"/>
      <c r="R437" s="1"/>
      <c r="S437" s="1"/>
    </row>
    <row r="438" spans="1:19">
      <c r="A438" s="36"/>
      <c r="B438" s="88"/>
      <c r="C438" s="46"/>
      <c r="D438" s="48"/>
      <c r="E438" s="43"/>
      <c r="F438" s="16"/>
      <c r="P438" s="107"/>
      <c r="Q438" s="1"/>
      <c r="R438" s="1"/>
      <c r="S438" s="1"/>
    </row>
    <row r="439" spans="1:19">
      <c r="A439" s="36"/>
      <c r="B439" s="88" t="s">
        <v>171</v>
      </c>
      <c r="C439" s="42">
        <v>69</v>
      </c>
      <c r="D439" s="48" t="s">
        <v>169</v>
      </c>
      <c r="E439" s="102">
        <f>E432/100*0.5</f>
        <v>255.55</v>
      </c>
      <c r="F439" s="16">
        <f t="shared" ref="F439" si="45">E439*C439</f>
        <v>17632.95</v>
      </c>
      <c r="H439" s="1" t="s">
        <v>478</v>
      </c>
      <c r="J439" s="51">
        <v>19</v>
      </c>
      <c r="K439" s="52">
        <v>3.6</v>
      </c>
      <c r="L439" s="52"/>
      <c r="M439" s="52"/>
      <c r="N439" s="52">
        <f>PRODUCT(I439:M439)</f>
        <v>68.4</v>
      </c>
      <c r="O439" s="53">
        <f>ROUNDUP(N439,0)</f>
        <v>69</v>
      </c>
      <c r="P439" s="107"/>
      <c r="Q439" s="1"/>
      <c r="R439" s="1"/>
      <c r="S439" s="1"/>
    </row>
    <row r="440" spans="1:19">
      <c r="A440" s="36"/>
      <c r="B440" s="88"/>
      <c r="C440" s="46"/>
      <c r="D440" s="48"/>
      <c r="E440" s="43"/>
      <c r="F440" s="16"/>
      <c r="P440" s="107"/>
      <c r="Q440" s="1"/>
      <c r="R440" s="1"/>
      <c r="S440" s="1"/>
    </row>
    <row r="441" spans="1:19">
      <c r="A441" s="36"/>
      <c r="B441" s="104"/>
      <c r="C441" s="23"/>
      <c r="D441" s="15"/>
      <c r="E441" s="21"/>
      <c r="F441" s="16"/>
      <c r="P441" s="107"/>
      <c r="Q441" s="1"/>
      <c r="R441" s="1"/>
      <c r="S441" s="1"/>
    </row>
    <row r="442" spans="1:19">
      <c r="A442" s="36"/>
      <c r="B442" s="88" t="s">
        <v>470</v>
      </c>
      <c r="C442" s="42">
        <f>O442</f>
        <v>6.4</v>
      </c>
      <c r="D442" s="48" t="s">
        <v>161</v>
      </c>
      <c r="E442" s="102">
        <f>4750*10.76*1.01</f>
        <v>51621.1</v>
      </c>
      <c r="F442" s="16">
        <f t="shared" ref="F442" si="46">E442*C442</f>
        <v>330375.04</v>
      </c>
      <c r="J442" s="51">
        <v>1</v>
      </c>
      <c r="K442" s="52">
        <f>608+24</f>
        <v>632</v>
      </c>
      <c r="L442" s="52"/>
      <c r="M442" s="52"/>
      <c r="N442" s="52">
        <f>PRODUCT(I442:M442)</f>
        <v>632</v>
      </c>
      <c r="O442" s="53">
        <f>ROUNDUP(N442/100,1)</f>
        <v>6.4</v>
      </c>
      <c r="P442" s="107">
        <f>P435</f>
        <v>180</v>
      </c>
      <c r="Q442" s="1">
        <f>P442*C442*10.76</f>
        <v>12395.52</v>
      </c>
      <c r="R442" s="1"/>
      <c r="S442" s="1"/>
    </row>
    <row r="443" spans="1:19">
      <c r="A443" s="36"/>
      <c r="B443" s="88"/>
      <c r="C443" s="46"/>
      <c r="D443" s="48"/>
      <c r="E443" s="71"/>
      <c r="F443" s="16"/>
      <c r="P443" s="107"/>
      <c r="Q443" s="1"/>
      <c r="R443" s="1"/>
      <c r="S443" s="1"/>
    </row>
    <row r="444" spans="1:19">
      <c r="A444" s="36"/>
      <c r="B444" s="88" t="s">
        <v>168</v>
      </c>
      <c r="C444" s="42">
        <f>O444</f>
        <v>180</v>
      </c>
      <c r="D444" s="48" t="s">
        <v>169</v>
      </c>
      <c r="E444" s="102">
        <f>E442/100*0.33</f>
        <v>170.35</v>
      </c>
      <c r="F444" s="16">
        <f t="shared" ref="F444" si="47">E444*C444</f>
        <v>30663</v>
      </c>
      <c r="H444" s="1" t="s">
        <v>479</v>
      </c>
      <c r="J444" s="51">
        <v>1</v>
      </c>
      <c r="K444" s="52">
        <v>179.5</v>
      </c>
      <c r="L444" s="52"/>
      <c r="M444" s="52"/>
      <c r="N444" s="52">
        <f>PRODUCT(I444:M444)</f>
        <v>179.5</v>
      </c>
      <c r="O444" s="53">
        <f>ROUNDUP(N444,0)</f>
        <v>180</v>
      </c>
      <c r="P444" s="107">
        <f>P441</f>
        <v>0</v>
      </c>
      <c r="Q444" s="1">
        <f>P444*C444*10.76</f>
        <v>0</v>
      </c>
      <c r="R444" s="1"/>
      <c r="S444" s="1"/>
    </row>
    <row r="445" spans="1:19">
      <c r="A445" s="36"/>
      <c r="B445" s="88"/>
      <c r="C445" s="46"/>
      <c r="D445" s="48"/>
      <c r="E445" s="43"/>
      <c r="F445" s="16"/>
      <c r="P445" s="107"/>
      <c r="Q445" s="1"/>
      <c r="R445" s="1"/>
      <c r="S445" s="1"/>
    </row>
    <row r="446" spans="1:19">
      <c r="A446" s="36"/>
      <c r="B446" s="88" t="s">
        <v>170</v>
      </c>
      <c r="C446" s="42">
        <f>O446</f>
        <v>53</v>
      </c>
      <c r="D446" s="48" t="s">
        <v>169</v>
      </c>
      <c r="E446" s="102">
        <f>E442/100*0.83</f>
        <v>428.46</v>
      </c>
      <c r="F446" s="16">
        <f t="shared" ref="F446" si="48">E446*C446</f>
        <v>22708.38</v>
      </c>
      <c r="H446" s="1" t="s">
        <v>477</v>
      </c>
      <c r="J446" s="51">
        <v>15</v>
      </c>
      <c r="K446" s="52">
        <v>3.5</v>
      </c>
      <c r="L446" s="52"/>
      <c r="M446" s="52"/>
      <c r="N446" s="52">
        <f>PRODUCT(I446:M446)</f>
        <v>52.5</v>
      </c>
      <c r="O446" s="53">
        <f>ROUNDUP(N446,0)</f>
        <v>53</v>
      </c>
      <c r="P446" s="107"/>
      <c r="Q446" s="1"/>
      <c r="R446" s="1"/>
      <c r="S446" s="1"/>
    </row>
    <row r="447" spans="1:19">
      <c r="A447" s="36"/>
      <c r="B447" s="88"/>
      <c r="C447" s="46"/>
      <c r="D447" s="48"/>
      <c r="E447" s="43"/>
      <c r="F447" s="16"/>
      <c r="P447" s="107"/>
      <c r="Q447" s="1"/>
      <c r="R447" s="1"/>
      <c r="S447" s="1"/>
    </row>
    <row r="448" spans="1:19">
      <c r="A448" s="36"/>
      <c r="B448" s="88" t="s">
        <v>171</v>
      </c>
      <c r="C448" s="42">
        <v>69</v>
      </c>
      <c r="D448" s="48" t="s">
        <v>169</v>
      </c>
      <c r="E448" s="102">
        <f>E442/100*0.5</f>
        <v>258.11</v>
      </c>
      <c r="F448" s="16">
        <f t="shared" ref="F448" si="49">E448*C448</f>
        <v>17809.59</v>
      </c>
      <c r="H448" s="1" t="s">
        <v>478</v>
      </c>
      <c r="J448" s="51">
        <v>19</v>
      </c>
      <c r="K448" s="52">
        <v>3.6</v>
      </c>
      <c r="L448" s="52"/>
      <c r="M448" s="52"/>
      <c r="N448" s="52">
        <f>PRODUCT(I448:M448)</f>
        <v>68.4</v>
      </c>
      <c r="O448" s="53">
        <f>ROUNDUP(N448,0)</f>
        <v>69</v>
      </c>
      <c r="P448" s="107"/>
      <c r="Q448" s="1"/>
      <c r="R448" s="1"/>
      <c r="S448" s="1"/>
    </row>
    <row r="449" spans="1:19">
      <c r="A449" s="36"/>
      <c r="B449" s="88"/>
      <c r="C449" s="46"/>
      <c r="D449" s="48"/>
      <c r="E449" s="71"/>
      <c r="F449" s="16"/>
      <c r="P449" s="107"/>
      <c r="Q449" s="1"/>
      <c r="R449" s="1"/>
      <c r="S449" s="1"/>
    </row>
    <row r="450" spans="1:19">
      <c r="A450" s="36"/>
      <c r="B450" s="88" t="s">
        <v>172</v>
      </c>
      <c r="C450" s="42">
        <f>O453</f>
        <v>0.6</v>
      </c>
      <c r="D450" s="48" t="s">
        <v>161</v>
      </c>
      <c r="E450" s="102">
        <f>E442</f>
        <v>51621.1</v>
      </c>
      <c r="F450" s="16">
        <f t="shared" ref="F450" si="50">E450*C450</f>
        <v>30972.66</v>
      </c>
      <c r="H450" s="1" t="s">
        <v>480</v>
      </c>
      <c r="J450" s="51">
        <v>1</v>
      </c>
      <c r="K450" s="52">
        <v>15</v>
      </c>
      <c r="L450" s="52"/>
      <c r="M450" s="52">
        <v>2</v>
      </c>
      <c r="N450" s="52">
        <f>PRODUCT(I450:M450)</f>
        <v>30</v>
      </c>
      <c r="O450" s="53"/>
      <c r="P450" s="107"/>
      <c r="Q450" s="1"/>
      <c r="R450" s="1"/>
      <c r="S450" s="1"/>
    </row>
    <row r="451" spans="1:19">
      <c r="A451" s="36"/>
      <c r="B451" s="88"/>
      <c r="C451" s="46"/>
      <c r="D451" s="48"/>
      <c r="E451" s="71"/>
      <c r="F451" s="16"/>
      <c r="H451" s="1" t="s">
        <v>481</v>
      </c>
      <c r="J451" s="51">
        <v>1</v>
      </c>
      <c r="K451" s="52">
        <v>15</v>
      </c>
      <c r="L451" s="52"/>
      <c r="M451" s="52">
        <v>2</v>
      </c>
      <c r="N451" s="52">
        <f>PRODUCT(I451:M451)</f>
        <v>30</v>
      </c>
      <c r="O451" s="53"/>
      <c r="P451" s="107"/>
      <c r="Q451" s="1"/>
      <c r="R451" s="1"/>
      <c r="S451" s="1"/>
    </row>
    <row r="452" spans="1:19">
      <c r="A452" s="36"/>
      <c r="B452" s="88"/>
      <c r="C452" s="46"/>
      <c r="D452" s="48"/>
      <c r="E452" s="71"/>
      <c r="F452" s="16"/>
      <c r="J452" s="50"/>
      <c r="K452" s="52">
        <v>0</v>
      </c>
      <c r="L452" s="52"/>
      <c r="M452" s="52"/>
      <c r="N452" s="52">
        <f>PRODUCT(I452:M452)</f>
        <v>0</v>
      </c>
      <c r="O452" s="53"/>
      <c r="P452" s="107"/>
      <c r="Q452" s="1"/>
      <c r="R452" s="1"/>
      <c r="S452" s="1"/>
    </row>
    <row r="453" spans="1:19">
      <c r="A453" s="36"/>
      <c r="B453" s="88"/>
      <c r="C453" s="46"/>
      <c r="D453" s="48"/>
      <c r="E453" s="71"/>
      <c r="F453" s="16"/>
      <c r="N453" s="52">
        <f>SUM(N450:N452)</f>
        <v>60</v>
      </c>
      <c r="O453" s="53">
        <f>ROUNDUP(N453/100,1)</f>
        <v>0.6</v>
      </c>
      <c r="P453" s="107"/>
      <c r="Q453" s="1"/>
      <c r="R453" s="1"/>
      <c r="S453" s="1"/>
    </row>
    <row r="454" spans="1:19">
      <c r="A454" s="36"/>
      <c r="B454" s="88"/>
      <c r="C454" s="46"/>
      <c r="D454" s="48"/>
      <c r="E454" s="71"/>
      <c r="F454" s="16"/>
      <c r="P454" s="107"/>
      <c r="Q454" s="1"/>
      <c r="R454" s="1"/>
      <c r="S454" s="1"/>
    </row>
    <row r="455" spans="1:19">
      <c r="A455" s="36"/>
      <c r="B455" s="88"/>
      <c r="C455" s="46"/>
      <c r="D455" s="48"/>
      <c r="E455" s="71"/>
      <c r="F455" s="16"/>
      <c r="P455" s="107"/>
      <c r="Q455" s="1"/>
      <c r="R455" s="1"/>
      <c r="S455" s="1"/>
    </row>
    <row r="456" spans="1:19">
      <c r="A456" s="36"/>
      <c r="B456" s="88" t="s">
        <v>473</v>
      </c>
      <c r="C456" s="42">
        <f>O456</f>
        <v>6.2</v>
      </c>
      <c r="D456" s="48" t="s">
        <v>161</v>
      </c>
      <c r="E456" s="102">
        <f>E442*1.01</f>
        <v>52137.31</v>
      </c>
      <c r="F456" s="16">
        <f t="shared" si="43"/>
        <v>323251.32</v>
      </c>
      <c r="J456" s="51">
        <v>1</v>
      </c>
      <c r="K456" s="52">
        <v>620</v>
      </c>
      <c r="L456" s="52"/>
      <c r="M456" s="52"/>
      <c r="N456" s="52">
        <f>PRODUCT(I456:M456)</f>
        <v>620</v>
      </c>
      <c r="O456" s="53">
        <f>ROUNDUP(N456/100,1)</f>
        <v>6.2</v>
      </c>
      <c r="P456" s="107">
        <f>P442</f>
        <v>180</v>
      </c>
      <c r="Q456" s="1">
        <f>P456*C456*10.76</f>
        <v>12008.16</v>
      </c>
      <c r="R456" s="1"/>
      <c r="S456" s="1"/>
    </row>
    <row r="457" spans="1:19">
      <c r="A457" s="36"/>
      <c r="B457" s="88"/>
      <c r="C457" s="46"/>
      <c r="D457" s="48"/>
      <c r="E457" s="43"/>
      <c r="F457" s="16"/>
      <c r="P457" s="107"/>
      <c r="Q457" s="1"/>
      <c r="R457" s="1"/>
      <c r="S457" s="1"/>
    </row>
    <row r="458" spans="1:19">
      <c r="A458" s="36"/>
      <c r="B458" s="88" t="s">
        <v>168</v>
      </c>
      <c r="C458" s="42">
        <f>O458</f>
        <v>192</v>
      </c>
      <c r="D458" s="48" t="s">
        <v>169</v>
      </c>
      <c r="E458" s="102">
        <f>E456/100*0.33</f>
        <v>172.05</v>
      </c>
      <c r="F458" s="16">
        <f t="shared" ref="F458" si="51">E458*C458</f>
        <v>33033.6</v>
      </c>
      <c r="H458" s="1" t="s">
        <v>479</v>
      </c>
      <c r="J458" s="51">
        <v>1</v>
      </c>
      <c r="K458" s="52">
        <v>192</v>
      </c>
      <c r="L458" s="52"/>
      <c r="M458" s="52"/>
      <c r="N458" s="52">
        <f>PRODUCT(I458:M458)</f>
        <v>192</v>
      </c>
      <c r="O458" s="53">
        <f>ROUNDUP(N458,0)</f>
        <v>192</v>
      </c>
      <c r="P458" s="107"/>
      <c r="Q458" s="1"/>
      <c r="R458" s="1"/>
      <c r="S458" s="1"/>
    </row>
    <row r="459" spans="1:19">
      <c r="A459" s="36"/>
      <c r="B459" s="88"/>
      <c r="C459" s="46"/>
      <c r="D459" s="48"/>
      <c r="E459" s="43"/>
      <c r="F459" s="16"/>
      <c r="P459" s="107"/>
      <c r="Q459" s="1"/>
      <c r="R459" s="1"/>
      <c r="S459" s="1"/>
    </row>
    <row r="460" spans="1:19">
      <c r="A460" s="36"/>
      <c r="B460" s="88" t="s">
        <v>170</v>
      </c>
      <c r="C460" s="42">
        <f>O460</f>
        <v>53</v>
      </c>
      <c r="D460" s="48" t="s">
        <v>169</v>
      </c>
      <c r="E460" s="102">
        <f>E456/100*0.83</f>
        <v>432.74</v>
      </c>
      <c r="F460" s="16">
        <f t="shared" ref="F460" si="52">E460*C460</f>
        <v>22935.22</v>
      </c>
      <c r="H460" s="1" t="s">
        <v>477</v>
      </c>
      <c r="J460" s="51">
        <v>15</v>
      </c>
      <c r="K460" s="52">
        <v>3.5</v>
      </c>
      <c r="L460" s="52"/>
      <c r="M460" s="52"/>
      <c r="N460" s="52">
        <f>PRODUCT(I460:M460)</f>
        <v>52.5</v>
      </c>
      <c r="O460" s="53">
        <f>ROUNDUP(N460,0)</f>
        <v>53</v>
      </c>
      <c r="P460" s="107"/>
      <c r="Q460" s="1"/>
      <c r="R460" s="1"/>
      <c r="S460" s="1"/>
    </row>
    <row r="461" spans="1:19">
      <c r="A461" s="36"/>
      <c r="B461" s="88"/>
      <c r="C461" s="46"/>
      <c r="D461" s="48"/>
      <c r="E461" s="43"/>
      <c r="F461" s="16"/>
      <c r="P461" s="107"/>
      <c r="Q461" s="1"/>
      <c r="R461" s="1"/>
      <c r="S461" s="1"/>
    </row>
    <row r="462" spans="1:19">
      <c r="A462" s="36"/>
      <c r="B462" s="88" t="s">
        <v>171</v>
      </c>
      <c r="C462" s="42">
        <v>69</v>
      </c>
      <c r="D462" s="48" t="s">
        <v>169</v>
      </c>
      <c r="E462" s="102">
        <f>E456/100*0.5</f>
        <v>260.69</v>
      </c>
      <c r="F462" s="16">
        <f t="shared" ref="F462" si="53">E462*C462</f>
        <v>17987.61</v>
      </c>
      <c r="H462" s="1" t="s">
        <v>478</v>
      </c>
      <c r="J462" s="51">
        <v>19</v>
      </c>
      <c r="K462" s="52">
        <v>3.6</v>
      </c>
      <c r="L462" s="52"/>
      <c r="M462" s="52"/>
      <c r="N462" s="52">
        <f>PRODUCT(I462:M462)</f>
        <v>68.4</v>
      </c>
      <c r="O462" s="53">
        <f>ROUNDUP(N462,0)</f>
        <v>69</v>
      </c>
      <c r="P462" s="107"/>
      <c r="Q462" s="1"/>
      <c r="R462" s="1"/>
      <c r="S462" s="1"/>
    </row>
    <row r="463" spans="1:19">
      <c r="A463" s="36"/>
      <c r="B463" s="88"/>
      <c r="C463" s="46"/>
      <c r="D463" s="48"/>
      <c r="E463" s="71"/>
      <c r="F463" s="16"/>
      <c r="P463" s="107"/>
      <c r="Q463" s="1"/>
      <c r="R463" s="1"/>
      <c r="S463" s="1"/>
    </row>
    <row r="464" spans="1:19">
      <c r="A464" s="36"/>
      <c r="B464" s="88" t="s">
        <v>172</v>
      </c>
      <c r="C464" s="42">
        <f>O467</f>
        <v>0.6</v>
      </c>
      <c r="D464" s="48" t="s">
        <v>161</v>
      </c>
      <c r="E464" s="102">
        <f>E456</f>
        <v>52137.31</v>
      </c>
      <c r="F464" s="16">
        <f t="shared" ref="F464" si="54">E464*C464</f>
        <v>31282.39</v>
      </c>
      <c r="H464" s="1" t="s">
        <v>480</v>
      </c>
      <c r="J464" s="51">
        <v>1</v>
      </c>
      <c r="K464" s="52">
        <v>15</v>
      </c>
      <c r="L464" s="52"/>
      <c r="M464" s="52">
        <v>2</v>
      </c>
      <c r="N464" s="52">
        <f>PRODUCT(I464:M464)</f>
        <v>30</v>
      </c>
      <c r="O464" s="53"/>
      <c r="P464" s="107"/>
      <c r="Q464" s="1"/>
      <c r="R464" s="1"/>
      <c r="S464" s="1"/>
    </row>
    <row r="465" spans="1:19">
      <c r="A465" s="36"/>
      <c r="B465" s="104"/>
      <c r="C465" s="23"/>
      <c r="D465" s="15"/>
      <c r="E465" s="21"/>
      <c r="F465" s="16"/>
      <c r="H465" s="1" t="s">
        <v>481</v>
      </c>
      <c r="J465" s="51">
        <v>1</v>
      </c>
      <c r="K465" s="52">
        <v>15</v>
      </c>
      <c r="L465" s="52"/>
      <c r="M465" s="52">
        <v>2</v>
      </c>
      <c r="N465" s="52">
        <f>PRODUCT(I465:M465)</f>
        <v>30</v>
      </c>
      <c r="O465" s="53"/>
      <c r="P465" s="107"/>
      <c r="Q465" s="1"/>
      <c r="R465" s="1"/>
      <c r="S465" s="1"/>
    </row>
    <row r="466" spans="1:19">
      <c r="A466" s="36"/>
      <c r="B466" s="104"/>
      <c r="C466" s="23"/>
      <c r="D466" s="15"/>
      <c r="E466" s="21"/>
      <c r="F466" s="16"/>
      <c r="J466" s="50"/>
      <c r="K466" s="52">
        <v>0</v>
      </c>
      <c r="L466" s="52"/>
      <c r="M466" s="52"/>
      <c r="N466" s="52">
        <f>PRODUCT(I466:M466)</f>
        <v>0</v>
      </c>
      <c r="O466" s="53"/>
      <c r="P466" s="107"/>
      <c r="Q466" s="1"/>
      <c r="R466" s="1"/>
      <c r="S466" s="1"/>
    </row>
    <row r="467" spans="1:19">
      <c r="A467" s="36"/>
      <c r="B467" s="104"/>
      <c r="C467" s="23"/>
      <c r="D467" s="15"/>
      <c r="E467" s="21"/>
      <c r="F467" s="16"/>
      <c r="N467" s="52">
        <f>SUM(N464:N466)</f>
        <v>60</v>
      </c>
      <c r="O467" s="53">
        <f>ROUNDUP(N467/100,1)</f>
        <v>0.6</v>
      </c>
      <c r="P467" s="107"/>
      <c r="Q467" s="1"/>
      <c r="R467" s="1"/>
      <c r="S467" s="1"/>
    </row>
    <row r="468" spans="1:19">
      <c r="A468" s="36"/>
      <c r="B468" s="104"/>
      <c r="C468" s="23"/>
      <c r="D468" s="15"/>
      <c r="E468" s="21"/>
      <c r="F468" s="16"/>
      <c r="P468" s="107"/>
      <c r="Q468" s="1"/>
      <c r="R468" s="1"/>
      <c r="S468" s="1"/>
    </row>
    <row r="469" spans="1:6">
      <c r="A469" s="36"/>
      <c r="B469" s="104"/>
      <c r="C469" s="23"/>
      <c r="D469" s="15"/>
      <c r="E469" s="21"/>
      <c r="F469" s="16"/>
    </row>
    <row r="470" spans="1:15">
      <c r="A470" s="108"/>
      <c r="B470" s="109"/>
      <c r="C470" s="23"/>
      <c r="D470" s="21"/>
      <c r="E470" s="39"/>
      <c r="F470" s="110"/>
      <c r="G470" s="107"/>
      <c r="H470" s="107"/>
      <c r="I470" s="107"/>
      <c r="J470" s="107"/>
      <c r="K470" s="107"/>
      <c r="L470" s="107"/>
      <c r="M470" s="107"/>
      <c r="N470" s="107"/>
      <c r="O470" s="107"/>
    </row>
    <row r="471" ht="28.35" spans="1:15">
      <c r="A471" s="36"/>
      <c r="B471" s="111" t="s">
        <v>482</v>
      </c>
      <c r="C471" s="23"/>
      <c r="D471" s="21"/>
      <c r="E471" s="39"/>
      <c r="F471" s="112">
        <f>SUM(F302:F469)</f>
        <v>1977755.78</v>
      </c>
      <c r="G471" s="113"/>
      <c r="H471" s="113"/>
      <c r="I471" s="113"/>
      <c r="J471" s="113"/>
      <c r="K471" s="113"/>
      <c r="L471" s="113"/>
      <c r="M471" s="113"/>
      <c r="N471" s="113"/>
      <c r="O471" s="113"/>
    </row>
    <row r="472" ht="14.55" spans="1:6">
      <c r="A472" s="36"/>
      <c r="B472" s="60"/>
      <c r="C472" s="23"/>
      <c r="D472" s="15"/>
      <c r="E472" s="39"/>
      <c r="F472" s="31"/>
    </row>
    <row r="473" spans="1:6">
      <c r="A473" s="100" t="s">
        <v>50</v>
      </c>
      <c r="B473" s="114" t="s">
        <v>204</v>
      </c>
      <c r="C473" s="46"/>
      <c r="D473" s="48"/>
      <c r="E473" s="71"/>
      <c r="F473" s="16"/>
    </row>
    <row r="474" ht="55.2" spans="1:6">
      <c r="A474" s="100"/>
      <c r="B474" s="115" t="s">
        <v>483</v>
      </c>
      <c r="C474" s="46"/>
      <c r="D474" s="48"/>
      <c r="E474" s="71"/>
      <c r="F474" s="16"/>
    </row>
    <row r="475" spans="1:6">
      <c r="A475" s="100"/>
      <c r="B475" s="115"/>
      <c r="C475" s="46"/>
      <c r="D475" s="48"/>
      <c r="E475" s="71"/>
      <c r="F475" s="16"/>
    </row>
    <row r="476" ht="55.2" spans="1:6">
      <c r="A476" s="116"/>
      <c r="B476" s="117" t="s">
        <v>484</v>
      </c>
      <c r="C476" s="46"/>
      <c r="D476" s="48"/>
      <c r="E476" s="71"/>
      <c r="F476" s="16"/>
    </row>
    <row r="477" spans="1:6">
      <c r="A477" s="101"/>
      <c r="B477" s="118"/>
      <c r="C477" s="46"/>
      <c r="D477" s="48"/>
      <c r="E477" s="71"/>
      <c r="F477" s="16"/>
    </row>
    <row r="478" spans="1:6">
      <c r="A478" s="119" t="s">
        <v>485</v>
      </c>
      <c r="B478" s="99" t="s">
        <v>486</v>
      </c>
      <c r="C478" s="42">
        <f>C303+C321</f>
        <v>11.6</v>
      </c>
      <c r="D478" s="48" t="s">
        <v>161</v>
      </c>
      <c r="E478" s="71">
        <f>590*10.76</f>
        <v>6348.4</v>
      </c>
      <c r="F478" s="16">
        <f>E478*C478</f>
        <v>73641.44</v>
      </c>
    </row>
    <row r="479" spans="1:6">
      <c r="A479" s="119" t="s">
        <v>487</v>
      </c>
      <c r="B479" s="99" t="s">
        <v>488</v>
      </c>
      <c r="C479" s="42">
        <f>C306+C327</f>
        <v>21.5</v>
      </c>
      <c r="D479" s="48" t="s">
        <v>161</v>
      </c>
      <c r="E479" s="71">
        <f>610*10.76</f>
        <v>6563.6</v>
      </c>
      <c r="F479" s="16">
        <f t="shared" ref="F479:F480" si="55">E479*C479</f>
        <v>141117.4</v>
      </c>
    </row>
    <row r="480" spans="1:6">
      <c r="A480" s="119" t="s">
        <v>489</v>
      </c>
      <c r="B480" s="99" t="s">
        <v>490</v>
      </c>
      <c r="C480" s="42">
        <f>C314+C334</f>
        <v>32.8</v>
      </c>
      <c r="D480" s="48" t="s">
        <v>161</v>
      </c>
      <c r="E480" s="71">
        <f>630*10.76</f>
        <v>6778.8</v>
      </c>
      <c r="F480" s="16">
        <f t="shared" si="55"/>
        <v>222344.64</v>
      </c>
    </row>
    <row r="481" spans="1:6">
      <c r="A481" s="119"/>
      <c r="B481" s="99"/>
      <c r="C481" s="46"/>
      <c r="D481" s="48"/>
      <c r="E481" s="71"/>
      <c r="F481" s="16"/>
    </row>
    <row r="482" s="1" customFormat="1" ht="41.4" spans="1:23">
      <c r="A482" s="120"/>
      <c r="B482" s="117" t="s">
        <v>491</v>
      </c>
      <c r="C482" s="46"/>
      <c r="D482" s="48"/>
      <c r="E482" s="71"/>
      <c r="F482" s="16"/>
      <c r="P482" s="3"/>
      <c r="Q482" s="3"/>
      <c r="R482" s="3"/>
      <c r="S482" s="3"/>
      <c r="T482" s="3"/>
      <c r="U482" s="3"/>
      <c r="V482" s="3"/>
      <c r="W482" s="3"/>
    </row>
    <row r="483" s="1" customFormat="1" spans="1:23">
      <c r="A483" s="119" t="s">
        <v>492</v>
      </c>
      <c r="B483" s="99" t="s">
        <v>493</v>
      </c>
      <c r="C483" s="42">
        <f>C350</f>
        <v>7.1</v>
      </c>
      <c r="D483" s="48" t="s">
        <v>161</v>
      </c>
      <c r="E483" s="71">
        <f>615*10.76</f>
        <v>6617.4</v>
      </c>
      <c r="F483" s="16">
        <f>E483*C483</f>
        <v>46983.54</v>
      </c>
      <c r="P483" s="3"/>
      <c r="Q483" s="3"/>
      <c r="R483" s="3"/>
      <c r="S483" s="3"/>
      <c r="T483" s="3"/>
      <c r="U483" s="3"/>
      <c r="V483" s="3"/>
      <c r="W483" s="3"/>
    </row>
    <row r="484" s="1" customFormat="1" spans="1:23">
      <c r="A484" s="119" t="s">
        <v>494</v>
      </c>
      <c r="B484" s="99" t="s">
        <v>495</v>
      </c>
      <c r="C484" s="42">
        <f>C352</f>
        <v>6.9</v>
      </c>
      <c r="D484" s="48" t="s">
        <v>161</v>
      </c>
      <c r="E484" s="71">
        <f>645*10.76</f>
        <v>6940.2</v>
      </c>
      <c r="F484" s="16">
        <f t="shared" ref="F484:F485" si="56">E484*C484</f>
        <v>47887.38</v>
      </c>
      <c r="P484" s="3"/>
      <c r="Q484" s="3"/>
      <c r="R484" s="3"/>
      <c r="S484" s="3"/>
      <c r="T484" s="3"/>
      <c r="U484" s="3"/>
      <c r="V484" s="3"/>
      <c r="W484" s="3"/>
    </row>
    <row r="485" s="1" customFormat="1" spans="1:23">
      <c r="A485" s="119" t="s">
        <v>496</v>
      </c>
      <c r="B485" s="99" t="s">
        <v>497</v>
      </c>
      <c r="C485" s="42">
        <v>1.2</v>
      </c>
      <c r="D485" s="48" t="s">
        <v>161</v>
      </c>
      <c r="E485" s="71">
        <f>665*10.76</f>
        <v>7155.4</v>
      </c>
      <c r="F485" s="16">
        <f t="shared" si="56"/>
        <v>8586.48</v>
      </c>
      <c r="P485" s="3"/>
      <c r="Q485" s="3"/>
      <c r="R485" s="3"/>
      <c r="S485" s="3"/>
      <c r="T485" s="3"/>
      <c r="U485" s="3"/>
      <c r="V485" s="3"/>
      <c r="W485" s="3"/>
    </row>
    <row r="486" s="1" customFormat="1" spans="1:23">
      <c r="A486" s="119"/>
      <c r="B486" s="99"/>
      <c r="C486" s="46"/>
      <c r="D486" s="48"/>
      <c r="E486" s="71"/>
      <c r="F486" s="16"/>
      <c r="P486" s="3"/>
      <c r="Q486" s="3"/>
      <c r="R486" s="3"/>
      <c r="S486" s="3"/>
      <c r="T486" s="3"/>
      <c r="U486" s="3"/>
      <c r="V486" s="3"/>
      <c r="W486" s="3"/>
    </row>
    <row r="487" s="1" customFormat="1" spans="1:23">
      <c r="A487" s="36"/>
      <c r="B487" s="81"/>
      <c r="C487" s="46"/>
      <c r="D487" s="48"/>
      <c r="E487" s="71"/>
      <c r="F487" s="16"/>
      <c r="P487" s="3"/>
      <c r="Q487" s="3"/>
      <c r="R487" s="3"/>
      <c r="S487" s="3"/>
      <c r="T487" s="3"/>
      <c r="U487" s="3"/>
      <c r="V487" s="3"/>
      <c r="W487" s="3"/>
    </row>
    <row r="488" s="1" customFormat="1" ht="41.4" spans="1:23">
      <c r="A488" s="120"/>
      <c r="B488" s="117" t="s">
        <v>498</v>
      </c>
      <c r="C488" s="46"/>
      <c r="D488" s="48"/>
      <c r="E488" s="71"/>
      <c r="F488" s="16"/>
      <c r="P488" s="3"/>
      <c r="Q488" s="3"/>
      <c r="R488" s="3"/>
      <c r="S488" s="3"/>
      <c r="T488" s="3"/>
      <c r="U488" s="3"/>
      <c r="V488" s="3"/>
      <c r="W488" s="3"/>
    </row>
    <row r="489" s="1" customFormat="1" spans="1:23">
      <c r="A489" s="119" t="s">
        <v>499</v>
      </c>
      <c r="B489" s="99" t="s">
        <v>486</v>
      </c>
      <c r="C489" s="78">
        <f>C339</f>
        <v>40</v>
      </c>
      <c r="D489" s="48" t="s">
        <v>81</v>
      </c>
      <c r="E489" s="72">
        <f>165/3.28</f>
        <v>50.3</v>
      </c>
      <c r="F489" s="16">
        <f>E489*C489</f>
        <v>2012</v>
      </c>
      <c r="P489" s="3"/>
      <c r="Q489" s="3"/>
      <c r="R489" s="3"/>
      <c r="S489" s="3"/>
      <c r="T489" s="3"/>
      <c r="U489" s="3"/>
      <c r="V489" s="3"/>
      <c r="W489" s="3"/>
    </row>
    <row r="490" s="1" customFormat="1" spans="1:23">
      <c r="A490" s="119" t="s">
        <v>500</v>
      </c>
      <c r="B490" s="99" t="s">
        <v>488</v>
      </c>
      <c r="C490" s="78">
        <f>C342</f>
        <v>196</v>
      </c>
      <c r="D490" s="48" t="s">
        <v>81</v>
      </c>
      <c r="E490" s="72">
        <f>175/3.28</f>
        <v>53.35</v>
      </c>
      <c r="F490" s="16">
        <f t="shared" ref="F490:F491" si="57">E490*C490</f>
        <v>10456.6</v>
      </c>
      <c r="P490" s="3"/>
      <c r="Q490" s="3"/>
      <c r="R490" s="3"/>
      <c r="S490" s="3"/>
      <c r="T490" s="3"/>
      <c r="U490" s="3"/>
      <c r="V490" s="3"/>
      <c r="W490" s="3"/>
    </row>
    <row r="491" s="1" customFormat="1" spans="1:23">
      <c r="A491" s="119" t="s">
        <v>501</v>
      </c>
      <c r="B491" s="99" t="s">
        <v>502</v>
      </c>
      <c r="C491" s="78">
        <f>C345</f>
        <v>311</v>
      </c>
      <c r="D491" s="48" t="s">
        <v>81</v>
      </c>
      <c r="E491" s="72">
        <f>180/3.28</f>
        <v>54.88</v>
      </c>
      <c r="F491" s="16">
        <f t="shared" si="57"/>
        <v>17067.68</v>
      </c>
      <c r="P491" s="3"/>
      <c r="Q491" s="3"/>
      <c r="R491" s="3"/>
      <c r="S491" s="3"/>
      <c r="T491" s="3"/>
      <c r="U491" s="3"/>
      <c r="V491" s="3"/>
      <c r="W491" s="3"/>
    </row>
    <row r="492" s="1" customFormat="1" spans="1:23">
      <c r="A492" s="36"/>
      <c r="B492" s="81"/>
      <c r="C492" s="46"/>
      <c r="D492" s="48"/>
      <c r="E492" s="71"/>
      <c r="F492" s="16"/>
      <c r="P492" s="3"/>
      <c r="Q492" s="3"/>
      <c r="R492" s="3"/>
      <c r="S492" s="3"/>
      <c r="T492" s="3"/>
      <c r="U492" s="3"/>
      <c r="V492" s="3"/>
      <c r="W492" s="3"/>
    </row>
    <row r="493" s="1" customFormat="1" ht="41.4" spans="1:23">
      <c r="A493" s="119"/>
      <c r="B493" s="117" t="s">
        <v>503</v>
      </c>
      <c r="C493" s="46"/>
      <c r="D493" s="48"/>
      <c r="E493" s="71"/>
      <c r="F493" s="16"/>
      <c r="P493" s="3"/>
      <c r="Q493" s="3"/>
      <c r="R493" s="3"/>
      <c r="S493" s="3"/>
      <c r="T493" s="3"/>
      <c r="U493" s="3"/>
      <c r="V493" s="3"/>
      <c r="W493" s="3"/>
    </row>
    <row r="494" s="1" customFormat="1" spans="1:23">
      <c r="A494" s="119" t="s">
        <v>504</v>
      </c>
      <c r="B494" s="118" t="s">
        <v>505</v>
      </c>
      <c r="C494" s="42">
        <f>C356</f>
        <v>4</v>
      </c>
      <c r="D494" s="48" t="s">
        <v>161</v>
      </c>
      <c r="E494" s="102">
        <f>700*10.76</f>
        <v>7532</v>
      </c>
      <c r="F494" s="16">
        <f>E494*C494</f>
        <v>30128</v>
      </c>
      <c r="P494" s="3"/>
      <c r="Q494" s="3"/>
      <c r="R494" s="3"/>
      <c r="S494" s="3"/>
      <c r="T494" s="3"/>
      <c r="U494" s="3"/>
      <c r="V494" s="3"/>
      <c r="W494" s="3"/>
    </row>
    <row r="495" s="1" customFormat="1" spans="1:23">
      <c r="A495" s="119" t="s">
        <v>506</v>
      </c>
      <c r="B495" s="99" t="s">
        <v>507</v>
      </c>
      <c r="C495" s="42">
        <f>C361</f>
        <v>4.2</v>
      </c>
      <c r="D495" s="48" t="s">
        <v>161</v>
      </c>
      <c r="E495" s="102">
        <f>E494*1.03</f>
        <v>7757.96</v>
      </c>
      <c r="F495" s="16">
        <f t="shared" ref="F495:F496" si="58">E495*C495</f>
        <v>32583.43</v>
      </c>
      <c r="P495" s="3"/>
      <c r="Q495" s="3"/>
      <c r="R495" s="3"/>
      <c r="S495" s="3"/>
      <c r="T495" s="3"/>
      <c r="U495" s="3"/>
      <c r="V495" s="3"/>
      <c r="W495" s="3"/>
    </row>
    <row r="496" s="1" customFormat="1" spans="1:23">
      <c r="A496" s="119" t="s">
        <v>508</v>
      </c>
      <c r="B496" s="99" t="s">
        <v>509</v>
      </c>
      <c r="C496" s="42">
        <f>C369</f>
        <v>5.9</v>
      </c>
      <c r="D496" s="48" t="s">
        <v>161</v>
      </c>
      <c r="E496" s="102">
        <f>E494*1.06</f>
        <v>7983.92</v>
      </c>
      <c r="F496" s="16">
        <f t="shared" si="58"/>
        <v>47105.13</v>
      </c>
      <c r="P496" s="3"/>
      <c r="Q496" s="3"/>
      <c r="R496" s="3"/>
      <c r="S496" s="3"/>
      <c r="T496" s="3"/>
      <c r="U496" s="3"/>
      <c r="V496" s="3"/>
      <c r="W496" s="3"/>
    </row>
    <row r="497" s="1" customFormat="1" spans="1:23">
      <c r="A497" s="119"/>
      <c r="B497" s="99"/>
      <c r="C497" s="46"/>
      <c r="D497" s="48"/>
      <c r="E497" s="43"/>
      <c r="F497" s="16"/>
      <c r="P497" s="3"/>
      <c r="Q497" s="3"/>
      <c r="R497" s="3"/>
      <c r="S497" s="3"/>
      <c r="T497" s="3"/>
      <c r="U497" s="3"/>
      <c r="V497" s="3"/>
      <c r="W497" s="3"/>
    </row>
    <row r="498" s="1" customFormat="1" ht="41.4" spans="1:23">
      <c r="A498" s="119"/>
      <c r="B498" s="117" t="s">
        <v>510</v>
      </c>
      <c r="C498" s="46"/>
      <c r="D498" s="48"/>
      <c r="E498" s="71"/>
      <c r="F498" s="16"/>
      <c r="P498" s="3"/>
      <c r="Q498" s="3"/>
      <c r="R498" s="3"/>
      <c r="S498" s="3"/>
      <c r="T498" s="3"/>
      <c r="U498" s="3"/>
      <c r="V498" s="3"/>
      <c r="W498" s="3"/>
    </row>
    <row r="499" s="1" customFormat="1" spans="1:23">
      <c r="A499" s="119" t="s">
        <v>511</v>
      </c>
      <c r="B499" s="118" t="s">
        <v>505</v>
      </c>
      <c r="C499" s="78">
        <f>C377</f>
        <v>40</v>
      </c>
      <c r="D499" s="48" t="s">
        <v>81</v>
      </c>
      <c r="E499" s="72">
        <f>130/3.28</f>
        <v>39.63</v>
      </c>
      <c r="F499" s="16">
        <f>E499*C499</f>
        <v>1585.2</v>
      </c>
      <c r="P499" s="3"/>
      <c r="Q499" s="3"/>
      <c r="R499" s="3"/>
      <c r="S499" s="3"/>
      <c r="T499" s="3"/>
      <c r="U499" s="3"/>
      <c r="V499" s="3"/>
      <c r="W499" s="3"/>
    </row>
    <row r="500" spans="1:6">
      <c r="A500" s="119" t="s">
        <v>512</v>
      </c>
      <c r="B500" s="99" t="s">
        <v>507</v>
      </c>
      <c r="C500" s="78">
        <f>C386</f>
        <v>79</v>
      </c>
      <c r="D500" s="48" t="s">
        <v>81</v>
      </c>
      <c r="E500" s="72">
        <f>138/3.28</f>
        <v>42.07</v>
      </c>
      <c r="F500" s="16">
        <f t="shared" ref="F500:F501" si="59">E500*C500</f>
        <v>3323.53</v>
      </c>
    </row>
    <row r="501" spans="1:6">
      <c r="A501" s="119" t="s">
        <v>513</v>
      </c>
      <c r="B501" s="99" t="s">
        <v>514</v>
      </c>
      <c r="C501" s="78">
        <f>C391</f>
        <v>118</v>
      </c>
      <c r="D501" s="48" t="s">
        <v>81</v>
      </c>
      <c r="E501" s="72">
        <f>142/3.28</f>
        <v>43.29</v>
      </c>
      <c r="F501" s="16">
        <f t="shared" si="59"/>
        <v>5108.22</v>
      </c>
    </row>
    <row r="502" spans="1:6">
      <c r="A502" s="119"/>
      <c r="B502" s="121"/>
      <c r="C502" s="23"/>
      <c r="D502" s="15"/>
      <c r="E502" s="39"/>
      <c r="F502" s="25"/>
    </row>
    <row r="503" ht="14.55" spans="1:15">
      <c r="A503" s="119"/>
      <c r="B503" s="122" t="s">
        <v>515</v>
      </c>
      <c r="C503" s="23"/>
      <c r="D503" s="15"/>
      <c r="E503" s="39"/>
      <c r="F503" s="27">
        <f>SUM(F474:F501)</f>
        <v>689930.67</v>
      </c>
      <c r="G503" s="28"/>
      <c r="H503" s="28"/>
      <c r="I503" s="28"/>
      <c r="J503" s="28"/>
      <c r="K503" s="28"/>
      <c r="L503" s="28"/>
      <c r="M503" s="28"/>
      <c r="N503" s="28"/>
      <c r="O503" s="28"/>
    </row>
    <row r="504" ht="14.55" spans="1:6">
      <c r="A504" s="119"/>
      <c r="B504" s="121"/>
      <c r="C504" s="23"/>
      <c r="D504" s="15"/>
      <c r="E504" s="39"/>
      <c r="F504" s="31"/>
    </row>
    <row r="505" spans="1:6">
      <c r="A505" s="100" t="s">
        <v>54</v>
      </c>
      <c r="B505" s="114" t="s">
        <v>516</v>
      </c>
      <c r="C505" s="46"/>
      <c r="D505" s="48"/>
      <c r="E505" s="71"/>
      <c r="F505" s="16"/>
    </row>
    <row r="506" spans="1:6">
      <c r="A506" s="119"/>
      <c r="B506" s="99"/>
      <c r="C506" s="46"/>
      <c r="D506" s="48"/>
      <c r="E506" s="71"/>
      <c r="F506" s="16"/>
    </row>
    <row r="507" spans="1:6">
      <c r="A507" s="36" t="s">
        <v>517</v>
      </c>
      <c r="B507" s="123" t="s">
        <v>219</v>
      </c>
      <c r="C507" s="124"/>
      <c r="D507" s="48"/>
      <c r="E507" s="71"/>
      <c r="F507" s="16"/>
    </row>
    <row r="508" ht="55.2" spans="1:6">
      <c r="A508" s="36"/>
      <c r="B508" s="125" t="s">
        <v>220</v>
      </c>
      <c r="C508" s="126"/>
      <c r="D508" s="48"/>
      <c r="E508" s="71"/>
      <c r="F508" s="16"/>
    </row>
    <row r="509" spans="1:6">
      <c r="A509" s="36"/>
      <c r="B509" s="99"/>
      <c r="C509" s="127"/>
      <c r="D509" s="48"/>
      <c r="E509" s="71"/>
      <c r="F509" s="16"/>
    </row>
    <row r="510" spans="1:6">
      <c r="A510" s="36" t="s">
        <v>518</v>
      </c>
      <c r="B510" s="128" t="s">
        <v>221</v>
      </c>
      <c r="C510" s="129">
        <v>28</v>
      </c>
      <c r="D510" s="48" t="s">
        <v>222</v>
      </c>
      <c r="E510" s="72">
        <f>2150*1.06</f>
        <v>2279</v>
      </c>
      <c r="F510" s="16">
        <f>E510*C510</f>
        <v>63812</v>
      </c>
    </row>
    <row r="511" spans="1:6">
      <c r="A511" s="36"/>
      <c r="B511" s="99"/>
      <c r="C511" s="127"/>
      <c r="D511" s="48"/>
      <c r="E511" s="71"/>
      <c r="F511" s="16"/>
    </row>
    <row r="512" spans="1:6">
      <c r="A512" s="36" t="s">
        <v>378</v>
      </c>
      <c r="B512" s="99" t="s">
        <v>223</v>
      </c>
      <c r="C512" s="129">
        <v>6</v>
      </c>
      <c r="D512" s="48" t="s">
        <v>222</v>
      </c>
      <c r="E512" s="72">
        <f>2750*1.06</f>
        <v>2915</v>
      </c>
      <c r="F512" s="16">
        <f t="shared" ref="F512" si="60">E512*C512</f>
        <v>17490</v>
      </c>
    </row>
    <row r="513" spans="1:6">
      <c r="A513" s="36"/>
      <c r="B513" s="99"/>
      <c r="C513" s="127"/>
      <c r="D513" s="48"/>
      <c r="E513" s="71"/>
      <c r="F513" s="16"/>
    </row>
    <row r="514" spans="1:6">
      <c r="A514" s="36" t="s">
        <v>519</v>
      </c>
      <c r="B514" s="123" t="s">
        <v>224</v>
      </c>
      <c r="C514" s="124"/>
      <c r="D514" s="48"/>
      <c r="E514" s="71"/>
      <c r="F514" s="16"/>
    </row>
    <row r="515" ht="41.4" spans="1:6">
      <c r="A515" s="36"/>
      <c r="B515" s="130" t="s">
        <v>225</v>
      </c>
      <c r="C515" s="131">
        <v>2</v>
      </c>
      <c r="D515" s="48" t="s">
        <v>222</v>
      </c>
      <c r="E515" s="72">
        <v>3600</v>
      </c>
      <c r="F515" s="16">
        <f>E515*C515</f>
        <v>7200</v>
      </c>
    </row>
    <row r="516" spans="1:6">
      <c r="A516" s="36"/>
      <c r="B516" s="99"/>
      <c r="C516" s="127"/>
      <c r="D516" s="48"/>
      <c r="E516" s="71"/>
      <c r="F516" s="16"/>
    </row>
    <row r="517" spans="1:6">
      <c r="A517" s="132" t="s">
        <v>520</v>
      </c>
      <c r="B517" s="123" t="s">
        <v>226</v>
      </c>
      <c r="C517" s="124"/>
      <c r="D517" s="48"/>
      <c r="E517" s="44"/>
      <c r="F517" s="16"/>
    </row>
    <row r="518" spans="1:6">
      <c r="A518" s="29"/>
      <c r="B518" s="99"/>
      <c r="C518" s="127"/>
      <c r="D518" s="48"/>
      <c r="E518" s="44"/>
      <c r="F518" s="16"/>
    </row>
    <row r="519" ht="50.25" customHeight="1" spans="1:6">
      <c r="A519" s="132"/>
      <c r="B519" s="128" t="s">
        <v>227</v>
      </c>
      <c r="C519" s="126"/>
      <c r="D519" s="48"/>
      <c r="E519" s="44"/>
      <c r="F519" s="16"/>
    </row>
    <row r="520" spans="1:21">
      <c r="A520" s="132" t="s">
        <v>518</v>
      </c>
      <c r="B520" s="99" t="s">
        <v>228</v>
      </c>
      <c r="C520" s="127">
        <v>16</v>
      </c>
      <c r="D520" s="48" t="s">
        <v>222</v>
      </c>
      <c r="E520" s="78">
        <f>2500+725</f>
        <v>3225</v>
      </c>
      <c r="F520" s="16">
        <f>E520*C520</f>
        <v>51600</v>
      </c>
      <c r="T520" s="1">
        <v>2500</v>
      </c>
      <c r="U520" s="1">
        <f>T520*C520</f>
        <v>40000</v>
      </c>
    </row>
    <row r="521" spans="1:21">
      <c r="A521" s="132" t="s">
        <v>378</v>
      </c>
      <c r="B521" s="99" t="s">
        <v>229</v>
      </c>
      <c r="C521" s="127">
        <v>6</v>
      </c>
      <c r="D521" s="48" t="s">
        <v>222</v>
      </c>
      <c r="E521" s="78">
        <f t="shared" ref="E521:E522" si="61">2500+725</f>
        <v>3225</v>
      </c>
      <c r="F521" s="16">
        <f t="shared" ref="F521:F522" si="62">E521*C521</f>
        <v>19350</v>
      </c>
      <c r="T521" s="1">
        <f>T520</f>
        <v>2500</v>
      </c>
      <c r="U521" s="1">
        <f>T521*C521</f>
        <v>15000</v>
      </c>
    </row>
    <row r="522" spans="1:21">
      <c r="A522" s="132" t="s">
        <v>377</v>
      </c>
      <c r="B522" s="99" t="s">
        <v>230</v>
      </c>
      <c r="C522" s="127">
        <v>2</v>
      </c>
      <c r="D522" s="48" t="s">
        <v>222</v>
      </c>
      <c r="E522" s="78">
        <f t="shared" si="61"/>
        <v>3225</v>
      </c>
      <c r="F522" s="16">
        <f t="shared" si="62"/>
        <v>6450</v>
      </c>
      <c r="T522" s="1">
        <f>T521</f>
        <v>2500</v>
      </c>
      <c r="U522" s="1">
        <f>T522*C522</f>
        <v>5000</v>
      </c>
    </row>
    <row r="523" spans="1:6">
      <c r="A523" s="132"/>
      <c r="B523" s="99"/>
      <c r="C523" s="127"/>
      <c r="D523" s="48"/>
      <c r="E523" s="44"/>
      <c r="F523" s="16"/>
    </row>
    <row r="524" spans="1:6">
      <c r="A524" s="132" t="s">
        <v>521</v>
      </c>
      <c r="B524" s="123" t="s">
        <v>231</v>
      </c>
      <c r="C524" s="124"/>
      <c r="D524" s="48"/>
      <c r="E524" s="44"/>
      <c r="F524" s="16"/>
    </row>
    <row r="525" ht="69" spans="1:6">
      <c r="A525" s="29"/>
      <c r="B525" s="130" t="s">
        <v>232</v>
      </c>
      <c r="C525" s="126">
        <v>0</v>
      </c>
      <c r="D525" s="48" t="s">
        <v>222</v>
      </c>
      <c r="E525" s="44">
        <v>2750</v>
      </c>
      <c r="F525" s="16">
        <f>E525*C525</f>
        <v>0</v>
      </c>
    </row>
    <row r="526" spans="1:6">
      <c r="A526" s="132"/>
      <c r="B526" s="99"/>
      <c r="C526" s="127"/>
      <c r="D526" s="48"/>
      <c r="E526" s="44"/>
      <c r="F526" s="16"/>
    </row>
    <row r="527" spans="1:6">
      <c r="A527" s="132" t="s">
        <v>522</v>
      </c>
      <c r="B527" s="133" t="s">
        <v>233</v>
      </c>
      <c r="C527" s="134"/>
      <c r="D527" s="48"/>
      <c r="E527" s="44"/>
      <c r="F527" s="16"/>
    </row>
    <row r="528" ht="55.2" spans="1:6">
      <c r="A528" s="132"/>
      <c r="B528" s="90" t="s">
        <v>234</v>
      </c>
      <c r="C528" s="126">
        <v>22</v>
      </c>
      <c r="D528" s="48" t="s">
        <v>222</v>
      </c>
      <c r="E528" s="78">
        <f>3950*1.06</f>
        <v>4187</v>
      </c>
      <c r="F528" s="16">
        <f>E528*C528</f>
        <v>92114</v>
      </c>
    </row>
    <row r="529" spans="1:6">
      <c r="A529" s="132"/>
      <c r="B529" s="99"/>
      <c r="C529" s="127"/>
      <c r="D529" s="48"/>
      <c r="E529" s="44"/>
      <c r="F529" s="16"/>
    </row>
    <row r="530" spans="1:6">
      <c r="A530" s="132" t="s">
        <v>523</v>
      </c>
      <c r="B530" s="133" t="s">
        <v>235</v>
      </c>
      <c r="C530" s="134"/>
      <c r="D530" s="48"/>
      <c r="E530" s="44"/>
      <c r="F530" s="16"/>
    </row>
    <row r="531" ht="55.2" spans="1:6">
      <c r="A531" s="132"/>
      <c r="B531" s="90" t="s">
        <v>236</v>
      </c>
      <c r="C531" s="126">
        <v>4</v>
      </c>
      <c r="D531" s="48" t="s">
        <v>222</v>
      </c>
      <c r="E531" s="78">
        <f>4800*1.1</f>
        <v>5280</v>
      </c>
      <c r="F531" s="16">
        <f>E531*C531</f>
        <v>21120</v>
      </c>
    </row>
    <row r="532" spans="1:6">
      <c r="A532" s="132"/>
      <c r="B532" s="99"/>
      <c r="C532" s="127"/>
      <c r="D532" s="48"/>
      <c r="E532" s="44"/>
      <c r="F532" s="16"/>
    </row>
    <row r="533" spans="1:6">
      <c r="A533" s="132" t="s">
        <v>524</v>
      </c>
      <c r="B533" s="133" t="s">
        <v>237</v>
      </c>
      <c r="C533" s="134"/>
      <c r="D533" s="48"/>
      <c r="E533" s="44"/>
      <c r="F533" s="16"/>
    </row>
    <row r="534" ht="82.8" spans="1:21">
      <c r="A534" s="132"/>
      <c r="B534" s="90" t="s">
        <v>238</v>
      </c>
      <c r="C534" s="126">
        <v>2</v>
      </c>
      <c r="D534" s="48" t="s">
        <v>222</v>
      </c>
      <c r="E534" s="78">
        <f>3670+5000</f>
        <v>8670</v>
      </c>
      <c r="F534" s="16">
        <f>E534*C534</f>
        <v>17340</v>
      </c>
      <c r="T534" s="1">
        <v>5000</v>
      </c>
      <c r="U534" s="1">
        <f>T534*C534</f>
        <v>10000</v>
      </c>
    </row>
    <row r="535" spans="1:6">
      <c r="A535" s="132"/>
      <c r="B535" s="99"/>
      <c r="C535" s="127"/>
      <c r="D535" s="48"/>
      <c r="E535" s="44"/>
      <c r="F535" s="16"/>
    </row>
    <row r="536" spans="1:6">
      <c r="A536" s="132" t="s">
        <v>525</v>
      </c>
      <c r="B536" s="133" t="s">
        <v>239</v>
      </c>
      <c r="C536" s="135"/>
      <c r="D536" s="48"/>
      <c r="E536" s="44"/>
      <c r="F536" s="16"/>
    </row>
    <row r="537" ht="69" spans="1:6">
      <c r="A537" s="132"/>
      <c r="B537" s="90" t="s">
        <v>240</v>
      </c>
      <c r="C537" s="126">
        <v>2</v>
      </c>
      <c r="D537" s="48" t="s">
        <v>222</v>
      </c>
      <c r="E537" s="78">
        <v>4800</v>
      </c>
      <c r="F537" s="16">
        <f>E537*C537</f>
        <v>9600</v>
      </c>
    </row>
    <row r="538" spans="1:6">
      <c r="A538" s="132"/>
      <c r="B538" s="99"/>
      <c r="C538" s="127"/>
      <c r="D538" s="48"/>
      <c r="E538" s="44"/>
      <c r="F538" s="16"/>
    </row>
    <row r="539" spans="1:6">
      <c r="A539" s="132" t="s">
        <v>526</v>
      </c>
      <c r="B539" s="133" t="s">
        <v>241</v>
      </c>
      <c r="C539" s="135"/>
      <c r="D539" s="48"/>
      <c r="E539" s="44"/>
      <c r="F539" s="16"/>
    </row>
    <row r="540" ht="41.4" spans="1:6">
      <c r="A540" s="132"/>
      <c r="B540" s="90" t="s">
        <v>242</v>
      </c>
      <c r="C540" s="126">
        <v>4</v>
      </c>
      <c r="D540" s="48" t="s">
        <v>222</v>
      </c>
      <c r="E540" s="44">
        <v>4300</v>
      </c>
      <c r="F540" s="16">
        <f>E540*C540</f>
        <v>17200</v>
      </c>
    </row>
    <row r="541" spans="1:6">
      <c r="A541" s="132"/>
      <c r="B541" s="133"/>
      <c r="C541" s="135"/>
      <c r="D541" s="48"/>
      <c r="E541" s="44"/>
      <c r="F541" s="16"/>
    </row>
    <row r="542" spans="1:6">
      <c r="A542" s="132" t="s">
        <v>527</v>
      </c>
      <c r="B542" s="133" t="s">
        <v>243</v>
      </c>
      <c r="C542" s="135"/>
      <c r="D542" s="48"/>
      <c r="E542" s="44"/>
      <c r="F542" s="16"/>
    </row>
    <row r="543" ht="41.4" spans="1:6">
      <c r="A543" s="132"/>
      <c r="B543" s="90" t="s">
        <v>244</v>
      </c>
      <c r="C543" s="126">
        <v>2</v>
      </c>
      <c r="D543" s="48" t="s">
        <v>222</v>
      </c>
      <c r="E543" s="44">
        <v>2750</v>
      </c>
      <c r="F543" s="16">
        <f>E543*C543</f>
        <v>5500</v>
      </c>
    </row>
    <row r="544" spans="1:6">
      <c r="A544" s="132"/>
      <c r="B544" s="90"/>
      <c r="C544" s="126"/>
      <c r="D544" s="48"/>
      <c r="E544" s="44"/>
      <c r="F544" s="16"/>
    </row>
    <row r="545" s="1" customFormat="1" spans="1:23">
      <c r="A545" s="132" t="s">
        <v>528</v>
      </c>
      <c r="B545" s="133" t="s">
        <v>245</v>
      </c>
      <c r="C545" s="135"/>
      <c r="D545" s="48"/>
      <c r="E545" s="44"/>
      <c r="F545" s="16"/>
      <c r="P545" s="3"/>
      <c r="Q545" s="3"/>
      <c r="R545" s="3"/>
      <c r="S545" s="3"/>
      <c r="T545" s="3"/>
      <c r="U545" s="3"/>
      <c r="V545" s="3"/>
      <c r="W545" s="3"/>
    </row>
    <row r="546" s="1" customFormat="1" ht="27.6" spans="1:23">
      <c r="A546" s="132"/>
      <c r="B546" s="90" t="s">
        <v>246</v>
      </c>
      <c r="C546" s="44"/>
      <c r="D546" s="48"/>
      <c r="E546" s="44"/>
      <c r="F546" s="16"/>
      <c r="P546" s="3"/>
      <c r="Q546" s="3"/>
      <c r="R546" s="3"/>
      <c r="S546" s="3"/>
      <c r="T546" s="3"/>
      <c r="U546" s="3"/>
      <c r="V546" s="3"/>
      <c r="W546" s="3"/>
    </row>
    <row r="547" s="1" customFormat="1" spans="1:23">
      <c r="A547" s="132"/>
      <c r="B547" s="90" t="s">
        <v>247</v>
      </c>
      <c r="C547" s="126"/>
      <c r="D547" s="48"/>
      <c r="E547" s="44"/>
      <c r="F547" s="16"/>
      <c r="P547" s="3"/>
      <c r="Q547" s="3"/>
      <c r="R547" s="3"/>
      <c r="S547" s="3"/>
      <c r="T547" s="3"/>
      <c r="U547" s="3"/>
      <c r="V547" s="3"/>
      <c r="W547" s="3"/>
    </row>
    <row r="548" s="1" customFormat="1" spans="1:23">
      <c r="A548" s="132"/>
      <c r="B548" s="90" t="s">
        <v>248</v>
      </c>
      <c r="C548" s="126"/>
      <c r="D548" s="48"/>
      <c r="E548" s="44"/>
      <c r="F548" s="16"/>
      <c r="P548" s="3"/>
      <c r="Q548" s="3"/>
      <c r="R548" s="3"/>
      <c r="S548" s="3"/>
      <c r="T548" s="3"/>
      <c r="U548" s="3"/>
      <c r="V548" s="3"/>
      <c r="W548" s="3"/>
    </row>
    <row r="549" s="1" customFormat="1" spans="1:23">
      <c r="A549" s="132"/>
      <c r="B549" s="90" t="s">
        <v>249</v>
      </c>
      <c r="C549" s="126"/>
      <c r="D549" s="48"/>
      <c r="E549" s="44"/>
      <c r="F549" s="16"/>
      <c r="P549" s="3"/>
      <c r="Q549" s="3"/>
      <c r="R549" s="3"/>
      <c r="S549" s="3"/>
      <c r="T549" s="3"/>
      <c r="U549" s="3"/>
      <c r="V549" s="3"/>
      <c r="W549" s="3"/>
    </row>
    <row r="550" s="1" customFormat="1" spans="1:23">
      <c r="A550" s="132"/>
      <c r="B550" s="90" t="s">
        <v>250</v>
      </c>
      <c r="C550" s="126"/>
      <c r="D550" s="48"/>
      <c r="E550" s="44"/>
      <c r="F550" s="16"/>
      <c r="P550" s="3"/>
      <c r="Q550" s="3"/>
      <c r="R550" s="3"/>
      <c r="S550" s="3"/>
      <c r="T550" s="3"/>
      <c r="U550" s="3"/>
      <c r="V550" s="3"/>
      <c r="W550" s="3"/>
    </row>
    <row r="551" s="1" customFormat="1" spans="1:23">
      <c r="A551" s="132"/>
      <c r="B551" s="90" t="s">
        <v>251</v>
      </c>
      <c r="C551" s="126"/>
      <c r="D551" s="48"/>
      <c r="E551" s="44"/>
      <c r="F551" s="16"/>
      <c r="P551" s="3"/>
      <c r="Q551" s="3"/>
      <c r="R551" s="3"/>
      <c r="S551" s="3"/>
      <c r="T551" s="3"/>
      <c r="U551" s="3"/>
      <c r="V551" s="3"/>
      <c r="W551" s="3"/>
    </row>
    <row r="552" s="1" customFormat="1" spans="1:23">
      <c r="A552" s="132"/>
      <c r="B552" s="90" t="s">
        <v>252</v>
      </c>
      <c r="C552" s="126"/>
      <c r="D552" s="48"/>
      <c r="E552" s="44"/>
      <c r="F552" s="16"/>
      <c r="P552" s="3"/>
      <c r="Q552" s="3"/>
      <c r="R552" s="3"/>
      <c r="S552" s="3"/>
      <c r="T552" s="3"/>
      <c r="U552" s="3"/>
      <c r="V552" s="3"/>
      <c r="W552" s="3"/>
    </row>
    <row r="553" s="1" customFormat="1" spans="1:23">
      <c r="A553" s="132"/>
      <c r="B553" s="90" t="s">
        <v>253</v>
      </c>
      <c r="C553" s="126"/>
      <c r="D553" s="48"/>
      <c r="E553" s="44"/>
      <c r="F553" s="16"/>
      <c r="P553" s="3"/>
      <c r="Q553" s="3"/>
      <c r="R553" s="3"/>
      <c r="S553" s="3"/>
      <c r="T553" s="3"/>
      <c r="U553" s="3"/>
      <c r="V553" s="3"/>
      <c r="W553" s="3"/>
    </row>
    <row r="554" s="1" customFormat="1" spans="1:23">
      <c r="A554" s="132"/>
      <c r="B554" s="90" t="s">
        <v>529</v>
      </c>
      <c r="C554" s="126">
        <v>2</v>
      </c>
      <c r="D554" s="48" t="s">
        <v>222</v>
      </c>
      <c r="E554" s="44">
        <v>72500</v>
      </c>
      <c r="F554" s="16">
        <f>E554*C554</f>
        <v>145000</v>
      </c>
      <c r="P554" s="3"/>
      <c r="Q554" s="3"/>
      <c r="R554" s="3"/>
      <c r="S554" s="3"/>
      <c r="T554" s="3"/>
      <c r="U554" s="3"/>
      <c r="V554" s="3"/>
      <c r="W554" s="3"/>
    </row>
    <row r="555" s="1" customFormat="1" spans="1:23">
      <c r="A555" s="132"/>
      <c r="B555" s="90"/>
      <c r="C555" s="126"/>
      <c r="D555" s="48"/>
      <c r="E555" s="44"/>
      <c r="F555" s="16"/>
      <c r="P555" s="3"/>
      <c r="Q555" s="3"/>
      <c r="R555" s="3"/>
      <c r="S555" s="3"/>
      <c r="T555" s="3"/>
      <c r="U555" s="3"/>
      <c r="V555" s="3"/>
      <c r="W555" s="3"/>
    </row>
    <row r="556" s="1" customFormat="1" spans="1:23">
      <c r="A556" s="132"/>
      <c r="B556" s="133"/>
      <c r="C556" s="135"/>
      <c r="D556" s="48"/>
      <c r="E556" s="44"/>
      <c r="F556" s="16"/>
      <c r="P556" s="3"/>
      <c r="Q556" s="3"/>
      <c r="R556" s="3"/>
      <c r="S556" s="3"/>
      <c r="T556" s="3"/>
      <c r="U556" s="3"/>
      <c r="V556" s="3"/>
      <c r="W556" s="3"/>
    </row>
    <row r="557" s="1" customFormat="1" spans="1:23">
      <c r="A557" s="132" t="s">
        <v>530</v>
      </c>
      <c r="B557" s="133" t="s">
        <v>255</v>
      </c>
      <c r="C557" s="135"/>
      <c r="D557" s="48"/>
      <c r="E557" s="44"/>
      <c r="F557" s="16"/>
      <c r="P557" s="3"/>
      <c r="Q557" s="3"/>
      <c r="R557" s="3"/>
      <c r="S557" s="3"/>
      <c r="T557" s="3"/>
      <c r="U557" s="3"/>
      <c r="V557" s="3"/>
      <c r="W557" s="3"/>
    </row>
    <row r="558" s="1" customFormat="1" spans="1:23">
      <c r="A558" s="132"/>
      <c r="B558" s="99"/>
      <c r="C558" s="127"/>
      <c r="D558" s="48"/>
      <c r="E558" s="44"/>
      <c r="F558" s="16"/>
      <c r="P558" s="3"/>
      <c r="Q558" s="3"/>
      <c r="R558" s="3"/>
      <c r="S558" s="3"/>
      <c r="T558" s="3"/>
      <c r="U558" s="3"/>
      <c r="V558" s="3"/>
      <c r="W558" s="3"/>
    </row>
    <row r="559" s="1" customFormat="1" ht="41.4" spans="1:23">
      <c r="A559" s="132"/>
      <c r="B559" s="125" t="s">
        <v>256</v>
      </c>
      <c r="C559" s="126">
        <v>90</v>
      </c>
      <c r="D559" s="48" t="s">
        <v>81</v>
      </c>
      <c r="E559" s="44">
        <v>950</v>
      </c>
      <c r="F559" s="16">
        <f>E559*C559</f>
        <v>85500</v>
      </c>
      <c r="P559" s="3"/>
      <c r="Q559" s="3"/>
      <c r="R559" s="3"/>
      <c r="S559" s="3"/>
      <c r="T559" s="3"/>
      <c r="U559" s="3"/>
      <c r="V559" s="3"/>
      <c r="W559" s="3"/>
    </row>
    <row r="560" s="1" customFormat="1" spans="1:23">
      <c r="A560" s="132"/>
      <c r="B560" s="99"/>
      <c r="C560" s="127"/>
      <c r="D560" s="48"/>
      <c r="E560" s="44"/>
      <c r="F560" s="16"/>
      <c r="P560" s="3"/>
      <c r="Q560" s="3"/>
      <c r="R560" s="3"/>
      <c r="S560" s="3"/>
      <c r="T560" s="3"/>
      <c r="U560" s="3"/>
      <c r="V560" s="3"/>
      <c r="W560" s="3"/>
    </row>
    <row r="561" spans="1:6">
      <c r="A561" s="132"/>
      <c r="B561" s="63"/>
      <c r="C561" s="65"/>
      <c r="D561" s="48"/>
      <c r="E561" s="44"/>
      <c r="F561" s="16"/>
    </row>
    <row r="562" spans="1:6">
      <c r="A562" s="132" t="s">
        <v>531</v>
      </c>
      <c r="B562" s="80" t="s">
        <v>532</v>
      </c>
      <c r="C562" s="136"/>
      <c r="D562" s="48"/>
      <c r="E562" s="44"/>
      <c r="F562" s="16"/>
    </row>
    <row r="563" ht="27.6" spans="1:6">
      <c r="A563" s="132"/>
      <c r="B563" s="88" t="s">
        <v>258</v>
      </c>
      <c r="C563" s="137">
        <v>2</v>
      </c>
      <c r="D563" s="48" t="s">
        <v>222</v>
      </c>
      <c r="E563" s="44">
        <v>8200</v>
      </c>
      <c r="F563" s="16">
        <f t="shared" ref="F563" si="63">E563*C563</f>
        <v>16400</v>
      </c>
    </row>
    <row r="564" ht="13.5" customHeight="1" spans="1:6">
      <c r="A564" s="132"/>
      <c r="B564" s="63"/>
      <c r="C564" s="65"/>
      <c r="D564" s="48"/>
      <c r="E564" s="44"/>
      <c r="F564" s="16"/>
    </row>
    <row r="565" ht="13.5" customHeight="1" spans="1:6">
      <c r="A565" s="132"/>
      <c r="B565" s="63"/>
      <c r="C565" s="65"/>
      <c r="D565" s="48"/>
      <c r="E565" s="44"/>
      <c r="F565" s="16"/>
    </row>
    <row r="566" spans="1:6">
      <c r="A566" s="132" t="s">
        <v>533</v>
      </c>
      <c r="B566" s="133" t="s">
        <v>259</v>
      </c>
      <c r="C566" s="135"/>
      <c r="D566" s="48"/>
      <c r="E566" s="44"/>
      <c r="F566" s="16"/>
    </row>
    <row r="567" spans="1:6">
      <c r="A567" s="132"/>
      <c r="B567" s="63"/>
      <c r="C567" s="65"/>
      <c r="D567" s="48"/>
      <c r="E567" s="44"/>
      <c r="F567" s="16"/>
    </row>
    <row r="568" ht="27.6" spans="1:6">
      <c r="A568" s="132"/>
      <c r="B568" s="88" t="s">
        <v>260</v>
      </c>
      <c r="C568" s="137">
        <v>2</v>
      </c>
      <c r="D568" s="48" t="s">
        <v>222</v>
      </c>
      <c r="E568" s="44">
        <v>7200</v>
      </c>
      <c r="F568" s="16">
        <f>E568*C568</f>
        <v>14400</v>
      </c>
    </row>
    <row r="569" spans="1:6">
      <c r="A569" s="132"/>
      <c r="B569" s="63"/>
      <c r="C569" s="65"/>
      <c r="D569" s="48"/>
      <c r="E569" s="44"/>
      <c r="F569" s="16" t="s">
        <v>534</v>
      </c>
    </row>
    <row r="570" spans="1:6">
      <c r="A570" s="132" t="s">
        <v>535</v>
      </c>
      <c r="B570" s="133" t="s">
        <v>261</v>
      </c>
      <c r="C570" s="135"/>
      <c r="D570" s="48"/>
      <c r="E570" s="44"/>
      <c r="F570" s="16"/>
    </row>
    <row r="571" spans="1:6">
      <c r="A571" s="132"/>
      <c r="B571" s="88" t="s">
        <v>262</v>
      </c>
      <c r="C571" s="137" t="s">
        <v>536</v>
      </c>
      <c r="D571" s="48" t="s">
        <v>537</v>
      </c>
      <c r="E571" s="48" t="s">
        <v>538</v>
      </c>
      <c r="F571" s="16">
        <v>45000</v>
      </c>
    </row>
    <row r="572" spans="1:6">
      <c r="A572" s="132"/>
      <c r="B572" s="67"/>
      <c r="C572" s="69"/>
      <c r="D572" s="15"/>
      <c r="E572" s="15"/>
      <c r="F572" s="16"/>
    </row>
    <row r="573" spans="1:6">
      <c r="A573" s="132"/>
      <c r="B573" s="138"/>
      <c r="C573" s="139"/>
      <c r="D573" s="15"/>
      <c r="E573" s="14"/>
      <c r="F573" s="25"/>
    </row>
    <row r="574" ht="14.55" spans="1:15">
      <c r="A574" s="132"/>
      <c r="B574" s="122" t="s">
        <v>539</v>
      </c>
      <c r="C574" s="139"/>
      <c r="D574" s="15"/>
      <c r="E574" s="14"/>
      <c r="F574" s="27">
        <f>SUM(F509:F573)</f>
        <v>635076</v>
      </c>
      <c r="G574" s="28"/>
      <c r="H574" s="28"/>
      <c r="I574" s="28"/>
      <c r="J574" s="28"/>
      <c r="K574" s="28"/>
      <c r="L574" s="28"/>
      <c r="M574" s="28"/>
      <c r="N574" s="28"/>
      <c r="O574" s="28"/>
    </row>
    <row r="575" ht="14.55" spans="1:6">
      <c r="A575" s="132"/>
      <c r="B575" s="138"/>
      <c r="C575" s="139"/>
      <c r="D575" s="15"/>
      <c r="E575" s="14"/>
      <c r="F575" s="31"/>
    </row>
    <row r="576" spans="1:6">
      <c r="A576" s="132"/>
      <c r="B576" s="138"/>
      <c r="C576" s="139"/>
      <c r="D576" s="15"/>
      <c r="E576" s="14"/>
      <c r="F576" s="31"/>
    </row>
    <row r="577" spans="1:6">
      <c r="A577" s="132"/>
      <c r="B577" s="138"/>
      <c r="C577" s="139"/>
      <c r="D577" s="15"/>
      <c r="E577" s="14"/>
      <c r="F577" s="31"/>
    </row>
    <row r="578" spans="1:6">
      <c r="A578" s="132"/>
      <c r="B578" s="138"/>
      <c r="C578" s="139"/>
      <c r="D578" s="15"/>
      <c r="E578" s="14"/>
      <c r="F578" s="31"/>
    </row>
    <row r="579" spans="1:6">
      <c r="A579" s="132"/>
      <c r="B579" s="138"/>
      <c r="C579" s="139"/>
      <c r="D579" s="15"/>
      <c r="E579" s="14"/>
      <c r="F579" s="31"/>
    </row>
    <row r="580" spans="1:6">
      <c r="A580" s="100" t="s">
        <v>105</v>
      </c>
      <c r="B580" s="140" t="s">
        <v>540</v>
      </c>
      <c r="C580" s="139"/>
      <c r="D580" s="15"/>
      <c r="E580" s="14"/>
      <c r="F580" s="16"/>
    </row>
    <row r="581" spans="1:6">
      <c r="A581" s="132"/>
      <c r="B581" s="138"/>
      <c r="C581" s="139"/>
      <c r="D581" s="15"/>
      <c r="E581" s="14"/>
      <c r="F581" s="16"/>
    </row>
    <row r="582" s="1" customFormat="1" spans="1:23">
      <c r="A582" s="141"/>
      <c r="B582" s="142"/>
      <c r="C582" s="143"/>
      <c r="D582" s="144"/>
      <c r="E582" s="14"/>
      <c r="F582" s="16"/>
      <c r="P582" s="3"/>
      <c r="Q582" s="3"/>
      <c r="R582" s="3"/>
      <c r="S582" s="3"/>
      <c r="T582" s="3"/>
      <c r="U582" s="3"/>
      <c r="V582" s="3"/>
      <c r="W582" s="3"/>
    </row>
    <row r="583" s="1" customFormat="1" spans="1:23">
      <c r="A583" s="145" t="s">
        <v>541</v>
      </c>
      <c r="B583" s="146" t="s">
        <v>264</v>
      </c>
      <c r="C583" s="143"/>
      <c r="D583" s="144"/>
      <c r="E583" s="14"/>
      <c r="F583" s="16"/>
      <c r="P583" s="3"/>
      <c r="Q583" s="3"/>
      <c r="R583" s="3"/>
      <c r="S583" s="3"/>
      <c r="T583" s="3"/>
      <c r="U583" s="3"/>
      <c r="V583" s="3"/>
      <c r="W583" s="3"/>
    </row>
    <row r="584" s="1" customFormat="1" ht="69" spans="1:23">
      <c r="A584" s="141"/>
      <c r="B584" s="142" t="s">
        <v>542</v>
      </c>
      <c r="C584" s="143"/>
      <c r="D584" s="144"/>
      <c r="E584" s="14"/>
      <c r="F584" s="16"/>
      <c r="P584" s="3"/>
      <c r="Q584" s="3"/>
      <c r="R584" s="3"/>
      <c r="S584" s="3"/>
      <c r="T584" s="3"/>
      <c r="U584" s="3"/>
      <c r="V584" s="3"/>
      <c r="W584" s="3"/>
    </row>
    <row r="585" s="1" customFormat="1" spans="1:23">
      <c r="A585" s="141"/>
      <c r="B585" s="142"/>
      <c r="C585" s="143"/>
      <c r="D585" s="144"/>
      <c r="E585" s="14"/>
      <c r="F585" s="16"/>
      <c r="P585" s="3"/>
      <c r="Q585" s="3"/>
      <c r="R585" s="3"/>
      <c r="S585" s="3"/>
      <c r="T585" s="3"/>
      <c r="U585" s="3"/>
      <c r="V585" s="3"/>
      <c r="W585" s="3"/>
    </row>
    <row r="586" s="1" customFormat="1" ht="27.6" spans="1:23">
      <c r="A586" s="141" t="s">
        <v>543</v>
      </c>
      <c r="B586" s="142" t="s">
        <v>266</v>
      </c>
      <c r="C586" s="147">
        <v>45</v>
      </c>
      <c r="D586" s="148" t="s">
        <v>169</v>
      </c>
      <c r="E586" s="38">
        <f>375/3.2*1.03</f>
        <v>120.7</v>
      </c>
      <c r="F586" s="16">
        <f>E586*C586</f>
        <v>5431.5</v>
      </c>
      <c r="P586" s="3"/>
      <c r="Q586" s="3"/>
      <c r="R586" s="3"/>
      <c r="S586" s="3"/>
      <c r="T586" s="3"/>
      <c r="U586" s="3"/>
      <c r="V586" s="3"/>
      <c r="W586" s="3"/>
    </row>
    <row r="587" s="1" customFormat="1" spans="1:23">
      <c r="A587" s="141"/>
      <c r="B587" s="142"/>
      <c r="C587" s="147"/>
      <c r="D587" s="148"/>
      <c r="E587" s="149"/>
      <c r="F587" s="16"/>
      <c r="P587" s="3"/>
      <c r="Q587" s="3"/>
      <c r="R587" s="3"/>
      <c r="S587" s="3"/>
      <c r="T587" s="3"/>
      <c r="U587" s="3"/>
      <c r="V587" s="3"/>
      <c r="W587" s="3"/>
    </row>
    <row r="588" s="1" customFormat="1" ht="27.6" spans="1:23">
      <c r="A588" s="141" t="s">
        <v>544</v>
      </c>
      <c r="B588" s="142" t="s">
        <v>267</v>
      </c>
      <c r="C588" s="147">
        <v>30</v>
      </c>
      <c r="D588" s="148" t="s">
        <v>169</v>
      </c>
      <c r="E588" s="38">
        <f>475/3.28*1.05</f>
        <v>152.06</v>
      </c>
      <c r="F588" s="16">
        <f t="shared" ref="F588" si="64">E588*C588</f>
        <v>4561.8</v>
      </c>
      <c r="P588" s="3"/>
      <c r="Q588" s="3"/>
      <c r="R588" s="3"/>
      <c r="S588" s="3"/>
      <c r="T588" s="3"/>
      <c r="U588" s="3"/>
      <c r="V588" s="3"/>
      <c r="W588" s="3"/>
    </row>
    <row r="589" s="1" customFormat="1" spans="1:23">
      <c r="A589" s="141"/>
      <c r="B589" s="142"/>
      <c r="C589" s="147"/>
      <c r="D589" s="148"/>
      <c r="E589" s="149"/>
      <c r="F589" s="16"/>
      <c r="P589" s="3"/>
      <c r="Q589" s="3"/>
      <c r="R589" s="3"/>
      <c r="S589" s="3"/>
      <c r="T589" s="3"/>
      <c r="U589" s="3"/>
      <c r="V589" s="3"/>
      <c r="W589" s="3"/>
    </row>
    <row r="590" s="1" customFormat="1" spans="1:23">
      <c r="A590" s="141"/>
      <c r="B590" s="142"/>
      <c r="C590" s="143"/>
      <c r="D590" s="144"/>
      <c r="E590" s="14"/>
      <c r="F590" s="16"/>
      <c r="P590" s="3"/>
      <c r="Q590" s="3"/>
      <c r="R590" s="3"/>
      <c r="S590" s="3"/>
      <c r="T590" s="3"/>
      <c r="U590" s="3"/>
      <c r="V590" s="3"/>
      <c r="W590" s="3"/>
    </row>
    <row r="591" s="1" customFormat="1" spans="1:23">
      <c r="A591" s="141"/>
      <c r="B591" s="142"/>
      <c r="C591" s="143"/>
      <c r="D591" s="14"/>
      <c r="E591" s="14"/>
      <c r="F591" s="16"/>
      <c r="P591" s="3"/>
      <c r="Q591" s="3"/>
      <c r="R591" s="3"/>
      <c r="S591" s="3"/>
      <c r="T591" s="3"/>
      <c r="U591" s="3"/>
      <c r="V591" s="3"/>
      <c r="W591" s="3"/>
    </row>
    <row r="592" s="1" customFormat="1" spans="1:23">
      <c r="A592" s="150" t="s">
        <v>545</v>
      </c>
      <c r="B592" s="146" t="s">
        <v>268</v>
      </c>
      <c r="C592" s="143"/>
      <c r="D592" s="14"/>
      <c r="E592" s="14"/>
      <c r="F592" s="16"/>
      <c r="P592" s="3"/>
      <c r="Q592" s="3"/>
      <c r="R592" s="3"/>
      <c r="S592" s="3"/>
      <c r="T592" s="3"/>
      <c r="U592" s="3"/>
      <c r="V592" s="3"/>
      <c r="W592" s="3"/>
    </row>
    <row r="593" s="1" customFormat="1" ht="69" spans="1:23">
      <c r="A593" s="141"/>
      <c r="B593" s="142" t="s">
        <v>546</v>
      </c>
      <c r="C593" s="143"/>
      <c r="D593" s="144"/>
      <c r="E593" s="14"/>
      <c r="F593" s="16"/>
      <c r="P593" s="3"/>
      <c r="Q593" s="3"/>
      <c r="R593" s="3"/>
      <c r="S593" s="3"/>
      <c r="T593" s="3"/>
      <c r="U593" s="3"/>
      <c r="V593" s="3"/>
      <c r="W593" s="3"/>
    </row>
    <row r="594" s="1" customFormat="1" spans="1:23">
      <c r="A594" s="141"/>
      <c r="B594" s="142"/>
      <c r="C594" s="143"/>
      <c r="D594" s="144"/>
      <c r="E594" s="14"/>
      <c r="F594" s="16"/>
      <c r="P594" s="3"/>
      <c r="Q594" s="3"/>
      <c r="R594" s="3"/>
      <c r="S594" s="3"/>
      <c r="T594" s="3"/>
      <c r="U594" s="3"/>
      <c r="V594" s="3"/>
      <c r="W594" s="3"/>
    </row>
    <row r="595" s="1" customFormat="1" ht="27.6" spans="1:23">
      <c r="A595" s="141" t="s">
        <v>547</v>
      </c>
      <c r="B595" s="151" t="s">
        <v>270</v>
      </c>
      <c r="C595" s="152">
        <v>18</v>
      </c>
      <c r="D595" s="148" t="s">
        <v>169</v>
      </c>
      <c r="E595" s="38">
        <f>475/3.2</f>
        <v>148.44</v>
      </c>
      <c r="F595" s="153">
        <f t="shared" ref="F595:F597" si="65">E595*C595</f>
        <v>2671.92</v>
      </c>
      <c r="P595" s="3"/>
      <c r="Q595" s="3"/>
      <c r="R595" s="3"/>
      <c r="S595" s="3"/>
      <c r="T595" s="3"/>
      <c r="U595" s="3"/>
      <c r="V595" s="3"/>
      <c r="W595" s="3"/>
    </row>
    <row r="596" s="1" customFormat="1" ht="30" customHeight="1" spans="1:23">
      <c r="A596" s="141" t="s">
        <v>548</v>
      </c>
      <c r="B596" s="151" t="s">
        <v>549</v>
      </c>
      <c r="C596" s="152">
        <v>32</v>
      </c>
      <c r="D596" s="148" t="s">
        <v>169</v>
      </c>
      <c r="E596" s="38">
        <f>1150/3.2</f>
        <v>359.38</v>
      </c>
      <c r="F596" s="153">
        <f t="shared" si="65"/>
        <v>11500.16</v>
      </c>
      <c r="P596" s="3"/>
      <c r="Q596" s="3"/>
      <c r="R596" s="3"/>
      <c r="S596" s="3"/>
      <c r="T596" s="3"/>
      <c r="U596" s="3"/>
      <c r="V596" s="3"/>
      <c r="W596" s="3"/>
    </row>
    <row r="597" s="1" customFormat="1" ht="27.6" spans="1:23">
      <c r="A597" s="141" t="s">
        <v>550</v>
      </c>
      <c r="B597" s="151" t="s">
        <v>272</v>
      </c>
      <c r="C597" s="152">
        <v>90</v>
      </c>
      <c r="D597" s="148" t="s">
        <v>169</v>
      </c>
      <c r="E597" s="38">
        <f>1650/3.2</f>
        <v>515.63</v>
      </c>
      <c r="F597" s="153">
        <f t="shared" si="65"/>
        <v>46406.7</v>
      </c>
      <c r="P597" s="3"/>
      <c r="Q597" s="3"/>
      <c r="R597" s="3"/>
      <c r="S597" s="3"/>
      <c r="T597" s="3"/>
      <c r="U597" s="3"/>
      <c r="V597" s="3"/>
      <c r="W597" s="3"/>
    </row>
    <row r="598" s="1" customFormat="1" spans="1:23">
      <c r="A598" s="141"/>
      <c r="B598" s="142"/>
      <c r="C598" s="143"/>
      <c r="D598" s="144"/>
      <c r="E598" s="14"/>
      <c r="F598" s="16"/>
      <c r="P598" s="3"/>
      <c r="Q598" s="3"/>
      <c r="R598" s="3"/>
      <c r="S598" s="3"/>
      <c r="T598" s="3"/>
      <c r="U598" s="3"/>
      <c r="V598" s="3"/>
      <c r="W598" s="3"/>
    </row>
    <row r="599" s="1" customFormat="1" spans="1:23">
      <c r="A599" s="141"/>
      <c r="B599" s="142"/>
      <c r="C599" s="143"/>
      <c r="D599" s="144"/>
      <c r="E599" s="14"/>
      <c r="F599" s="16"/>
      <c r="P599" s="3"/>
      <c r="Q599" s="3"/>
      <c r="R599" s="3"/>
      <c r="S599" s="3"/>
      <c r="T599" s="3"/>
      <c r="U599" s="3"/>
      <c r="V599" s="3"/>
      <c r="W599" s="3"/>
    </row>
    <row r="600" spans="1:6">
      <c r="A600" s="150" t="s">
        <v>551</v>
      </c>
      <c r="B600" s="146" t="s">
        <v>273</v>
      </c>
      <c r="C600" s="143"/>
      <c r="D600" s="144"/>
      <c r="E600" s="14"/>
      <c r="F600" s="16"/>
    </row>
    <row r="601" spans="1:6">
      <c r="A601" s="141"/>
      <c r="B601" s="142"/>
      <c r="C601" s="143"/>
      <c r="D601" s="144"/>
      <c r="E601" s="14"/>
      <c r="F601" s="16"/>
    </row>
    <row r="602" ht="41.4" spans="1:15">
      <c r="A602" s="141" t="s">
        <v>552</v>
      </c>
      <c r="B602" s="142" t="s">
        <v>274</v>
      </c>
      <c r="C602" s="152">
        <v>60</v>
      </c>
      <c r="D602" s="148" t="s">
        <v>169</v>
      </c>
      <c r="E602" s="38">
        <f>1950/3.2</f>
        <v>609.38</v>
      </c>
      <c r="F602" s="153">
        <f t="shared" ref="F602" si="66">E602*C602</f>
        <v>36562.8</v>
      </c>
      <c r="G602" s="154"/>
      <c r="H602" s="154"/>
      <c r="I602" s="154"/>
      <c r="J602" s="154"/>
      <c r="K602" s="154"/>
      <c r="L602" s="154"/>
      <c r="M602" s="154"/>
      <c r="N602" s="154"/>
      <c r="O602" s="154"/>
    </row>
    <row r="603" spans="1:6">
      <c r="A603" s="141"/>
      <c r="B603" s="142"/>
      <c r="C603" s="143"/>
      <c r="D603" s="144"/>
      <c r="E603" s="14"/>
      <c r="F603" s="16"/>
    </row>
    <row r="604" spans="1:6">
      <c r="A604" s="150" t="s">
        <v>553</v>
      </c>
      <c r="B604" s="146" t="s">
        <v>275</v>
      </c>
      <c r="C604" s="143"/>
      <c r="D604" s="144"/>
      <c r="E604" s="14"/>
      <c r="F604" s="16"/>
    </row>
    <row r="605" ht="41.4" spans="1:15">
      <c r="A605" s="141" t="s">
        <v>554</v>
      </c>
      <c r="B605" s="151" t="s">
        <v>276</v>
      </c>
      <c r="C605" s="152">
        <v>2</v>
      </c>
      <c r="D605" s="148" t="s">
        <v>277</v>
      </c>
      <c r="E605" s="149">
        <v>4500</v>
      </c>
      <c r="F605" s="153">
        <f t="shared" ref="F605:F607" si="67">E605*C605</f>
        <v>9000</v>
      </c>
      <c r="G605" s="154"/>
      <c r="H605" s="154"/>
      <c r="I605" s="154"/>
      <c r="J605" s="154"/>
      <c r="K605" s="154"/>
      <c r="L605" s="154"/>
      <c r="M605" s="154"/>
      <c r="N605" s="154"/>
      <c r="O605" s="154"/>
    </row>
    <row r="606" ht="41.4" spans="1:15">
      <c r="A606" s="141" t="s">
        <v>555</v>
      </c>
      <c r="B606" s="151" t="s">
        <v>278</v>
      </c>
      <c r="C606" s="152">
        <v>2</v>
      </c>
      <c r="D606" s="148" t="s">
        <v>277</v>
      </c>
      <c r="E606" s="149">
        <v>4500</v>
      </c>
      <c r="F606" s="153">
        <f t="shared" si="67"/>
        <v>9000</v>
      </c>
      <c r="G606" s="154"/>
      <c r="H606" s="154"/>
      <c r="I606" s="154"/>
      <c r="J606" s="154"/>
      <c r="K606" s="154"/>
      <c r="L606" s="154"/>
      <c r="M606" s="154"/>
      <c r="N606" s="154"/>
      <c r="O606" s="154"/>
    </row>
    <row r="607" ht="55.2" spans="1:15">
      <c r="A607" s="141" t="s">
        <v>556</v>
      </c>
      <c r="B607" s="151" t="s">
        <v>279</v>
      </c>
      <c r="C607" s="152">
        <v>1</v>
      </c>
      <c r="D607" s="148" t="s">
        <v>277</v>
      </c>
      <c r="E607" s="149">
        <v>4500</v>
      </c>
      <c r="F607" s="153">
        <f t="shared" si="67"/>
        <v>4500</v>
      </c>
      <c r="G607" s="154"/>
      <c r="H607" s="154"/>
      <c r="I607" s="154"/>
      <c r="J607" s="154"/>
      <c r="K607" s="154"/>
      <c r="L607" s="154"/>
      <c r="M607" s="154"/>
      <c r="N607" s="154"/>
      <c r="O607" s="154"/>
    </row>
    <row r="608" spans="1:15">
      <c r="A608" s="141"/>
      <c r="B608" s="142"/>
      <c r="C608" s="147"/>
      <c r="D608" s="148"/>
      <c r="E608" s="149"/>
      <c r="F608" s="153"/>
      <c r="G608" s="154"/>
      <c r="H608" s="154"/>
      <c r="I608" s="154"/>
      <c r="J608" s="154"/>
      <c r="K608" s="154"/>
      <c r="L608" s="154"/>
      <c r="M608" s="154"/>
      <c r="N608" s="154"/>
      <c r="O608" s="154"/>
    </row>
    <row r="609" spans="1:15">
      <c r="A609" s="150" t="s">
        <v>557</v>
      </c>
      <c r="B609" s="146" t="s">
        <v>280</v>
      </c>
      <c r="C609" s="147"/>
      <c r="D609" s="148"/>
      <c r="E609" s="149"/>
      <c r="F609" s="153"/>
      <c r="G609" s="154"/>
      <c r="H609" s="154"/>
      <c r="I609" s="154"/>
      <c r="J609" s="154"/>
      <c r="K609" s="154"/>
      <c r="L609" s="154"/>
      <c r="M609" s="154"/>
      <c r="N609" s="154"/>
      <c r="O609" s="154"/>
    </row>
    <row r="610" ht="55.2" spans="1:15">
      <c r="A610" s="141" t="s">
        <v>558</v>
      </c>
      <c r="B610" s="142" t="s">
        <v>281</v>
      </c>
      <c r="C610" s="147">
        <v>2</v>
      </c>
      <c r="D610" s="148" t="s">
        <v>277</v>
      </c>
      <c r="E610" s="38">
        <v>6500</v>
      </c>
      <c r="F610" s="153">
        <f t="shared" ref="F610" si="68">E610*C610</f>
        <v>13000</v>
      </c>
      <c r="G610" s="154"/>
      <c r="H610" s="154"/>
      <c r="I610" s="154"/>
      <c r="J610" s="154"/>
      <c r="K610" s="154"/>
      <c r="L610" s="154"/>
      <c r="M610" s="154"/>
      <c r="N610" s="154"/>
      <c r="O610" s="154"/>
    </row>
    <row r="611" spans="1:15">
      <c r="A611" s="141"/>
      <c r="B611" s="142"/>
      <c r="C611" s="147"/>
      <c r="D611" s="148"/>
      <c r="E611" s="149"/>
      <c r="F611" s="153"/>
      <c r="G611" s="154"/>
      <c r="H611" s="154"/>
      <c r="I611" s="154"/>
      <c r="J611" s="154"/>
      <c r="K611" s="154"/>
      <c r="L611" s="154"/>
      <c r="M611" s="154"/>
      <c r="N611" s="154"/>
      <c r="O611" s="154"/>
    </row>
    <row r="612" spans="1:15">
      <c r="A612" s="155"/>
      <c r="B612" s="30"/>
      <c r="C612" s="156"/>
      <c r="D612" s="156"/>
      <c r="E612" s="149"/>
      <c r="F612" s="153"/>
      <c r="G612" s="154"/>
      <c r="H612" s="154"/>
      <c r="I612" s="154"/>
      <c r="J612" s="154"/>
      <c r="K612" s="154"/>
      <c r="L612" s="154"/>
      <c r="M612" s="154"/>
      <c r="N612" s="154"/>
      <c r="O612" s="154"/>
    </row>
    <row r="613" spans="1:15">
      <c r="A613" s="150" t="s">
        <v>559</v>
      </c>
      <c r="B613" s="146" t="s">
        <v>282</v>
      </c>
      <c r="C613" s="147"/>
      <c r="D613" s="148"/>
      <c r="E613" s="149"/>
      <c r="F613" s="153"/>
      <c r="G613" s="154"/>
      <c r="H613" s="154"/>
      <c r="I613" s="154"/>
      <c r="J613" s="154"/>
      <c r="K613" s="154"/>
      <c r="L613" s="154"/>
      <c r="M613" s="154"/>
      <c r="N613" s="154"/>
      <c r="O613" s="154"/>
    </row>
    <row r="614" ht="27.6" spans="1:23">
      <c r="A614" s="141" t="s">
        <v>560</v>
      </c>
      <c r="B614" s="142" t="s">
        <v>283</v>
      </c>
      <c r="C614" s="147">
        <v>2</v>
      </c>
      <c r="D614" s="148" t="s">
        <v>277</v>
      </c>
      <c r="E614" s="38">
        <v>15500</v>
      </c>
      <c r="F614" s="153">
        <f>E614*C614</f>
        <v>31000</v>
      </c>
      <c r="G614" s="154"/>
      <c r="H614" s="154"/>
      <c r="I614" s="154"/>
      <c r="J614" s="154"/>
      <c r="K614" s="154"/>
      <c r="L614" s="154"/>
      <c r="M614" s="154"/>
      <c r="N614" s="154"/>
      <c r="O614" s="154"/>
      <c r="V614" s="166">
        <f>(92000*1.1)</f>
        <v>101200</v>
      </c>
      <c r="W614" s="106">
        <f>V614</f>
        <v>101200</v>
      </c>
    </row>
    <row r="615" spans="1:15">
      <c r="A615" s="141"/>
      <c r="B615" s="142"/>
      <c r="C615" s="147"/>
      <c r="D615" s="148"/>
      <c r="E615" s="149"/>
      <c r="F615" s="153">
        <f t="shared" ref="F615:F627" si="69">E615*C615</f>
        <v>0</v>
      </c>
      <c r="G615" s="154"/>
      <c r="H615" s="154"/>
      <c r="I615" s="154"/>
      <c r="J615" s="154"/>
      <c r="K615" s="154"/>
      <c r="L615" s="154"/>
      <c r="M615" s="154"/>
      <c r="N615" s="154"/>
      <c r="O615" s="154"/>
    </row>
    <row r="616" spans="1:15">
      <c r="A616" s="150" t="s">
        <v>561</v>
      </c>
      <c r="B616" s="146" t="s">
        <v>284</v>
      </c>
      <c r="C616" s="147"/>
      <c r="D616" s="148"/>
      <c r="E616" s="149"/>
      <c r="F616" s="153">
        <f t="shared" si="69"/>
        <v>0</v>
      </c>
      <c r="G616" s="154"/>
      <c r="H616" s="154"/>
      <c r="I616" s="154"/>
      <c r="J616" s="154"/>
      <c r="K616" s="154"/>
      <c r="L616" s="154"/>
      <c r="M616" s="154"/>
      <c r="N616" s="154"/>
      <c r="O616" s="154"/>
    </row>
    <row r="617" spans="1:23">
      <c r="A617" s="157"/>
      <c r="B617" s="158" t="s">
        <v>562</v>
      </c>
      <c r="C617" s="147">
        <v>2</v>
      </c>
      <c r="D617" s="148" t="s">
        <v>277</v>
      </c>
      <c r="E617" s="149">
        <f>450+V617</f>
        <v>4950</v>
      </c>
      <c r="F617" s="153">
        <f t="shared" si="69"/>
        <v>9900</v>
      </c>
      <c r="G617" s="154"/>
      <c r="H617" s="154"/>
      <c r="I617" s="154"/>
      <c r="J617" s="154"/>
      <c r="K617" s="154"/>
      <c r="L617" s="154"/>
      <c r="M617" s="154"/>
      <c r="N617" s="154"/>
      <c r="O617" s="154"/>
      <c r="V617" s="1">
        <v>4500</v>
      </c>
      <c r="W617" s="1">
        <f t="shared" ref="W617:W627" si="70">V617*C617</f>
        <v>9000</v>
      </c>
    </row>
    <row r="618" spans="1:23">
      <c r="A618" s="157"/>
      <c r="B618" s="158" t="s">
        <v>286</v>
      </c>
      <c r="C618" s="147">
        <v>2</v>
      </c>
      <c r="D618" s="148" t="s">
        <v>277</v>
      </c>
      <c r="E618" s="149">
        <f>1500+V618</f>
        <v>4500</v>
      </c>
      <c r="F618" s="153">
        <f t="shared" si="69"/>
        <v>9000</v>
      </c>
      <c r="G618" s="154"/>
      <c r="H618" s="154"/>
      <c r="I618" s="154"/>
      <c r="J618" s="154"/>
      <c r="K618" s="154"/>
      <c r="L618" s="154"/>
      <c r="M618" s="154"/>
      <c r="N618" s="154"/>
      <c r="O618" s="154"/>
      <c r="V618" s="1">
        <v>3000</v>
      </c>
      <c r="W618" s="1">
        <f t="shared" si="70"/>
        <v>6000</v>
      </c>
    </row>
    <row r="619" spans="1:23">
      <c r="A619" s="157" t="s">
        <v>563</v>
      </c>
      <c r="B619" s="158" t="s">
        <v>287</v>
      </c>
      <c r="C619" s="147">
        <v>2</v>
      </c>
      <c r="D619" s="148" t="s">
        <v>277</v>
      </c>
      <c r="E619" s="149">
        <f>4200</f>
        <v>4200</v>
      </c>
      <c r="F619" s="153">
        <f t="shared" si="69"/>
        <v>8400</v>
      </c>
      <c r="G619" s="154"/>
      <c r="H619" s="154"/>
      <c r="I619" s="154"/>
      <c r="J619" s="154"/>
      <c r="K619" s="154"/>
      <c r="L619" s="154"/>
      <c r="M619" s="154"/>
      <c r="N619" s="154"/>
      <c r="O619" s="154"/>
      <c r="V619" s="1">
        <v>12900</v>
      </c>
      <c r="W619" s="1">
        <f t="shared" si="70"/>
        <v>25800</v>
      </c>
    </row>
    <row r="620" spans="1:23">
      <c r="A620" s="157" t="s">
        <v>564</v>
      </c>
      <c r="B620" s="158" t="s">
        <v>288</v>
      </c>
      <c r="C620" s="147">
        <v>2</v>
      </c>
      <c r="D620" s="148" t="s">
        <v>277</v>
      </c>
      <c r="E620" s="149">
        <v>1750</v>
      </c>
      <c r="F620" s="153">
        <f t="shared" si="69"/>
        <v>3500</v>
      </c>
      <c r="G620" s="154"/>
      <c r="H620" s="154"/>
      <c r="I620" s="154"/>
      <c r="J620" s="154"/>
      <c r="K620" s="154"/>
      <c r="L620" s="154"/>
      <c r="M620" s="154"/>
      <c r="N620" s="154"/>
      <c r="O620" s="154"/>
      <c r="V620" s="1">
        <v>1200</v>
      </c>
      <c r="W620" s="1">
        <f t="shared" si="70"/>
        <v>2400</v>
      </c>
    </row>
    <row r="621" spans="1:23">
      <c r="A621" s="157"/>
      <c r="B621" s="158" t="s">
        <v>565</v>
      </c>
      <c r="C621" s="147">
        <v>2</v>
      </c>
      <c r="D621" s="148" t="s">
        <v>277</v>
      </c>
      <c r="E621" s="149">
        <f>1500+V621</f>
        <v>4500</v>
      </c>
      <c r="F621" s="153">
        <f t="shared" si="69"/>
        <v>9000</v>
      </c>
      <c r="G621" s="154"/>
      <c r="H621" s="154"/>
      <c r="I621" s="154"/>
      <c r="J621" s="154"/>
      <c r="K621" s="154"/>
      <c r="L621" s="154"/>
      <c r="M621" s="154"/>
      <c r="N621" s="154"/>
      <c r="O621" s="154"/>
      <c r="V621" s="1">
        <v>3000</v>
      </c>
      <c r="W621" s="1">
        <f t="shared" si="70"/>
        <v>6000</v>
      </c>
    </row>
    <row r="622" spans="1:23">
      <c r="A622" s="157" t="s">
        <v>566</v>
      </c>
      <c r="B622" s="158" t="s">
        <v>290</v>
      </c>
      <c r="C622" s="147">
        <v>2</v>
      </c>
      <c r="D622" s="148" t="s">
        <v>277</v>
      </c>
      <c r="E622" s="149">
        <f>2750+V622</f>
        <v>10150</v>
      </c>
      <c r="F622" s="153">
        <f t="shared" si="69"/>
        <v>20300</v>
      </c>
      <c r="G622" s="154"/>
      <c r="H622" s="154"/>
      <c r="I622" s="154"/>
      <c r="J622" s="154"/>
      <c r="K622" s="154"/>
      <c r="L622" s="154"/>
      <c r="M622" s="154"/>
      <c r="N622" s="154"/>
      <c r="O622" s="154"/>
      <c r="V622" s="1">
        <v>7400</v>
      </c>
      <c r="W622" s="1">
        <f t="shared" si="70"/>
        <v>14800</v>
      </c>
    </row>
    <row r="623" spans="1:23">
      <c r="A623" s="157" t="s">
        <v>567</v>
      </c>
      <c r="B623" s="158" t="s">
        <v>568</v>
      </c>
      <c r="C623" s="147">
        <v>2</v>
      </c>
      <c r="D623" s="148" t="s">
        <v>277</v>
      </c>
      <c r="E623" s="149">
        <f>2750+V623</f>
        <v>17850</v>
      </c>
      <c r="F623" s="153">
        <f t="shared" si="69"/>
        <v>35700</v>
      </c>
      <c r="G623" s="154"/>
      <c r="H623" s="154"/>
      <c r="I623" s="154"/>
      <c r="J623" s="154"/>
      <c r="K623" s="154"/>
      <c r="L623" s="154"/>
      <c r="M623" s="154"/>
      <c r="N623" s="154"/>
      <c r="O623" s="154"/>
      <c r="V623" s="1">
        <v>15100</v>
      </c>
      <c r="W623" s="1">
        <f t="shared" si="70"/>
        <v>30200</v>
      </c>
    </row>
    <row r="624" spans="1:23">
      <c r="A624" s="157" t="s">
        <v>569</v>
      </c>
      <c r="B624" s="158" t="s">
        <v>570</v>
      </c>
      <c r="C624" s="147">
        <v>2</v>
      </c>
      <c r="D624" s="148" t="s">
        <v>277</v>
      </c>
      <c r="E624" s="149">
        <f>950+V624</f>
        <v>2450</v>
      </c>
      <c r="F624" s="153">
        <f t="shared" si="69"/>
        <v>4900</v>
      </c>
      <c r="G624" s="154"/>
      <c r="H624" s="154"/>
      <c r="I624" s="154"/>
      <c r="J624" s="154"/>
      <c r="K624" s="154"/>
      <c r="L624" s="154"/>
      <c r="M624" s="154"/>
      <c r="N624" s="154"/>
      <c r="O624" s="154"/>
      <c r="V624" s="1">
        <f>900+600</f>
        <v>1500</v>
      </c>
      <c r="W624" s="1">
        <f t="shared" si="70"/>
        <v>3000</v>
      </c>
    </row>
    <row r="625" spans="1:23">
      <c r="A625" s="157"/>
      <c r="B625" s="158" t="s">
        <v>293</v>
      </c>
      <c r="C625" s="147">
        <v>2</v>
      </c>
      <c r="D625" s="148" t="s">
        <v>277</v>
      </c>
      <c r="E625" s="149">
        <v>2500</v>
      </c>
      <c r="F625" s="153">
        <f t="shared" si="69"/>
        <v>5000</v>
      </c>
      <c r="G625" s="154"/>
      <c r="H625" s="154"/>
      <c r="I625" s="154"/>
      <c r="J625" s="154"/>
      <c r="K625" s="154"/>
      <c r="L625" s="154"/>
      <c r="M625" s="154"/>
      <c r="N625" s="154"/>
      <c r="O625" s="154"/>
      <c r="V625" s="1">
        <v>1200</v>
      </c>
      <c r="W625" s="1">
        <f t="shared" si="70"/>
        <v>2400</v>
      </c>
    </row>
    <row r="626" spans="1:23">
      <c r="A626" s="157" t="s">
        <v>571</v>
      </c>
      <c r="B626" s="158" t="s">
        <v>295</v>
      </c>
      <c r="C626" s="147">
        <v>4</v>
      </c>
      <c r="D626" s="148" t="s">
        <v>277</v>
      </c>
      <c r="E626" s="149">
        <f>1750+V626</f>
        <v>4250</v>
      </c>
      <c r="F626" s="153">
        <f t="shared" si="69"/>
        <v>17000</v>
      </c>
      <c r="G626" s="154"/>
      <c r="H626" s="154"/>
      <c r="I626" s="154"/>
      <c r="J626" s="154"/>
      <c r="K626" s="154"/>
      <c r="L626" s="154"/>
      <c r="M626" s="154"/>
      <c r="N626" s="154"/>
      <c r="O626" s="154"/>
      <c r="V626" s="1">
        <v>2500</v>
      </c>
      <c r="W626" s="1">
        <f t="shared" si="70"/>
        <v>10000</v>
      </c>
    </row>
    <row r="627" spans="1:23">
      <c r="A627" s="157" t="s">
        <v>572</v>
      </c>
      <c r="B627" s="158" t="s">
        <v>296</v>
      </c>
      <c r="C627" s="147">
        <v>4</v>
      </c>
      <c r="D627" s="148" t="s">
        <v>277</v>
      </c>
      <c r="E627" s="149">
        <f>2500</f>
        <v>2500</v>
      </c>
      <c r="F627" s="153">
        <f t="shared" si="69"/>
        <v>10000</v>
      </c>
      <c r="G627" s="154"/>
      <c r="H627" s="154"/>
      <c r="I627" s="154"/>
      <c r="J627" s="154"/>
      <c r="K627" s="154"/>
      <c r="L627" s="154"/>
      <c r="M627" s="154"/>
      <c r="N627" s="154"/>
      <c r="O627" s="154"/>
      <c r="V627" s="1">
        <v>2100</v>
      </c>
      <c r="W627" s="1">
        <f t="shared" si="70"/>
        <v>8400</v>
      </c>
    </row>
    <row r="628" spans="1:15">
      <c r="A628" s="157"/>
      <c r="B628" s="158"/>
      <c r="C628" s="147"/>
      <c r="D628" s="148"/>
      <c r="E628" s="149"/>
      <c r="F628" s="153"/>
      <c r="G628" s="154"/>
      <c r="H628" s="154"/>
      <c r="I628" s="154"/>
      <c r="J628" s="154"/>
      <c r="K628" s="154"/>
      <c r="L628" s="154"/>
      <c r="M628" s="154"/>
      <c r="N628" s="154"/>
      <c r="O628" s="154"/>
    </row>
    <row r="629" spans="1:15">
      <c r="A629" s="150" t="s">
        <v>573</v>
      </c>
      <c r="B629" s="146" t="s">
        <v>297</v>
      </c>
      <c r="C629" s="147"/>
      <c r="D629" s="148"/>
      <c r="E629" s="149"/>
      <c r="F629" s="153"/>
      <c r="G629" s="154"/>
      <c r="H629" s="154"/>
      <c r="I629" s="154"/>
      <c r="J629" s="154"/>
      <c r="K629" s="154"/>
      <c r="L629" s="154"/>
      <c r="M629" s="154"/>
      <c r="N629" s="154"/>
      <c r="O629" s="154"/>
    </row>
    <row r="630" spans="1:15">
      <c r="A630" s="141"/>
      <c r="B630" s="142"/>
      <c r="C630" s="147"/>
      <c r="D630" s="148"/>
      <c r="E630" s="149"/>
      <c r="F630" s="153"/>
      <c r="G630" s="154"/>
      <c r="H630" s="154"/>
      <c r="I630" s="154"/>
      <c r="J630" s="154"/>
      <c r="K630" s="154"/>
      <c r="L630" s="154"/>
      <c r="M630" s="154"/>
      <c r="N630" s="154"/>
      <c r="O630" s="154"/>
    </row>
    <row r="631" ht="115.5" customHeight="1" spans="1:15">
      <c r="A631" s="155" t="s">
        <v>574</v>
      </c>
      <c r="B631" s="159" t="s">
        <v>575</v>
      </c>
      <c r="C631" s="152">
        <v>3</v>
      </c>
      <c r="D631" s="160" t="s">
        <v>277</v>
      </c>
      <c r="E631" s="149">
        <f>48300*1.1</f>
        <v>53130</v>
      </c>
      <c r="F631" s="153">
        <f>E631*C631</f>
        <v>159390</v>
      </c>
      <c r="G631" s="154"/>
      <c r="H631" s="154"/>
      <c r="I631" s="154"/>
      <c r="J631" s="154"/>
      <c r="K631" s="154"/>
      <c r="L631" s="154"/>
      <c r="M631" s="154"/>
      <c r="N631" s="154"/>
      <c r="O631" s="154"/>
    </row>
    <row r="632" spans="1:15">
      <c r="A632" s="155"/>
      <c r="B632" s="159"/>
      <c r="C632" s="161"/>
      <c r="D632" s="160"/>
      <c r="E632" s="149"/>
      <c r="F632" s="153"/>
      <c r="G632" s="154"/>
      <c r="H632" s="154"/>
      <c r="I632" s="154"/>
      <c r="J632" s="154"/>
      <c r="K632" s="154"/>
      <c r="L632" s="154"/>
      <c r="M632" s="154"/>
      <c r="N632" s="154"/>
      <c r="O632" s="154"/>
    </row>
    <row r="633" spans="1:15">
      <c r="A633" s="141"/>
      <c r="B633" s="142"/>
      <c r="C633" s="147"/>
      <c r="D633" s="148"/>
      <c r="E633" s="149"/>
      <c r="F633" s="153"/>
      <c r="G633" s="154"/>
      <c r="H633" s="154"/>
      <c r="I633" s="154"/>
      <c r="J633" s="154"/>
      <c r="K633" s="154"/>
      <c r="L633" s="154"/>
      <c r="M633" s="154"/>
      <c r="N633" s="154"/>
      <c r="O633" s="154"/>
    </row>
    <row r="634" spans="1:15">
      <c r="A634" s="150" t="s">
        <v>576</v>
      </c>
      <c r="B634" s="146" t="s">
        <v>299</v>
      </c>
      <c r="C634" s="147"/>
      <c r="D634" s="148"/>
      <c r="E634" s="149"/>
      <c r="F634" s="153"/>
      <c r="G634" s="154"/>
      <c r="H634" s="154"/>
      <c r="I634" s="154"/>
      <c r="J634" s="154"/>
      <c r="K634" s="154"/>
      <c r="L634" s="154"/>
      <c r="M634" s="154"/>
      <c r="N634" s="154"/>
      <c r="O634" s="154"/>
    </row>
    <row r="635" s="2" customFormat="1" ht="157.5" customHeight="1" spans="1:15">
      <c r="A635" s="155" t="s">
        <v>577</v>
      </c>
      <c r="B635" s="159" t="s">
        <v>578</v>
      </c>
      <c r="C635" s="152">
        <v>2</v>
      </c>
      <c r="D635" s="160" t="s">
        <v>277</v>
      </c>
      <c r="E635" s="149">
        <v>75700</v>
      </c>
      <c r="F635" s="153">
        <f>E635*C635</f>
        <v>151400</v>
      </c>
      <c r="G635" s="154"/>
      <c r="H635" s="154"/>
      <c r="I635" s="154"/>
      <c r="J635" s="154"/>
      <c r="K635" s="154"/>
      <c r="L635" s="154"/>
      <c r="M635" s="154"/>
      <c r="N635" s="154"/>
      <c r="O635" s="154"/>
    </row>
    <row r="636" spans="1:15">
      <c r="A636" s="155"/>
      <c r="B636" s="159"/>
      <c r="C636" s="161"/>
      <c r="D636" s="160"/>
      <c r="E636" s="149"/>
      <c r="F636" s="153"/>
      <c r="G636" s="154"/>
      <c r="H636" s="154"/>
      <c r="I636" s="154"/>
      <c r="J636" s="154"/>
      <c r="K636" s="154"/>
      <c r="L636" s="154"/>
      <c r="M636" s="154"/>
      <c r="N636" s="154"/>
      <c r="O636" s="154"/>
    </row>
    <row r="637" spans="1:15">
      <c r="A637" s="29"/>
      <c r="B637" s="30"/>
      <c r="C637" s="15"/>
      <c r="D637" s="149"/>
      <c r="E637" s="149"/>
      <c r="F637" s="162"/>
      <c r="G637" s="154"/>
      <c r="H637" s="154"/>
      <c r="I637" s="154"/>
      <c r="J637" s="154"/>
      <c r="K637" s="154"/>
      <c r="L637" s="154"/>
      <c r="M637" s="154"/>
      <c r="N637" s="154"/>
      <c r="O637" s="154"/>
    </row>
    <row r="638" ht="14.55" spans="1:15">
      <c r="A638" s="29"/>
      <c r="B638" s="122" t="s">
        <v>579</v>
      </c>
      <c r="C638" s="15"/>
      <c r="D638" s="149"/>
      <c r="E638" s="149"/>
      <c r="F638" s="163">
        <f>SUM(F582:F636)</f>
        <v>617124.88</v>
      </c>
      <c r="G638" s="164"/>
      <c r="H638" s="164"/>
      <c r="I638" s="164"/>
      <c r="J638" s="164"/>
      <c r="K638" s="164"/>
      <c r="L638" s="164"/>
      <c r="M638" s="164"/>
      <c r="N638" s="164"/>
      <c r="O638" s="164"/>
    </row>
    <row r="639" ht="14.55" spans="1:15">
      <c r="A639" s="29"/>
      <c r="B639" s="30"/>
      <c r="C639" s="15"/>
      <c r="D639" s="149"/>
      <c r="E639" s="149"/>
      <c r="F639" s="165"/>
      <c r="G639" s="154"/>
      <c r="H639" s="154"/>
      <c r="I639" s="154"/>
      <c r="J639" s="154"/>
      <c r="K639" s="154"/>
      <c r="L639" s="154"/>
      <c r="M639" s="154"/>
      <c r="N639" s="154"/>
      <c r="O639" s="154"/>
    </row>
    <row r="640" spans="1:15">
      <c r="A640" s="29"/>
      <c r="B640" s="30"/>
      <c r="C640" s="149"/>
      <c r="D640" s="15"/>
      <c r="E640" s="149"/>
      <c r="F640" s="165"/>
      <c r="G640" s="154"/>
      <c r="H640" s="154"/>
      <c r="I640" s="154"/>
      <c r="J640" s="154"/>
      <c r="K640" s="154"/>
      <c r="L640" s="154"/>
      <c r="M640" s="154"/>
      <c r="N640" s="154"/>
      <c r="O640" s="154"/>
    </row>
    <row r="641" spans="1:15">
      <c r="A641" s="29"/>
      <c r="B641" s="30"/>
      <c r="C641" s="149"/>
      <c r="D641" s="15"/>
      <c r="E641" s="149"/>
      <c r="F641" s="165"/>
      <c r="G641" s="154"/>
      <c r="H641" s="154"/>
      <c r="I641" s="154"/>
      <c r="J641" s="154"/>
      <c r="K641" s="154"/>
      <c r="L641" s="154"/>
      <c r="M641" s="154"/>
      <c r="N641" s="154"/>
      <c r="O641" s="154"/>
    </row>
    <row r="642" spans="1:15">
      <c r="A642" s="29"/>
      <c r="B642" s="30"/>
      <c r="C642" s="149"/>
      <c r="D642" s="15"/>
      <c r="E642" s="149"/>
      <c r="F642" s="165"/>
      <c r="G642" s="154"/>
      <c r="H642" s="154"/>
      <c r="I642" s="154"/>
      <c r="J642" s="154"/>
      <c r="K642" s="154"/>
      <c r="L642" s="154"/>
      <c r="M642" s="154"/>
      <c r="N642" s="154"/>
      <c r="O642" s="154"/>
    </row>
    <row r="643" spans="1:15">
      <c r="A643" s="29"/>
      <c r="B643" s="30"/>
      <c r="C643" s="149"/>
      <c r="D643" s="15"/>
      <c r="E643" s="149"/>
      <c r="F643" s="165"/>
      <c r="G643" s="154"/>
      <c r="H643" s="154"/>
      <c r="I643" s="154"/>
      <c r="J643" s="154"/>
      <c r="K643" s="154"/>
      <c r="L643" s="154"/>
      <c r="M643" s="154"/>
      <c r="N643" s="154"/>
      <c r="O643" s="154"/>
    </row>
    <row r="644" spans="1:15">
      <c r="A644" s="167" t="s">
        <v>93</v>
      </c>
      <c r="B644" s="168" t="s">
        <v>580</v>
      </c>
      <c r="C644" s="169"/>
      <c r="D644" s="48"/>
      <c r="E644" s="169"/>
      <c r="F644" s="153"/>
      <c r="G644" s="154"/>
      <c r="H644" s="154"/>
      <c r="I644" s="154"/>
      <c r="J644" s="154"/>
      <c r="K644" s="154"/>
      <c r="L644" s="154"/>
      <c r="M644" s="154"/>
      <c r="N644" s="154"/>
      <c r="O644" s="154"/>
    </row>
    <row r="645" spans="1:15">
      <c r="A645" s="167"/>
      <c r="B645" s="168"/>
      <c r="C645" s="169"/>
      <c r="D645" s="48"/>
      <c r="E645" s="169"/>
      <c r="F645" s="153"/>
      <c r="G645" s="154"/>
      <c r="H645" s="154"/>
      <c r="I645" s="154"/>
      <c r="J645" s="154"/>
      <c r="K645" s="154"/>
      <c r="L645" s="154"/>
      <c r="M645" s="154"/>
      <c r="N645" s="154"/>
      <c r="O645" s="154"/>
    </row>
    <row r="646" spans="1:15">
      <c r="A646" s="167"/>
      <c r="B646" s="168" t="s">
        <v>139</v>
      </c>
      <c r="C646" s="169"/>
      <c r="D646" s="48"/>
      <c r="E646" s="169"/>
      <c r="F646" s="162"/>
      <c r="G646" s="154"/>
      <c r="H646" s="154"/>
      <c r="I646" s="154"/>
      <c r="J646" s="154"/>
      <c r="K646" s="154"/>
      <c r="L646" s="154"/>
      <c r="M646" s="154"/>
      <c r="N646" s="154"/>
      <c r="O646" s="154"/>
    </row>
    <row r="647" spans="1:15">
      <c r="A647" s="167"/>
      <c r="B647" s="168" t="s">
        <v>140</v>
      </c>
      <c r="C647" s="169"/>
      <c r="D647" s="48"/>
      <c r="E647" s="169"/>
      <c r="F647" s="162"/>
      <c r="G647" s="154"/>
      <c r="H647" s="154"/>
      <c r="I647" s="154"/>
      <c r="J647" s="154"/>
      <c r="K647" s="154"/>
      <c r="L647" s="154"/>
      <c r="M647" s="154"/>
      <c r="N647" s="154"/>
      <c r="O647" s="154"/>
    </row>
    <row r="648" ht="55.2" spans="1:15">
      <c r="A648" s="167"/>
      <c r="B648" s="56" t="s">
        <v>581</v>
      </c>
      <c r="C648" s="169">
        <v>7</v>
      </c>
      <c r="D648" s="48" t="s">
        <v>142</v>
      </c>
      <c r="E648" s="169">
        <f>3.5*8*1800</f>
        <v>50400</v>
      </c>
      <c r="F648" s="162">
        <f>E648*C648</f>
        <v>352800</v>
      </c>
      <c r="G648" s="154"/>
      <c r="H648" s="154"/>
      <c r="I648" s="154"/>
      <c r="J648" s="154"/>
      <c r="K648" s="154"/>
      <c r="L648" s="154"/>
      <c r="M648" s="154"/>
      <c r="N648" s="154"/>
      <c r="O648" s="154"/>
    </row>
    <row r="649" spans="1:15">
      <c r="A649" s="167"/>
      <c r="B649" s="168"/>
      <c r="C649" s="169"/>
      <c r="D649" s="48"/>
      <c r="E649" s="169"/>
      <c r="F649" s="162"/>
      <c r="G649" s="154"/>
      <c r="H649" s="154"/>
      <c r="I649" s="154"/>
      <c r="J649" s="154"/>
      <c r="K649" s="154"/>
      <c r="L649" s="154"/>
      <c r="M649" s="154"/>
      <c r="N649" s="154"/>
      <c r="O649" s="154"/>
    </row>
    <row r="650" ht="55.2" spans="1:15">
      <c r="A650" s="167"/>
      <c r="B650" s="56" t="s">
        <v>582</v>
      </c>
      <c r="C650" s="169">
        <v>2</v>
      </c>
      <c r="D650" s="48" t="s">
        <v>142</v>
      </c>
      <c r="E650" s="169">
        <f>2.75*8*1800</f>
        <v>39600</v>
      </c>
      <c r="F650" s="162">
        <f>E650*C650</f>
        <v>79200</v>
      </c>
      <c r="G650" s="154"/>
      <c r="H650" s="154"/>
      <c r="I650" s="154"/>
      <c r="J650" s="154"/>
      <c r="K650" s="154"/>
      <c r="L650" s="154"/>
      <c r="M650" s="154"/>
      <c r="N650" s="154"/>
      <c r="O650" s="154"/>
    </row>
    <row r="651" spans="1:15">
      <c r="A651" s="167"/>
      <c r="B651" s="168"/>
      <c r="C651" s="169"/>
      <c r="D651" s="48"/>
      <c r="E651" s="169"/>
      <c r="F651" s="162"/>
      <c r="G651" s="154"/>
      <c r="H651" s="154"/>
      <c r="I651" s="154"/>
      <c r="J651" s="154"/>
      <c r="K651" s="154"/>
      <c r="L651" s="154"/>
      <c r="M651" s="154"/>
      <c r="N651" s="154"/>
      <c r="O651" s="154"/>
    </row>
    <row r="652" spans="1:15">
      <c r="A652" s="167"/>
      <c r="B652" s="168" t="s">
        <v>144</v>
      </c>
      <c r="C652" s="169"/>
      <c r="D652" s="48"/>
      <c r="E652" s="169"/>
      <c r="F652" s="162"/>
      <c r="G652" s="154"/>
      <c r="H652" s="154"/>
      <c r="I652" s="154"/>
      <c r="J652" s="154"/>
      <c r="K652" s="154"/>
      <c r="L652" s="154"/>
      <c r="M652" s="154"/>
      <c r="N652" s="154"/>
      <c r="O652" s="154"/>
    </row>
    <row r="653" spans="1:15">
      <c r="A653" s="167"/>
      <c r="B653" s="168"/>
      <c r="C653" s="169"/>
      <c r="D653" s="48"/>
      <c r="E653" s="169"/>
      <c r="F653" s="162"/>
      <c r="G653" s="154"/>
      <c r="H653" s="154"/>
      <c r="I653" s="154"/>
      <c r="J653" s="154"/>
      <c r="K653" s="154"/>
      <c r="L653" s="154"/>
      <c r="M653" s="154"/>
      <c r="N653" s="154"/>
      <c r="O653" s="154"/>
    </row>
    <row r="654" ht="82.8" spans="1:15">
      <c r="A654" s="167"/>
      <c r="B654" s="170" t="s">
        <v>583</v>
      </c>
      <c r="C654" s="169"/>
      <c r="D654" s="48"/>
      <c r="E654" s="169"/>
      <c r="F654" s="162"/>
      <c r="G654" s="154"/>
      <c r="H654" s="154"/>
      <c r="I654" s="154"/>
      <c r="J654" s="154"/>
      <c r="K654" s="154"/>
      <c r="L654" s="154"/>
      <c r="M654" s="154"/>
      <c r="N654" s="154"/>
      <c r="O654" s="154"/>
    </row>
    <row r="655" spans="1:15">
      <c r="A655" s="167"/>
      <c r="B655" s="168"/>
      <c r="C655" s="169"/>
      <c r="D655" s="48"/>
      <c r="E655" s="169"/>
      <c r="F655" s="162"/>
      <c r="G655" s="154"/>
      <c r="H655" s="154"/>
      <c r="I655" s="154"/>
      <c r="J655" s="154"/>
      <c r="K655" s="154"/>
      <c r="L655" s="154"/>
      <c r="M655" s="154"/>
      <c r="N655" s="154"/>
      <c r="O655" s="154"/>
    </row>
    <row r="656" ht="41.4" spans="1:15">
      <c r="A656" s="167"/>
      <c r="B656" s="56" t="s">
        <v>584</v>
      </c>
      <c r="C656" s="169">
        <v>1</v>
      </c>
      <c r="D656" s="48" t="s">
        <v>142</v>
      </c>
      <c r="E656" s="169">
        <f>9.83*8*1900</f>
        <v>149416</v>
      </c>
      <c r="F656" s="162">
        <f>E656*C656</f>
        <v>149416</v>
      </c>
      <c r="G656" s="154"/>
      <c r="H656" s="154"/>
      <c r="I656" s="154"/>
      <c r="J656" s="154"/>
      <c r="K656" s="154"/>
      <c r="L656" s="154"/>
      <c r="M656" s="154"/>
      <c r="N656" s="154"/>
      <c r="O656" s="154"/>
    </row>
    <row r="657" spans="1:15">
      <c r="A657" s="167"/>
      <c r="B657" s="168"/>
      <c r="C657" s="169"/>
      <c r="D657" s="48"/>
      <c r="E657" s="169"/>
      <c r="F657" s="162"/>
      <c r="G657" s="154"/>
      <c r="H657" s="154"/>
      <c r="I657" s="154"/>
      <c r="J657" s="154"/>
      <c r="K657" s="154"/>
      <c r="L657" s="154"/>
      <c r="M657" s="154"/>
      <c r="N657" s="154"/>
      <c r="O657" s="154"/>
    </row>
    <row r="658" ht="41.4" spans="1:15">
      <c r="A658" s="167"/>
      <c r="B658" s="56" t="s">
        <v>585</v>
      </c>
      <c r="C658" s="169">
        <v>1</v>
      </c>
      <c r="D658" s="48" t="s">
        <v>142</v>
      </c>
      <c r="E658" s="169">
        <f>10.33*8*1900</f>
        <v>157016</v>
      </c>
      <c r="F658" s="162">
        <f>E658*C658</f>
        <v>157016</v>
      </c>
      <c r="G658" s="154"/>
      <c r="H658" s="154"/>
      <c r="I658" s="154"/>
      <c r="J658" s="154"/>
      <c r="K658" s="154"/>
      <c r="L658" s="154"/>
      <c r="M658" s="154"/>
      <c r="N658" s="154"/>
      <c r="O658" s="154"/>
    </row>
    <row r="659" spans="1:15">
      <c r="A659" s="167"/>
      <c r="B659" s="168"/>
      <c r="C659" s="169"/>
      <c r="D659" s="48"/>
      <c r="E659" s="169"/>
      <c r="F659" s="162"/>
      <c r="G659" s="154"/>
      <c r="H659" s="154"/>
      <c r="I659" s="154"/>
      <c r="J659" s="154"/>
      <c r="K659" s="154"/>
      <c r="L659" s="154"/>
      <c r="M659" s="154"/>
      <c r="N659" s="154"/>
      <c r="O659" s="154"/>
    </row>
    <row r="660" ht="27.6" spans="1:15">
      <c r="A660" s="167"/>
      <c r="B660" s="56" t="s">
        <v>586</v>
      </c>
      <c r="C660" s="169">
        <v>1</v>
      </c>
      <c r="D660" s="48" t="s">
        <v>142</v>
      </c>
      <c r="E660" s="169">
        <f>7.5*8*1900</f>
        <v>114000</v>
      </c>
      <c r="F660" s="162">
        <f>E660*C660</f>
        <v>114000</v>
      </c>
      <c r="G660" s="154"/>
      <c r="H660" s="154"/>
      <c r="I660" s="154"/>
      <c r="J660" s="154"/>
      <c r="K660" s="154"/>
      <c r="L660" s="154"/>
      <c r="M660" s="154"/>
      <c r="N660" s="154"/>
      <c r="O660" s="154"/>
    </row>
    <row r="661" spans="1:15">
      <c r="A661" s="167"/>
      <c r="B661" s="168"/>
      <c r="C661" s="169"/>
      <c r="D661" s="48"/>
      <c r="E661" s="169"/>
      <c r="F661" s="162"/>
      <c r="G661" s="154"/>
      <c r="H661" s="154"/>
      <c r="I661" s="154"/>
      <c r="J661" s="154"/>
      <c r="K661" s="154"/>
      <c r="L661" s="154"/>
      <c r="M661" s="154"/>
      <c r="N661" s="154"/>
      <c r="O661" s="154"/>
    </row>
    <row r="662" ht="27.6" spans="1:15">
      <c r="A662" s="167"/>
      <c r="B662" s="56" t="s">
        <v>587</v>
      </c>
      <c r="C662" s="169">
        <v>3</v>
      </c>
      <c r="D662" s="48" t="s">
        <v>142</v>
      </c>
      <c r="E662" s="169">
        <f>7*8*1900</f>
        <v>106400</v>
      </c>
      <c r="F662" s="162">
        <f>E662*C662</f>
        <v>319200</v>
      </c>
      <c r="G662" s="154"/>
      <c r="H662" s="154"/>
      <c r="I662" s="154"/>
      <c r="J662" s="154"/>
      <c r="K662" s="154"/>
      <c r="L662" s="154"/>
      <c r="M662" s="154"/>
      <c r="N662" s="154"/>
      <c r="O662" s="154"/>
    </row>
    <row r="663" spans="1:15">
      <c r="A663" s="167"/>
      <c r="B663" s="168"/>
      <c r="C663" s="169"/>
      <c r="D663" s="48"/>
      <c r="E663" s="169"/>
      <c r="F663" s="162"/>
      <c r="G663" s="154"/>
      <c r="H663" s="154"/>
      <c r="I663" s="154"/>
      <c r="J663" s="154"/>
      <c r="K663" s="154"/>
      <c r="L663" s="154"/>
      <c r="M663" s="154"/>
      <c r="N663" s="154"/>
      <c r="O663" s="154"/>
    </row>
    <row r="664" ht="27.6" spans="1:15">
      <c r="A664" s="167"/>
      <c r="B664" s="56" t="s">
        <v>588</v>
      </c>
      <c r="C664" s="169">
        <v>2</v>
      </c>
      <c r="D664" s="48" t="s">
        <v>142</v>
      </c>
      <c r="E664" s="169">
        <f>5*4.75*1900</f>
        <v>45125</v>
      </c>
      <c r="F664" s="162">
        <f>E664*C664</f>
        <v>90250</v>
      </c>
      <c r="G664" s="154"/>
      <c r="H664" s="154"/>
      <c r="I664" s="154"/>
      <c r="J664" s="154"/>
      <c r="K664" s="154"/>
      <c r="L664" s="154"/>
      <c r="M664" s="154"/>
      <c r="N664" s="154"/>
      <c r="O664" s="154"/>
    </row>
    <row r="665" spans="1:15">
      <c r="A665" s="167"/>
      <c r="B665" s="168"/>
      <c r="C665" s="169"/>
      <c r="D665" s="48"/>
      <c r="E665" s="169"/>
      <c r="F665" s="162"/>
      <c r="G665" s="154"/>
      <c r="H665" s="154"/>
      <c r="I665" s="154"/>
      <c r="J665" s="154"/>
      <c r="K665" s="154"/>
      <c r="L665" s="154"/>
      <c r="M665" s="154"/>
      <c r="N665" s="154"/>
      <c r="O665" s="154"/>
    </row>
    <row r="666" ht="27.6" spans="1:15">
      <c r="A666" s="167"/>
      <c r="B666" s="56" t="s">
        <v>589</v>
      </c>
      <c r="C666" s="169">
        <v>1</v>
      </c>
      <c r="D666" s="48" t="s">
        <v>142</v>
      </c>
      <c r="E666" s="169">
        <f>5*6*1900</f>
        <v>57000</v>
      </c>
      <c r="F666" s="162">
        <f>E666*C666</f>
        <v>57000</v>
      </c>
      <c r="G666" s="154"/>
      <c r="H666" s="154"/>
      <c r="I666" s="154"/>
      <c r="J666" s="154"/>
      <c r="K666" s="154"/>
      <c r="L666" s="154"/>
      <c r="M666" s="154"/>
      <c r="N666" s="154"/>
      <c r="O666" s="154"/>
    </row>
    <row r="667" spans="1:15">
      <c r="A667" s="167"/>
      <c r="B667" s="168"/>
      <c r="C667" s="169"/>
      <c r="D667" s="48"/>
      <c r="E667" s="169"/>
      <c r="F667" s="162"/>
      <c r="G667" s="154"/>
      <c r="H667" s="154"/>
      <c r="I667" s="154"/>
      <c r="J667" s="154"/>
      <c r="K667" s="154"/>
      <c r="L667" s="154"/>
      <c r="M667" s="154"/>
      <c r="N667" s="154"/>
      <c r="O667" s="154"/>
    </row>
    <row r="668" ht="27.6" spans="1:15">
      <c r="A668" s="167"/>
      <c r="B668" s="56" t="s">
        <v>590</v>
      </c>
      <c r="C668" s="169">
        <v>2</v>
      </c>
      <c r="D668" s="48" t="s">
        <v>142</v>
      </c>
      <c r="E668" s="169">
        <f>5*4*1700</f>
        <v>34000</v>
      </c>
      <c r="F668" s="162">
        <f>E668*C668</f>
        <v>68000</v>
      </c>
      <c r="G668" s="154"/>
      <c r="H668" s="154"/>
      <c r="I668" s="154"/>
      <c r="J668" s="154"/>
      <c r="K668" s="154"/>
      <c r="L668" s="154"/>
      <c r="M668" s="154"/>
      <c r="N668" s="154"/>
      <c r="O668" s="154"/>
    </row>
    <row r="669" spans="1:15">
      <c r="A669" s="167"/>
      <c r="B669" s="168"/>
      <c r="C669" s="169"/>
      <c r="D669" s="48"/>
      <c r="E669" s="169"/>
      <c r="F669" s="162"/>
      <c r="G669" s="154"/>
      <c r="H669" s="154"/>
      <c r="I669" s="154"/>
      <c r="J669" s="154"/>
      <c r="K669" s="154"/>
      <c r="L669" s="154"/>
      <c r="M669" s="154"/>
      <c r="N669" s="154"/>
      <c r="O669" s="154"/>
    </row>
    <row r="670" ht="27.6" spans="1:15">
      <c r="A670" s="167"/>
      <c r="B670" s="56" t="s">
        <v>591</v>
      </c>
      <c r="C670" s="169">
        <v>2</v>
      </c>
      <c r="D670" s="48" t="s">
        <v>142</v>
      </c>
      <c r="E670" s="169">
        <f>2.5*3*1700</f>
        <v>12750</v>
      </c>
      <c r="F670" s="162">
        <f>E670*C670</f>
        <v>25500</v>
      </c>
      <c r="G670" s="154"/>
      <c r="H670" s="154"/>
      <c r="I670" s="154"/>
      <c r="J670" s="154"/>
      <c r="K670" s="154"/>
      <c r="L670" s="154"/>
      <c r="M670" s="154"/>
      <c r="N670" s="154"/>
      <c r="O670" s="154"/>
    </row>
    <row r="671" spans="1:15">
      <c r="A671" s="167"/>
      <c r="B671" s="168"/>
      <c r="C671" s="169"/>
      <c r="D671" s="48"/>
      <c r="E671" s="169"/>
      <c r="F671" s="162"/>
      <c r="G671" s="154"/>
      <c r="H671" s="154"/>
      <c r="I671" s="154"/>
      <c r="J671" s="154"/>
      <c r="K671" s="154"/>
      <c r="L671" s="154"/>
      <c r="M671" s="154"/>
      <c r="N671" s="154"/>
      <c r="O671" s="154"/>
    </row>
    <row r="672" spans="1:15">
      <c r="A672" s="167"/>
      <c r="B672" s="168"/>
      <c r="C672" s="169"/>
      <c r="D672" s="48"/>
      <c r="E672" s="169"/>
      <c r="F672" s="162"/>
      <c r="G672" s="154"/>
      <c r="H672" s="154"/>
      <c r="I672" s="154"/>
      <c r="J672" s="154"/>
      <c r="K672" s="154"/>
      <c r="L672" s="154"/>
      <c r="M672" s="154"/>
      <c r="N672" s="154"/>
      <c r="O672" s="154"/>
    </row>
    <row r="673" spans="1:15">
      <c r="A673" s="167"/>
      <c r="B673" s="168" t="s">
        <v>154</v>
      </c>
      <c r="C673" s="169"/>
      <c r="D673" s="48"/>
      <c r="E673" s="169"/>
      <c r="F673" s="162"/>
      <c r="G673" s="154"/>
      <c r="H673" s="154"/>
      <c r="I673" s="154"/>
      <c r="J673" s="154"/>
      <c r="K673" s="154"/>
      <c r="L673" s="154"/>
      <c r="M673" s="154"/>
      <c r="N673" s="154"/>
      <c r="O673" s="154"/>
    </row>
    <row r="674" ht="42" customHeight="1" spans="1:15">
      <c r="A674" s="167"/>
      <c r="B674" s="88" t="s">
        <v>592</v>
      </c>
      <c r="C674" s="169">
        <v>1</v>
      </c>
      <c r="D674" s="48" t="s">
        <v>142</v>
      </c>
      <c r="E674" s="169">
        <f>35*8*1400</f>
        <v>392000</v>
      </c>
      <c r="F674" s="162">
        <f>E674*C674</f>
        <v>392000</v>
      </c>
      <c r="G674" s="154"/>
      <c r="H674" s="154"/>
      <c r="I674" s="154"/>
      <c r="J674" s="154"/>
      <c r="K674" s="154"/>
      <c r="L674" s="154"/>
      <c r="M674" s="154"/>
      <c r="N674" s="154"/>
      <c r="O674" s="154"/>
    </row>
    <row r="675" spans="1:15">
      <c r="A675" s="167"/>
      <c r="B675" s="171"/>
      <c r="C675" s="149"/>
      <c r="D675" s="15"/>
      <c r="E675" s="149"/>
      <c r="F675" s="162"/>
      <c r="G675" s="154"/>
      <c r="H675" s="154"/>
      <c r="I675" s="154"/>
      <c r="J675" s="154"/>
      <c r="K675" s="154"/>
      <c r="L675" s="154"/>
      <c r="M675" s="154"/>
      <c r="N675" s="154"/>
      <c r="O675" s="154"/>
    </row>
    <row r="676" spans="1:15">
      <c r="A676" s="167"/>
      <c r="B676" s="171"/>
      <c r="C676" s="149"/>
      <c r="D676" s="15"/>
      <c r="E676" s="149"/>
      <c r="F676" s="162"/>
      <c r="G676" s="154"/>
      <c r="H676" s="154"/>
      <c r="I676" s="154"/>
      <c r="J676" s="154"/>
      <c r="K676" s="154"/>
      <c r="L676" s="154"/>
      <c r="M676" s="154"/>
      <c r="N676" s="154"/>
      <c r="O676" s="154"/>
    </row>
    <row r="677" spans="1:15">
      <c r="A677" s="167"/>
      <c r="B677" s="171"/>
      <c r="C677" s="149"/>
      <c r="D677" s="15"/>
      <c r="E677" s="149"/>
      <c r="F677" s="162"/>
      <c r="G677" s="154"/>
      <c r="H677" s="154"/>
      <c r="I677" s="154"/>
      <c r="J677" s="154"/>
      <c r="K677" s="154"/>
      <c r="L677" s="154"/>
      <c r="M677" s="154"/>
      <c r="N677" s="154"/>
      <c r="O677" s="154"/>
    </row>
    <row r="678" spans="1:15">
      <c r="A678" s="167"/>
      <c r="B678" s="171"/>
      <c r="C678" s="149"/>
      <c r="D678" s="15"/>
      <c r="E678" s="149"/>
      <c r="F678" s="162"/>
      <c r="G678" s="154"/>
      <c r="H678" s="154"/>
      <c r="I678" s="154"/>
      <c r="J678" s="154"/>
      <c r="K678" s="154"/>
      <c r="L678" s="154"/>
      <c r="M678" s="154"/>
      <c r="N678" s="154"/>
      <c r="O678" s="154"/>
    </row>
    <row r="679" spans="1:15">
      <c r="A679" s="167"/>
      <c r="B679" s="171"/>
      <c r="C679" s="149"/>
      <c r="D679" s="15"/>
      <c r="E679" s="149"/>
      <c r="F679" s="162"/>
      <c r="G679" s="154"/>
      <c r="H679" s="154"/>
      <c r="I679" s="154"/>
      <c r="J679" s="154"/>
      <c r="K679" s="154"/>
      <c r="L679" s="154"/>
      <c r="M679" s="154"/>
      <c r="N679" s="154"/>
      <c r="O679" s="154"/>
    </row>
    <row r="680" spans="1:15">
      <c r="A680" s="167"/>
      <c r="B680" s="171"/>
      <c r="C680" s="149"/>
      <c r="D680" s="15"/>
      <c r="E680" s="149"/>
      <c r="F680" s="162"/>
      <c r="G680" s="154"/>
      <c r="H680" s="154"/>
      <c r="I680" s="154"/>
      <c r="J680" s="154"/>
      <c r="K680" s="154"/>
      <c r="L680" s="154"/>
      <c r="M680" s="154"/>
      <c r="N680" s="154"/>
      <c r="O680" s="154"/>
    </row>
    <row r="681" spans="1:15">
      <c r="A681" s="167"/>
      <c r="B681" s="171"/>
      <c r="C681" s="149"/>
      <c r="D681" s="15"/>
      <c r="E681" s="149"/>
      <c r="F681" s="162"/>
      <c r="G681" s="154"/>
      <c r="H681" s="154"/>
      <c r="I681" s="154"/>
      <c r="J681" s="154"/>
      <c r="K681" s="154"/>
      <c r="L681" s="154"/>
      <c r="M681" s="154"/>
      <c r="N681" s="154"/>
      <c r="O681" s="154"/>
    </row>
    <row r="682" spans="1:15">
      <c r="A682" s="167"/>
      <c r="B682" s="171"/>
      <c r="C682" s="149"/>
      <c r="D682" s="15"/>
      <c r="E682" s="149"/>
      <c r="F682" s="162"/>
      <c r="G682" s="154"/>
      <c r="H682" s="154"/>
      <c r="I682" s="154"/>
      <c r="J682" s="154"/>
      <c r="K682" s="154"/>
      <c r="L682" s="154"/>
      <c r="M682" s="154"/>
      <c r="N682" s="154"/>
      <c r="O682" s="154"/>
    </row>
    <row r="683" spans="1:15">
      <c r="A683" s="167"/>
      <c r="B683" s="171"/>
      <c r="C683" s="149"/>
      <c r="D683" s="15"/>
      <c r="E683" s="149"/>
      <c r="F683" s="162"/>
      <c r="G683" s="154"/>
      <c r="H683" s="154"/>
      <c r="I683" s="154"/>
      <c r="J683" s="154"/>
      <c r="K683" s="154"/>
      <c r="L683" s="154"/>
      <c r="M683" s="154"/>
      <c r="N683" s="154"/>
      <c r="O683" s="154"/>
    </row>
    <row r="684" spans="1:15">
      <c r="A684" s="167"/>
      <c r="B684" s="171"/>
      <c r="C684" s="149"/>
      <c r="D684" s="15"/>
      <c r="E684" s="149"/>
      <c r="F684" s="162"/>
      <c r="G684" s="154"/>
      <c r="H684" s="154"/>
      <c r="I684" s="154"/>
      <c r="J684" s="154"/>
      <c r="K684" s="154"/>
      <c r="L684" s="154"/>
      <c r="M684" s="154"/>
      <c r="N684" s="154"/>
      <c r="O684" s="154"/>
    </row>
    <row r="685" spans="1:15">
      <c r="A685" s="167"/>
      <c r="B685" s="171"/>
      <c r="C685" s="149"/>
      <c r="D685" s="15"/>
      <c r="E685" s="149"/>
      <c r="F685" s="162"/>
      <c r="G685" s="154"/>
      <c r="H685" s="154"/>
      <c r="I685" s="154"/>
      <c r="J685" s="154"/>
      <c r="K685" s="154"/>
      <c r="L685" s="154"/>
      <c r="M685" s="154"/>
      <c r="N685" s="154"/>
      <c r="O685" s="154"/>
    </row>
    <row r="686" spans="1:15">
      <c r="A686" s="167"/>
      <c r="B686" s="171"/>
      <c r="C686" s="149"/>
      <c r="D686" s="15"/>
      <c r="E686" s="149"/>
      <c r="F686" s="162"/>
      <c r="G686" s="154"/>
      <c r="H686" s="154"/>
      <c r="I686" s="154"/>
      <c r="J686" s="154"/>
      <c r="K686" s="154"/>
      <c r="L686" s="154"/>
      <c r="M686" s="154"/>
      <c r="N686" s="154"/>
      <c r="O686" s="154"/>
    </row>
    <row r="687" spans="1:15">
      <c r="A687" s="29"/>
      <c r="B687" s="30"/>
      <c r="C687" s="149"/>
      <c r="D687" s="15"/>
      <c r="E687" s="149"/>
      <c r="F687" s="162"/>
      <c r="G687" s="154"/>
      <c r="H687" s="154"/>
      <c r="I687" s="154"/>
      <c r="J687" s="154"/>
      <c r="K687" s="154"/>
      <c r="L687" s="154"/>
      <c r="M687" s="154"/>
      <c r="N687" s="154"/>
      <c r="O687" s="154"/>
    </row>
    <row r="688" ht="14.55" spans="1:15">
      <c r="A688" s="29"/>
      <c r="B688" s="172" t="s">
        <v>593</v>
      </c>
      <c r="C688" s="149"/>
      <c r="D688" s="15"/>
      <c r="E688" s="149"/>
      <c r="F688" s="163">
        <f>SUM(F648:F687)</f>
        <v>1804382</v>
      </c>
      <c r="G688" s="164"/>
      <c r="H688" s="164"/>
      <c r="I688" s="164"/>
      <c r="J688" s="164"/>
      <c r="K688" s="164"/>
      <c r="L688" s="164"/>
      <c r="M688" s="164"/>
      <c r="N688" s="164"/>
      <c r="O688" s="164"/>
    </row>
    <row r="689" ht="14.55" spans="1:15">
      <c r="A689" s="29"/>
      <c r="B689" s="30"/>
      <c r="C689" s="149"/>
      <c r="D689" s="15"/>
      <c r="E689" s="149"/>
      <c r="F689" s="165"/>
      <c r="G689" s="154"/>
      <c r="H689" s="154"/>
      <c r="I689" s="154"/>
      <c r="J689" s="154"/>
      <c r="K689" s="154"/>
      <c r="L689" s="154"/>
      <c r="M689" s="154"/>
      <c r="N689" s="154"/>
      <c r="O689" s="154"/>
    </row>
    <row r="690" spans="1:15">
      <c r="A690" s="29"/>
      <c r="B690" s="30"/>
      <c r="C690" s="149"/>
      <c r="D690" s="15"/>
      <c r="E690" s="149"/>
      <c r="F690" s="153"/>
      <c r="G690" s="154"/>
      <c r="H690" s="154"/>
      <c r="I690" s="154"/>
      <c r="J690" s="154"/>
      <c r="K690" s="154"/>
      <c r="L690" s="154"/>
      <c r="M690" s="154"/>
      <c r="N690" s="154"/>
      <c r="O690" s="154"/>
    </row>
    <row r="691" spans="1:15">
      <c r="A691" s="29"/>
      <c r="B691" s="173" t="s">
        <v>594</v>
      </c>
      <c r="C691" s="169"/>
      <c r="D691" s="48"/>
      <c r="E691" s="169"/>
      <c r="F691" s="153"/>
      <c r="G691" s="154"/>
      <c r="H691" s="154"/>
      <c r="I691" s="154"/>
      <c r="J691" s="154"/>
      <c r="K691" s="154"/>
      <c r="L691" s="154"/>
      <c r="M691" s="154"/>
      <c r="N691" s="154"/>
      <c r="O691" s="154"/>
    </row>
    <row r="692" spans="1:15">
      <c r="A692" s="29"/>
      <c r="B692" s="99"/>
      <c r="C692" s="169"/>
      <c r="D692" s="48"/>
      <c r="E692" s="169"/>
      <c r="F692" s="153"/>
      <c r="G692" s="154"/>
      <c r="H692" s="154"/>
      <c r="I692" s="154"/>
      <c r="J692" s="154"/>
      <c r="K692" s="154"/>
      <c r="L692" s="154"/>
      <c r="M692" s="154"/>
      <c r="N692" s="154"/>
      <c r="O692" s="154"/>
    </row>
    <row r="693" spans="1:15">
      <c r="A693" s="29"/>
      <c r="B693" s="123" t="s">
        <v>132</v>
      </c>
      <c r="C693" s="169"/>
      <c r="D693" s="48"/>
      <c r="E693" s="169"/>
      <c r="F693" s="153"/>
      <c r="G693" s="154"/>
      <c r="H693" s="154"/>
      <c r="I693" s="154"/>
      <c r="J693" s="154"/>
      <c r="K693" s="154"/>
      <c r="L693" s="154"/>
      <c r="M693" s="154"/>
      <c r="N693" s="154"/>
      <c r="O693" s="154"/>
    </row>
    <row r="694" ht="55.2" spans="1:15">
      <c r="A694" s="29"/>
      <c r="B694" s="125" t="s">
        <v>133</v>
      </c>
      <c r="C694" s="169">
        <v>45</v>
      </c>
      <c r="D694" s="48" t="s">
        <v>81</v>
      </c>
      <c r="E694" s="169">
        <f>9800/3.2</f>
        <v>3062.5</v>
      </c>
      <c r="F694" s="153">
        <f>E694*C694</f>
        <v>137812.5</v>
      </c>
      <c r="G694" s="154"/>
      <c r="H694" s="154"/>
      <c r="I694" s="154"/>
      <c r="J694" s="154"/>
      <c r="K694" s="154"/>
      <c r="L694" s="154"/>
      <c r="M694" s="154"/>
      <c r="N694" s="154"/>
      <c r="O694" s="154"/>
    </row>
    <row r="695" spans="1:15">
      <c r="A695" s="29"/>
      <c r="B695" s="99"/>
      <c r="C695" s="169"/>
      <c r="D695" s="48"/>
      <c r="E695" s="169"/>
      <c r="F695" s="153"/>
      <c r="G695" s="154"/>
      <c r="H695" s="154"/>
      <c r="I695" s="154"/>
      <c r="J695" s="154"/>
      <c r="K695" s="154"/>
      <c r="L695" s="154"/>
      <c r="M695" s="154"/>
      <c r="N695" s="154"/>
      <c r="O695" s="154"/>
    </row>
    <row r="696" spans="1:15">
      <c r="A696" s="29"/>
      <c r="B696" s="99"/>
      <c r="C696" s="169"/>
      <c r="D696" s="48"/>
      <c r="E696" s="169"/>
      <c r="F696" s="153"/>
      <c r="G696" s="154"/>
      <c r="H696" s="154"/>
      <c r="I696" s="154"/>
      <c r="J696" s="154"/>
      <c r="K696" s="154"/>
      <c r="L696" s="154"/>
      <c r="M696" s="154"/>
      <c r="N696" s="154"/>
      <c r="O696" s="154"/>
    </row>
    <row r="697" spans="1:15">
      <c r="A697" s="29"/>
      <c r="B697" s="123" t="s">
        <v>134</v>
      </c>
      <c r="C697" s="169"/>
      <c r="D697" s="48"/>
      <c r="E697" s="169"/>
      <c r="F697" s="153"/>
      <c r="G697" s="154"/>
      <c r="H697" s="154"/>
      <c r="I697" s="154"/>
      <c r="J697" s="154"/>
      <c r="K697" s="154"/>
      <c r="L697" s="154"/>
      <c r="M697" s="154"/>
      <c r="N697" s="154"/>
      <c r="O697" s="154"/>
    </row>
    <row r="698" ht="41.4" spans="1:15">
      <c r="A698" s="29"/>
      <c r="B698" s="125" t="s">
        <v>135</v>
      </c>
      <c r="C698" s="169">
        <v>1</v>
      </c>
      <c r="D698" s="48" t="s">
        <v>136</v>
      </c>
      <c r="E698" s="169">
        <f>38.58*9*180</f>
        <v>62499.6</v>
      </c>
      <c r="F698" s="162">
        <f>E698*C698</f>
        <v>62499.6</v>
      </c>
      <c r="G698" s="154"/>
      <c r="H698" s="154"/>
      <c r="I698" s="154"/>
      <c r="J698" s="154"/>
      <c r="K698" s="154"/>
      <c r="L698" s="154"/>
      <c r="M698" s="154"/>
      <c r="N698" s="154"/>
      <c r="O698" s="154"/>
    </row>
    <row r="699" spans="1:15">
      <c r="A699" s="29"/>
      <c r="B699" s="99"/>
      <c r="C699" s="169"/>
      <c r="D699" s="48"/>
      <c r="E699" s="169"/>
      <c r="F699" s="153"/>
      <c r="G699" s="154"/>
      <c r="H699" s="154"/>
      <c r="I699" s="154"/>
      <c r="J699" s="154"/>
      <c r="K699" s="154"/>
      <c r="L699" s="154"/>
      <c r="M699" s="154"/>
      <c r="N699" s="154"/>
      <c r="O699" s="154"/>
    </row>
    <row r="700" ht="41.4" spans="1:15">
      <c r="A700" s="29"/>
      <c r="B700" s="125" t="s">
        <v>137</v>
      </c>
      <c r="C700" s="169">
        <v>1</v>
      </c>
      <c r="D700" s="48" t="s">
        <v>136</v>
      </c>
      <c r="E700" s="169">
        <f>38.58*13.75*180</f>
        <v>95485.5</v>
      </c>
      <c r="F700" s="162">
        <f>E700*C700</f>
        <v>95485.5</v>
      </c>
      <c r="G700" s="154"/>
      <c r="H700" s="154"/>
      <c r="I700" s="154"/>
      <c r="J700" s="154"/>
      <c r="K700" s="154"/>
      <c r="L700" s="154"/>
      <c r="M700" s="154"/>
      <c r="N700" s="154"/>
      <c r="O700" s="154"/>
    </row>
    <row r="701" spans="1:15">
      <c r="A701" s="29"/>
      <c r="B701" s="30"/>
      <c r="C701" s="149"/>
      <c r="D701" s="15"/>
      <c r="E701" s="149"/>
      <c r="F701" s="153"/>
      <c r="G701" s="154"/>
      <c r="H701" s="154"/>
      <c r="I701" s="154"/>
      <c r="J701" s="154"/>
      <c r="K701" s="154"/>
      <c r="L701" s="154"/>
      <c r="M701" s="154"/>
      <c r="N701" s="154"/>
      <c r="O701" s="154"/>
    </row>
    <row r="702" spans="1:15">
      <c r="A702" s="29"/>
      <c r="B702" s="30"/>
      <c r="C702" s="149"/>
      <c r="D702" s="15"/>
      <c r="E702" s="149"/>
      <c r="F702" s="153"/>
      <c r="G702" s="154"/>
      <c r="H702" s="154"/>
      <c r="I702" s="154"/>
      <c r="J702" s="154"/>
      <c r="K702" s="154"/>
      <c r="L702" s="154"/>
      <c r="M702" s="154"/>
      <c r="N702" s="154"/>
      <c r="O702" s="154"/>
    </row>
    <row r="703" spans="1:15">
      <c r="A703" s="29"/>
      <c r="B703" s="30"/>
      <c r="C703" s="149"/>
      <c r="D703" s="15"/>
      <c r="E703" s="149"/>
      <c r="F703" s="162"/>
      <c r="G703" s="154"/>
      <c r="H703" s="154"/>
      <c r="I703" s="154"/>
      <c r="J703" s="154"/>
      <c r="K703" s="154"/>
      <c r="L703" s="154"/>
      <c r="M703" s="154"/>
      <c r="N703" s="154"/>
      <c r="O703" s="154"/>
    </row>
    <row r="704" ht="14.55" spans="1:15">
      <c r="A704" s="29"/>
      <c r="B704" s="30"/>
      <c r="C704" s="149"/>
      <c r="D704" s="15"/>
      <c r="E704" s="149"/>
      <c r="F704" s="163">
        <f>SUM(F694:F703)</f>
        <v>295797.6</v>
      </c>
      <c r="G704" s="164"/>
      <c r="H704" s="164"/>
      <c r="I704" s="164"/>
      <c r="J704" s="164"/>
      <c r="K704" s="164"/>
      <c r="L704" s="164"/>
      <c r="M704" s="164"/>
      <c r="N704" s="164"/>
      <c r="O704" s="164"/>
    </row>
    <row r="705" ht="14.55" spans="1:15">
      <c r="A705" s="29"/>
      <c r="B705" s="30"/>
      <c r="C705" s="149"/>
      <c r="D705" s="15"/>
      <c r="E705" s="149"/>
      <c r="F705" s="165"/>
      <c r="G705" s="154"/>
      <c r="H705" s="154"/>
      <c r="I705" s="154"/>
      <c r="J705" s="154"/>
      <c r="K705" s="154"/>
      <c r="L705" s="154"/>
      <c r="M705" s="154"/>
      <c r="N705" s="154"/>
      <c r="O705" s="154"/>
    </row>
    <row r="706" spans="1:15">
      <c r="A706" s="29"/>
      <c r="B706" s="30"/>
      <c r="C706" s="149"/>
      <c r="D706" s="15"/>
      <c r="E706" s="149"/>
      <c r="F706" s="153"/>
      <c r="G706" s="154"/>
      <c r="H706" s="154"/>
      <c r="I706" s="154"/>
      <c r="J706" s="154"/>
      <c r="K706" s="154"/>
      <c r="L706" s="154"/>
      <c r="M706" s="154"/>
      <c r="N706" s="154"/>
      <c r="O706" s="154"/>
    </row>
    <row r="707" spans="1:15">
      <c r="A707" s="29"/>
      <c r="B707" s="30"/>
      <c r="C707" s="149"/>
      <c r="D707" s="15"/>
      <c r="E707" s="149"/>
      <c r="F707" s="153"/>
      <c r="G707" s="154"/>
      <c r="H707" s="154"/>
      <c r="I707" s="154"/>
      <c r="J707" s="154"/>
      <c r="K707" s="154"/>
      <c r="L707" s="154"/>
      <c r="M707" s="154"/>
      <c r="N707" s="154"/>
      <c r="O707" s="154"/>
    </row>
    <row r="708" spans="1:15">
      <c r="A708" s="29"/>
      <c r="B708" s="30"/>
      <c r="C708" s="149"/>
      <c r="D708" s="15"/>
      <c r="E708" s="149"/>
      <c r="F708" s="153"/>
      <c r="G708" s="154"/>
      <c r="H708" s="154"/>
      <c r="I708" s="154"/>
      <c r="J708" s="154"/>
      <c r="K708" s="154"/>
      <c r="L708" s="154"/>
      <c r="M708" s="154"/>
      <c r="N708" s="154"/>
      <c r="O708" s="154"/>
    </row>
    <row r="709" spans="1:15">
      <c r="A709" s="29"/>
      <c r="B709" s="30"/>
      <c r="C709" s="149"/>
      <c r="D709" s="15"/>
      <c r="E709" s="149"/>
      <c r="F709" s="153"/>
      <c r="G709" s="154"/>
      <c r="H709" s="154"/>
      <c r="I709" s="154"/>
      <c r="J709" s="154"/>
      <c r="K709" s="154"/>
      <c r="L709" s="154"/>
      <c r="M709" s="154"/>
      <c r="N709" s="154"/>
      <c r="O709" s="154"/>
    </row>
    <row r="710" spans="1:15">
      <c r="A710" s="29"/>
      <c r="B710" s="30"/>
      <c r="C710" s="149"/>
      <c r="D710" s="15"/>
      <c r="E710" s="149"/>
      <c r="F710" s="153"/>
      <c r="G710" s="154"/>
      <c r="H710" s="154"/>
      <c r="I710" s="154"/>
      <c r="J710" s="154"/>
      <c r="K710" s="154"/>
      <c r="L710" s="154"/>
      <c r="M710" s="154"/>
      <c r="N710" s="154"/>
      <c r="O710" s="154"/>
    </row>
    <row r="711" spans="1:15">
      <c r="A711" s="174"/>
      <c r="B711" s="175"/>
      <c r="C711" s="176"/>
      <c r="D711" s="177"/>
      <c r="E711" s="176"/>
      <c r="F711" s="178"/>
      <c r="G711" s="154"/>
      <c r="H711" s="154"/>
      <c r="I711" s="154"/>
      <c r="J711" s="154"/>
      <c r="K711" s="154"/>
      <c r="L711" s="154"/>
      <c r="M711" s="154"/>
      <c r="N711" s="154"/>
      <c r="O711" s="154"/>
    </row>
    <row r="712" spans="3:15">
      <c r="C712" s="154"/>
      <c r="E712" s="154"/>
      <c r="F712" s="154"/>
      <c r="G712" s="154"/>
      <c r="H712" s="154"/>
      <c r="I712" s="154"/>
      <c r="J712" s="154"/>
      <c r="K712" s="154"/>
      <c r="L712" s="154"/>
      <c r="M712" s="154"/>
      <c r="N712" s="154"/>
      <c r="O712" s="154"/>
    </row>
    <row r="713" spans="3:23">
      <c r="C713" s="154"/>
      <c r="E713" s="154"/>
      <c r="F713" s="154"/>
      <c r="G713" s="154"/>
      <c r="H713" s="154"/>
      <c r="I713" s="154"/>
      <c r="J713" s="154"/>
      <c r="K713" s="154"/>
      <c r="L713" s="154"/>
      <c r="M713" s="154"/>
      <c r="N713" s="154"/>
      <c r="O713" s="154"/>
      <c r="Q713" s="1">
        <f>SUM(Q407:Q712)</f>
        <v>33592.72</v>
      </c>
      <c r="S713" s="1">
        <f>SUM(S407:S712)</f>
        <v>0</v>
      </c>
      <c r="U713" s="1">
        <f>SUM(U407:U712)</f>
        <v>70000</v>
      </c>
      <c r="W713" s="1">
        <f>SUM(W407:W712)</f>
        <v>219200</v>
      </c>
    </row>
    <row r="714" spans="3:15">
      <c r="C714" s="154"/>
      <c r="E714" s="154"/>
      <c r="F714" s="154"/>
      <c r="G714" s="154"/>
      <c r="H714" s="154"/>
      <c r="I714" s="154"/>
      <c r="J714" s="154"/>
      <c r="K714" s="154"/>
      <c r="L714" s="154"/>
      <c r="M714" s="154"/>
      <c r="N714" s="154"/>
      <c r="O714" s="154"/>
    </row>
    <row r="715" spans="3:15">
      <c r="C715" s="154"/>
      <c r="E715" s="154"/>
      <c r="F715" s="154"/>
      <c r="G715" s="154"/>
      <c r="H715" s="154"/>
      <c r="I715" s="154"/>
      <c r="J715" s="154"/>
      <c r="K715" s="154"/>
      <c r="L715" s="154"/>
      <c r="M715" s="154"/>
      <c r="N715" s="154"/>
      <c r="O715" s="154"/>
    </row>
    <row r="716" spans="3:15">
      <c r="C716" s="154"/>
      <c r="E716" s="154"/>
      <c r="F716" s="154"/>
      <c r="G716" s="154"/>
      <c r="H716" s="154"/>
      <c r="I716" s="154"/>
      <c r="J716" s="154"/>
      <c r="K716" s="154"/>
      <c r="L716" s="154"/>
      <c r="M716" s="154"/>
      <c r="N716" s="154"/>
      <c r="O716" s="154"/>
    </row>
    <row r="717" spans="3:15">
      <c r="C717" s="154"/>
      <c r="E717" s="154"/>
      <c r="F717" s="154"/>
      <c r="G717" s="154"/>
      <c r="H717" s="154"/>
      <c r="I717" s="154"/>
      <c r="J717" s="154"/>
      <c r="K717" s="154"/>
      <c r="L717" s="154"/>
      <c r="M717" s="154"/>
      <c r="N717" s="154"/>
      <c r="O717" s="154"/>
    </row>
    <row r="718" spans="3:15">
      <c r="C718" s="154"/>
      <c r="E718" s="154"/>
      <c r="F718" s="154"/>
      <c r="G718" s="154"/>
      <c r="H718" s="154"/>
      <c r="I718" s="154"/>
      <c r="J718" s="154"/>
      <c r="K718" s="154"/>
      <c r="L718" s="154"/>
      <c r="M718" s="154"/>
      <c r="N718" s="154"/>
      <c r="O718" s="154"/>
    </row>
    <row r="719" spans="3:15">
      <c r="C719" s="154"/>
      <c r="E719" s="154"/>
      <c r="F719" s="154"/>
      <c r="G719" s="154"/>
      <c r="H719" s="154"/>
      <c r="I719" s="154"/>
      <c r="J719" s="154"/>
      <c r="K719" s="154"/>
      <c r="L719" s="154"/>
      <c r="M719" s="154"/>
      <c r="N719" s="154"/>
      <c r="O719" s="154"/>
    </row>
    <row r="720" spans="3:15">
      <c r="C720" s="154"/>
      <c r="E720" s="154"/>
      <c r="F720" s="154"/>
      <c r="G720" s="154"/>
      <c r="H720" s="154"/>
      <c r="I720" s="154"/>
      <c r="J720" s="154"/>
      <c r="K720" s="154"/>
      <c r="L720" s="154"/>
      <c r="M720" s="154"/>
      <c r="N720" s="154"/>
      <c r="O720" s="154"/>
    </row>
    <row r="721" spans="3:15">
      <c r="C721" s="154"/>
      <c r="E721" s="154"/>
      <c r="F721" s="154"/>
      <c r="G721" s="154"/>
      <c r="H721" s="154"/>
      <c r="I721" s="154"/>
      <c r="J721" s="154"/>
      <c r="K721" s="154"/>
      <c r="L721" s="154"/>
      <c r="M721" s="154"/>
      <c r="N721" s="154"/>
      <c r="O721" s="154"/>
    </row>
    <row r="722" spans="3:15">
      <c r="C722" s="154"/>
      <c r="E722" s="154"/>
      <c r="F722" s="154"/>
      <c r="G722" s="154"/>
      <c r="H722" s="154"/>
      <c r="I722" s="154"/>
      <c r="J722" s="154"/>
      <c r="K722" s="154"/>
      <c r="L722" s="154"/>
      <c r="M722" s="154"/>
      <c r="N722" s="154"/>
      <c r="O722" s="154"/>
    </row>
    <row r="723" spans="3:15">
      <c r="C723" s="154"/>
      <c r="E723" s="154"/>
      <c r="F723" s="154"/>
      <c r="G723" s="154"/>
      <c r="H723" s="154"/>
      <c r="I723" s="154"/>
      <c r="J723" s="154"/>
      <c r="K723" s="154"/>
      <c r="L723" s="154"/>
      <c r="M723" s="154"/>
      <c r="N723" s="154"/>
      <c r="O723" s="154"/>
    </row>
    <row r="724" spans="3:15">
      <c r="C724" s="154"/>
      <c r="E724" s="154"/>
      <c r="F724" s="154"/>
      <c r="G724" s="154"/>
      <c r="H724" s="154"/>
      <c r="I724" s="154"/>
      <c r="J724" s="154"/>
      <c r="K724" s="154"/>
      <c r="L724" s="154"/>
      <c r="M724" s="154"/>
      <c r="N724" s="154"/>
      <c r="O724" s="154"/>
    </row>
    <row r="725" spans="3:15">
      <c r="C725" s="154"/>
      <c r="E725" s="154"/>
      <c r="F725" s="154"/>
      <c r="G725" s="154"/>
      <c r="H725" s="154"/>
      <c r="I725" s="154"/>
      <c r="J725" s="154"/>
      <c r="K725" s="154"/>
      <c r="L725" s="154"/>
      <c r="M725" s="154"/>
      <c r="N725" s="154"/>
      <c r="O725" s="154"/>
    </row>
    <row r="726" spans="3:15">
      <c r="C726" s="154"/>
      <c r="E726" s="154"/>
      <c r="F726" s="154"/>
      <c r="G726" s="154"/>
      <c r="H726" s="154"/>
      <c r="I726" s="154"/>
      <c r="J726" s="154"/>
      <c r="K726" s="154"/>
      <c r="L726" s="154"/>
      <c r="M726" s="154"/>
      <c r="N726" s="154"/>
      <c r="O726" s="154"/>
    </row>
    <row r="727" spans="3:15">
      <c r="C727" s="154"/>
      <c r="E727" s="154"/>
      <c r="F727" s="154"/>
      <c r="G727" s="154"/>
      <c r="H727" s="154"/>
      <c r="I727" s="154"/>
      <c r="J727" s="154"/>
      <c r="K727" s="154"/>
      <c r="L727" s="154"/>
      <c r="M727" s="154"/>
      <c r="N727" s="154"/>
      <c r="O727" s="154"/>
    </row>
    <row r="728" spans="3:15">
      <c r="C728" s="154"/>
      <c r="E728" s="154"/>
      <c r="F728" s="154"/>
      <c r="G728" s="154"/>
      <c r="H728" s="154"/>
      <c r="I728" s="154"/>
      <c r="J728" s="154"/>
      <c r="K728" s="154"/>
      <c r="L728" s="154"/>
      <c r="M728" s="154"/>
      <c r="N728" s="154"/>
      <c r="O728" s="154"/>
    </row>
    <row r="729" spans="3:15">
      <c r="C729" s="154"/>
      <c r="E729" s="154"/>
      <c r="F729" s="154"/>
      <c r="G729" s="154"/>
      <c r="H729" s="154"/>
      <c r="I729" s="154"/>
      <c r="J729" s="154"/>
      <c r="K729" s="154"/>
      <c r="L729" s="154"/>
      <c r="M729" s="154"/>
      <c r="N729" s="154"/>
      <c r="O729" s="154"/>
    </row>
    <row r="730" spans="3:15">
      <c r="C730" s="154"/>
      <c r="E730" s="154"/>
      <c r="F730" s="154"/>
      <c r="G730" s="154"/>
      <c r="H730" s="154"/>
      <c r="I730" s="154"/>
      <c r="J730" s="154"/>
      <c r="K730" s="154"/>
      <c r="L730" s="154"/>
      <c r="M730" s="154"/>
      <c r="N730" s="154"/>
      <c r="O730" s="154"/>
    </row>
    <row r="731" spans="3:15">
      <c r="C731" s="154"/>
      <c r="E731" s="154"/>
      <c r="F731" s="154"/>
      <c r="G731" s="154"/>
      <c r="H731" s="154"/>
      <c r="I731" s="154"/>
      <c r="J731" s="154"/>
      <c r="K731" s="154"/>
      <c r="L731" s="154"/>
      <c r="M731" s="154"/>
      <c r="N731" s="154"/>
      <c r="O731" s="154"/>
    </row>
  </sheetData>
  <mergeCells count="6">
    <mergeCell ref="A1:F1"/>
    <mergeCell ref="P1:W1"/>
    <mergeCell ref="P2:Q2"/>
    <mergeCell ref="R2:S2"/>
    <mergeCell ref="T2:U2"/>
    <mergeCell ref="V2:W2"/>
  </mergeCells>
  <pageMargins left="0.45" right="0.45" top="0.5" bottom="0.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Valu frnt page</vt:lpstr>
      <vt:lpstr>BOQ </vt:lpstr>
      <vt:lpstr>Total Measurement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dcterms:created xsi:type="dcterms:W3CDTF">2013-04-05T09:21:00Z</dcterms:created>
  <cp:lastPrinted>2019-09-02T07:11:00Z</cp:lastPrinted>
  <dcterms:modified xsi:type="dcterms:W3CDTF">2024-06-11T23:11:01Z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040BE0DCD89F4436ACF06159609EA0D0_12</vt:lpwstr>
  </property>
  <property fmtid="{D5CDD505-2E9C-101B-9397-08002B2CF9AE}" pid="3" name="KSOProductBuildVer">
    <vt:lpwstr>1033-12.2.0.16909</vt:lpwstr>
  </property>
</Properties>
</file>