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635" windowHeight="7050"/>
  </bookViews>
  <sheets>
    <sheet name="BOQ" sheetId="11" r:id="rId1"/>
    <sheet name="Site Preparation" sheetId="1" r:id="rId2"/>
    <sheet name="Excavation" sheetId="2" r:id="rId3"/>
    <sheet name="Substructure" sheetId="3" r:id="rId4"/>
    <sheet name="Superstructure" sheetId="4" r:id="rId5"/>
    <sheet name="Roof" sheetId="5" r:id="rId6"/>
    <sheet name="Plumbing" sheetId="10" r:id="rId7"/>
    <sheet name="Electrical" sheetId="9" r:id="rId8"/>
    <sheet name="Doors and Windows" sheetId="12" r:id="rId9"/>
    <sheet name="Finishes" sheetId="6" r:id="rId10"/>
    <sheet name="Bar Schedule" sheetId="8" r:id="rId11"/>
  </sheets>
  <externalReferences>
    <externalReference r:id="rId12"/>
  </externalReferences>
  <definedNames>
    <definedName name="_xlnm._FilterDatabase" localSheetId="10" hidden="1">'Bar Schedule'!$E$1:$E$64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Dilshan Jayawickrama</author>
  </authors>
  <commentList>
    <comment ref="J11" authorId="0">
      <text>
        <r>
          <rPr>
            <sz val="11"/>
            <color rgb="FF000000"/>
            <rFont val="Aptos Narrow"/>
            <scheme val="minor"/>
            <charset val="0"/>
          </rPr>
          <t>Dilshan Jayawickrama:
Hooks = 10d</t>
        </r>
      </text>
    </comment>
  </commentList>
</comments>
</file>

<file path=xl/sharedStrings.xml><?xml version="1.0" encoding="utf-8"?>
<sst xmlns="http://schemas.openxmlformats.org/spreadsheetml/2006/main" count="479" uniqueCount="254">
  <si>
    <t>Bill of Quantities for Proposed Single Storey House Construction</t>
  </si>
  <si>
    <t>Item No.</t>
  </si>
  <si>
    <t>Description</t>
  </si>
  <si>
    <t>Unit</t>
  </si>
  <si>
    <t>Quantity</t>
  </si>
  <si>
    <t>Rate</t>
  </si>
  <si>
    <t>Amount</t>
  </si>
  <si>
    <t>Preliminaries</t>
  </si>
  <si>
    <t>Site clearance: Removal of vegetation, undergrowth, bushes, hedges, trees, or similar obstructions, including grubbing roots and disposing of debris off-site to create a level, workable area.</t>
  </si>
  <si>
    <t>m²</t>
  </si>
  <si>
    <t>A</t>
  </si>
  <si>
    <t>Subtotal for Preliminaries and Site Preparation</t>
  </si>
  <si>
    <t>Excavation and Earthworks</t>
  </si>
  <si>
    <t>Trench excavation for foundations: Excavation of trenches to the required depth (1.15 m) for foundation walls, including removal of spoil, shoring if needed, and keeping excavations free of water.</t>
  </si>
  <si>
    <t>m³</t>
  </si>
  <si>
    <t>B</t>
  </si>
  <si>
    <t>Subtotal for Excavation and Earthworks</t>
  </si>
  <si>
    <t>Substructure</t>
  </si>
  <si>
    <t>Ground improvement under foundations: Filling and compacting with approved ABC (Aggregate Base Course) or quarry dust in layers to provide a stable base and prevent settlement</t>
  </si>
  <si>
    <t>Plain cement concrete (PCC) as leveling screed: A thin layer (minimum 100 mm thick) of unreinforced concrete under foundation walls to create a clean, level surface for subsequent works</t>
  </si>
  <si>
    <t>Reinforced cement concrete (RCC) for column footings: Poured concrete (assumed grade 25 or equivalent) with reinforcement for isolated column bases to distribute loads to the soil</t>
  </si>
  <si>
    <t>Reinforced cement concrete (RCC) for column shafts: Poured concrete for vertical column sections from footings to tie beam level.</t>
  </si>
  <si>
    <t>Formwork for column footings: Temporary timber or steel molds to shape and support concrete during pouring, including propping, striking, and cleaning.</t>
  </si>
  <si>
    <t>Formwork for column shafts: Similar temporary molds for column shafts.</t>
  </si>
  <si>
    <t>Random rubble masonry (RRM) works: Masonry using irregular stones bonded with mortar for foundation walls below ground level, providing structural support.</t>
  </si>
  <si>
    <t>Steel reinforcement bars for column footings: High-yield deformed bars (T12) bent, fixed, and lapped as per drawings to reinforce concrete against tension.</t>
  </si>
  <si>
    <t>kg</t>
  </si>
  <si>
    <t>Steel reinforcement bars for column shafts: High-yield deformed bars (T10) for substructure shafts.</t>
  </si>
  <si>
    <t>C</t>
  </si>
  <si>
    <t>Subtotal for Substructure</t>
  </si>
  <si>
    <t>Superstructure</t>
  </si>
  <si>
    <t>Reinforced cement concrete (RCC) for column shafts: Poured concrete for vertical columns from tie beam to roof level, categorized by height variations (C1 to C6).</t>
  </si>
  <si>
    <t>Reinforced cement concrete (RCC) for tie beams: Horizontal beams connecting columns at ground level for stability.</t>
  </si>
  <si>
    <t>Reinforced cement concrete (RCC) for ground floor slab: Suspended or ground-bearing slab (100 mm thick) to form the floor base.</t>
  </si>
  <si>
    <t>Random rubble masonry (RRM) works: Stone masonry for lower wall sections or plinth.</t>
  </si>
  <si>
    <t>External wall blockwork: Hollow or solid concrete blocks (assumed 200 mm thick) in cement mortar for outer walls, with deductions for openings (windows, doors, etc.).</t>
  </si>
  <si>
    <t>Internal wall blockwork: Similar block masonry for partitions inside the building, with deductions for doors</t>
  </si>
  <si>
    <t>Steel reinforcement bars for column shafts: High-yield deformed bars (T12) for superstructure columns (C1 to C6).</t>
  </si>
  <si>
    <t>Steel reinforcement bars for tie beams: High-yield deformed bars (T12) for beams</t>
  </si>
  <si>
    <t>Mild steel Reinforcements for stirrups (T6) for beams and Columns</t>
  </si>
  <si>
    <t>D</t>
  </si>
  <si>
    <t>Subtotal for Superstructure</t>
  </si>
  <si>
    <t>Roof</t>
  </si>
  <si>
    <t>Roof covering: Sheet roofing (e.g., corrugated zinc or tiles) laid over purlins, including fixings and overlaps for weatherproofing.</t>
  </si>
  <si>
    <t>Rafters: Timber or steel members (c/c spacing 900 mm) sloping to support purlins and roof load.</t>
  </si>
  <si>
    <t>m</t>
  </si>
  <si>
    <t>Purlins: Horizontal members (c/c spacing 1200 mm) fixed to rafters to support roof covering.</t>
  </si>
  <si>
    <t>Wall plate (50x50 mm): Timber plate fixed to wall tops to anchor rafters.</t>
  </si>
  <si>
    <t>Gutters: Supply and installation of PVC or galvanized steel gutters (150 mm wide, rectangular profile) fixed to roof eaves with brackets, including joints, end caps, and fittings to collect and channel rainwater from the roof to downpipes, including Facia Board</t>
  </si>
  <si>
    <t>Downpipes: Supply and installation of PVC or galvanized steel downpipes (75 mm diameter), including fixings to walls, elbows, and connections to drainage system or soakaway, to convey rainwater from gutters to ground level or disposal point.</t>
  </si>
  <si>
    <t>E</t>
  </si>
  <si>
    <t>Subtotal for Roof</t>
  </si>
  <si>
    <t>Plumbing and Sanitary Installation</t>
  </si>
  <si>
    <t>20 mm inlet pipe (Sloan Brand): PVC or equivalent piping for main water entry, including joints and supports.</t>
  </si>
  <si>
    <t>Water meter: Device for measuring water consumption, installed in the inlet line.</t>
  </si>
  <si>
    <t>No</t>
  </si>
  <si>
    <t>50 mm outlet pipe (Sloan Brand): Larger piping for discharge or main distribution.</t>
  </si>
  <si>
    <t>25 mm distribution pipes (Sloan Brand): Branch pipes for supplying fixtures.</t>
  </si>
  <si>
    <t>Pipe fittings (Sloan Brand, assorted sizes): Elbows, tees, reducers, etc., for connecting pipes.</t>
  </si>
  <si>
    <t>Item</t>
  </si>
  <si>
    <t>Valves and controls: Including gate valves (for isolation), ball valves (for quick shut-off), and non-return valves (to prevent backflow).</t>
  </si>
  <si>
    <t>Kitchen ware plumbing: Connections for sink, taps, and drainage.</t>
  </si>
  <si>
    <t xml:space="preserve">Set </t>
  </si>
  <si>
    <t>Bathroom plumbing: Connections for WC, basin, shower, including traps and vents.</t>
  </si>
  <si>
    <t>Bathroom Fittings</t>
  </si>
  <si>
    <t>F</t>
  </si>
  <si>
    <t>Subtotal for Plumbing</t>
  </si>
  <si>
    <t>Drainage System</t>
  </si>
  <si>
    <t>Septic Tank: Construction and installation of 5 m³ RCC septic tank with baffles, inlet/outlet pipes, and backfilling.</t>
  </si>
  <si>
    <t>Construction of soakage pit (2 m dia. × 2 m deep) with coarse aggregate filling, permeable lining, cover slab, and vent pipe</t>
  </si>
  <si>
    <t>Drainage Pipes: Supply and installation of 110 mm dia. UPVC pipes with bends, junctions, supports, and laid to proper gradient for wastewater flow to septic tank.</t>
  </si>
  <si>
    <t>G</t>
  </si>
  <si>
    <t>Subtotal for Drainage System</t>
  </si>
  <si>
    <t>Electrical Installations</t>
  </si>
  <si>
    <t>Bedrooms electrical circuits: Two recessed (canless) light fittings with one ceiling fan, controlled by one 2-gang and one 1-gang switch; plus two 13A sockets and one 15A socket.</t>
  </si>
  <si>
    <t>Living area: Six recessed lights with two fans (3 x 2-gang + 2 x 1-gang switches); four 13A sockets.</t>
  </si>
  <si>
    <t>Dining area: Two recessed lights with one fan (1 x 2-gang switch); two wall lights (2-gang switch); one recessed light (1-gang switch).</t>
  </si>
  <si>
    <t>External lightings: Three wall-hanging lights (2-gang + 1-gang switches).</t>
  </si>
  <si>
    <t>Kitchen wiring: Circuits for appliances and lighting.</t>
  </si>
  <si>
    <t>Bathroom: One recessed light, one mirror light (2-gang switch); one 13A and one 15A socket.</t>
  </si>
  <si>
    <t>DB termination: Distribution board for circuit protection and termination.</t>
  </si>
  <si>
    <t>H</t>
  </si>
  <si>
    <t>Subtotal for Electrical Installation</t>
  </si>
  <si>
    <t>Finishes</t>
  </si>
  <si>
    <t>Floor finishes: 2x2 Ceramic tiles or screed over slab for durable flooring.</t>
  </si>
  <si>
    <t>Bathroom Floor finishes: 2x2 Ceramic tiles or screed over slab for durable flooring.</t>
  </si>
  <si>
    <t>Bathroom wall finishes: 2x2 Ceramic tiles</t>
  </si>
  <si>
    <t>Wall plastering/rendering: Cement-sand mix applied to blockwork for smooth finish including reveals.</t>
  </si>
  <si>
    <t>Internal</t>
  </si>
  <si>
    <t>External</t>
  </si>
  <si>
    <t>Painting: Emulsion or weatherproof paint on walls and ceilings including reveals.</t>
  </si>
  <si>
    <t>I</t>
  </si>
  <si>
    <t>Subtotal for Finishes</t>
  </si>
  <si>
    <t>Waterproofing</t>
  </si>
  <si>
    <t>Applying waterproofing system to bathroom floors and wet wall areas, including surface preparation, and 24-hour water test, complete as specified.</t>
  </si>
  <si>
    <t>m2</t>
  </si>
  <si>
    <t>J</t>
  </si>
  <si>
    <t>Subtotal for Waterproofing</t>
  </si>
  <si>
    <t>Doors and Windows</t>
  </si>
  <si>
    <t>Doors (Fixing Only)</t>
  </si>
  <si>
    <t>D1 - 4'0" x 6'5" sized Decorated Timber Panel Door with Louvers</t>
  </si>
  <si>
    <t>D2 - 4'0" x 6'5" Glazed Door with Louvers</t>
  </si>
  <si>
    <t>D3 - 3'0" x 7'0" Panelled Door</t>
  </si>
  <si>
    <t>D4 - 2'6" x 6'6" P.V.C. Door</t>
  </si>
  <si>
    <t>Windows (Fixing Only)</t>
  </si>
  <si>
    <t>W1 - 6'0" x 5'6" Timber Framed Glazed Window with Louvers</t>
  </si>
  <si>
    <t>W2 - 6'0" x 5'6" Timber Framed Glazed Window with Louvers</t>
  </si>
  <si>
    <t>W3 - 6'0" x 5'6" Timber Framed Glazed Window with Louvers</t>
  </si>
  <si>
    <t>W4 - 6'0" x 5'6" Timber Framed Glazed Window with Louvers</t>
  </si>
  <si>
    <t>FL - 2'0" x 3'0" Timber Framed Glazed Fanlight</t>
  </si>
  <si>
    <t>FW - 6'0" x 5'6" French Window with Louvers</t>
  </si>
  <si>
    <t>K</t>
  </si>
  <si>
    <t>Subtotal for Doors &amp; Windows</t>
  </si>
  <si>
    <t>Total BOQ Amount (LKR)</t>
  </si>
  <si>
    <t xml:space="preserve"> Item No </t>
  </si>
  <si>
    <t xml:space="preserve"> Description </t>
  </si>
  <si>
    <t>Times (nr)</t>
  </si>
  <si>
    <t>Length (m)</t>
  </si>
  <si>
    <t>Breadth (m)</t>
  </si>
  <si>
    <t>Height (m)</t>
  </si>
  <si>
    <t>Remarks</t>
  </si>
  <si>
    <t>ft</t>
  </si>
  <si>
    <t>Site preparation</t>
  </si>
  <si>
    <t>Site clearance, including removing vegetation, undergrowth, bushes, hedges, trees or the like</t>
  </si>
  <si>
    <t>Sq.m</t>
  </si>
  <si>
    <t>inch</t>
  </si>
  <si>
    <t>Excavation</t>
  </si>
  <si>
    <t>Trench Excavation for Foundation</t>
  </si>
  <si>
    <t>m3</t>
  </si>
  <si>
    <t>Ground Improvement</t>
  </si>
  <si>
    <t xml:space="preserve">Ground Improvement under foundation, fills with well compacted ABC/ Quarry Dust, </t>
  </si>
  <si>
    <t>Concrete Works</t>
  </si>
  <si>
    <t>Plain Cement Concrete (PCC) as a levelling screed under foundation walls. Minimum thickness: 100 mm</t>
  </si>
  <si>
    <t>RCC Concrete for Column Footings</t>
  </si>
  <si>
    <t>RCC Concrete for Column Shaft</t>
  </si>
  <si>
    <t>Formwork</t>
  </si>
  <si>
    <t>Formwork for Column Footings</t>
  </si>
  <si>
    <t>Formwork for Column Shaft</t>
  </si>
  <si>
    <t>Masonry Works</t>
  </si>
  <si>
    <t>RRM works</t>
  </si>
  <si>
    <t>Reinforcement</t>
  </si>
  <si>
    <t xml:space="preserve">steel R/F bars in the column footings </t>
  </si>
  <si>
    <t>Mt</t>
  </si>
  <si>
    <t>C1</t>
  </si>
  <si>
    <t>C2</t>
  </si>
  <si>
    <t>C3</t>
  </si>
  <si>
    <t>C4</t>
  </si>
  <si>
    <t>C5</t>
  </si>
  <si>
    <t>C6</t>
  </si>
  <si>
    <t>RCC Concrete for Tie Beams</t>
  </si>
  <si>
    <t>Ground Floor Slab</t>
  </si>
  <si>
    <t>External Wall - Block work</t>
  </si>
  <si>
    <t>LHS Blind wall</t>
  </si>
  <si>
    <t>RHS wall</t>
  </si>
  <si>
    <t>Ddt: W2</t>
  </si>
  <si>
    <t>Ddt: W3</t>
  </si>
  <si>
    <t>Rear wall</t>
  </si>
  <si>
    <t>Ddt: W1</t>
  </si>
  <si>
    <t>Ddt: FL</t>
  </si>
  <si>
    <t>Ddt: D3</t>
  </si>
  <si>
    <t>Front wall</t>
  </si>
  <si>
    <t>Ddt: FW</t>
  </si>
  <si>
    <t>Wall at Entrance</t>
  </si>
  <si>
    <t>Ddt: D1</t>
  </si>
  <si>
    <t>Wall at Entrance (Bedroom)</t>
  </si>
  <si>
    <t>Internal Wall - Block work</t>
  </si>
  <si>
    <t>Ddt: D4</t>
  </si>
  <si>
    <t>Roof cover</t>
  </si>
  <si>
    <t>Rafters (c/c gap- 900mm)</t>
  </si>
  <si>
    <t>Purlins (c/c gap- 1200mm)</t>
  </si>
  <si>
    <t>Wall plate (50x50 mm)</t>
  </si>
  <si>
    <t>Roof Gutters</t>
  </si>
  <si>
    <t>Down Pipes</t>
  </si>
  <si>
    <t>20mm Inlet Pipe (Slon Brand)</t>
  </si>
  <si>
    <t>Water Meter</t>
  </si>
  <si>
    <t>50mm Outlet Pipe (Slon Brand)</t>
  </si>
  <si>
    <t>25mm Distribution Pipes (Slon Brand)</t>
  </si>
  <si>
    <t>Pipe Fittings (Slon Brand, Assorted Sizes)</t>
  </si>
  <si>
    <t>Valves and Controls</t>
  </si>
  <si>
    <t>Gate Valve</t>
  </si>
  <si>
    <t>Ball Valve</t>
  </si>
  <si>
    <t>Non Return Valve</t>
  </si>
  <si>
    <t>Kitchen Ware Plumbing</t>
  </si>
  <si>
    <t xml:space="preserve">Bathroom Plumbing </t>
  </si>
  <si>
    <t>Electrical Circuits</t>
  </si>
  <si>
    <t>Bedrooms</t>
  </si>
  <si>
    <t>Two recessed (canless) light fittings with one ceiling fan, controlled by 01 nrf one way two gang switches and 01 nrf one way one gang switch</t>
  </si>
  <si>
    <t>Two 13A Socket Outlets and 15A Socket Outlet</t>
  </si>
  <si>
    <t>Living Area</t>
  </si>
  <si>
    <t>Six recessed (Canless) light fittings with two ceiling fans. controlled by 03 nrf one way two gang switches and 02 nrf one way one gang switch</t>
  </si>
  <si>
    <t>Two recessed (canless) light fittings with one ceiling fan, controlled by 01 nrf one way two gang switches.</t>
  </si>
  <si>
    <t>Dining Area</t>
  </si>
  <si>
    <t>Two wall light fittings controlled by two gang switch</t>
  </si>
  <si>
    <t xml:space="preserve">Four 13A Socket Outlets </t>
  </si>
  <si>
    <t>01 recessed (canless) light fitting controlled by one gang switch</t>
  </si>
  <si>
    <t>External Lightings</t>
  </si>
  <si>
    <t>Three External wall hanging lights controlled with two gang switch and one gang switch</t>
  </si>
  <si>
    <t>Kitchen Wiring</t>
  </si>
  <si>
    <t xml:space="preserve">Bathroom </t>
  </si>
  <si>
    <t>One recessed (canless) light fittings, one mirror light fitting with two gang switch</t>
  </si>
  <si>
    <t>1 nrf 13A Socket Outlet and 1 nrf 15A Socket Outlet</t>
  </si>
  <si>
    <t>DB Termination</t>
  </si>
  <si>
    <t>Doors</t>
  </si>
  <si>
    <t>nr</t>
  </si>
  <si>
    <t>Windows</t>
  </si>
  <si>
    <t>External wall plastering</t>
  </si>
  <si>
    <t>External reveal plastering</t>
  </si>
  <si>
    <t>Internal wall plastering</t>
  </si>
  <si>
    <t>Internal reveal plastering</t>
  </si>
  <si>
    <t>2 x 2 floor tiles</t>
  </si>
  <si>
    <t>2 x 2 bathroom floor tiles</t>
  </si>
  <si>
    <t>2 x 2 bathroom wall tiles</t>
  </si>
  <si>
    <t>Internal wall painting</t>
  </si>
  <si>
    <t>External wall painting</t>
  </si>
  <si>
    <t>BAR SCHEDULE</t>
  </si>
  <si>
    <t>NAME OF PROJECT :AUGEMENTATION OF GIRANDURUKOTTE TREATMENT PLANT, MECHANICAL AND ELECTRICAL WORKS</t>
  </si>
  <si>
    <t>TITLE :</t>
  </si>
  <si>
    <t>REINFORCEMENT</t>
  </si>
  <si>
    <t>SHEET NO      :</t>
  </si>
  <si>
    <t>T10</t>
  </si>
  <si>
    <t>DWG.No. :</t>
  </si>
  <si>
    <t>House Plan</t>
  </si>
  <si>
    <t>DATE                :</t>
  </si>
  <si>
    <t>28.08.2025</t>
  </si>
  <si>
    <t>T12</t>
  </si>
  <si>
    <t>Member</t>
  </si>
  <si>
    <t xml:space="preserve">Bar Mark </t>
  </si>
  <si>
    <t>Type &amp; Size</t>
  </si>
  <si>
    <t>No. of Members</t>
  </si>
  <si>
    <t>No of Each</t>
  </si>
  <si>
    <t>Total Number</t>
  </si>
  <si>
    <t>TOTAL LENGTH (mm)</t>
  </si>
  <si>
    <t>Length of Each Bar (m)</t>
  </si>
  <si>
    <t>Total Length (m)</t>
  </si>
  <si>
    <t xml:space="preserve">Unit Weight </t>
  </si>
  <si>
    <t>Weight (Kg)</t>
  </si>
  <si>
    <t>T16</t>
  </si>
  <si>
    <t>a</t>
  </si>
  <si>
    <t>b</t>
  </si>
  <si>
    <t>c</t>
  </si>
  <si>
    <t>d</t>
  </si>
  <si>
    <t>e</t>
  </si>
  <si>
    <t>f</t>
  </si>
  <si>
    <t>T20</t>
  </si>
  <si>
    <t>Column Footing</t>
  </si>
  <si>
    <t>T25</t>
  </si>
  <si>
    <t>Column Shaft</t>
  </si>
  <si>
    <t>T6</t>
  </si>
  <si>
    <t>T32</t>
  </si>
  <si>
    <t>Tie Beam</t>
  </si>
  <si>
    <t>Prepared By:</t>
  </si>
  <si>
    <t>Approved By:</t>
  </si>
  <si>
    <t>Need 73 bars exactly</t>
  </si>
  <si>
    <t>80 req</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</si>
</sst>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2" formatCode="_(&quot;$&quot;* #,##0_);_(&quot;$&quot;* \(#,##0\);_(&quot;$&quot;* &quot;-&quot;_);_(@_)"/>
    <numFmt numFmtId="43" formatCode="_(* #,##0.00_);_(* \(#,##0.00\);_(* &quot;-&quot;??_);_(@_)"/>
    <numFmt numFmtId="44" formatCode="_(&quot;$&quot;* #,##0.00_);_(&quot;$&quot;* \(#,##0.00\);_(&quot;$&quot;* &quot;-&quot;??_);_(@_)"/>
    <numFmt numFmtId="176" formatCode="_ * #,##0.00_ ;_ * \-#,##0.00_ ;_ * &quot;-&quot;??_ ;_ @_ "/>
    <numFmt numFmtId="177" formatCode="_ * #,##0_ ;_ * \-#,##0_ ;_ * &quot;-&quot;_ ;_ @_ "/>
    <numFmt numFmtId="178" formatCode="0.000"/>
    <numFmt numFmtId="179" formatCode="[$-409]d\-mmm\-yy;@"/>
    <numFmt numFmtId="180" formatCode="0.00_);[Red]\(0.00\)"/>
  </numFmts>
  <fonts count="37">
    <font>
      <sz val="11"/>
      <color theme="1"/>
      <name val="Aptos Narrow"/>
      <charset val="134"/>
      <scheme val="minor"/>
    </font>
    <font>
      <sz val="18"/>
      <color theme="1"/>
      <name val="Aptos Narrow"/>
      <charset val="134"/>
      <scheme val="minor"/>
    </font>
    <font>
      <sz val="11"/>
      <color theme="1"/>
      <name val="Times New Roman"/>
      <charset val="134"/>
    </font>
    <font>
      <sz val="12"/>
      <color theme="1"/>
      <name val="Times New Roman"/>
      <charset val="134"/>
    </font>
    <font>
      <b/>
      <sz val="18"/>
      <color theme="1"/>
      <name val="Calibri"/>
      <charset val="134"/>
    </font>
    <font>
      <b/>
      <u/>
      <sz val="24"/>
      <color theme="1"/>
      <name val="Times New Roman"/>
      <charset val="134"/>
    </font>
    <font>
      <sz val="14"/>
      <color theme="1"/>
      <name val="Calibri"/>
      <charset val="134"/>
    </font>
    <font>
      <sz val="24"/>
      <color theme="1"/>
      <name val="Times New Roman"/>
      <charset val="134"/>
    </font>
    <font>
      <sz val="12"/>
      <color theme="1"/>
      <name val="Calibri"/>
      <charset val="134"/>
    </font>
    <font>
      <sz val="11"/>
      <color theme="1"/>
      <name val="Calibri"/>
      <charset val="134"/>
    </font>
    <font>
      <b/>
      <sz val="11"/>
      <color theme="1"/>
      <name val="Calibri"/>
      <charset val="134"/>
    </font>
    <font>
      <sz val="11"/>
      <color theme="1"/>
      <name val="Calibri"/>
      <charset val="134"/>
    </font>
    <font>
      <sz val="11"/>
      <color rgb="FF000000"/>
      <name val="Calibri"/>
      <charset val="134"/>
    </font>
    <font>
      <b/>
      <sz val="14"/>
      <color theme="1"/>
      <name val="Calibri"/>
      <charset val="134"/>
    </font>
    <font>
      <sz val="11"/>
      <color rgb="FF000000"/>
      <name val="Calibri"/>
      <charset val="134"/>
    </font>
    <font>
      <b/>
      <sz val="11"/>
      <color rgb="FF000000"/>
      <name val="Calibr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1"/>
      <color rgb="FF000000"/>
      <name val="Aptos Narrow"/>
      <charset val="0"/>
      <scheme val="minor"/>
    </font>
  </fonts>
  <fills count="35">
    <fill>
      <patternFill patternType="none"/>
    </fill>
    <fill>
      <patternFill patternType="gray125"/>
    </fill>
    <fill>
      <patternFill patternType="solid">
        <fgColor theme="0" tint="-0.15"/>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rgb="FF000000"/>
      </left>
      <right style="medium">
        <color rgb="FF000000"/>
      </right>
      <top style="medium">
        <color auto="1"/>
      </top>
      <bottom/>
      <diagonal/>
    </border>
    <border>
      <left style="medium">
        <color rgb="FF000000"/>
      </left>
      <right style="medium">
        <color rgb="FF000000"/>
      </right>
      <top style="medium">
        <color auto="1"/>
      </top>
      <bottom style="thin">
        <color auto="1"/>
      </bottom>
      <diagonal/>
    </border>
    <border>
      <left style="medium">
        <color rgb="FF000000"/>
      </left>
      <right style="medium">
        <color rgb="FF000000"/>
      </right>
      <top/>
      <bottom/>
      <diagonal/>
    </border>
    <border>
      <left style="medium">
        <color rgb="FF000000"/>
      </left>
      <right style="medium">
        <color rgb="FF000000"/>
      </right>
      <top style="thin">
        <color auto="1"/>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thin">
        <color auto="1"/>
      </bottom>
      <diagonal/>
    </border>
    <border>
      <left style="medium">
        <color rgb="FF000000"/>
      </left>
      <right style="medium">
        <color rgb="FF000000"/>
      </right>
      <top style="thin">
        <color auto="1"/>
      </top>
      <bottom style="thin">
        <color auto="1"/>
      </bottom>
      <diagonal/>
    </border>
    <border>
      <left style="medium">
        <color rgb="FF000000"/>
      </left>
      <right style="medium">
        <color rgb="FF000000"/>
      </right>
      <top style="thin">
        <color auto="1"/>
      </top>
      <bottom style="medium">
        <color auto="1"/>
      </bottom>
      <diagonal/>
    </border>
    <border>
      <left style="medium">
        <color rgb="FF000000"/>
      </left>
      <right style="medium">
        <color rgb="FF000000"/>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177"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4" borderId="29"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30" applyNumberFormat="0" applyFill="0" applyAlignment="0" applyProtection="0">
      <alignment vertical="center"/>
    </xf>
    <xf numFmtId="0" fontId="23" fillId="0" borderId="30" applyNumberFormat="0" applyFill="0" applyAlignment="0" applyProtection="0">
      <alignment vertical="center"/>
    </xf>
    <xf numFmtId="0" fontId="24" fillId="0" borderId="31" applyNumberFormat="0" applyFill="0" applyAlignment="0" applyProtection="0">
      <alignment vertical="center"/>
    </xf>
    <xf numFmtId="0" fontId="24" fillId="0" borderId="0" applyNumberFormat="0" applyFill="0" applyBorder="0" applyAlignment="0" applyProtection="0">
      <alignment vertical="center"/>
    </xf>
    <xf numFmtId="0" fontId="25" fillId="5" borderId="32" applyNumberFormat="0" applyAlignment="0" applyProtection="0">
      <alignment vertical="center"/>
    </xf>
    <xf numFmtId="0" fontId="26" fillId="6" borderId="33" applyNumberFormat="0" applyAlignment="0" applyProtection="0">
      <alignment vertical="center"/>
    </xf>
    <xf numFmtId="0" fontId="27" fillId="6" borderId="32" applyNumberFormat="0" applyAlignment="0" applyProtection="0">
      <alignment vertical="center"/>
    </xf>
    <xf numFmtId="0" fontId="28" fillId="7" borderId="34" applyNumberFormat="0" applyAlignment="0" applyProtection="0">
      <alignment vertical="center"/>
    </xf>
    <xf numFmtId="0" fontId="29" fillId="0" borderId="35" applyNumberFormat="0" applyFill="0" applyAlignment="0" applyProtection="0">
      <alignment vertical="center"/>
    </xf>
    <xf numFmtId="0" fontId="30" fillId="0" borderId="36" applyNumberFormat="0" applyFill="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5"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cellStyleXfs>
  <cellXfs count="159">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5" fillId="0" borderId="0" xfId="0" applyFont="1" applyAlignment="1">
      <alignment horizontal="center"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5" xfId="0" applyFont="1" applyBorder="1" applyAlignment="1">
      <alignment horizontal="left" vertical="center"/>
    </xf>
    <xf numFmtId="0" fontId="6" fillId="0" borderId="0" xfId="0" applyFont="1" applyAlignment="1">
      <alignment horizontal="left" vertical="center"/>
    </xf>
    <xf numFmtId="0" fontId="7" fillId="0" borderId="0" xfId="0" applyFont="1" applyAlignment="1">
      <alignment horizontal="center" vertical="center"/>
    </xf>
    <xf numFmtId="0" fontId="6" fillId="0" borderId="6" xfId="0" applyFont="1" applyBorder="1" applyAlignment="1">
      <alignment horizontal="left" vertical="center"/>
    </xf>
    <xf numFmtId="0" fontId="6" fillId="0" borderId="7" xfId="0" applyFont="1" applyBorder="1" applyAlignment="1">
      <alignment horizontal="left"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2" xfId="0" applyFont="1" applyBorder="1" applyAlignment="1">
      <alignment horizontal="left" vertical="center"/>
    </xf>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10" fillId="0" borderId="12" xfId="0" applyFont="1" applyBorder="1" applyAlignment="1">
      <alignment horizontal="left" vertical="center" wrapText="1"/>
    </xf>
    <xf numFmtId="0" fontId="11" fillId="0" borderId="13"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13" xfId="0" applyFont="1" applyBorder="1" applyAlignment="1">
      <alignment horizontal="center" vertical="center"/>
    </xf>
    <xf numFmtId="0" fontId="11" fillId="0" borderId="13" xfId="0" applyFont="1" applyBorder="1" applyAlignment="1">
      <alignment horizontal="center" vertical="center"/>
    </xf>
    <xf numFmtId="0" fontId="11" fillId="0" borderId="14" xfId="0" applyFont="1" applyBorder="1" applyAlignment="1">
      <alignment horizontal="center" vertical="center"/>
    </xf>
    <xf numFmtId="0" fontId="11" fillId="0" borderId="14" xfId="0" applyFont="1" applyBorder="1" applyAlignment="1">
      <alignment horizontal="center" vertical="center"/>
    </xf>
    <xf numFmtId="0" fontId="0" fillId="0" borderId="14" xfId="0"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righ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9" fillId="0" borderId="16" xfId="0" applyFont="1" applyBorder="1" applyAlignment="1">
      <alignment horizontal="center" vertical="center"/>
    </xf>
    <xf numFmtId="0" fontId="9" fillId="0" borderId="8" xfId="0" applyFont="1" applyBorder="1" applyAlignment="1">
      <alignment horizontal="center" vertical="center"/>
    </xf>
    <xf numFmtId="1" fontId="11" fillId="0" borderId="13" xfId="0" applyNumberFormat="1" applyFont="1" applyBorder="1" applyAlignment="1">
      <alignment horizontal="center" vertical="center"/>
    </xf>
    <xf numFmtId="178" fontId="11" fillId="0" borderId="13" xfId="0" applyNumberFormat="1" applyFont="1" applyBorder="1" applyAlignment="1">
      <alignment horizontal="center" vertical="center"/>
    </xf>
    <xf numFmtId="1" fontId="11" fillId="0" borderId="14" xfId="0" applyNumberFormat="1" applyFont="1" applyBorder="1" applyAlignment="1">
      <alignment horizontal="center" vertical="center"/>
    </xf>
    <xf numFmtId="1" fontId="0" fillId="0" borderId="13" xfId="0" applyNumberFormat="1" applyBorder="1" applyAlignment="1">
      <alignment horizontal="center" vertical="center"/>
    </xf>
    <xf numFmtId="1" fontId="0" fillId="0" borderId="14" xfId="0" applyNumberFormat="1" applyBorder="1" applyAlignment="1">
      <alignment horizontal="center" vertical="center"/>
    </xf>
    <xf numFmtId="178" fontId="0" fillId="0" borderId="13" xfId="0" applyNumberFormat="1" applyBorder="1" applyAlignment="1">
      <alignment horizontal="center" vertical="center"/>
    </xf>
    <xf numFmtId="0" fontId="4" fillId="0" borderId="17" xfId="0" applyFont="1" applyBorder="1" applyAlignment="1">
      <alignment horizontal="center" vertical="center"/>
    </xf>
    <xf numFmtId="0" fontId="6" fillId="0" borderId="18" xfId="0" applyFont="1" applyBorder="1" applyAlignment="1">
      <alignment horizontal="left" vertical="center"/>
    </xf>
    <xf numFmtId="0" fontId="6" fillId="0" borderId="19" xfId="0" applyFont="1" applyBorder="1" applyAlignment="1">
      <alignment horizontal="left" vertical="center"/>
    </xf>
    <xf numFmtId="0" fontId="6" fillId="0" borderId="20" xfId="0" applyFont="1" applyBorder="1" applyAlignment="1">
      <alignment horizontal="left" vertical="center"/>
    </xf>
    <xf numFmtId="0" fontId="8" fillId="0" borderId="17" xfId="0" applyFont="1" applyBorder="1" applyAlignment="1">
      <alignment horizontal="left" vertical="center"/>
    </xf>
    <xf numFmtId="0" fontId="8" fillId="0" borderId="1" xfId="0" applyFont="1" applyBorder="1" applyAlignment="1">
      <alignment horizontal="left" vertical="center"/>
    </xf>
    <xf numFmtId="0" fontId="8" fillId="0" borderId="17" xfId="0" applyFont="1" applyBorder="1" applyAlignment="1">
      <alignment horizontal="center" vertical="center"/>
    </xf>
    <xf numFmtId="179" fontId="8" fillId="0" borderId="2" xfId="0" applyNumberFormat="1" applyFont="1" applyBorder="1" applyAlignment="1" applyProtection="1">
      <alignment horizontal="center" vertical="center"/>
      <protection locked="0"/>
    </xf>
    <xf numFmtId="179" fontId="8" fillId="0" borderId="17" xfId="0" applyNumberFormat="1" applyFont="1" applyBorder="1" applyAlignment="1" applyProtection="1">
      <alignment horizontal="center" vertical="center"/>
      <protection locked="0"/>
    </xf>
    <xf numFmtId="0" fontId="9" fillId="0" borderId="10" xfId="0" applyFont="1" applyBorder="1" applyAlignment="1">
      <alignment horizontal="center" vertical="center"/>
    </xf>
    <xf numFmtId="0" fontId="11" fillId="0" borderId="9" xfId="0" applyFont="1" applyBorder="1" applyAlignment="1">
      <alignment horizontal="left" vertical="center"/>
    </xf>
    <xf numFmtId="0" fontId="0" fillId="0" borderId="9" xfId="0" applyBorder="1" applyAlignment="1">
      <alignment horizontal="left" vertical="center"/>
    </xf>
    <xf numFmtId="2" fontId="0" fillId="0" borderId="11" xfId="0" applyNumberFormat="1" applyBorder="1" applyAlignment="1">
      <alignment horizontal="center" vertical="center"/>
    </xf>
    <xf numFmtId="0" fontId="0" fillId="0" borderId="11" xfId="0" applyBorder="1" applyAlignment="1">
      <alignment horizontal="center" vertical="center"/>
    </xf>
    <xf numFmtId="0" fontId="0" fillId="0" borderId="18" xfId="0" applyBorder="1" applyAlignment="1">
      <alignment horizontal="left" vertical="center"/>
    </xf>
    <xf numFmtId="0" fontId="0" fillId="0" borderId="20" xfId="0" applyBorder="1" applyAlignment="1">
      <alignment horizontal="left" vertical="center"/>
    </xf>
    <xf numFmtId="0" fontId="0" fillId="0" borderId="0" xfId="0" applyAlignment="1">
      <alignment vertical="center"/>
    </xf>
    <xf numFmtId="178" fontId="0" fillId="0" borderId="0" xfId="0" applyNumberFormat="1" applyAlignment="1">
      <alignment horizontal="center" vertical="center"/>
    </xf>
    <xf numFmtId="2" fontId="0" fillId="0" borderId="0" xfId="0" applyNumberFormat="1" applyAlignment="1">
      <alignment horizontal="center" vertical="center"/>
    </xf>
    <xf numFmtId="0" fontId="11" fillId="0" borderId="0" xfId="0" applyFont="1" applyAlignment="1">
      <alignment horizontal="center" vertical="center"/>
    </xf>
    <xf numFmtId="0" fontId="11" fillId="0" borderId="0" xfId="0" applyFont="1"/>
    <xf numFmtId="0" fontId="11" fillId="0" borderId="0" xfId="0" applyFont="1" applyAlignment="1">
      <alignment horizontal="center"/>
    </xf>
    <xf numFmtId="0" fontId="10" fillId="2" borderId="21" xfId="0" applyFont="1" applyFill="1" applyBorder="1" applyAlignment="1">
      <alignment horizontal="center" vertical="center"/>
    </xf>
    <xf numFmtId="0" fontId="11" fillId="0" borderId="22" xfId="0" applyFont="1" applyBorder="1"/>
    <xf numFmtId="0" fontId="10" fillId="0" borderId="22" xfId="0" applyFont="1" applyBorder="1" applyAlignment="1">
      <alignment horizontal="center"/>
    </xf>
    <xf numFmtId="0" fontId="10" fillId="0" borderId="22" xfId="0" applyFont="1" applyBorder="1"/>
    <xf numFmtId="0" fontId="11" fillId="0" borderId="22" xfId="0" applyFont="1" applyBorder="1" applyAlignment="1">
      <alignment horizontal="center"/>
    </xf>
    <xf numFmtId="0" fontId="11" fillId="0" borderId="22" xfId="0" applyFont="1" applyBorder="1"/>
    <xf numFmtId="0" fontId="11" fillId="0" borderId="22" xfId="0" applyFont="1" applyBorder="1" applyAlignment="1">
      <alignment horizontal="center"/>
    </xf>
    <xf numFmtId="2" fontId="11" fillId="0" borderId="23" xfId="0" applyNumberFormat="1" applyFont="1" applyBorder="1" applyAlignment="1">
      <alignment horizontal="center"/>
    </xf>
    <xf numFmtId="2" fontId="11" fillId="0" borderId="24" xfId="0" applyNumberFormat="1" applyFont="1" applyBorder="1" applyAlignment="1">
      <alignment horizontal="center"/>
    </xf>
    <xf numFmtId="2" fontId="11" fillId="0" borderId="22" xfId="0" applyNumberFormat="1" applyFont="1" applyBorder="1"/>
    <xf numFmtId="2" fontId="11" fillId="0" borderId="23" xfId="0" applyNumberFormat="1" applyFont="1" applyBorder="1" applyAlignment="1">
      <alignment horizontal="center" vertical="center"/>
    </xf>
    <xf numFmtId="2" fontId="11" fillId="0" borderId="24" xfId="0" applyNumberFormat="1" applyFont="1" applyBorder="1" applyAlignment="1">
      <alignment horizontal="center" vertical="center"/>
    </xf>
    <xf numFmtId="0" fontId="11" fillId="0" borderId="0" xfId="0" applyFont="1" applyAlignment="1">
      <alignment wrapText="1"/>
    </xf>
    <xf numFmtId="0" fontId="10" fillId="2" borderId="21" xfId="0" applyFont="1" applyFill="1" applyBorder="1" applyAlignment="1">
      <alignment horizontal="center" vertical="center" wrapText="1"/>
    </xf>
    <xf numFmtId="0" fontId="11" fillId="0" borderId="22" xfId="0" applyFont="1" applyBorder="1" applyAlignment="1">
      <alignment wrapText="1"/>
    </xf>
    <xf numFmtId="0" fontId="10" fillId="0" borderId="22" xfId="0" applyFont="1" applyBorder="1" applyAlignment="1">
      <alignment wrapText="1"/>
    </xf>
    <xf numFmtId="2" fontId="11" fillId="0" borderId="24" xfId="0" applyNumberFormat="1" applyFont="1" applyBorder="1"/>
    <xf numFmtId="2" fontId="11" fillId="0" borderId="22" xfId="0" applyNumberFormat="1" applyFont="1" applyBorder="1" applyAlignment="1">
      <alignment horizontal="center"/>
    </xf>
    <xf numFmtId="0" fontId="11" fillId="0" borderId="0" xfId="0" applyFont="1" applyAlignment="1">
      <alignment wrapText="1"/>
    </xf>
    <xf numFmtId="0" fontId="11" fillId="0" borderId="23" xfId="0" applyFont="1" applyBorder="1" applyAlignment="1">
      <alignment wrapText="1"/>
    </xf>
    <xf numFmtId="0" fontId="10" fillId="0" borderId="23" xfId="0" applyFont="1" applyBorder="1" applyAlignment="1">
      <alignment wrapText="1"/>
    </xf>
    <xf numFmtId="0" fontId="11" fillId="0" borderId="23" xfId="0" applyFont="1" applyBorder="1"/>
    <xf numFmtId="0" fontId="11" fillId="0" borderId="22" xfId="0" applyFont="1" applyBorder="1" applyAlignment="1">
      <alignment wrapText="1"/>
    </xf>
    <xf numFmtId="2" fontId="11" fillId="0" borderId="24" xfId="0" applyNumberFormat="1" applyFont="1" applyBorder="1" applyAlignment="1">
      <alignment vertical="center"/>
    </xf>
    <xf numFmtId="0" fontId="10" fillId="0" borderId="0" xfId="0" applyFont="1"/>
    <xf numFmtId="0" fontId="11" fillId="0" borderId="22" xfId="0" applyFont="1" applyBorder="1" applyAlignment="1">
      <alignment horizontal="center" vertical="center"/>
    </xf>
    <xf numFmtId="0" fontId="10" fillId="0" borderId="22" xfId="0" applyFont="1" applyBorder="1" applyAlignment="1">
      <alignment vertical="center"/>
    </xf>
    <xf numFmtId="2" fontId="11" fillId="0" borderId="22" xfId="0" applyNumberFormat="1" applyFont="1" applyBorder="1" applyAlignment="1">
      <alignment horizontal="center" vertical="center"/>
    </xf>
    <xf numFmtId="0" fontId="11" fillId="0" borderId="22" xfId="0" applyFont="1" applyBorder="1" applyAlignment="1">
      <alignment vertical="center"/>
    </xf>
    <xf numFmtId="0" fontId="11" fillId="0" borderId="22" xfId="0" applyFont="1" applyBorder="1" applyAlignment="1">
      <alignment horizontal="right" vertical="center"/>
    </xf>
    <xf numFmtId="0" fontId="11" fillId="0" borderId="22" xfId="0" applyFont="1" applyBorder="1" applyAlignment="1">
      <alignment horizontal="center" vertical="center"/>
    </xf>
    <xf numFmtId="2" fontId="10" fillId="0" borderId="22" xfId="0" applyNumberFormat="1" applyFont="1" applyBorder="1"/>
    <xf numFmtId="2" fontId="10" fillId="0" borderId="22" xfId="0" applyNumberFormat="1" applyFont="1" applyBorder="1" applyAlignment="1">
      <alignment horizontal="center" vertical="center"/>
    </xf>
    <xf numFmtId="0" fontId="11" fillId="0" borderId="22" xfId="0" applyFont="1" applyBorder="1" applyAlignment="1">
      <alignment vertical="center"/>
    </xf>
    <xf numFmtId="0" fontId="12" fillId="0" borderId="22" xfId="0" applyFont="1" applyBorder="1"/>
    <xf numFmtId="0" fontId="12" fillId="0" borderId="22" xfId="0" applyFont="1" applyBorder="1" applyAlignment="1">
      <alignment horizontal="center"/>
    </xf>
    <xf numFmtId="180" fontId="11" fillId="0" borderId="22" xfId="0" applyNumberFormat="1" applyFont="1" applyBorder="1"/>
    <xf numFmtId="180" fontId="11" fillId="0" borderId="22" xfId="0" applyNumberFormat="1" applyFont="1" applyBorder="1" applyAlignment="1">
      <alignment horizontal="center" vertical="center"/>
    </xf>
    <xf numFmtId="0" fontId="11" fillId="0" borderId="23" xfId="0" applyFont="1" applyBorder="1" applyAlignment="1">
      <alignment horizontal="center"/>
    </xf>
    <xf numFmtId="2" fontId="10" fillId="0" borderId="22" xfId="0" applyNumberFormat="1" applyFont="1" applyBorder="1" applyAlignment="1">
      <alignment horizontal="center"/>
    </xf>
    <xf numFmtId="180" fontId="10" fillId="0" borderId="22" xfId="0" applyNumberFormat="1" applyFont="1" applyBorder="1"/>
    <xf numFmtId="0" fontId="11" fillId="0" borderId="0" xfId="0" applyFont="1" applyAlignment="1">
      <alignment vertical="center"/>
    </xf>
    <xf numFmtId="2" fontId="11" fillId="0" borderId="0" xfId="0" applyNumberFormat="1" applyFont="1" applyAlignment="1">
      <alignment horizontal="center" vertical="center"/>
    </xf>
    <xf numFmtId="2" fontId="10" fillId="2" borderId="21" xfId="0" applyNumberFormat="1" applyFont="1" applyFill="1" applyBorder="1" applyAlignment="1">
      <alignment horizontal="center" vertical="center"/>
    </xf>
    <xf numFmtId="0" fontId="10" fillId="0" borderId="22" xfId="0" applyFont="1" applyBorder="1" applyAlignment="1">
      <alignment horizontal="center" vertical="center"/>
    </xf>
    <xf numFmtId="0" fontId="11" fillId="0" borderId="22" xfId="0" applyFont="1" applyBorder="1" applyAlignment="1">
      <alignment vertical="center" wrapText="1"/>
    </xf>
    <xf numFmtId="0" fontId="11" fillId="0" borderId="22" xfId="0" applyFont="1" applyBorder="1" applyAlignment="1">
      <alignment vertical="center" wrapText="1"/>
    </xf>
    <xf numFmtId="2" fontId="11" fillId="0" borderId="0" xfId="0" applyNumberFormat="1" applyFont="1"/>
    <xf numFmtId="2" fontId="11" fillId="0" borderId="0" xfId="0" applyNumberFormat="1" applyFont="1" applyAlignment="1">
      <alignment vertical="center"/>
    </xf>
    <xf numFmtId="0" fontId="11" fillId="0" borderId="0" xfId="0" applyFont="1" applyAlignment="1">
      <alignment horizontal="right" vertical="center"/>
    </xf>
    <xf numFmtId="2" fontId="10" fillId="0" borderId="22" xfId="0" applyNumberFormat="1" applyFont="1" applyBorder="1" applyAlignment="1">
      <alignment vertical="center"/>
    </xf>
    <xf numFmtId="0" fontId="11" fillId="0" borderId="22" xfId="0" applyFont="1" applyBorder="1" applyAlignment="1">
      <alignment horizontal="center" vertical="center" wrapText="1"/>
    </xf>
    <xf numFmtId="2" fontId="11" fillId="0" borderId="22" xfId="0" applyNumberFormat="1" applyFont="1" applyBorder="1" applyAlignment="1">
      <alignment vertical="center"/>
    </xf>
    <xf numFmtId="0" fontId="11" fillId="0" borderId="0" xfId="0" applyFont="1" applyAlignment="1">
      <alignment horizontal="center" vertical="center"/>
    </xf>
    <xf numFmtId="0" fontId="11" fillId="0" borderId="0" xfId="0" applyFont="1"/>
    <xf numFmtId="0" fontId="10" fillId="0" borderId="0" xfId="0" applyFont="1" applyAlignment="1">
      <alignment horizontal="justify" vertical="center"/>
    </xf>
    <xf numFmtId="0" fontId="11" fillId="0" borderId="0" xfId="0" applyFont="1" applyAlignment="1">
      <alignment horizontal="justify" vertical="center"/>
    </xf>
    <xf numFmtId="0" fontId="11" fillId="0" borderId="0" xfId="0" applyFont="1" applyAlignment="1">
      <alignment horizontal="justify" vertical="center" wrapText="1"/>
    </xf>
    <xf numFmtId="43" fontId="11" fillId="0" borderId="0" xfId="0" applyNumberFormat="1" applyFont="1" applyAlignment="1">
      <alignment horizontal="justify" vertical="center"/>
    </xf>
    <xf numFmtId="0" fontId="11" fillId="0" borderId="0" xfId="0" applyFont="1" applyAlignment="1">
      <alignment horizontal="justify"/>
    </xf>
    <xf numFmtId="0" fontId="13" fillId="0" borderId="0" xfId="0" applyFont="1" applyAlignment="1">
      <alignment horizontal="center" vertical="center"/>
    </xf>
    <xf numFmtId="0" fontId="11" fillId="0" borderId="0" xfId="0" applyFont="1" applyAlignment="1">
      <alignment horizontal="justify"/>
    </xf>
    <xf numFmtId="0" fontId="10" fillId="3" borderId="21" xfId="0" applyFont="1" applyFill="1" applyBorder="1" applyAlignment="1">
      <alignment horizontal="center" vertical="center"/>
    </xf>
    <xf numFmtId="0" fontId="10" fillId="3" borderId="21" xfId="0" applyFont="1" applyFill="1" applyBorder="1" applyAlignment="1">
      <alignment horizontal="center" vertical="center" wrapText="1"/>
    </xf>
    <xf numFmtId="43" fontId="10" fillId="3" borderId="21" xfId="0" applyNumberFormat="1" applyFont="1" applyFill="1" applyBorder="1" applyAlignment="1">
      <alignment horizontal="center" vertical="center"/>
    </xf>
    <xf numFmtId="0" fontId="10" fillId="0" borderId="21" xfId="0" applyFont="1" applyBorder="1" applyAlignment="1">
      <alignment horizontal="center" vertical="center"/>
    </xf>
    <xf numFmtId="0" fontId="10" fillId="0" borderId="21" xfId="0" applyFont="1" applyBorder="1" applyAlignment="1">
      <alignment horizontal="justify" vertical="center" wrapText="1"/>
    </xf>
    <xf numFmtId="0" fontId="11" fillId="0" borderId="21" xfId="0" applyFont="1" applyBorder="1" applyAlignment="1">
      <alignment horizontal="center" vertical="center"/>
    </xf>
    <xf numFmtId="43" fontId="11" fillId="0" borderId="21" xfId="0" applyNumberFormat="1" applyFont="1" applyBorder="1" applyAlignment="1">
      <alignment horizontal="justify" vertical="center"/>
    </xf>
    <xf numFmtId="0" fontId="11" fillId="0" borderId="21" xfId="0" applyFont="1" applyBorder="1" applyAlignment="1">
      <alignment horizontal="justify"/>
    </xf>
    <xf numFmtId="0" fontId="10" fillId="0" borderId="21" xfId="0" applyFont="1" applyBorder="1" applyAlignment="1">
      <alignment horizontal="justify"/>
    </xf>
    <xf numFmtId="0" fontId="11" fillId="0" borderId="21" xfId="0" applyFont="1" applyBorder="1" applyAlignment="1">
      <alignment horizontal="justify" vertical="center" wrapText="1"/>
    </xf>
    <xf numFmtId="0" fontId="11" fillId="0" borderId="21" xfId="0" applyFont="1" applyBorder="1" applyAlignment="1">
      <alignment horizontal="center" vertical="center"/>
    </xf>
    <xf numFmtId="0" fontId="11" fillId="0" borderId="21" xfId="0" applyFont="1" applyBorder="1" applyAlignment="1">
      <alignment horizontal="justify" vertical="center"/>
    </xf>
    <xf numFmtId="43" fontId="10" fillId="0" borderId="21" xfId="0" applyNumberFormat="1" applyFont="1" applyBorder="1" applyAlignment="1">
      <alignment horizontal="justify" vertical="center"/>
    </xf>
    <xf numFmtId="0" fontId="11" fillId="0" borderId="21" xfId="0" applyFont="1" applyBorder="1" applyAlignment="1">
      <alignment horizontal="justify"/>
    </xf>
    <xf numFmtId="0" fontId="11" fillId="0" borderId="21" xfId="0" applyFont="1" applyBorder="1" applyAlignment="1">
      <alignment horizontal="justify" vertical="center" wrapText="1"/>
    </xf>
    <xf numFmtId="0" fontId="10" fillId="0" borderId="21" xfId="0" applyFont="1" applyBorder="1" applyAlignment="1">
      <alignment horizontal="justify" vertical="center"/>
    </xf>
    <xf numFmtId="0" fontId="14" fillId="0" borderId="21" xfId="0" applyFont="1" applyBorder="1" applyAlignment="1">
      <alignment horizontal="center" vertical="center" wrapText="1"/>
    </xf>
    <xf numFmtId="0" fontId="14" fillId="0" borderId="21" xfId="0" applyFont="1" applyBorder="1" applyAlignment="1">
      <alignment horizontal="justify" vertical="center" wrapText="1"/>
    </xf>
    <xf numFmtId="0" fontId="11" fillId="0" borderId="21" xfId="0" applyFont="1" applyBorder="1" applyAlignment="1">
      <alignment horizontal="center"/>
    </xf>
    <xf numFmtId="0" fontId="11" fillId="0" borderId="21" xfId="0" applyFont="1" applyBorder="1" applyAlignment="1">
      <alignment horizontal="center"/>
    </xf>
    <xf numFmtId="0" fontId="15" fillId="0" borderId="21" xfId="0" applyFont="1" applyBorder="1" applyAlignment="1">
      <alignment horizontal="center" vertical="center" wrapText="1"/>
    </xf>
    <xf numFmtId="0" fontId="15" fillId="0" borderId="21" xfId="0" applyFont="1" applyBorder="1" applyAlignment="1">
      <alignment horizontal="justify" vertical="center" wrapText="1"/>
    </xf>
    <xf numFmtId="0" fontId="10" fillId="0" borderId="25" xfId="0" applyFont="1" applyBorder="1" applyAlignment="1">
      <alignment horizontal="justify" vertical="center" wrapText="1"/>
    </xf>
    <xf numFmtId="0" fontId="11" fillId="0" borderId="26" xfId="0" applyFont="1" applyBorder="1" applyAlignment="1">
      <alignment horizontal="center" vertical="center"/>
    </xf>
    <xf numFmtId="0" fontId="11" fillId="0" borderId="21" xfId="0" applyFont="1" applyBorder="1" applyAlignment="1">
      <alignment horizontal="justify" wrapText="1"/>
    </xf>
    <xf numFmtId="0" fontId="11" fillId="0" borderId="27" xfId="0" applyFont="1" applyBorder="1" applyAlignment="1">
      <alignment horizontal="center" vertical="center"/>
    </xf>
    <xf numFmtId="0" fontId="11" fillId="0" borderId="28" xfId="0" applyFont="1" applyBorder="1" applyAlignment="1">
      <alignment horizontal="justify" vertical="center" wrapText="1"/>
    </xf>
    <xf numFmtId="2" fontId="11" fillId="0" borderId="21" xfId="0" applyNumberFormat="1" applyFont="1" applyBorder="1" applyAlignment="1">
      <alignment horizontal="center" vertical="center"/>
    </xf>
    <xf numFmtId="43" fontId="10" fillId="0" borderId="21" xfId="0" applyNumberFormat="1" applyFont="1" applyBorder="1" applyAlignment="1">
      <alignment horizontal="justify"/>
    </xf>
    <xf numFmtId="0" fontId="10" fillId="0" borderId="21" xfId="0" applyFont="1" applyBorder="1" applyAlignment="1">
      <alignment horizontal="justify"/>
    </xf>
    <xf numFmtId="0" fontId="10" fillId="0" borderId="0" xfId="0" applyFont="1" applyAlignment="1">
      <alignment horizontal="justify"/>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externalLink" Target="externalLinks/externalLink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22</xdr:col>
      <xdr:colOff>161925</xdr:colOff>
      <xdr:row>9</xdr:row>
      <xdr:rowOff>104775</xdr:rowOff>
    </xdr:from>
    <xdr:to>
      <xdr:col>22</xdr:col>
      <xdr:colOff>161925</xdr:colOff>
      <xdr:row>9</xdr:row>
      <xdr:rowOff>647700</xdr:rowOff>
    </xdr:to>
    <xdr:cxnSp>
      <xdr:nvCxnSpPr>
        <xdr:cNvPr id="9" name="Straight Connector 8"/>
        <xdr:cNvCxnSpPr/>
      </xdr:nvCxnSpPr>
      <xdr:spPr>
        <a:xfrm>
          <a:off x="15823565" y="2581275"/>
          <a:ext cx="0" cy="5429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76200</xdr:colOff>
      <xdr:row>9</xdr:row>
      <xdr:rowOff>647700</xdr:rowOff>
    </xdr:from>
    <xdr:to>
      <xdr:col>22</xdr:col>
      <xdr:colOff>171450</xdr:colOff>
      <xdr:row>9</xdr:row>
      <xdr:rowOff>647700</xdr:rowOff>
    </xdr:to>
    <xdr:cxnSp>
      <xdr:nvCxnSpPr>
        <xdr:cNvPr id="10" name="Straight Connector 9"/>
        <xdr:cNvCxnSpPr/>
      </xdr:nvCxnSpPr>
      <xdr:spPr>
        <a:xfrm>
          <a:off x="15596235" y="3124200"/>
          <a:ext cx="236855"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609600</xdr:colOff>
      <xdr:row>10</xdr:row>
      <xdr:rowOff>123825</xdr:rowOff>
    </xdr:from>
    <xdr:to>
      <xdr:col>22</xdr:col>
      <xdr:colOff>323850</xdr:colOff>
      <xdr:row>10</xdr:row>
      <xdr:rowOff>552450</xdr:rowOff>
    </xdr:to>
    <xdr:sp>
      <xdr:nvSpPr>
        <xdr:cNvPr id="11" name="Rounded Rectangle 10"/>
        <xdr:cNvSpPr/>
      </xdr:nvSpPr>
      <xdr:spPr>
        <a:xfrm>
          <a:off x="15400655" y="3324225"/>
          <a:ext cx="584835" cy="428625"/>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22</xdr:col>
      <xdr:colOff>238125</xdr:colOff>
      <xdr:row>12</xdr:row>
      <xdr:rowOff>47625</xdr:rowOff>
    </xdr:from>
    <xdr:to>
      <xdr:col>22</xdr:col>
      <xdr:colOff>238125</xdr:colOff>
      <xdr:row>12</xdr:row>
      <xdr:rowOff>676275</xdr:rowOff>
    </xdr:to>
    <xdr:cxnSp>
      <xdr:nvCxnSpPr>
        <xdr:cNvPr id="14" name="Straight Connector 13"/>
        <xdr:cNvCxnSpPr/>
      </xdr:nvCxnSpPr>
      <xdr:spPr>
        <a:xfrm>
          <a:off x="15899765" y="4257675"/>
          <a:ext cx="0" cy="628650"/>
        </a:xfrm>
        <a:prstGeom prst="line">
          <a:avLst/>
        </a:prstGeom>
        <a:ln w="28575"/>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609600</xdr:colOff>
      <xdr:row>19</xdr:row>
      <xdr:rowOff>123825</xdr:rowOff>
    </xdr:from>
    <xdr:to>
      <xdr:col>22</xdr:col>
      <xdr:colOff>323850</xdr:colOff>
      <xdr:row>19</xdr:row>
      <xdr:rowOff>552450</xdr:rowOff>
    </xdr:to>
    <xdr:sp>
      <xdr:nvSpPr>
        <xdr:cNvPr id="7" name="Rounded Rectangle 10"/>
        <xdr:cNvSpPr/>
      </xdr:nvSpPr>
      <xdr:spPr>
        <a:xfrm>
          <a:off x="15400655" y="9515475"/>
          <a:ext cx="584835" cy="257175"/>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AR%20SHEDULE.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Wet well base 2"/>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3"/>
  <sheetViews>
    <sheetView tabSelected="1" workbookViewId="0">
      <selection activeCell="E5" sqref="E5"/>
    </sheetView>
  </sheetViews>
  <sheetFormatPr defaultColWidth="9" defaultRowHeight="15" outlineLevelCol="5"/>
  <cols>
    <col min="1" max="1" width="7" style="63" customWidth="1"/>
    <col min="2" max="2" width="44" style="123" customWidth="1"/>
    <col min="3" max="3" width="9.14166666666667" style="63"/>
    <col min="4" max="4" width="9.14166666666667" style="124"/>
    <col min="5" max="6" width="13.425" style="125" customWidth="1"/>
    <col min="7" max="16384" width="9" style="125"/>
  </cols>
  <sheetData>
    <row r="1" ht="18.75" spans="1:6">
      <c r="A1" s="126" t="s">
        <v>0</v>
      </c>
      <c r="B1" s="126"/>
      <c r="C1" s="126"/>
      <c r="D1" s="126"/>
      <c r="E1" s="126"/>
      <c r="F1" s="126"/>
    </row>
    <row r="2" spans="5:6">
      <c r="E2" s="127"/>
      <c r="F2" s="127"/>
    </row>
    <row r="3" s="121" customFormat="1" ht="22.5" customHeight="1" spans="1:6">
      <c r="A3" s="128" t="s">
        <v>1</v>
      </c>
      <c r="B3" s="129" t="s">
        <v>2</v>
      </c>
      <c r="C3" s="128" t="s">
        <v>3</v>
      </c>
      <c r="D3" s="130" t="s">
        <v>4</v>
      </c>
      <c r="E3" s="128" t="s">
        <v>5</v>
      </c>
      <c r="F3" s="128" t="s">
        <v>6</v>
      </c>
    </row>
    <row r="4" spans="1:6">
      <c r="A4" s="131">
        <v>1</v>
      </c>
      <c r="B4" s="132" t="s">
        <v>7</v>
      </c>
      <c r="C4" s="133"/>
      <c r="D4" s="134"/>
      <c r="E4" s="135"/>
      <c r="F4" s="136"/>
    </row>
    <row r="5" s="122" customFormat="1" ht="60" spans="1:6">
      <c r="A5" s="133">
        <v>1.1</v>
      </c>
      <c r="B5" s="137" t="s">
        <v>8</v>
      </c>
      <c r="C5" s="138" t="s">
        <v>9</v>
      </c>
      <c r="D5" s="134">
        <f>'Site Preparation'!H5</f>
        <v>216.320615760384</v>
      </c>
      <c r="E5" s="139"/>
      <c r="F5" s="140">
        <f>IF(C5="","",D5*E5)</f>
        <v>0</v>
      </c>
    </row>
    <row r="6" spans="1:6">
      <c r="A6" s="131" t="s">
        <v>10</v>
      </c>
      <c r="B6" s="132" t="s">
        <v>11</v>
      </c>
      <c r="C6" s="133"/>
      <c r="D6" s="134"/>
      <c r="E6" s="141"/>
      <c r="F6" s="140">
        <f>SUM(F5)</f>
        <v>0</v>
      </c>
    </row>
    <row r="7" spans="1:6">
      <c r="A7" s="133"/>
      <c r="B7" s="142"/>
      <c r="C7" s="133"/>
      <c r="D7" s="134"/>
      <c r="E7" s="141"/>
      <c r="F7" s="140" t="str">
        <f t="shared" ref="F7:F69" si="0">IF(C7="","",D7*E7)</f>
        <v/>
      </c>
    </row>
    <row r="8" spans="1:6">
      <c r="A8" s="131">
        <v>2</v>
      </c>
      <c r="B8" s="143" t="s">
        <v>12</v>
      </c>
      <c r="C8" s="133"/>
      <c r="D8" s="134"/>
      <c r="E8" s="141"/>
      <c r="F8" s="140" t="str">
        <f t="shared" si="0"/>
        <v/>
      </c>
    </row>
    <row r="9" ht="60" spans="1:6">
      <c r="A9" s="133">
        <v>2.1</v>
      </c>
      <c r="B9" s="137" t="s">
        <v>13</v>
      </c>
      <c r="C9" s="138" t="s">
        <v>14</v>
      </c>
      <c r="D9" s="134">
        <f>Excavation!H6</f>
        <v>49.335</v>
      </c>
      <c r="E9" s="141"/>
      <c r="F9" s="140">
        <f t="shared" si="0"/>
        <v>0</v>
      </c>
    </row>
    <row r="10" spans="1:6">
      <c r="A10" s="131" t="s">
        <v>15</v>
      </c>
      <c r="B10" s="132" t="s">
        <v>16</v>
      </c>
      <c r="C10" s="133"/>
      <c r="D10" s="134"/>
      <c r="E10" s="141"/>
      <c r="F10" s="140">
        <f>SUM(F9)</f>
        <v>0</v>
      </c>
    </row>
    <row r="11" spans="1:6">
      <c r="A11" s="133"/>
      <c r="B11" s="142"/>
      <c r="C11" s="133"/>
      <c r="D11" s="134"/>
      <c r="E11" s="141"/>
      <c r="F11" s="140" t="str">
        <f t="shared" si="0"/>
        <v/>
      </c>
    </row>
    <row r="12" spans="1:6">
      <c r="A12" s="131">
        <v>3</v>
      </c>
      <c r="B12" s="132" t="s">
        <v>17</v>
      </c>
      <c r="C12" s="133"/>
      <c r="D12" s="134"/>
      <c r="E12" s="141"/>
      <c r="F12" s="140" t="str">
        <f t="shared" si="0"/>
        <v/>
      </c>
    </row>
    <row r="13" ht="60" spans="1:6">
      <c r="A13" s="133">
        <v>3.1</v>
      </c>
      <c r="B13" s="137" t="s">
        <v>18</v>
      </c>
      <c r="C13" s="138" t="s">
        <v>14</v>
      </c>
      <c r="D13" s="134">
        <f>Substructure!H5</f>
        <v>25.74</v>
      </c>
      <c r="E13" s="141"/>
      <c r="F13" s="140">
        <f t="shared" si="0"/>
        <v>0</v>
      </c>
    </row>
    <row r="14" ht="60" spans="1:6">
      <c r="A14" s="133">
        <v>3.2</v>
      </c>
      <c r="B14" s="137" t="s">
        <v>19</v>
      </c>
      <c r="C14" s="138" t="s">
        <v>9</v>
      </c>
      <c r="D14" s="134">
        <f>Substructure!H8</f>
        <v>31.44</v>
      </c>
      <c r="E14" s="141"/>
      <c r="F14" s="140">
        <f t="shared" si="0"/>
        <v>0</v>
      </c>
    </row>
    <row r="15" ht="60" spans="1:6">
      <c r="A15" s="133">
        <v>3.3</v>
      </c>
      <c r="B15" s="137" t="s">
        <v>20</v>
      </c>
      <c r="C15" s="138" t="s">
        <v>14</v>
      </c>
      <c r="D15" s="134">
        <f>Substructure!H10</f>
        <v>0.396</v>
      </c>
      <c r="E15" s="141"/>
      <c r="F15" s="140">
        <f t="shared" si="0"/>
        <v>0</v>
      </c>
    </row>
    <row r="16" ht="45" spans="1:6">
      <c r="A16" s="133">
        <v>3.4</v>
      </c>
      <c r="B16" s="137" t="s">
        <v>21</v>
      </c>
      <c r="C16" s="138" t="s">
        <v>14</v>
      </c>
      <c r="D16" s="134">
        <f>Substructure!H12</f>
        <v>0.606375</v>
      </c>
      <c r="E16" s="141"/>
      <c r="F16" s="140">
        <f t="shared" si="0"/>
        <v>0</v>
      </c>
    </row>
    <row r="17" ht="45" spans="1:6">
      <c r="A17" s="133">
        <v>3.5</v>
      </c>
      <c r="B17" s="137" t="s">
        <v>22</v>
      </c>
      <c r="C17" s="138" t="s">
        <v>9</v>
      </c>
      <c r="D17" s="134">
        <f>Substructure!H15</f>
        <v>2.64</v>
      </c>
      <c r="E17" s="141"/>
      <c r="F17" s="140">
        <f t="shared" si="0"/>
        <v>0</v>
      </c>
    </row>
    <row r="18" ht="30" spans="1:6">
      <c r="A18" s="133">
        <v>3.6</v>
      </c>
      <c r="B18" s="137" t="s">
        <v>23</v>
      </c>
      <c r="C18" s="138" t="s">
        <v>9</v>
      </c>
      <c r="D18" s="134">
        <f>Substructure!H17</f>
        <v>6.93</v>
      </c>
      <c r="E18" s="141"/>
      <c r="F18" s="140">
        <f t="shared" si="0"/>
        <v>0</v>
      </c>
    </row>
    <row r="19" ht="45" spans="1:6">
      <c r="A19" s="133">
        <v>3.7</v>
      </c>
      <c r="B19" s="137" t="s">
        <v>24</v>
      </c>
      <c r="C19" s="138" t="s">
        <v>14</v>
      </c>
      <c r="D19" s="134">
        <f>Substructure!H20</f>
        <v>8.568</v>
      </c>
      <c r="E19" s="141"/>
      <c r="F19" s="140">
        <f t="shared" si="0"/>
        <v>0</v>
      </c>
    </row>
    <row r="20" ht="45" spans="1:6">
      <c r="A20" s="133">
        <v>3.8</v>
      </c>
      <c r="B20" s="137" t="s">
        <v>25</v>
      </c>
      <c r="C20" s="138" t="s">
        <v>26</v>
      </c>
      <c r="D20" s="134">
        <f>'Bar Schedule'!R10</f>
        <v>19.231</v>
      </c>
      <c r="E20" s="141"/>
      <c r="F20" s="140">
        <f t="shared" si="0"/>
        <v>0</v>
      </c>
    </row>
    <row r="21" ht="47.25" customHeight="1" spans="1:6">
      <c r="A21" s="133">
        <v>3.9</v>
      </c>
      <c r="B21" s="137" t="s">
        <v>27</v>
      </c>
      <c r="C21" s="138" t="s">
        <v>26</v>
      </c>
      <c r="D21" s="134">
        <f>'Bar Schedule'!R11</f>
        <v>8.099</v>
      </c>
      <c r="E21" s="141"/>
      <c r="F21" s="140">
        <f t="shared" si="0"/>
        <v>0</v>
      </c>
    </row>
    <row r="22" spans="1:6">
      <c r="A22" s="131" t="s">
        <v>28</v>
      </c>
      <c r="B22" s="132" t="s">
        <v>29</v>
      </c>
      <c r="C22" s="133"/>
      <c r="D22" s="134"/>
      <c r="E22" s="141"/>
      <c r="F22" s="140">
        <f>SUM(F13:F21)</f>
        <v>0</v>
      </c>
    </row>
    <row r="23" spans="1:6">
      <c r="A23" s="133"/>
      <c r="B23" s="142"/>
      <c r="C23" s="133"/>
      <c r="D23" s="134"/>
      <c r="E23" s="141"/>
      <c r="F23" s="140" t="str">
        <f t="shared" si="0"/>
        <v/>
      </c>
    </row>
    <row r="24" spans="1:6">
      <c r="A24" s="131">
        <v>4</v>
      </c>
      <c r="B24" s="132" t="s">
        <v>30</v>
      </c>
      <c r="C24" s="133"/>
      <c r="D24" s="134"/>
      <c r="E24" s="141"/>
      <c r="F24" s="140" t="str">
        <f t="shared" si="0"/>
        <v/>
      </c>
    </row>
    <row r="25" ht="45" spans="1:6">
      <c r="A25" s="133">
        <v>4.1</v>
      </c>
      <c r="B25" s="137" t="s">
        <v>31</v>
      </c>
      <c r="C25" s="138" t="s">
        <v>14</v>
      </c>
      <c r="D25" s="134">
        <f>Superstructure!H13</f>
        <v>5.2185</v>
      </c>
      <c r="E25" s="141"/>
      <c r="F25" s="140">
        <f t="shared" si="0"/>
        <v>0</v>
      </c>
    </row>
    <row r="26" ht="45" spans="1:6">
      <c r="A26" s="133">
        <v>4.2</v>
      </c>
      <c r="B26" s="137" t="s">
        <v>32</v>
      </c>
      <c r="C26" s="138" t="s">
        <v>14</v>
      </c>
      <c r="D26" s="134">
        <f>Superstructure!H15</f>
        <v>2.856</v>
      </c>
      <c r="E26" s="141"/>
      <c r="F26" s="140">
        <f t="shared" si="0"/>
        <v>0</v>
      </c>
    </row>
    <row r="27" ht="45" spans="1:6">
      <c r="A27" s="133">
        <v>4.3</v>
      </c>
      <c r="B27" s="137" t="s">
        <v>33</v>
      </c>
      <c r="C27" s="138" t="s">
        <v>14</v>
      </c>
      <c r="D27" s="134">
        <f>Superstructure!H17</f>
        <v>6.4</v>
      </c>
      <c r="E27" s="141"/>
      <c r="F27" s="140">
        <f t="shared" si="0"/>
        <v>0</v>
      </c>
    </row>
    <row r="28" ht="30" spans="1:6">
      <c r="A28" s="133">
        <v>4.4</v>
      </c>
      <c r="B28" s="137" t="s">
        <v>34</v>
      </c>
      <c r="C28" s="138" t="s">
        <v>14</v>
      </c>
      <c r="D28" s="134">
        <f>Superstructure!H20</f>
        <v>5.712</v>
      </c>
      <c r="E28" s="141"/>
      <c r="F28" s="140">
        <f t="shared" si="0"/>
        <v>0</v>
      </c>
    </row>
    <row r="29" ht="60" spans="1:6">
      <c r="A29" s="133">
        <v>4.5</v>
      </c>
      <c r="B29" s="137" t="s">
        <v>35</v>
      </c>
      <c r="C29" s="138" t="s">
        <v>9</v>
      </c>
      <c r="D29" s="134">
        <f>Superstructure!H37</f>
        <v>128.68934992</v>
      </c>
      <c r="E29" s="141"/>
      <c r="F29" s="140">
        <f t="shared" si="0"/>
        <v>0</v>
      </c>
    </row>
    <row r="30" ht="30" spans="1:6">
      <c r="A30" s="133">
        <v>4.6</v>
      </c>
      <c r="B30" s="137" t="s">
        <v>36</v>
      </c>
      <c r="C30" s="138" t="s">
        <v>9</v>
      </c>
      <c r="D30" s="134">
        <f>Superstructure!H42</f>
        <v>49.79339792</v>
      </c>
      <c r="E30" s="141"/>
      <c r="F30" s="140">
        <f t="shared" si="0"/>
        <v>0</v>
      </c>
    </row>
    <row r="31" ht="45" spans="1:6">
      <c r="A31" s="133">
        <v>4.7</v>
      </c>
      <c r="B31" s="137" t="s">
        <v>37</v>
      </c>
      <c r="C31" s="138" t="s">
        <v>26</v>
      </c>
      <c r="D31" s="134">
        <f>SUM('Bar Schedule'!R13:R18)</f>
        <v>149.361</v>
      </c>
      <c r="E31" s="141"/>
      <c r="F31" s="140">
        <f t="shared" si="0"/>
        <v>0</v>
      </c>
    </row>
    <row r="32" ht="30" spans="1:6">
      <c r="A32" s="133">
        <v>4.8</v>
      </c>
      <c r="B32" s="137" t="s">
        <v>38</v>
      </c>
      <c r="C32" s="138" t="s">
        <v>26</v>
      </c>
      <c r="D32" s="134">
        <f>'Bar Schedule'!R19</f>
        <v>101.587</v>
      </c>
      <c r="E32" s="141"/>
      <c r="F32" s="140">
        <f t="shared" si="0"/>
        <v>0</v>
      </c>
    </row>
    <row r="33" ht="30" spans="1:6">
      <c r="A33" s="133">
        <v>4.9</v>
      </c>
      <c r="B33" s="137" t="s">
        <v>39</v>
      </c>
      <c r="C33" s="138" t="s">
        <v>26</v>
      </c>
      <c r="D33" s="134">
        <f>'Bar Schedule'!R20</f>
        <v>29.681</v>
      </c>
      <c r="E33" s="141"/>
      <c r="F33" s="140">
        <f t="shared" si="0"/>
        <v>0</v>
      </c>
    </row>
    <row r="34" spans="1:6">
      <c r="A34" s="131" t="s">
        <v>40</v>
      </c>
      <c r="B34" s="132" t="s">
        <v>41</v>
      </c>
      <c r="C34" s="133"/>
      <c r="D34" s="134"/>
      <c r="E34" s="141"/>
      <c r="F34" s="140">
        <f>SUM(F25:F33)</f>
        <v>0</v>
      </c>
    </row>
    <row r="35" spans="1:6">
      <c r="A35" s="133"/>
      <c r="B35" s="142"/>
      <c r="C35" s="133"/>
      <c r="D35" s="134"/>
      <c r="E35" s="141"/>
      <c r="F35" s="140" t="str">
        <f t="shared" si="0"/>
        <v/>
      </c>
    </row>
    <row r="36" spans="1:6">
      <c r="A36" s="131">
        <v>5</v>
      </c>
      <c r="B36" s="132" t="s">
        <v>42</v>
      </c>
      <c r="C36" s="133"/>
      <c r="D36" s="134"/>
      <c r="E36" s="141"/>
      <c r="F36" s="140" t="str">
        <f t="shared" si="0"/>
        <v/>
      </c>
    </row>
    <row r="37" ht="45" spans="1:6">
      <c r="A37" s="144">
        <v>5.1</v>
      </c>
      <c r="B37" s="145" t="s">
        <v>43</v>
      </c>
      <c r="C37" s="138" t="s">
        <v>9</v>
      </c>
      <c r="D37" s="134">
        <f>Roof!H5</f>
        <v>11.5</v>
      </c>
      <c r="E37" s="141"/>
      <c r="F37" s="140">
        <f t="shared" si="0"/>
        <v>0</v>
      </c>
    </row>
    <row r="38" ht="30" spans="1:6">
      <c r="A38" s="144">
        <v>5.2</v>
      </c>
      <c r="B38" s="145" t="s">
        <v>44</v>
      </c>
      <c r="C38" s="138" t="s">
        <v>45</v>
      </c>
      <c r="D38" s="134">
        <f>Roof!H7</f>
        <v>130</v>
      </c>
      <c r="E38" s="141"/>
      <c r="F38" s="140">
        <f t="shared" si="0"/>
        <v>0</v>
      </c>
    </row>
    <row r="39" ht="30" spans="1:6">
      <c r="A39" s="144">
        <v>5.3</v>
      </c>
      <c r="B39" s="145" t="s">
        <v>46</v>
      </c>
      <c r="C39" s="138" t="s">
        <v>45</v>
      </c>
      <c r="D39" s="134">
        <f>Roof!H9</f>
        <v>100</v>
      </c>
      <c r="E39" s="141"/>
      <c r="F39" s="140">
        <f t="shared" si="0"/>
        <v>0</v>
      </c>
    </row>
    <row r="40" ht="30" spans="1:6">
      <c r="A40" s="144">
        <v>5.4</v>
      </c>
      <c r="B40" s="145" t="s">
        <v>47</v>
      </c>
      <c r="C40" s="138" t="s">
        <v>45</v>
      </c>
      <c r="D40" s="134">
        <f>Roof!H11</f>
        <v>13</v>
      </c>
      <c r="E40" s="141"/>
      <c r="F40" s="140">
        <f t="shared" si="0"/>
        <v>0</v>
      </c>
    </row>
    <row r="41" ht="89.25" customHeight="1" spans="1:6">
      <c r="A41" s="144">
        <v>5.5</v>
      </c>
      <c r="B41" s="145" t="s">
        <v>48</v>
      </c>
      <c r="C41" s="138" t="s">
        <v>45</v>
      </c>
      <c r="D41" s="134">
        <f>Roof!H13</f>
        <v>11</v>
      </c>
      <c r="E41" s="141"/>
      <c r="F41" s="140">
        <f t="shared" si="0"/>
        <v>0</v>
      </c>
    </row>
    <row r="42" ht="88.5" customHeight="1" spans="1:6">
      <c r="A42" s="144">
        <v>5.6</v>
      </c>
      <c r="B42" s="145" t="s">
        <v>49</v>
      </c>
      <c r="C42" s="138" t="s">
        <v>45</v>
      </c>
      <c r="D42" s="134">
        <f>Roof!H15</f>
        <v>6</v>
      </c>
      <c r="E42" s="141"/>
      <c r="F42" s="140">
        <f t="shared" si="0"/>
        <v>0</v>
      </c>
    </row>
    <row r="43" spans="1:6">
      <c r="A43" s="131" t="s">
        <v>50</v>
      </c>
      <c r="B43" s="132" t="s">
        <v>51</v>
      </c>
      <c r="C43" s="133"/>
      <c r="D43" s="134"/>
      <c r="E43" s="141"/>
      <c r="F43" s="140">
        <f>SUM(F37:F42)</f>
        <v>0</v>
      </c>
    </row>
    <row r="44" spans="1:6">
      <c r="A44" s="133"/>
      <c r="B44" s="142"/>
      <c r="C44" s="133"/>
      <c r="D44" s="134"/>
      <c r="E44" s="141"/>
      <c r="F44" s="140" t="str">
        <f t="shared" si="0"/>
        <v/>
      </c>
    </row>
    <row r="45" spans="1:6">
      <c r="A45" s="131">
        <v>6</v>
      </c>
      <c r="B45" s="132" t="s">
        <v>52</v>
      </c>
      <c r="C45" s="133"/>
      <c r="D45" s="134"/>
      <c r="E45" s="141"/>
      <c r="F45" s="140" t="str">
        <f t="shared" si="0"/>
        <v/>
      </c>
    </row>
    <row r="46" ht="45" spans="1:6">
      <c r="A46" s="144">
        <v>6.1</v>
      </c>
      <c r="B46" s="145" t="s">
        <v>53</v>
      </c>
      <c r="C46" s="138" t="s">
        <v>45</v>
      </c>
      <c r="D46" s="134">
        <f>Plumbing!G5</f>
        <v>10.76</v>
      </c>
      <c r="E46" s="141"/>
      <c r="F46" s="140">
        <f t="shared" si="0"/>
        <v>0</v>
      </c>
    </row>
    <row r="47" ht="30" spans="1:6">
      <c r="A47" s="144">
        <v>6.2</v>
      </c>
      <c r="B47" s="145" t="s">
        <v>54</v>
      </c>
      <c r="C47" s="138" t="s">
        <v>55</v>
      </c>
      <c r="D47" s="134">
        <f>Plumbing!G7</f>
        <v>1</v>
      </c>
      <c r="E47" s="141"/>
      <c r="F47" s="140">
        <f t="shared" si="0"/>
        <v>0</v>
      </c>
    </row>
    <row r="48" ht="30" spans="1:6">
      <c r="A48" s="144">
        <v>6.3</v>
      </c>
      <c r="B48" s="145" t="s">
        <v>56</v>
      </c>
      <c r="C48" s="138" t="s">
        <v>45</v>
      </c>
      <c r="D48" s="134">
        <f>Plumbing!G9</f>
        <v>3</v>
      </c>
      <c r="E48" s="141"/>
      <c r="F48" s="140">
        <f t="shared" si="0"/>
        <v>0</v>
      </c>
    </row>
    <row r="49" ht="30" spans="1:6">
      <c r="A49" s="144">
        <v>6.4</v>
      </c>
      <c r="B49" s="145" t="s">
        <v>57</v>
      </c>
      <c r="C49" s="138" t="s">
        <v>45</v>
      </c>
      <c r="D49" s="134">
        <f>Plumbing!G11</f>
        <v>25</v>
      </c>
      <c r="E49" s="141"/>
      <c r="F49" s="140">
        <f t="shared" si="0"/>
        <v>0</v>
      </c>
    </row>
    <row r="50" ht="30" spans="1:6">
      <c r="A50" s="144">
        <v>6.5</v>
      </c>
      <c r="B50" s="145" t="s">
        <v>58</v>
      </c>
      <c r="C50" s="138" t="s">
        <v>59</v>
      </c>
      <c r="D50" s="134">
        <v>1</v>
      </c>
      <c r="E50" s="141"/>
      <c r="F50" s="140">
        <f t="shared" si="0"/>
        <v>0</v>
      </c>
    </row>
    <row r="51" ht="45" spans="1:6">
      <c r="A51" s="144">
        <v>6.6</v>
      </c>
      <c r="B51" s="145" t="s">
        <v>60</v>
      </c>
      <c r="C51" s="138" t="s">
        <v>55</v>
      </c>
      <c r="D51" s="134">
        <f>SUM(Plumbing!G16:G18)</f>
        <v>5</v>
      </c>
      <c r="E51" s="141"/>
      <c r="F51" s="140">
        <f t="shared" si="0"/>
        <v>0</v>
      </c>
    </row>
    <row r="52" ht="30" spans="1:6">
      <c r="A52" s="144">
        <v>6.7</v>
      </c>
      <c r="B52" s="145" t="s">
        <v>61</v>
      </c>
      <c r="C52" s="138" t="s">
        <v>62</v>
      </c>
      <c r="D52" s="134">
        <v>1</v>
      </c>
      <c r="E52" s="141"/>
      <c r="F52" s="140">
        <f t="shared" si="0"/>
        <v>0</v>
      </c>
    </row>
    <row r="53" ht="30" spans="1:6">
      <c r="A53" s="144">
        <v>6.8</v>
      </c>
      <c r="B53" s="145" t="s">
        <v>63</v>
      </c>
      <c r="C53" s="138" t="s">
        <v>62</v>
      </c>
      <c r="D53" s="134">
        <v>1</v>
      </c>
      <c r="E53" s="141"/>
      <c r="F53" s="140">
        <f t="shared" si="0"/>
        <v>0</v>
      </c>
    </row>
    <row r="54" spans="1:6">
      <c r="A54" s="144">
        <v>6.9</v>
      </c>
      <c r="B54" s="145" t="s">
        <v>64</v>
      </c>
      <c r="C54" s="138" t="s">
        <v>59</v>
      </c>
      <c r="D54" s="134">
        <v>1</v>
      </c>
      <c r="E54" s="141"/>
      <c r="F54" s="140">
        <f t="shared" si="0"/>
        <v>0</v>
      </c>
    </row>
    <row r="55" spans="1:6">
      <c r="A55" s="131" t="s">
        <v>65</v>
      </c>
      <c r="B55" s="143" t="s">
        <v>66</v>
      </c>
      <c r="C55" s="133"/>
      <c r="D55" s="134"/>
      <c r="E55" s="141"/>
      <c r="F55" s="140">
        <f>SUM(F46:F54)</f>
        <v>0</v>
      </c>
    </row>
    <row r="56" spans="1:6">
      <c r="A56" s="133"/>
      <c r="B56" s="143"/>
      <c r="C56" s="133"/>
      <c r="D56" s="134"/>
      <c r="E56" s="141"/>
      <c r="F56" s="140" t="str">
        <f t="shared" si="0"/>
        <v/>
      </c>
    </row>
    <row r="57" spans="1:6">
      <c r="A57" s="131">
        <v>7</v>
      </c>
      <c r="B57" s="143" t="s">
        <v>67</v>
      </c>
      <c r="C57" s="133"/>
      <c r="D57" s="134"/>
      <c r="E57" s="141"/>
      <c r="F57" s="140" t="str">
        <f t="shared" si="0"/>
        <v/>
      </c>
    </row>
    <row r="58" ht="64.5" customHeight="1" spans="1:6">
      <c r="A58" s="133">
        <v>7.1</v>
      </c>
      <c r="B58" s="145" t="s">
        <v>68</v>
      </c>
      <c r="C58" s="138" t="s">
        <v>55</v>
      </c>
      <c r="D58" s="134">
        <v>1</v>
      </c>
      <c r="E58" s="141"/>
      <c r="F58" s="140">
        <f t="shared" si="0"/>
        <v>0</v>
      </c>
    </row>
    <row r="59" ht="45" spans="1:6">
      <c r="A59" s="133">
        <v>7.2</v>
      </c>
      <c r="B59" s="145" t="s">
        <v>69</v>
      </c>
      <c r="C59" s="138" t="s">
        <v>55</v>
      </c>
      <c r="D59" s="134">
        <v>1</v>
      </c>
      <c r="E59" s="141"/>
      <c r="F59" s="140">
        <f t="shared" si="0"/>
        <v>0</v>
      </c>
    </row>
    <row r="60" ht="45" spans="1:6">
      <c r="A60" s="133">
        <v>7.3</v>
      </c>
      <c r="B60" s="145" t="s">
        <v>70</v>
      </c>
      <c r="C60" s="138" t="s">
        <v>45</v>
      </c>
      <c r="D60" s="134">
        <v>30</v>
      </c>
      <c r="E60" s="141"/>
      <c r="F60" s="140">
        <f t="shared" si="0"/>
        <v>0</v>
      </c>
    </row>
    <row r="61" spans="1:6">
      <c r="A61" s="131" t="s">
        <v>71</v>
      </c>
      <c r="B61" s="132" t="s">
        <v>72</v>
      </c>
      <c r="C61" s="133"/>
      <c r="D61" s="134"/>
      <c r="E61" s="141"/>
      <c r="F61" s="140">
        <f>SUM(F58:F60)</f>
        <v>0</v>
      </c>
    </row>
    <row r="62" spans="1:6">
      <c r="A62" s="133"/>
      <c r="B62" s="142"/>
      <c r="C62" s="133"/>
      <c r="D62" s="134"/>
      <c r="E62" s="141"/>
      <c r="F62" s="140" t="str">
        <f t="shared" si="0"/>
        <v/>
      </c>
    </row>
    <row r="63" spans="1:6">
      <c r="A63" s="131">
        <v>8</v>
      </c>
      <c r="B63" s="132" t="s">
        <v>73</v>
      </c>
      <c r="C63" s="133"/>
      <c r="D63" s="134"/>
      <c r="E63" s="141"/>
      <c r="F63" s="140" t="str">
        <f t="shared" si="0"/>
        <v/>
      </c>
    </row>
    <row r="64" ht="60" spans="1:6">
      <c r="A64" s="144">
        <v>8.1</v>
      </c>
      <c r="B64" s="145" t="s">
        <v>74</v>
      </c>
      <c r="C64" s="138" t="s">
        <v>55</v>
      </c>
      <c r="D64" s="134">
        <f>Electrical!G7</f>
        <v>2</v>
      </c>
      <c r="E64" s="141"/>
      <c r="F64" s="140">
        <f t="shared" si="0"/>
        <v>0</v>
      </c>
    </row>
    <row r="65" ht="30" spans="1:6">
      <c r="A65" s="144">
        <v>8.2</v>
      </c>
      <c r="B65" s="145" t="s">
        <v>75</v>
      </c>
      <c r="C65" s="138" t="s">
        <v>55</v>
      </c>
      <c r="D65" s="134">
        <v>1</v>
      </c>
      <c r="E65" s="141"/>
      <c r="F65" s="140">
        <f t="shared" si="0"/>
        <v>0</v>
      </c>
    </row>
    <row r="66" ht="45" spans="1:6">
      <c r="A66" s="144">
        <v>8.3</v>
      </c>
      <c r="B66" s="145" t="s">
        <v>76</v>
      </c>
      <c r="C66" s="138" t="s">
        <v>55</v>
      </c>
      <c r="D66" s="134">
        <v>1</v>
      </c>
      <c r="E66" s="141"/>
      <c r="F66" s="140">
        <f t="shared" si="0"/>
        <v>0</v>
      </c>
    </row>
    <row r="67" ht="30" spans="1:6">
      <c r="A67" s="144">
        <v>8.4</v>
      </c>
      <c r="B67" s="145" t="s">
        <v>77</v>
      </c>
      <c r="C67" s="138" t="s">
        <v>55</v>
      </c>
      <c r="D67" s="134">
        <v>1</v>
      </c>
      <c r="E67" s="141"/>
      <c r="F67" s="140">
        <f t="shared" si="0"/>
        <v>0</v>
      </c>
    </row>
    <row r="68" spans="1:6">
      <c r="A68" s="144">
        <v>8.5</v>
      </c>
      <c r="B68" s="145" t="s">
        <v>78</v>
      </c>
      <c r="C68" s="138" t="s">
        <v>59</v>
      </c>
      <c r="D68" s="134">
        <v>1</v>
      </c>
      <c r="E68" s="141"/>
      <c r="F68" s="140">
        <f t="shared" si="0"/>
        <v>0</v>
      </c>
    </row>
    <row r="69" ht="30" spans="1:6">
      <c r="A69" s="144">
        <v>8.6</v>
      </c>
      <c r="B69" s="145" t="s">
        <v>79</v>
      </c>
      <c r="C69" s="138" t="s">
        <v>55</v>
      </c>
      <c r="D69" s="134">
        <v>1</v>
      </c>
      <c r="E69" s="141"/>
      <c r="F69" s="140">
        <f t="shared" si="0"/>
        <v>0</v>
      </c>
    </row>
    <row r="70" ht="30" spans="1:6">
      <c r="A70" s="144">
        <v>8.7</v>
      </c>
      <c r="B70" s="145" t="s">
        <v>80</v>
      </c>
      <c r="C70" s="138" t="s">
        <v>59</v>
      </c>
      <c r="D70" s="134">
        <v>1</v>
      </c>
      <c r="E70" s="141"/>
      <c r="F70" s="140">
        <f t="shared" ref="F70:F106" si="1">IF(C70="","",D70*E70)</f>
        <v>0</v>
      </c>
    </row>
    <row r="71" spans="1:6">
      <c r="A71" s="131" t="s">
        <v>81</v>
      </c>
      <c r="B71" s="143" t="s">
        <v>82</v>
      </c>
      <c r="C71" s="133"/>
      <c r="D71" s="134"/>
      <c r="E71" s="141"/>
      <c r="F71" s="140">
        <f>SUM(F64:F70)</f>
        <v>0</v>
      </c>
    </row>
    <row r="72" spans="1:6">
      <c r="A72" s="133"/>
      <c r="B72" s="142"/>
      <c r="C72" s="133"/>
      <c r="D72" s="134"/>
      <c r="E72" s="141"/>
      <c r="F72" s="140" t="str">
        <f t="shared" si="1"/>
        <v/>
      </c>
    </row>
    <row r="73" spans="1:6">
      <c r="A73" s="131">
        <v>9</v>
      </c>
      <c r="B73" s="132" t="s">
        <v>83</v>
      </c>
      <c r="C73" s="133"/>
      <c r="D73" s="134"/>
      <c r="E73" s="141"/>
      <c r="F73" s="140" t="str">
        <f t="shared" si="1"/>
        <v/>
      </c>
    </row>
    <row r="74" ht="30" spans="1:6">
      <c r="A74" s="144">
        <v>9.1</v>
      </c>
      <c r="B74" s="145" t="s">
        <v>84</v>
      </c>
      <c r="C74" s="138" t="s">
        <v>9</v>
      </c>
      <c r="D74" s="134">
        <f>Finishes!H13</f>
        <v>60.08</v>
      </c>
      <c r="E74" s="141"/>
      <c r="F74" s="140">
        <f t="shared" si="1"/>
        <v>0</v>
      </c>
    </row>
    <row r="75" ht="36.75" customHeight="1" spans="1:6">
      <c r="A75" s="144">
        <v>9.2</v>
      </c>
      <c r="B75" s="145" t="s">
        <v>85</v>
      </c>
      <c r="C75" s="138" t="s">
        <v>9</v>
      </c>
      <c r="D75" s="134">
        <f>Finishes!H15</f>
        <v>3.92</v>
      </c>
      <c r="E75" s="141"/>
      <c r="F75" s="140">
        <f t="shared" si="1"/>
        <v>0</v>
      </c>
    </row>
    <row r="76" ht="36.75" customHeight="1" spans="1:6">
      <c r="A76" s="144">
        <v>9.3</v>
      </c>
      <c r="B76" s="145" t="s">
        <v>86</v>
      </c>
      <c r="C76" s="138" t="s">
        <v>9</v>
      </c>
      <c r="D76" s="134">
        <f>Finishes!H17</f>
        <v>13.9284</v>
      </c>
      <c r="E76" s="141"/>
      <c r="F76" s="140">
        <f t="shared" si="1"/>
        <v>0</v>
      </c>
    </row>
    <row r="77" ht="30" spans="1:6">
      <c r="A77" s="144">
        <v>9.4</v>
      </c>
      <c r="B77" s="145" t="s">
        <v>87</v>
      </c>
      <c r="C77" s="133"/>
      <c r="D77" s="134"/>
      <c r="E77" s="141"/>
      <c r="F77" s="140" t="str">
        <f t="shared" si="1"/>
        <v/>
      </c>
    </row>
    <row r="78" spans="1:6">
      <c r="A78" s="144"/>
      <c r="B78" s="145" t="s">
        <v>88</v>
      </c>
      <c r="C78" s="146" t="s">
        <v>9</v>
      </c>
      <c r="D78" s="134">
        <f>Finishes!H9</f>
        <v>99.58679584</v>
      </c>
      <c r="E78" s="141"/>
      <c r="F78" s="140">
        <f t="shared" si="1"/>
        <v>0</v>
      </c>
    </row>
    <row r="79" spans="1:6">
      <c r="A79" s="144"/>
      <c r="B79" s="145" t="s">
        <v>89</v>
      </c>
      <c r="C79" s="146" t="s">
        <v>9</v>
      </c>
      <c r="D79" s="134">
        <f>Finishes!H5</f>
        <v>128.68934992</v>
      </c>
      <c r="E79" s="141"/>
      <c r="F79" s="140">
        <f t="shared" si="1"/>
        <v>0</v>
      </c>
    </row>
    <row r="80" spans="1:6">
      <c r="A80" s="144"/>
      <c r="B80" s="145"/>
      <c r="C80" s="147"/>
      <c r="D80" s="134"/>
      <c r="E80" s="141"/>
      <c r="F80" s="140" t="str">
        <f t="shared" si="1"/>
        <v/>
      </c>
    </row>
    <row r="81" ht="30" spans="1:6">
      <c r="A81" s="144">
        <v>9.5</v>
      </c>
      <c r="B81" s="145" t="s">
        <v>90</v>
      </c>
      <c r="C81" s="147"/>
      <c r="D81" s="134"/>
      <c r="E81" s="141"/>
      <c r="F81" s="140" t="str">
        <f t="shared" si="1"/>
        <v/>
      </c>
    </row>
    <row r="82" spans="1:6">
      <c r="A82" s="144"/>
      <c r="B82" s="145" t="s">
        <v>88</v>
      </c>
      <c r="C82" s="146" t="s">
        <v>9</v>
      </c>
      <c r="D82" s="134">
        <f>Finishes!H19</f>
        <v>99.58679584</v>
      </c>
      <c r="E82" s="141"/>
      <c r="F82" s="140">
        <f t="shared" si="1"/>
        <v>0</v>
      </c>
    </row>
    <row r="83" spans="1:6">
      <c r="A83" s="144"/>
      <c r="B83" s="145" t="s">
        <v>89</v>
      </c>
      <c r="C83" s="146" t="s">
        <v>9</v>
      </c>
      <c r="D83" s="134">
        <f>Finishes!H21</f>
        <v>128.68934992</v>
      </c>
      <c r="E83" s="141"/>
      <c r="F83" s="140">
        <f t="shared" si="1"/>
        <v>0</v>
      </c>
    </row>
    <row r="84" spans="1:6">
      <c r="A84" s="144"/>
      <c r="B84" s="145"/>
      <c r="C84" s="147"/>
      <c r="D84" s="134"/>
      <c r="E84" s="141"/>
      <c r="F84" s="140" t="str">
        <f t="shared" si="1"/>
        <v/>
      </c>
    </row>
    <row r="85" spans="1:6">
      <c r="A85" s="148" t="s">
        <v>91</v>
      </c>
      <c r="B85" s="132" t="s">
        <v>92</v>
      </c>
      <c r="C85" s="147"/>
      <c r="D85" s="134"/>
      <c r="E85" s="141"/>
      <c r="F85" s="140">
        <f>SUM(F74:F84)</f>
        <v>0</v>
      </c>
    </row>
    <row r="86" spans="1:6">
      <c r="A86" s="144"/>
      <c r="B86" s="145"/>
      <c r="C86" s="147"/>
      <c r="D86" s="134"/>
      <c r="E86" s="141"/>
      <c r="F86" s="140" t="str">
        <f t="shared" si="1"/>
        <v/>
      </c>
    </row>
    <row r="87" spans="1:6">
      <c r="A87" s="148">
        <v>10</v>
      </c>
      <c r="B87" s="149" t="s">
        <v>93</v>
      </c>
      <c r="C87" s="147"/>
      <c r="D87" s="134"/>
      <c r="E87" s="141"/>
      <c r="F87" s="140" t="str">
        <f t="shared" si="1"/>
        <v/>
      </c>
    </row>
    <row r="88" spans="1:6">
      <c r="A88" s="148"/>
      <c r="B88" s="149"/>
      <c r="C88" s="147"/>
      <c r="D88" s="134"/>
      <c r="E88" s="141"/>
      <c r="F88" s="140" t="str">
        <f t="shared" si="1"/>
        <v/>
      </c>
    </row>
    <row r="89" ht="54.75" customHeight="1" spans="1:6">
      <c r="A89" s="144">
        <v>10.1</v>
      </c>
      <c r="B89" s="145" t="s">
        <v>94</v>
      </c>
      <c r="C89" s="138" t="s">
        <v>95</v>
      </c>
      <c r="D89" s="134">
        <f>Finishes!H15+Finishes!H17</f>
        <v>17.8484</v>
      </c>
      <c r="E89" s="141"/>
      <c r="F89" s="140">
        <f t="shared" si="1"/>
        <v>0</v>
      </c>
    </row>
    <row r="90" spans="1:6">
      <c r="A90" s="131" t="s">
        <v>96</v>
      </c>
      <c r="B90" s="132" t="s">
        <v>97</v>
      </c>
      <c r="C90" s="133"/>
      <c r="D90" s="134"/>
      <c r="E90" s="141"/>
      <c r="F90" s="140">
        <f>SUM(F89:F89)</f>
        <v>0</v>
      </c>
    </row>
    <row r="91" spans="1:6">
      <c r="A91" s="133"/>
      <c r="B91" s="142"/>
      <c r="C91" s="133"/>
      <c r="D91" s="134"/>
      <c r="E91" s="141"/>
      <c r="F91" s="140" t="str">
        <f t="shared" si="1"/>
        <v/>
      </c>
    </row>
    <row r="92" spans="1:6">
      <c r="A92" s="131">
        <v>11</v>
      </c>
      <c r="B92" s="132" t="s">
        <v>98</v>
      </c>
      <c r="C92" s="133"/>
      <c r="D92" s="134"/>
      <c r="E92" s="141"/>
      <c r="F92" s="140" t="str">
        <f t="shared" si="1"/>
        <v/>
      </c>
    </row>
    <row r="93" spans="1:6">
      <c r="A93" s="133"/>
      <c r="B93" s="142"/>
      <c r="C93" s="133"/>
      <c r="D93" s="134"/>
      <c r="E93" s="141"/>
      <c r="F93" s="140" t="str">
        <f t="shared" si="1"/>
        <v/>
      </c>
    </row>
    <row r="94" spans="1:6">
      <c r="A94" s="133"/>
      <c r="B94" s="150" t="s">
        <v>99</v>
      </c>
      <c r="C94" s="133"/>
      <c r="D94" s="134"/>
      <c r="E94" s="141"/>
      <c r="F94" s="140" t="str">
        <f t="shared" si="1"/>
        <v/>
      </c>
    </row>
    <row r="95" ht="30" spans="1:6">
      <c r="A95" s="151">
        <v>11.1</v>
      </c>
      <c r="B95" s="152" t="s">
        <v>100</v>
      </c>
      <c r="C95" s="153" t="s">
        <v>55</v>
      </c>
      <c r="D95" s="134">
        <f>'Doors and Windows'!H8</f>
        <v>1</v>
      </c>
      <c r="E95" s="141"/>
      <c r="F95" s="140">
        <f t="shared" si="1"/>
        <v>0</v>
      </c>
    </row>
    <row r="96" spans="1:6">
      <c r="A96" s="151">
        <v>11.2</v>
      </c>
      <c r="B96" s="152" t="s">
        <v>101</v>
      </c>
      <c r="C96" s="153" t="s">
        <v>55</v>
      </c>
      <c r="D96" s="134">
        <f>'Doors and Windows'!H9</f>
        <v>0</v>
      </c>
      <c r="E96" s="141"/>
      <c r="F96" s="140">
        <f t="shared" si="1"/>
        <v>0</v>
      </c>
    </row>
    <row r="97" spans="1:6">
      <c r="A97" s="151">
        <v>11.3</v>
      </c>
      <c r="B97" s="152" t="s">
        <v>102</v>
      </c>
      <c r="C97" s="153" t="s">
        <v>55</v>
      </c>
      <c r="D97" s="134">
        <f>'Doors and Windows'!H10</f>
        <v>3</v>
      </c>
      <c r="E97" s="141"/>
      <c r="F97" s="140">
        <f t="shared" si="1"/>
        <v>0</v>
      </c>
    </row>
    <row r="98" spans="1:6">
      <c r="A98" s="151">
        <v>11.4</v>
      </c>
      <c r="B98" s="152" t="s">
        <v>103</v>
      </c>
      <c r="C98" s="153" t="s">
        <v>55</v>
      </c>
      <c r="D98" s="134">
        <f>'Doors and Windows'!H11</f>
        <v>1</v>
      </c>
      <c r="E98" s="141"/>
      <c r="F98" s="140">
        <f t="shared" si="1"/>
        <v>0</v>
      </c>
    </row>
    <row r="99" spans="1:6">
      <c r="A99" s="133"/>
      <c r="B99" s="154"/>
      <c r="C99" s="133"/>
      <c r="D99" s="134"/>
      <c r="E99" s="141"/>
      <c r="F99" s="140" t="str">
        <f t="shared" si="1"/>
        <v/>
      </c>
    </row>
    <row r="100" spans="1:6">
      <c r="A100" s="133"/>
      <c r="B100" s="132" t="s">
        <v>104</v>
      </c>
      <c r="C100" s="133"/>
      <c r="D100" s="134"/>
      <c r="E100" s="141"/>
      <c r="F100" s="140" t="str">
        <f t="shared" si="1"/>
        <v/>
      </c>
    </row>
    <row r="101" ht="30" spans="1:6">
      <c r="A101" s="133">
        <v>11.5</v>
      </c>
      <c r="B101" s="137" t="s">
        <v>105</v>
      </c>
      <c r="C101" s="153" t="s">
        <v>55</v>
      </c>
      <c r="D101" s="134">
        <f>'Doors and Windows'!H13</f>
        <v>1</v>
      </c>
      <c r="E101" s="141"/>
      <c r="F101" s="140">
        <f t="shared" si="1"/>
        <v>0</v>
      </c>
    </row>
    <row r="102" ht="30" spans="1:6">
      <c r="A102" s="133">
        <v>11.6</v>
      </c>
      <c r="B102" s="137" t="s">
        <v>106</v>
      </c>
      <c r="C102" s="153" t="s">
        <v>55</v>
      </c>
      <c r="D102" s="134">
        <f>'Doors and Windows'!H14</f>
        <v>1</v>
      </c>
      <c r="E102" s="141"/>
      <c r="F102" s="140">
        <f t="shared" si="1"/>
        <v>0</v>
      </c>
    </row>
    <row r="103" ht="30" spans="1:6">
      <c r="A103" s="133">
        <v>11.7</v>
      </c>
      <c r="B103" s="137" t="s">
        <v>107</v>
      </c>
      <c r="C103" s="153" t="s">
        <v>55</v>
      </c>
      <c r="D103" s="134">
        <f>'Doors and Windows'!H15</f>
        <v>1</v>
      </c>
      <c r="E103" s="141"/>
      <c r="F103" s="140">
        <f t="shared" si="1"/>
        <v>0</v>
      </c>
    </row>
    <row r="104" ht="30" spans="1:6">
      <c r="A104" s="133">
        <v>11.8</v>
      </c>
      <c r="B104" s="137" t="s">
        <v>108</v>
      </c>
      <c r="C104" s="153" t="s">
        <v>55</v>
      </c>
      <c r="D104" s="134">
        <f>'Doors and Windows'!H16</f>
        <v>1</v>
      </c>
      <c r="E104" s="141"/>
      <c r="F104" s="140">
        <f t="shared" si="1"/>
        <v>0</v>
      </c>
    </row>
    <row r="105" spans="1:6">
      <c r="A105" s="133">
        <v>11.9</v>
      </c>
      <c r="B105" s="137" t="s">
        <v>109</v>
      </c>
      <c r="C105" s="153" t="s">
        <v>55</v>
      </c>
      <c r="D105" s="134">
        <f>'Doors and Windows'!H17</f>
        <v>1</v>
      </c>
      <c r="E105" s="141"/>
      <c r="F105" s="140">
        <f t="shared" si="1"/>
        <v>0</v>
      </c>
    </row>
    <row r="106" spans="1:6">
      <c r="A106" s="155">
        <v>11.1</v>
      </c>
      <c r="B106" s="137" t="s">
        <v>110</v>
      </c>
      <c r="C106" s="153" t="s">
        <v>55</v>
      </c>
      <c r="D106" s="134">
        <f>'Doors and Windows'!H18</f>
        <v>1</v>
      </c>
      <c r="E106" s="141"/>
      <c r="F106" s="140">
        <f t="shared" si="1"/>
        <v>0</v>
      </c>
    </row>
    <row r="107" spans="1:6">
      <c r="A107" s="131" t="s">
        <v>111</v>
      </c>
      <c r="B107" s="132" t="s">
        <v>112</v>
      </c>
      <c r="C107" s="133"/>
      <c r="D107" s="134"/>
      <c r="E107" s="141"/>
      <c r="F107" s="156">
        <f>SUM(F95:F106)</f>
        <v>0</v>
      </c>
    </row>
    <row r="108" spans="1:6">
      <c r="A108" s="133"/>
      <c r="B108" s="132"/>
      <c r="C108" s="133"/>
      <c r="D108" s="134"/>
      <c r="E108" s="141"/>
      <c r="F108" s="157"/>
    </row>
    <row r="109" spans="1:6">
      <c r="A109" s="133"/>
      <c r="B109" s="132" t="s">
        <v>113</v>
      </c>
      <c r="C109" s="131"/>
      <c r="D109" s="140"/>
      <c r="E109" s="157"/>
      <c r="F109" s="156">
        <f>F6+F10+F22+F34+F43+F55+F61+F71+F85+F90+F107</f>
        <v>0</v>
      </c>
    </row>
    <row r="110" spans="1:6">
      <c r="A110" s="133"/>
      <c r="B110" s="142"/>
      <c r="C110" s="133"/>
      <c r="D110" s="134"/>
      <c r="E110" s="141"/>
      <c r="F110" s="157"/>
    </row>
    <row r="111" spans="1:6">
      <c r="A111" s="133"/>
      <c r="B111" s="142"/>
      <c r="C111" s="133"/>
      <c r="D111" s="134"/>
      <c r="E111" s="141"/>
      <c r="F111" s="157"/>
    </row>
    <row r="112" spans="6:6">
      <c r="F112" s="158"/>
    </row>
    <row r="113" spans="6:6">
      <c r="F113" s="158"/>
    </row>
  </sheetData>
  <mergeCells count="1">
    <mergeCell ref="A1:F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
  <sheetViews>
    <sheetView workbookViewId="0">
      <selection activeCell="C9" sqref="C9"/>
    </sheetView>
  </sheetViews>
  <sheetFormatPr defaultColWidth="9" defaultRowHeight="15"/>
  <cols>
    <col min="1" max="1" width="9.14166666666667" style="63"/>
    <col min="2" max="2" width="34.7083333333333" style="64" customWidth="1"/>
    <col min="3" max="3" width="16.5666666666667" style="63" customWidth="1"/>
    <col min="4" max="5" width="13" style="107" customWidth="1"/>
    <col min="6" max="7" width="13" style="114" customWidth="1"/>
    <col min="8" max="8" width="13" style="115" customWidth="1"/>
    <col min="9" max="9" width="13" style="107" customWidth="1"/>
    <col min="10" max="12" width="9" style="64"/>
    <col min="13" max="13" width="11.125" style="64"/>
    <col min="14" max="16384" width="9" style="64"/>
  </cols>
  <sheetData>
    <row r="1" spans="5:8">
      <c r="E1" s="114"/>
      <c r="H1" s="114"/>
    </row>
    <row r="2" ht="18" customHeight="1" spans="5:8">
      <c r="E2" s="114"/>
      <c r="H2" s="114"/>
    </row>
    <row r="3" s="63" customFormat="1" ht="22.5" customHeight="1" spans="1:14">
      <c r="A3" s="66" t="s">
        <v>114</v>
      </c>
      <c r="B3" s="66" t="s">
        <v>115</v>
      </c>
      <c r="C3" s="66" t="s">
        <v>3</v>
      </c>
      <c r="D3" s="66" t="s">
        <v>116</v>
      </c>
      <c r="E3" s="109" t="s">
        <v>117</v>
      </c>
      <c r="F3" s="109" t="s">
        <v>118</v>
      </c>
      <c r="G3" s="109" t="s">
        <v>119</v>
      </c>
      <c r="H3" s="109" t="s">
        <v>4</v>
      </c>
      <c r="I3" s="66" t="s">
        <v>120</v>
      </c>
      <c r="M3" s="119" t="s">
        <v>121</v>
      </c>
      <c r="N3" s="119" t="s">
        <v>45</v>
      </c>
    </row>
    <row r="4" spans="1:14">
      <c r="A4" s="91"/>
      <c r="B4" s="69" t="s">
        <v>122</v>
      </c>
      <c r="C4" s="91"/>
      <c r="D4" s="92"/>
      <c r="E4" s="116"/>
      <c r="F4" s="116"/>
      <c r="G4" s="116"/>
      <c r="H4" s="116"/>
      <c r="I4" s="92"/>
      <c r="M4" s="64">
        <v>1</v>
      </c>
      <c r="N4" s="64">
        <v>0.3048</v>
      </c>
    </row>
    <row r="5" ht="45" spans="1:9">
      <c r="A5" s="91">
        <v>1</v>
      </c>
      <c r="B5" s="88" t="s">
        <v>123</v>
      </c>
      <c r="C5" s="117" t="s">
        <v>124</v>
      </c>
      <c r="D5" s="99"/>
      <c r="E5" s="118">
        <f>(36.75+0.74)*0.3048+(3*2)</f>
        <v>17.426952</v>
      </c>
      <c r="F5" s="118">
        <f>(11.5+2.66+4.66+(0.74*3))*0.3048+(3*2)</f>
        <v>12.412992</v>
      </c>
      <c r="G5" s="118"/>
      <c r="H5" s="118">
        <f>PRODUCT(D5:G5)</f>
        <v>216.320615760384</v>
      </c>
      <c r="I5" s="99"/>
    </row>
    <row r="6" spans="1:13">
      <c r="A6" s="91"/>
      <c r="B6" s="67"/>
      <c r="C6" s="91"/>
      <c r="D6" s="99"/>
      <c r="E6" s="118"/>
      <c r="F6" s="118"/>
      <c r="G6" s="118"/>
      <c r="H6" s="118"/>
      <c r="I6" s="99"/>
      <c r="M6" s="64">
        <f>225/1000/N4</f>
        <v>0.738188976377953</v>
      </c>
    </row>
    <row r="7" spans="1:9">
      <c r="A7" s="91"/>
      <c r="B7" s="67"/>
      <c r="C7" s="91"/>
      <c r="D7" s="99"/>
      <c r="E7" s="118"/>
      <c r="F7" s="118"/>
      <c r="G7" s="118"/>
      <c r="H7" s="118"/>
      <c r="I7" s="99"/>
    </row>
    <row r="8" spans="1:9">
      <c r="A8" s="91"/>
      <c r="B8" s="67"/>
      <c r="C8" s="91"/>
      <c r="D8" s="99"/>
      <c r="E8" s="118"/>
      <c r="F8" s="118"/>
      <c r="G8" s="118"/>
      <c r="H8" s="118"/>
      <c r="I8" s="99"/>
    </row>
    <row r="9" spans="1:9">
      <c r="A9" s="91"/>
      <c r="B9" s="67"/>
      <c r="C9" s="91"/>
      <c r="D9" s="99"/>
      <c r="E9" s="118"/>
      <c r="F9" s="118"/>
      <c r="G9" s="118"/>
      <c r="H9" s="118"/>
      <c r="I9" s="99"/>
    </row>
    <row r="10" spans="1:13">
      <c r="A10" s="91"/>
      <c r="B10" s="69"/>
      <c r="C10" s="110"/>
      <c r="D10" s="99"/>
      <c r="E10" s="118"/>
      <c r="F10" s="118"/>
      <c r="G10" s="118"/>
      <c r="H10" s="118"/>
      <c r="I10" s="99"/>
      <c r="M10" s="120" t="s">
        <v>125</v>
      </c>
    </row>
    <row r="11" spans="1:14">
      <c r="A11" s="91"/>
      <c r="B11" s="67"/>
      <c r="C11" s="91"/>
      <c r="D11" s="99"/>
      <c r="E11" s="118"/>
      <c r="F11" s="118"/>
      <c r="G11" s="118"/>
      <c r="H11" s="118"/>
      <c r="I11" s="99"/>
      <c r="M11" s="64">
        <v>1</v>
      </c>
      <c r="N11" s="64">
        <f>N4/12</f>
        <v>0.0254</v>
      </c>
    </row>
    <row r="12" spans="1:9">
      <c r="A12" s="91"/>
      <c r="B12" s="67"/>
      <c r="C12" s="91"/>
      <c r="D12" s="99"/>
      <c r="E12" s="118"/>
      <c r="F12" s="118"/>
      <c r="G12" s="118"/>
      <c r="H12" s="118"/>
      <c r="I12" s="99"/>
    </row>
    <row r="13" spans="1:9">
      <c r="A13" s="91"/>
      <c r="B13" s="67"/>
      <c r="C13" s="91"/>
      <c r="D13" s="99"/>
      <c r="E13" s="118"/>
      <c r="F13" s="118"/>
      <c r="G13" s="118"/>
      <c r="H13" s="118"/>
      <c r="I13" s="99"/>
    </row>
    <row r="14" spans="1:9">
      <c r="A14" s="91"/>
      <c r="B14" s="67"/>
      <c r="C14" s="91"/>
      <c r="D14" s="99"/>
      <c r="E14" s="118"/>
      <c r="F14" s="118"/>
      <c r="G14" s="118"/>
      <c r="H14" s="118"/>
      <c r="I14" s="99"/>
    </row>
    <row r="15" spans="1:9">
      <c r="A15" s="91"/>
      <c r="B15" s="69"/>
      <c r="C15" s="110"/>
      <c r="D15" s="99"/>
      <c r="E15" s="118"/>
      <c r="F15" s="118"/>
      <c r="G15" s="118"/>
      <c r="H15" s="118"/>
      <c r="I15" s="99"/>
    </row>
    <row r="16" spans="1:9">
      <c r="A16" s="91"/>
      <c r="B16" s="67"/>
      <c r="C16" s="91"/>
      <c r="D16" s="99"/>
      <c r="E16" s="118"/>
      <c r="F16" s="118"/>
      <c r="G16" s="118"/>
      <c r="H16" s="118"/>
      <c r="I16" s="99"/>
    </row>
    <row r="17" spans="1:13">
      <c r="A17" s="91"/>
      <c r="B17" s="67"/>
      <c r="C17" s="91"/>
      <c r="D17" s="99"/>
      <c r="E17" s="118"/>
      <c r="F17" s="118"/>
      <c r="G17" s="118"/>
      <c r="H17" s="118"/>
      <c r="I17" s="99"/>
      <c r="M17" s="64">
        <v>171.166</v>
      </c>
    </row>
    <row r="18" spans="1:13">
      <c r="A18" s="91"/>
      <c r="B18" s="67"/>
      <c r="C18" s="91"/>
      <c r="D18" s="99"/>
      <c r="E18" s="118"/>
      <c r="F18" s="118"/>
      <c r="G18" s="118"/>
      <c r="H18" s="118"/>
      <c r="I18" s="99"/>
      <c r="M18" s="64">
        <f>M17*N4</f>
        <v>52.1713968</v>
      </c>
    </row>
    <row r="19" spans="1:9">
      <c r="A19" s="91"/>
      <c r="B19" s="67"/>
      <c r="C19" s="91"/>
      <c r="D19" s="99"/>
      <c r="E19" s="118"/>
      <c r="F19" s="118"/>
      <c r="G19" s="118"/>
      <c r="H19" s="118"/>
      <c r="I19" s="99"/>
    </row>
    <row r="20" spans="1:9">
      <c r="A20" s="91"/>
      <c r="B20" s="67"/>
      <c r="C20" s="91"/>
      <c r="D20" s="99"/>
      <c r="E20" s="118"/>
      <c r="F20" s="118"/>
      <c r="G20" s="118"/>
      <c r="H20" s="118"/>
      <c r="I20" s="99"/>
    </row>
    <row r="21" spans="1:9">
      <c r="A21" s="91"/>
      <c r="B21" s="67"/>
      <c r="C21" s="91"/>
      <c r="D21" s="99"/>
      <c r="E21" s="118"/>
      <c r="F21" s="118"/>
      <c r="G21" s="118"/>
      <c r="H21" s="118"/>
      <c r="I21" s="99"/>
    </row>
    <row r="22" spans="1:9">
      <c r="A22" s="91"/>
      <c r="B22" s="69"/>
      <c r="C22" s="110"/>
      <c r="D22" s="99"/>
      <c r="E22" s="118"/>
      <c r="F22" s="118"/>
      <c r="G22" s="118"/>
      <c r="H22" s="118"/>
      <c r="I22" s="99"/>
    </row>
    <row r="23" spans="1:9">
      <c r="A23" s="91"/>
      <c r="B23" s="67"/>
      <c r="C23" s="91"/>
      <c r="D23" s="99"/>
      <c r="E23" s="118"/>
      <c r="F23" s="118"/>
      <c r="G23" s="118"/>
      <c r="H23" s="118"/>
      <c r="I23" s="99"/>
    </row>
    <row r="24" spans="1:9">
      <c r="A24" s="91"/>
      <c r="B24" s="67"/>
      <c r="C24" s="91"/>
      <c r="D24" s="99"/>
      <c r="E24" s="118"/>
      <c r="F24" s="118"/>
      <c r="G24" s="118"/>
      <c r="H24" s="118"/>
      <c r="I24" s="99"/>
    </row>
    <row r="25" spans="1:9">
      <c r="A25" s="91"/>
      <c r="B25" s="67"/>
      <c r="C25" s="91"/>
      <c r="D25" s="99"/>
      <c r="E25" s="118"/>
      <c r="F25" s="118"/>
      <c r="G25" s="118"/>
      <c r="H25" s="118"/>
      <c r="I25" s="99"/>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M25"/>
  <sheetViews>
    <sheetView workbookViewId="0">
      <selection activeCell="D12" sqref="D12"/>
    </sheetView>
  </sheetViews>
  <sheetFormatPr defaultColWidth="9" defaultRowHeight="15"/>
  <cols>
    <col min="1" max="1" width="9" style="64"/>
    <col min="2" max="2" width="34.7083333333333" style="64" customWidth="1"/>
    <col min="3" max="3" width="11.7083333333333" style="65" customWidth="1"/>
    <col min="4" max="8" width="13" style="113" customWidth="1"/>
    <col min="9" max="9" width="13" style="64" customWidth="1"/>
    <col min="10" max="12" width="9" style="64"/>
    <col min="13" max="13" width="10.125" style="64"/>
    <col min="14" max="16384" width="9" style="64"/>
  </cols>
  <sheetData>
    <row r="2" ht="6.75" customHeight="1"/>
    <row r="3" s="63" customFormat="1" ht="22.5" customHeight="1" spans="1:9">
      <c r="A3" s="66" t="s">
        <v>114</v>
      </c>
      <c r="B3" s="66" t="s">
        <v>115</v>
      </c>
      <c r="C3" s="66" t="s">
        <v>3</v>
      </c>
      <c r="D3" s="109" t="s">
        <v>116</v>
      </c>
      <c r="E3" s="109" t="s">
        <v>117</v>
      </c>
      <c r="F3" s="109" t="s">
        <v>118</v>
      </c>
      <c r="G3" s="109" t="s">
        <v>119</v>
      </c>
      <c r="H3" s="109" t="s">
        <v>4</v>
      </c>
      <c r="I3" s="66" t="s">
        <v>120</v>
      </c>
    </row>
    <row r="4" spans="1:9">
      <c r="A4" s="67"/>
      <c r="B4" s="67"/>
      <c r="C4" s="70"/>
      <c r="D4" s="97"/>
      <c r="E4" s="97"/>
      <c r="F4" s="97"/>
      <c r="G4" s="97"/>
      <c r="H4" s="97"/>
      <c r="I4" s="69"/>
    </row>
    <row r="5" spans="1:13">
      <c r="A5" s="67"/>
      <c r="B5" s="69" t="s">
        <v>126</v>
      </c>
      <c r="C5" s="68"/>
      <c r="D5" s="75"/>
      <c r="E5" s="75"/>
      <c r="F5" s="75"/>
      <c r="G5" s="75"/>
      <c r="H5" s="75"/>
      <c r="I5" s="67"/>
      <c r="M5" s="64">
        <f>171.166*0.3048</f>
        <v>52.1713968</v>
      </c>
    </row>
    <row r="6" spans="1:9">
      <c r="A6" s="67"/>
      <c r="B6" s="71" t="s">
        <v>127</v>
      </c>
      <c r="C6" s="72" t="s">
        <v>128</v>
      </c>
      <c r="D6" s="75"/>
      <c r="E6" s="75">
        <v>57.2</v>
      </c>
      <c r="F6" s="75">
        <f>750/1000</f>
        <v>0.75</v>
      </c>
      <c r="G6" s="75">
        <f>(450+100+600)/1000</f>
        <v>1.15</v>
      </c>
      <c r="H6" s="75">
        <f>PRODUCT(D6:G6)</f>
        <v>49.335</v>
      </c>
      <c r="I6" s="67"/>
    </row>
    <row r="7" spans="1:9">
      <c r="A7" s="67"/>
      <c r="B7" s="67"/>
      <c r="C7" s="70"/>
      <c r="D7" s="75"/>
      <c r="E7" s="75"/>
      <c r="F7" s="75"/>
      <c r="G7" s="75"/>
      <c r="H7" s="75"/>
      <c r="I7" s="67"/>
    </row>
    <row r="8" spans="1:9">
      <c r="A8" s="67"/>
      <c r="B8" s="67"/>
      <c r="C8" s="70"/>
      <c r="D8" s="75"/>
      <c r="E8" s="75"/>
      <c r="F8" s="75"/>
      <c r="G8" s="75"/>
      <c r="H8" s="75"/>
      <c r="I8" s="67"/>
    </row>
    <row r="9" spans="1:9">
      <c r="A9" s="67"/>
      <c r="B9" s="67"/>
      <c r="C9" s="70"/>
      <c r="D9" s="75"/>
      <c r="E9" s="75"/>
      <c r="F9" s="75"/>
      <c r="G9" s="75"/>
      <c r="H9" s="75"/>
      <c r="I9" s="67"/>
    </row>
    <row r="10" spans="1:9">
      <c r="A10" s="67"/>
      <c r="B10" s="69"/>
      <c r="C10" s="68"/>
      <c r="D10" s="75"/>
      <c r="E10" s="75"/>
      <c r="F10" s="75"/>
      <c r="G10" s="75"/>
      <c r="H10" s="75"/>
      <c r="I10" s="67"/>
    </row>
    <row r="11" spans="1:9">
      <c r="A11" s="67"/>
      <c r="B11" s="67"/>
      <c r="C11" s="70"/>
      <c r="D11" s="75"/>
      <c r="E11" s="75"/>
      <c r="F11" s="75"/>
      <c r="G11" s="75"/>
      <c r="H11" s="75"/>
      <c r="I11" s="67"/>
    </row>
    <row r="12" spans="1:9">
      <c r="A12" s="67"/>
      <c r="B12" s="67"/>
      <c r="C12" s="70"/>
      <c r="D12" s="75"/>
      <c r="E12" s="75"/>
      <c r="F12" s="75"/>
      <c r="G12" s="75"/>
      <c r="H12" s="75"/>
      <c r="I12" s="67"/>
    </row>
    <row r="13" spans="1:9">
      <c r="A13" s="67"/>
      <c r="B13" s="67"/>
      <c r="C13" s="70"/>
      <c r="D13" s="75"/>
      <c r="E13" s="75"/>
      <c r="F13" s="75"/>
      <c r="G13" s="75"/>
      <c r="H13" s="75"/>
      <c r="I13" s="67"/>
    </row>
    <row r="14" spans="1:9">
      <c r="A14" s="67"/>
      <c r="B14" s="67"/>
      <c r="C14" s="70"/>
      <c r="D14" s="75"/>
      <c r="E14" s="75"/>
      <c r="F14" s="75"/>
      <c r="G14" s="75"/>
      <c r="H14" s="75"/>
      <c r="I14" s="67"/>
    </row>
    <row r="15" spans="1:9">
      <c r="A15" s="67"/>
      <c r="B15" s="69"/>
      <c r="C15" s="68"/>
      <c r="D15" s="75"/>
      <c r="E15" s="75"/>
      <c r="F15" s="75"/>
      <c r="G15" s="75"/>
      <c r="H15" s="75"/>
      <c r="I15" s="67"/>
    </row>
    <row r="16" spans="1:9">
      <c r="A16" s="67"/>
      <c r="B16" s="67"/>
      <c r="C16" s="70"/>
      <c r="D16" s="75"/>
      <c r="E16" s="75"/>
      <c r="F16" s="75"/>
      <c r="G16" s="75"/>
      <c r="H16" s="75"/>
      <c r="I16" s="67"/>
    </row>
    <row r="17" spans="1:9">
      <c r="A17" s="67"/>
      <c r="B17" s="67"/>
      <c r="C17" s="70"/>
      <c r="D17" s="75"/>
      <c r="E17" s="75"/>
      <c r="F17" s="75"/>
      <c r="G17" s="75"/>
      <c r="H17" s="75"/>
      <c r="I17" s="67"/>
    </row>
    <row r="18" spans="1:9">
      <c r="A18" s="67"/>
      <c r="B18" s="67"/>
      <c r="C18" s="70"/>
      <c r="D18" s="75"/>
      <c r="E18" s="75"/>
      <c r="F18" s="75"/>
      <c r="G18" s="75"/>
      <c r="H18" s="75"/>
      <c r="I18" s="67"/>
    </row>
    <row r="19" spans="1:9">
      <c r="A19" s="67"/>
      <c r="B19" s="67"/>
      <c r="C19" s="70"/>
      <c r="D19" s="75"/>
      <c r="E19" s="75"/>
      <c r="F19" s="75"/>
      <c r="G19" s="75"/>
      <c r="H19" s="75"/>
      <c r="I19" s="67"/>
    </row>
    <row r="20" spans="1:9">
      <c r="A20" s="67"/>
      <c r="B20" s="67"/>
      <c r="C20" s="70"/>
      <c r="D20" s="75"/>
      <c r="E20" s="75"/>
      <c r="F20" s="75"/>
      <c r="G20" s="75"/>
      <c r="H20" s="75"/>
      <c r="I20" s="67"/>
    </row>
    <row r="21" spans="1:9">
      <c r="A21" s="67"/>
      <c r="B21" s="67"/>
      <c r="C21" s="70"/>
      <c r="D21" s="75"/>
      <c r="E21" s="75"/>
      <c r="F21" s="75"/>
      <c r="G21" s="75"/>
      <c r="H21" s="75"/>
      <c r="I21" s="67"/>
    </row>
    <row r="22" spans="1:9">
      <c r="A22" s="67"/>
      <c r="B22" s="69"/>
      <c r="C22" s="68"/>
      <c r="D22" s="75"/>
      <c r="E22" s="75"/>
      <c r="F22" s="75"/>
      <c r="G22" s="75"/>
      <c r="H22" s="75"/>
      <c r="I22" s="67"/>
    </row>
    <row r="23" spans="1:9">
      <c r="A23" s="67"/>
      <c r="B23" s="67"/>
      <c r="C23" s="70"/>
      <c r="D23" s="75"/>
      <c r="E23" s="75"/>
      <c r="F23" s="75"/>
      <c r="G23" s="75"/>
      <c r="H23" s="75"/>
      <c r="I23" s="67"/>
    </row>
    <row r="24" spans="1:9">
      <c r="A24" s="67"/>
      <c r="B24" s="67"/>
      <c r="C24" s="70"/>
      <c r="D24" s="75"/>
      <c r="E24" s="75"/>
      <c r="F24" s="75"/>
      <c r="G24" s="75"/>
      <c r="H24" s="75"/>
      <c r="I24" s="67"/>
    </row>
    <row r="25" spans="1:9">
      <c r="A25" s="67"/>
      <c r="B25" s="67"/>
      <c r="C25" s="70"/>
      <c r="D25" s="75"/>
      <c r="E25" s="75"/>
      <c r="F25" s="75"/>
      <c r="G25" s="75"/>
      <c r="H25" s="75"/>
      <c r="I25" s="67"/>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31"/>
  <sheetViews>
    <sheetView workbookViewId="0">
      <selection activeCell="C8" sqref="C8"/>
    </sheetView>
  </sheetViews>
  <sheetFormatPr defaultColWidth="9" defaultRowHeight="15"/>
  <cols>
    <col min="1" max="1" width="9.14166666666667" style="63"/>
    <col min="2" max="2" width="34.7083333333333" style="107" customWidth="1"/>
    <col min="3" max="3" width="14.425" style="63" customWidth="1"/>
    <col min="4" max="4" width="13" style="63" customWidth="1"/>
    <col min="5" max="5" width="13" style="108" customWidth="1"/>
    <col min="6" max="7" width="13" style="63" customWidth="1"/>
    <col min="8" max="8" width="13" style="108" customWidth="1"/>
    <col min="9" max="9" width="13" style="63" customWidth="1"/>
    <col min="10" max="16384" width="9" style="64"/>
  </cols>
  <sheetData>
    <row r="2" ht="6.75" customHeight="1"/>
    <row r="3" s="63" customFormat="1" ht="22.5" customHeight="1" spans="1:9">
      <c r="A3" s="66" t="s">
        <v>114</v>
      </c>
      <c r="B3" s="66" t="s">
        <v>115</v>
      </c>
      <c r="C3" s="66" t="s">
        <v>3</v>
      </c>
      <c r="D3" s="66" t="s">
        <v>116</v>
      </c>
      <c r="E3" s="109" t="s">
        <v>117</v>
      </c>
      <c r="F3" s="66" t="s">
        <v>118</v>
      </c>
      <c r="G3" s="66" t="s">
        <v>119</v>
      </c>
      <c r="H3" s="109" t="s">
        <v>4</v>
      </c>
      <c r="I3" s="66" t="s">
        <v>120</v>
      </c>
    </row>
    <row r="4" spans="1:9">
      <c r="A4" s="91"/>
      <c r="B4" s="92" t="s">
        <v>129</v>
      </c>
      <c r="C4" s="91"/>
      <c r="D4" s="110"/>
      <c r="E4" s="98"/>
      <c r="F4" s="110"/>
      <c r="G4" s="110"/>
      <c r="H4" s="98"/>
      <c r="I4" s="110"/>
    </row>
    <row r="5" ht="30" spans="1:9">
      <c r="A5" s="91">
        <v>1</v>
      </c>
      <c r="B5" s="111" t="s">
        <v>130</v>
      </c>
      <c r="C5" s="96" t="s">
        <v>128</v>
      </c>
      <c r="D5" s="91"/>
      <c r="E5" s="93">
        <f>Excavation!E6</f>
        <v>57.2</v>
      </c>
      <c r="F5" s="91">
        <f>750/1000</f>
        <v>0.75</v>
      </c>
      <c r="G5" s="91">
        <f>600/1000</f>
        <v>0.6</v>
      </c>
      <c r="H5" s="93">
        <f>PRODUCT(D5:G5)</f>
        <v>25.74</v>
      </c>
      <c r="I5" s="91"/>
    </row>
    <row r="6" spans="1:9">
      <c r="A6" s="91"/>
      <c r="B6" s="99"/>
      <c r="C6" s="91"/>
      <c r="D6" s="91"/>
      <c r="E6" s="93"/>
      <c r="F6" s="91"/>
      <c r="G6" s="91"/>
      <c r="H6" s="93"/>
      <c r="I6" s="91"/>
    </row>
    <row r="7" spans="1:9">
      <c r="A7" s="91"/>
      <c r="B7" s="92" t="s">
        <v>131</v>
      </c>
      <c r="C7" s="91"/>
      <c r="D7" s="91"/>
      <c r="E7" s="93"/>
      <c r="F7" s="91"/>
      <c r="G7" s="91"/>
      <c r="H7" s="93"/>
      <c r="I7" s="91"/>
    </row>
    <row r="8" ht="45" spans="1:9">
      <c r="A8" s="91">
        <v>2</v>
      </c>
      <c r="B8" s="111" t="s">
        <v>132</v>
      </c>
      <c r="C8" s="96" t="s">
        <v>95</v>
      </c>
      <c r="D8" s="91"/>
      <c r="E8" s="93">
        <f>E5-(0.6*8)</f>
        <v>52.4</v>
      </c>
      <c r="F8" s="91">
        <f>600/1000</f>
        <v>0.6</v>
      </c>
      <c r="G8" s="91"/>
      <c r="H8" s="93">
        <f>PRODUCT(D8:G8)</f>
        <v>31.44</v>
      </c>
      <c r="I8" s="91"/>
    </row>
    <row r="9" spans="1:9">
      <c r="A9" s="91"/>
      <c r="B9" s="112"/>
      <c r="C9" s="91"/>
      <c r="D9" s="91"/>
      <c r="E9" s="93"/>
      <c r="F9" s="91"/>
      <c r="G9" s="91"/>
      <c r="H9" s="93"/>
      <c r="I9" s="91"/>
    </row>
    <row r="10" spans="1:9">
      <c r="A10" s="91">
        <v>3</v>
      </c>
      <c r="B10" s="111" t="s">
        <v>133</v>
      </c>
      <c r="C10" s="96" t="s">
        <v>128</v>
      </c>
      <c r="D10" s="91">
        <v>11</v>
      </c>
      <c r="E10" s="93">
        <f>600/1000</f>
        <v>0.6</v>
      </c>
      <c r="F10" s="91">
        <f>600/1000</f>
        <v>0.6</v>
      </c>
      <c r="G10" s="91">
        <f>100/1000</f>
        <v>0.1</v>
      </c>
      <c r="H10" s="93">
        <f>PRODUCT(D10:G10)</f>
        <v>0.396</v>
      </c>
      <c r="I10" s="91"/>
    </row>
    <row r="11" spans="1:9">
      <c r="A11" s="91"/>
      <c r="B11" s="99"/>
      <c r="C11" s="91"/>
      <c r="D11" s="91"/>
      <c r="E11" s="93"/>
      <c r="F11" s="91"/>
      <c r="G11" s="91"/>
      <c r="H11" s="93"/>
      <c r="I11" s="91"/>
    </row>
    <row r="12" spans="1:9">
      <c r="A12" s="91">
        <v>4</v>
      </c>
      <c r="B12" s="94" t="s">
        <v>134</v>
      </c>
      <c r="C12" s="96" t="s">
        <v>128</v>
      </c>
      <c r="D12" s="91">
        <v>11</v>
      </c>
      <c r="E12" s="93">
        <f>350/1000</f>
        <v>0.35</v>
      </c>
      <c r="F12" s="91">
        <f>350/1000</f>
        <v>0.35</v>
      </c>
      <c r="G12" s="91">
        <f>450/1000</f>
        <v>0.45</v>
      </c>
      <c r="H12" s="93">
        <f>PRODUCT(D12:G12)</f>
        <v>0.606375</v>
      </c>
      <c r="I12" s="91"/>
    </row>
    <row r="13" spans="1:9">
      <c r="A13" s="91"/>
      <c r="B13" s="99"/>
      <c r="C13" s="91"/>
      <c r="D13" s="91"/>
      <c r="E13" s="93"/>
      <c r="F13" s="91"/>
      <c r="G13" s="91"/>
      <c r="H13" s="93"/>
      <c r="I13" s="91"/>
    </row>
    <row r="14" spans="1:9">
      <c r="A14" s="91"/>
      <c r="B14" s="92" t="s">
        <v>135</v>
      </c>
      <c r="C14" s="91"/>
      <c r="D14" s="91"/>
      <c r="E14" s="93"/>
      <c r="F14" s="91"/>
      <c r="G14" s="91"/>
      <c r="H14" s="93"/>
      <c r="I14" s="91"/>
    </row>
    <row r="15" spans="1:9">
      <c r="A15" s="91">
        <v>5</v>
      </c>
      <c r="B15" s="94" t="s">
        <v>136</v>
      </c>
      <c r="C15" s="96" t="s">
        <v>95</v>
      </c>
      <c r="D15" s="91">
        <f>11*4</f>
        <v>44</v>
      </c>
      <c r="E15" s="93">
        <f>600/1000</f>
        <v>0.6</v>
      </c>
      <c r="F15" s="91"/>
      <c r="G15" s="91">
        <f>100/1000</f>
        <v>0.1</v>
      </c>
      <c r="H15" s="93">
        <f>PRODUCT(D15:G15)</f>
        <v>2.64</v>
      </c>
      <c r="I15" s="91"/>
    </row>
    <row r="16" spans="1:9">
      <c r="A16" s="91"/>
      <c r="B16" s="99"/>
      <c r="C16" s="91"/>
      <c r="D16" s="91"/>
      <c r="E16" s="93"/>
      <c r="F16" s="91"/>
      <c r="G16" s="91"/>
      <c r="H16" s="93"/>
      <c r="I16" s="91"/>
    </row>
    <row r="17" spans="1:9">
      <c r="A17" s="91">
        <v>6</v>
      </c>
      <c r="B17" s="94" t="s">
        <v>137</v>
      </c>
      <c r="C17" s="96" t="s">
        <v>95</v>
      </c>
      <c r="D17" s="91">
        <f>11*4</f>
        <v>44</v>
      </c>
      <c r="E17" s="93">
        <f>350/1000</f>
        <v>0.35</v>
      </c>
      <c r="F17" s="91"/>
      <c r="G17" s="91">
        <f>450/1000</f>
        <v>0.45</v>
      </c>
      <c r="H17" s="93">
        <f>PRODUCT(D17:G17)</f>
        <v>6.93</v>
      </c>
      <c r="I17" s="91"/>
    </row>
    <row r="18" spans="1:9">
      <c r="A18" s="91"/>
      <c r="B18" s="99"/>
      <c r="C18" s="91"/>
      <c r="D18" s="91"/>
      <c r="E18" s="93"/>
      <c r="F18" s="91"/>
      <c r="G18" s="91"/>
      <c r="H18" s="93"/>
      <c r="I18" s="91"/>
    </row>
    <row r="19" spans="1:9">
      <c r="A19" s="91"/>
      <c r="B19" s="92" t="s">
        <v>138</v>
      </c>
      <c r="C19" s="91"/>
      <c r="D19" s="91"/>
      <c r="E19" s="93"/>
      <c r="F19" s="91"/>
      <c r="G19" s="91"/>
      <c r="H19" s="93"/>
      <c r="I19" s="91"/>
    </row>
    <row r="20" spans="1:9">
      <c r="A20" s="91">
        <v>7</v>
      </c>
      <c r="B20" s="94" t="s">
        <v>139</v>
      </c>
      <c r="C20" s="96" t="s">
        <v>128</v>
      </c>
      <c r="D20" s="91"/>
      <c r="E20" s="93">
        <f>Excavation!E6-(0.35*8)</f>
        <v>54.4</v>
      </c>
      <c r="F20" s="91">
        <f>350/1000</f>
        <v>0.35</v>
      </c>
      <c r="G20" s="91">
        <f>450/1000</f>
        <v>0.45</v>
      </c>
      <c r="H20" s="93">
        <f>PRODUCT(D20:G20)</f>
        <v>8.568</v>
      </c>
      <c r="I20" s="91"/>
    </row>
    <row r="21" spans="1:9">
      <c r="A21" s="91"/>
      <c r="B21" s="99"/>
      <c r="C21" s="91"/>
      <c r="D21" s="91"/>
      <c r="E21" s="93"/>
      <c r="F21" s="91"/>
      <c r="G21" s="91"/>
      <c r="H21" s="93"/>
      <c r="I21" s="91"/>
    </row>
    <row r="22" spans="1:9">
      <c r="A22" s="91"/>
      <c r="B22" s="94" t="s">
        <v>140</v>
      </c>
      <c r="C22" s="91"/>
      <c r="D22" s="91"/>
      <c r="E22" s="93"/>
      <c r="F22" s="91"/>
      <c r="G22" s="91"/>
      <c r="H22" s="93"/>
      <c r="I22" s="91"/>
    </row>
    <row r="23" spans="1:9">
      <c r="A23" s="91"/>
      <c r="B23" s="92" t="s">
        <v>141</v>
      </c>
      <c r="C23" s="96" t="s">
        <v>142</v>
      </c>
      <c r="D23" s="91"/>
      <c r="E23" s="93"/>
      <c r="F23" s="91"/>
      <c r="G23" s="91"/>
      <c r="H23" s="93"/>
      <c r="I23" s="91"/>
    </row>
    <row r="24" spans="1:9">
      <c r="A24" s="91"/>
      <c r="B24" s="99"/>
      <c r="C24" s="91"/>
      <c r="D24" s="91"/>
      <c r="E24" s="93"/>
      <c r="F24" s="91"/>
      <c r="G24" s="91"/>
      <c r="H24" s="93"/>
      <c r="I24" s="91"/>
    </row>
    <row r="25" spans="1:9">
      <c r="A25" s="91"/>
      <c r="B25" s="99"/>
      <c r="C25" s="91"/>
      <c r="D25" s="91"/>
      <c r="E25" s="93"/>
      <c r="F25" s="91"/>
      <c r="G25" s="91"/>
      <c r="H25" s="93"/>
      <c r="I25" s="91"/>
    </row>
    <row r="26" spans="1:9">
      <c r="A26" s="91"/>
      <c r="B26" s="99"/>
      <c r="C26" s="91"/>
      <c r="D26" s="91"/>
      <c r="E26" s="93"/>
      <c r="F26" s="91"/>
      <c r="G26" s="91"/>
      <c r="H26" s="93"/>
      <c r="I26" s="91"/>
    </row>
    <row r="27" spans="1:9">
      <c r="A27" s="91"/>
      <c r="B27" s="99"/>
      <c r="C27" s="91"/>
      <c r="D27" s="91"/>
      <c r="E27" s="93"/>
      <c r="F27" s="91"/>
      <c r="G27" s="91"/>
      <c r="H27" s="93"/>
      <c r="I27" s="91"/>
    </row>
    <row r="28" spans="1:9">
      <c r="A28" s="91"/>
      <c r="B28" s="99"/>
      <c r="C28" s="91"/>
      <c r="D28" s="91"/>
      <c r="E28" s="93"/>
      <c r="F28" s="91"/>
      <c r="G28" s="91"/>
      <c r="H28" s="93"/>
      <c r="I28" s="91"/>
    </row>
    <row r="29" spans="1:9">
      <c r="A29" s="91"/>
      <c r="B29" s="99"/>
      <c r="C29" s="91"/>
      <c r="D29" s="91"/>
      <c r="E29" s="93"/>
      <c r="F29" s="91"/>
      <c r="G29" s="91"/>
      <c r="H29" s="93"/>
      <c r="I29" s="91"/>
    </row>
    <row r="30" spans="1:9">
      <c r="A30" s="91"/>
      <c r="B30" s="99"/>
      <c r="C30" s="91"/>
      <c r="D30" s="91"/>
      <c r="E30" s="93"/>
      <c r="F30" s="91"/>
      <c r="G30" s="91"/>
      <c r="H30" s="93"/>
      <c r="I30" s="91"/>
    </row>
    <row r="31" spans="1:9">
      <c r="A31" s="91"/>
      <c r="B31" s="99"/>
      <c r="C31" s="91"/>
      <c r="D31" s="91"/>
      <c r="E31" s="93"/>
      <c r="F31" s="91"/>
      <c r="G31" s="91"/>
      <c r="H31" s="93"/>
      <c r="I31" s="91"/>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55"/>
  <sheetViews>
    <sheetView workbookViewId="0">
      <selection activeCell="C10" sqref="C10"/>
    </sheetView>
  </sheetViews>
  <sheetFormatPr defaultColWidth="9" defaultRowHeight="15"/>
  <cols>
    <col min="1" max="1" width="9" style="64"/>
    <col min="2" max="2" width="34.7083333333333" style="64" customWidth="1"/>
    <col min="3" max="3" width="13.425" style="64" customWidth="1"/>
    <col min="4" max="4" width="13" style="64" customWidth="1"/>
    <col min="5" max="6" width="13" style="65" customWidth="1"/>
    <col min="7" max="9" width="13" style="64" customWidth="1"/>
    <col min="10" max="16384" width="9" style="64"/>
  </cols>
  <sheetData>
    <row r="2" ht="6.75" customHeight="1"/>
    <row r="3" s="63" customFormat="1" ht="22.5" customHeight="1" spans="1:9">
      <c r="A3" s="66" t="s">
        <v>114</v>
      </c>
      <c r="B3" s="66" t="s">
        <v>115</v>
      </c>
      <c r="C3" s="66" t="s">
        <v>3</v>
      </c>
      <c r="D3" s="66" t="s">
        <v>116</v>
      </c>
      <c r="E3" s="66" t="s">
        <v>117</v>
      </c>
      <c r="F3" s="66" t="s">
        <v>118</v>
      </c>
      <c r="G3" s="66" t="s">
        <v>119</v>
      </c>
      <c r="H3" s="66" t="s">
        <v>4</v>
      </c>
      <c r="I3" s="66" t="s">
        <v>120</v>
      </c>
    </row>
    <row r="4" spans="1:9">
      <c r="A4" s="67"/>
      <c r="B4" s="67"/>
      <c r="C4" s="67"/>
      <c r="D4" s="69"/>
      <c r="E4" s="68"/>
      <c r="F4" s="68"/>
      <c r="G4" s="69"/>
      <c r="H4" s="69"/>
      <c r="I4" s="69"/>
    </row>
    <row r="5" spans="1:9">
      <c r="A5" s="91"/>
      <c r="B5" s="92" t="s">
        <v>131</v>
      </c>
      <c r="C5" s="91"/>
      <c r="D5" s="91"/>
      <c r="E5" s="91"/>
      <c r="F5" s="91"/>
      <c r="G5" s="91"/>
      <c r="H5" s="93"/>
      <c r="I5" s="91"/>
    </row>
    <row r="6" spans="1:9">
      <c r="A6" s="91">
        <v>1</v>
      </c>
      <c r="B6" s="94" t="s">
        <v>134</v>
      </c>
      <c r="C6" s="91"/>
      <c r="D6" s="91"/>
      <c r="E6" s="91"/>
      <c r="F6" s="91"/>
      <c r="G6" s="91"/>
      <c r="H6" s="93"/>
      <c r="I6" s="91"/>
    </row>
    <row r="7" spans="1:9">
      <c r="A7" s="91"/>
      <c r="B7" s="95" t="s">
        <v>143</v>
      </c>
      <c r="C7" s="96" t="s">
        <v>128</v>
      </c>
      <c r="D7" s="91">
        <v>2</v>
      </c>
      <c r="E7" s="91">
        <f t="shared" ref="E7:E12" si="0">350/1000</f>
        <v>0.35</v>
      </c>
      <c r="F7" s="91">
        <f t="shared" ref="F7:F12" si="1">350/1000</f>
        <v>0.35</v>
      </c>
      <c r="G7" s="93">
        <v>4.8</v>
      </c>
      <c r="H7" s="93">
        <f t="shared" ref="H7:H12" si="2">PRODUCT(D7:G7)</f>
        <v>1.176</v>
      </c>
      <c r="I7" s="91"/>
    </row>
    <row r="8" spans="1:9">
      <c r="A8" s="91"/>
      <c r="B8" s="95" t="s">
        <v>144</v>
      </c>
      <c r="C8" s="96" t="s">
        <v>128</v>
      </c>
      <c r="D8" s="91">
        <v>2</v>
      </c>
      <c r="E8" s="91">
        <f t="shared" si="0"/>
        <v>0.35</v>
      </c>
      <c r="F8" s="91">
        <f t="shared" si="1"/>
        <v>0.35</v>
      </c>
      <c r="G8" s="93">
        <v>4.6</v>
      </c>
      <c r="H8" s="93">
        <f t="shared" si="2"/>
        <v>1.127</v>
      </c>
      <c r="I8" s="91"/>
    </row>
    <row r="9" spans="1:9">
      <c r="A9" s="91"/>
      <c r="B9" s="95" t="s">
        <v>145</v>
      </c>
      <c r="C9" s="96" t="s">
        <v>128</v>
      </c>
      <c r="D9" s="91">
        <v>2</v>
      </c>
      <c r="E9" s="91">
        <f t="shared" si="0"/>
        <v>0.35</v>
      </c>
      <c r="F9" s="91">
        <f t="shared" si="1"/>
        <v>0.35</v>
      </c>
      <c r="G9" s="93">
        <v>4.1</v>
      </c>
      <c r="H9" s="93">
        <f t="shared" si="2"/>
        <v>1.0045</v>
      </c>
      <c r="I9" s="91"/>
    </row>
    <row r="10" spans="1:9">
      <c r="A10" s="91"/>
      <c r="B10" s="95" t="s">
        <v>146</v>
      </c>
      <c r="C10" s="96" t="s">
        <v>128</v>
      </c>
      <c r="D10" s="91">
        <v>2</v>
      </c>
      <c r="E10" s="91">
        <f t="shared" si="0"/>
        <v>0.35</v>
      </c>
      <c r="F10" s="91">
        <f t="shared" si="1"/>
        <v>0.35</v>
      </c>
      <c r="G10" s="93">
        <v>3.05</v>
      </c>
      <c r="H10" s="93">
        <f t="shared" si="2"/>
        <v>0.74725</v>
      </c>
      <c r="I10" s="91"/>
    </row>
    <row r="11" spans="1:9">
      <c r="A11" s="91"/>
      <c r="B11" s="95" t="s">
        <v>147</v>
      </c>
      <c r="C11" s="96" t="s">
        <v>128</v>
      </c>
      <c r="D11" s="91">
        <v>1</v>
      </c>
      <c r="E11" s="91">
        <f t="shared" si="0"/>
        <v>0.35</v>
      </c>
      <c r="F11" s="91">
        <f t="shared" si="1"/>
        <v>0.35</v>
      </c>
      <c r="G11" s="93">
        <v>3.4</v>
      </c>
      <c r="H11" s="93">
        <f t="shared" si="2"/>
        <v>0.4165</v>
      </c>
      <c r="I11" s="91"/>
    </row>
    <row r="12" spans="1:9">
      <c r="A12" s="91"/>
      <c r="B12" s="95" t="s">
        <v>148</v>
      </c>
      <c r="C12" s="96" t="s">
        <v>128</v>
      </c>
      <c r="D12" s="91">
        <v>2</v>
      </c>
      <c r="E12" s="91">
        <f t="shared" si="0"/>
        <v>0.35</v>
      </c>
      <c r="F12" s="91">
        <f t="shared" si="1"/>
        <v>0.35</v>
      </c>
      <c r="G12" s="91">
        <v>3.05</v>
      </c>
      <c r="H12" s="93">
        <f t="shared" si="2"/>
        <v>0.74725</v>
      </c>
      <c r="I12" s="91"/>
    </row>
    <row r="13" spans="1:9">
      <c r="A13" s="67"/>
      <c r="B13" s="67"/>
      <c r="C13" s="67"/>
      <c r="D13" s="67"/>
      <c r="E13" s="70"/>
      <c r="F13" s="70"/>
      <c r="G13" s="67"/>
      <c r="H13" s="97">
        <f>SUM(H7:H12)</f>
        <v>5.2185</v>
      </c>
      <c r="I13" s="67"/>
    </row>
    <row r="14" spans="1:9">
      <c r="A14" s="67"/>
      <c r="B14" s="67"/>
      <c r="C14" s="67"/>
      <c r="D14" s="67"/>
      <c r="E14" s="70"/>
      <c r="F14" s="70"/>
      <c r="G14" s="67"/>
      <c r="H14" s="97"/>
      <c r="I14" s="67"/>
    </row>
    <row r="15" spans="1:9">
      <c r="A15" s="91">
        <v>2</v>
      </c>
      <c r="B15" s="94" t="s">
        <v>149</v>
      </c>
      <c r="C15" s="96" t="s">
        <v>128</v>
      </c>
      <c r="D15" s="91"/>
      <c r="E15" s="93">
        <f>Excavation!E6-(0.35*8)</f>
        <v>54.4</v>
      </c>
      <c r="F15" s="91">
        <f>350/1000</f>
        <v>0.35</v>
      </c>
      <c r="G15" s="91">
        <f>150/1000</f>
        <v>0.15</v>
      </c>
      <c r="H15" s="98">
        <f>PRODUCT(D15:G15)</f>
        <v>2.856</v>
      </c>
      <c r="I15" s="91"/>
    </row>
    <row r="16" spans="1:9">
      <c r="A16" s="91"/>
      <c r="B16" s="99"/>
      <c r="C16" s="91"/>
      <c r="D16" s="91"/>
      <c r="E16" s="93"/>
      <c r="F16" s="91"/>
      <c r="G16" s="91"/>
      <c r="H16" s="93"/>
      <c r="I16" s="91"/>
    </row>
    <row r="17" spans="1:9">
      <c r="A17" s="91"/>
      <c r="B17" s="94" t="s">
        <v>150</v>
      </c>
      <c r="C17" s="96" t="s">
        <v>128</v>
      </c>
      <c r="D17" s="91"/>
      <c r="E17" s="76">
        <v>64</v>
      </c>
      <c r="F17" s="77"/>
      <c r="G17" s="93">
        <v>0.1</v>
      </c>
      <c r="H17" s="98">
        <f>PRODUCT(D17:G17)</f>
        <v>6.4</v>
      </c>
      <c r="I17" s="91"/>
    </row>
    <row r="18" spans="1:9">
      <c r="A18" s="67"/>
      <c r="B18" s="67"/>
      <c r="C18" s="67"/>
      <c r="D18" s="67"/>
      <c r="E18" s="70"/>
      <c r="F18" s="70"/>
      <c r="G18" s="67"/>
      <c r="H18" s="67"/>
      <c r="I18" s="67"/>
    </row>
    <row r="19" spans="1:9">
      <c r="A19" s="91"/>
      <c r="B19" s="92" t="s">
        <v>138</v>
      </c>
      <c r="C19" s="91"/>
      <c r="D19" s="91"/>
      <c r="E19" s="93"/>
      <c r="F19" s="91"/>
      <c r="G19" s="91"/>
      <c r="H19" s="93"/>
      <c r="I19" s="67"/>
    </row>
    <row r="20" spans="1:9">
      <c r="A20" s="91">
        <v>4</v>
      </c>
      <c r="B20" s="94" t="s">
        <v>139</v>
      </c>
      <c r="C20" s="96" t="s">
        <v>128</v>
      </c>
      <c r="D20" s="91"/>
      <c r="E20" s="93">
        <f>E15</f>
        <v>54.4</v>
      </c>
      <c r="F20" s="91">
        <f>350/1000</f>
        <v>0.35</v>
      </c>
      <c r="G20" s="91">
        <f>300/1000</f>
        <v>0.3</v>
      </c>
      <c r="H20" s="98">
        <f>PRODUCT(D20:G20)</f>
        <v>5.712</v>
      </c>
      <c r="I20" s="67"/>
    </row>
    <row r="21" spans="1:9">
      <c r="A21" s="91"/>
      <c r="B21" s="67"/>
      <c r="C21" s="67"/>
      <c r="D21" s="67"/>
      <c r="E21" s="70"/>
      <c r="F21" s="70"/>
      <c r="G21" s="67"/>
      <c r="H21" s="67"/>
      <c r="I21" s="67"/>
    </row>
    <row r="22" spans="1:9">
      <c r="A22" s="91">
        <v>5</v>
      </c>
      <c r="B22" s="100" t="s">
        <v>151</v>
      </c>
      <c r="C22" s="101"/>
      <c r="D22" s="67"/>
      <c r="E22" s="73"/>
      <c r="F22" s="74"/>
      <c r="G22" s="67"/>
      <c r="H22" s="67"/>
      <c r="I22" s="67"/>
    </row>
    <row r="23" spans="1:9">
      <c r="A23" s="67"/>
      <c r="B23" s="71" t="s">
        <v>152</v>
      </c>
      <c r="C23" s="101" t="s">
        <v>95</v>
      </c>
      <c r="D23" s="67"/>
      <c r="E23" s="73">
        <v>45.1</v>
      </c>
      <c r="F23" s="74"/>
      <c r="G23" s="67"/>
      <c r="H23" s="93">
        <f t="shared" ref="H23:H36" si="3">PRODUCT(D23:G23)</f>
        <v>45.1</v>
      </c>
      <c r="I23" s="67"/>
    </row>
    <row r="24" spans="1:9">
      <c r="A24" s="67"/>
      <c r="B24" s="71" t="s">
        <v>153</v>
      </c>
      <c r="C24" s="101" t="s">
        <v>95</v>
      </c>
      <c r="D24" s="67"/>
      <c r="E24" s="73">
        <v>37.7</v>
      </c>
      <c r="F24" s="74"/>
      <c r="G24" s="67"/>
      <c r="H24" s="93">
        <f t="shared" si="3"/>
        <v>37.7</v>
      </c>
      <c r="I24" s="67"/>
    </row>
    <row r="25" spans="1:9">
      <c r="A25" s="67"/>
      <c r="B25" s="71" t="s">
        <v>154</v>
      </c>
      <c r="C25" s="101" t="s">
        <v>95</v>
      </c>
      <c r="D25" s="102">
        <v>-1</v>
      </c>
      <c r="E25" s="73">
        <f>1.828*1.6764</f>
        <v>3.0644592</v>
      </c>
      <c r="F25" s="74"/>
      <c r="G25" s="67"/>
      <c r="H25" s="103">
        <f t="shared" si="3"/>
        <v>-3.0644592</v>
      </c>
      <c r="I25" s="67"/>
    </row>
    <row r="26" spans="1:9">
      <c r="A26" s="67"/>
      <c r="B26" s="71" t="s">
        <v>155</v>
      </c>
      <c r="C26" s="101" t="s">
        <v>95</v>
      </c>
      <c r="D26" s="102">
        <v>-1</v>
      </c>
      <c r="E26" s="73">
        <f>1.2192*1.524</f>
        <v>1.8580608</v>
      </c>
      <c r="F26" s="74"/>
      <c r="G26" s="67"/>
      <c r="H26" s="103">
        <f t="shared" si="3"/>
        <v>-1.8580608</v>
      </c>
      <c r="I26" s="67"/>
    </row>
    <row r="27" spans="1:9">
      <c r="A27" s="67"/>
      <c r="B27" s="71" t="s">
        <v>156</v>
      </c>
      <c r="C27" s="101" t="s">
        <v>95</v>
      </c>
      <c r="D27" s="67"/>
      <c r="E27" s="104">
        <v>6.37</v>
      </c>
      <c r="F27" s="70"/>
      <c r="G27" s="67">
        <v>3.05</v>
      </c>
      <c r="H27" s="103">
        <f t="shared" si="3"/>
        <v>19.4285</v>
      </c>
      <c r="I27" s="67"/>
    </row>
    <row r="28" spans="1:9">
      <c r="A28" s="67"/>
      <c r="B28" s="71" t="s">
        <v>157</v>
      </c>
      <c r="C28" s="101" t="s">
        <v>95</v>
      </c>
      <c r="D28" s="102">
        <v>-1</v>
      </c>
      <c r="E28" s="73">
        <f>1.828*1.6764</f>
        <v>3.0644592</v>
      </c>
      <c r="F28" s="74"/>
      <c r="G28" s="67"/>
      <c r="H28" s="103">
        <f t="shared" si="3"/>
        <v>-3.0644592</v>
      </c>
      <c r="I28" s="67"/>
    </row>
    <row r="29" spans="1:9">
      <c r="A29" s="67"/>
      <c r="B29" s="71" t="s">
        <v>158</v>
      </c>
      <c r="C29" s="101" t="s">
        <v>95</v>
      </c>
      <c r="D29" s="102">
        <v>-1</v>
      </c>
      <c r="E29" s="73">
        <f>0.9144*0.6096</f>
        <v>0.55741824</v>
      </c>
      <c r="F29" s="74"/>
      <c r="G29" s="67"/>
      <c r="H29" s="103">
        <f t="shared" si="3"/>
        <v>-0.55741824</v>
      </c>
      <c r="I29" s="67"/>
    </row>
    <row r="30" spans="1:9">
      <c r="A30" s="67"/>
      <c r="B30" s="71" t="s">
        <v>159</v>
      </c>
      <c r="C30" s="101" t="s">
        <v>95</v>
      </c>
      <c r="D30" s="102">
        <v>-1</v>
      </c>
      <c r="E30" s="73">
        <f>0.9144*2.1336</f>
        <v>1.95096384</v>
      </c>
      <c r="F30" s="74"/>
      <c r="G30" s="67"/>
      <c r="H30" s="103">
        <f t="shared" si="3"/>
        <v>-1.95096384</v>
      </c>
      <c r="I30" s="67"/>
    </row>
    <row r="31" spans="1:9">
      <c r="A31" s="67"/>
      <c r="B31" s="71" t="s">
        <v>160</v>
      </c>
      <c r="C31" s="101" t="s">
        <v>95</v>
      </c>
      <c r="D31" s="102"/>
      <c r="E31" s="73">
        <v>2.75</v>
      </c>
      <c r="F31" s="83"/>
      <c r="G31" s="67">
        <v>4.8</v>
      </c>
      <c r="H31" s="103">
        <f t="shared" si="3"/>
        <v>13.2</v>
      </c>
      <c r="I31" s="67"/>
    </row>
    <row r="32" spans="1:9">
      <c r="A32" s="67"/>
      <c r="B32" s="71" t="s">
        <v>161</v>
      </c>
      <c r="C32" s="101" t="s">
        <v>95</v>
      </c>
      <c r="D32" s="102">
        <v>-1</v>
      </c>
      <c r="E32" s="73">
        <f>1.8288*2.5908</f>
        <v>4.73805504</v>
      </c>
      <c r="F32" s="74"/>
      <c r="G32" s="67"/>
      <c r="H32" s="103">
        <f t="shared" si="3"/>
        <v>-4.73805504</v>
      </c>
      <c r="I32" s="67"/>
    </row>
    <row r="33" spans="1:9">
      <c r="A33" s="67"/>
      <c r="B33" s="71" t="s">
        <v>162</v>
      </c>
      <c r="C33" s="101" t="s">
        <v>95</v>
      </c>
      <c r="D33" s="67"/>
      <c r="E33" s="70">
        <v>3.29</v>
      </c>
      <c r="F33" s="70"/>
      <c r="G33" s="67">
        <v>4.8</v>
      </c>
      <c r="H33" s="103">
        <f t="shared" si="3"/>
        <v>15.792</v>
      </c>
      <c r="I33" s="67"/>
    </row>
    <row r="34" spans="1:9">
      <c r="A34" s="67"/>
      <c r="B34" s="71" t="s">
        <v>163</v>
      </c>
      <c r="C34" s="101" t="s">
        <v>95</v>
      </c>
      <c r="D34" s="102">
        <v>-1</v>
      </c>
      <c r="E34" s="73">
        <f>1.2192*1.6764</f>
        <v>2.04386688</v>
      </c>
      <c r="F34" s="74"/>
      <c r="G34" s="67"/>
      <c r="H34" s="103">
        <f t="shared" si="3"/>
        <v>-2.04386688</v>
      </c>
      <c r="I34" s="67"/>
    </row>
    <row r="35" spans="1:9">
      <c r="A35" s="67"/>
      <c r="B35" s="71" t="s">
        <v>164</v>
      </c>
      <c r="C35" s="101" t="s">
        <v>95</v>
      </c>
      <c r="D35" s="67"/>
      <c r="E35" s="70">
        <v>3.65</v>
      </c>
      <c r="F35" s="70"/>
      <c r="G35" s="67">
        <v>4.6</v>
      </c>
      <c r="H35" s="103">
        <f t="shared" si="3"/>
        <v>16.79</v>
      </c>
      <c r="I35" s="67"/>
    </row>
    <row r="36" spans="1:9">
      <c r="A36" s="67"/>
      <c r="B36" s="71" t="s">
        <v>154</v>
      </c>
      <c r="C36" s="101" t="s">
        <v>95</v>
      </c>
      <c r="D36" s="102">
        <v>-1</v>
      </c>
      <c r="E36" s="73">
        <f>1.2192*1.6764</f>
        <v>2.04386688</v>
      </c>
      <c r="F36" s="74"/>
      <c r="G36" s="67"/>
      <c r="H36" s="103">
        <f t="shared" si="3"/>
        <v>-2.04386688</v>
      </c>
      <c r="I36" s="67"/>
    </row>
    <row r="37" spans="1:9">
      <c r="A37" s="67"/>
      <c r="B37" s="67"/>
      <c r="C37" s="67"/>
      <c r="D37" s="67"/>
      <c r="E37" s="70"/>
      <c r="F37" s="70"/>
      <c r="G37" s="67"/>
      <c r="H37" s="105">
        <f>SUM(H23:H36)</f>
        <v>128.68934992</v>
      </c>
      <c r="I37" s="67"/>
    </row>
    <row r="38" spans="1:9">
      <c r="A38" s="67"/>
      <c r="B38" s="67"/>
      <c r="C38" s="67"/>
      <c r="D38" s="67"/>
      <c r="E38" s="70"/>
      <c r="F38" s="70"/>
      <c r="G38" s="67"/>
      <c r="H38" s="67"/>
      <c r="I38" s="67"/>
    </row>
    <row r="39" spans="1:9">
      <c r="A39" s="91">
        <v>6</v>
      </c>
      <c r="B39" s="100" t="s">
        <v>165</v>
      </c>
      <c r="C39" s="101" t="s">
        <v>95</v>
      </c>
      <c r="D39" s="67"/>
      <c r="E39" s="70">
        <v>18.1</v>
      </c>
      <c r="F39" s="70"/>
      <c r="G39" s="67">
        <v>3.05</v>
      </c>
      <c r="H39" s="103">
        <f>PRODUCT(D39:G39)</f>
        <v>55.205</v>
      </c>
      <c r="I39" s="67"/>
    </row>
    <row r="40" spans="1:9">
      <c r="A40" s="67"/>
      <c r="B40" s="71" t="s">
        <v>159</v>
      </c>
      <c r="C40" s="101" t="s">
        <v>95</v>
      </c>
      <c r="D40" s="102">
        <v>-2</v>
      </c>
      <c r="E40" s="73">
        <f>0.9144*2.1336</f>
        <v>1.95096384</v>
      </c>
      <c r="F40" s="74"/>
      <c r="G40" s="67"/>
      <c r="H40" s="103">
        <f>PRODUCT(D40:G40)</f>
        <v>-3.90192768</v>
      </c>
      <c r="I40" s="67"/>
    </row>
    <row r="41" spans="1:9">
      <c r="A41" s="67"/>
      <c r="B41" s="71" t="s">
        <v>166</v>
      </c>
      <c r="C41" s="101" t="s">
        <v>95</v>
      </c>
      <c r="D41" s="102">
        <v>-1</v>
      </c>
      <c r="E41" s="73">
        <f>0.762*1.9812</f>
        <v>1.5096744</v>
      </c>
      <c r="F41" s="74"/>
      <c r="G41" s="67"/>
      <c r="H41" s="103">
        <f>PRODUCT(D41:G41)</f>
        <v>-1.5096744</v>
      </c>
      <c r="I41" s="67"/>
    </row>
    <row r="42" spans="1:9">
      <c r="A42" s="67"/>
      <c r="B42" s="67"/>
      <c r="C42" s="67"/>
      <c r="D42" s="67"/>
      <c r="E42" s="70"/>
      <c r="F42" s="70"/>
      <c r="G42" s="67"/>
      <c r="H42" s="106">
        <f>SUM(H39:H41)</f>
        <v>49.79339792</v>
      </c>
      <c r="I42" s="67"/>
    </row>
    <row r="43" spans="1:9">
      <c r="A43" s="67"/>
      <c r="B43" s="67"/>
      <c r="C43" s="67"/>
      <c r="D43" s="67"/>
      <c r="E43" s="70"/>
      <c r="F43" s="70"/>
      <c r="G43" s="67"/>
      <c r="H43" s="67"/>
      <c r="I43" s="67"/>
    </row>
    <row r="44" spans="1:9">
      <c r="A44" s="67"/>
      <c r="B44" s="67"/>
      <c r="C44" s="67"/>
      <c r="D44" s="67"/>
      <c r="E44" s="70"/>
      <c r="F44" s="70"/>
      <c r="G44" s="67"/>
      <c r="H44" s="67"/>
      <c r="I44" s="67"/>
    </row>
    <row r="45" spans="1:9">
      <c r="A45" s="67"/>
      <c r="B45" s="67"/>
      <c r="C45" s="67"/>
      <c r="D45" s="67"/>
      <c r="E45" s="70"/>
      <c r="F45" s="70"/>
      <c r="G45" s="67"/>
      <c r="H45" s="67"/>
      <c r="I45" s="67"/>
    </row>
    <row r="46" spans="1:9">
      <c r="A46" s="67"/>
      <c r="B46" s="67"/>
      <c r="C46" s="67"/>
      <c r="D46" s="67"/>
      <c r="E46" s="70"/>
      <c r="F46" s="70"/>
      <c r="G46" s="67"/>
      <c r="H46" s="67"/>
      <c r="I46" s="67"/>
    </row>
    <row r="47" spans="1:9">
      <c r="A47" s="67"/>
      <c r="B47" s="67"/>
      <c r="C47" s="67"/>
      <c r="D47" s="67"/>
      <c r="E47" s="70"/>
      <c r="F47" s="70"/>
      <c r="G47" s="67"/>
      <c r="H47" s="67"/>
      <c r="I47" s="67"/>
    </row>
    <row r="48" spans="1:9">
      <c r="A48" s="67"/>
      <c r="B48" s="67"/>
      <c r="C48" s="67"/>
      <c r="D48" s="67"/>
      <c r="E48" s="70"/>
      <c r="F48" s="70"/>
      <c r="G48" s="67"/>
      <c r="H48" s="67"/>
      <c r="I48" s="67"/>
    </row>
    <row r="49" spans="1:9">
      <c r="A49" s="67"/>
      <c r="B49" s="67"/>
      <c r="C49" s="67"/>
      <c r="D49" s="67"/>
      <c r="E49" s="70"/>
      <c r="F49" s="70"/>
      <c r="G49" s="67"/>
      <c r="H49" s="67"/>
      <c r="I49" s="67"/>
    </row>
    <row r="50" spans="1:9">
      <c r="A50" s="67"/>
      <c r="B50" s="67"/>
      <c r="C50" s="67"/>
      <c r="D50" s="67"/>
      <c r="E50" s="70"/>
      <c r="F50" s="70"/>
      <c r="G50" s="67"/>
      <c r="H50" s="67"/>
      <c r="I50" s="67"/>
    </row>
    <row r="51" spans="1:9">
      <c r="A51" s="67"/>
      <c r="B51" s="67"/>
      <c r="C51" s="67"/>
      <c r="D51" s="67"/>
      <c r="E51" s="70"/>
      <c r="F51" s="70"/>
      <c r="G51" s="67"/>
      <c r="H51" s="67"/>
      <c r="I51" s="67"/>
    </row>
    <row r="52" spans="1:9">
      <c r="A52" s="67"/>
      <c r="B52" s="67"/>
      <c r="C52" s="67"/>
      <c r="D52" s="67"/>
      <c r="E52" s="70"/>
      <c r="F52" s="70"/>
      <c r="G52" s="67"/>
      <c r="H52" s="67"/>
      <c r="I52" s="67"/>
    </row>
    <row r="53" spans="1:9">
      <c r="A53" s="67"/>
      <c r="B53" s="67"/>
      <c r="C53" s="67"/>
      <c r="D53" s="67"/>
      <c r="E53" s="70"/>
      <c r="F53" s="70"/>
      <c r="G53" s="67"/>
      <c r="H53" s="67"/>
      <c r="I53" s="67"/>
    </row>
    <row r="54" spans="1:9">
      <c r="A54" s="67"/>
      <c r="B54" s="67"/>
      <c r="C54" s="67"/>
      <c r="D54" s="67"/>
      <c r="E54" s="70"/>
      <c r="F54" s="70"/>
      <c r="G54" s="67"/>
      <c r="H54" s="67"/>
      <c r="I54" s="67"/>
    </row>
    <row r="55" spans="1:9">
      <c r="A55" s="67"/>
      <c r="B55" s="67"/>
      <c r="C55" s="67"/>
      <c r="D55" s="67"/>
      <c r="E55" s="70"/>
      <c r="F55" s="70"/>
      <c r="G55" s="67"/>
      <c r="H55" s="67"/>
      <c r="I55" s="67"/>
    </row>
  </sheetData>
  <mergeCells count="13">
    <mergeCell ref="E17:F17"/>
    <mergeCell ref="E23:F23"/>
    <mergeCell ref="E24:F24"/>
    <mergeCell ref="E25:F25"/>
    <mergeCell ref="E26:F26"/>
    <mergeCell ref="E28:F28"/>
    <mergeCell ref="E29:F29"/>
    <mergeCell ref="E30:F30"/>
    <mergeCell ref="E32:F32"/>
    <mergeCell ref="E34:F34"/>
    <mergeCell ref="E36:F36"/>
    <mergeCell ref="E40:F40"/>
    <mergeCell ref="E41:F41"/>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5"/>
  <sheetViews>
    <sheetView workbookViewId="0">
      <selection activeCell="E14" sqref="E14"/>
    </sheetView>
  </sheetViews>
  <sheetFormatPr defaultColWidth="9" defaultRowHeight="15"/>
  <cols>
    <col min="1" max="1" width="9.14166666666667" style="65"/>
    <col min="2" max="2" width="34.7083333333333" style="64" customWidth="1"/>
    <col min="3" max="3" width="13.5666666666667" style="64" customWidth="1"/>
    <col min="4" max="9" width="13" style="64" customWidth="1"/>
    <col min="10" max="16384" width="9" style="64"/>
  </cols>
  <sheetData>
    <row r="2" ht="6.75" customHeight="1"/>
    <row r="3" s="63" customFormat="1" ht="22.5" customHeight="1" spans="1:9">
      <c r="A3" s="66" t="s">
        <v>114</v>
      </c>
      <c r="B3" s="66" t="s">
        <v>115</v>
      </c>
      <c r="C3" s="66" t="s">
        <v>3</v>
      </c>
      <c r="D3" s="66" t="s">
        <v>116</v>
      </c>
      <c r="E3" s="66" t="s">
        <v>117</v>
      </c>
      <c r="F3" s="66" t="s">
        <v>118</v>
      </c>
      <c r="G3" s="66" t="s">
        <v>119</v>
      </c>
      <c r="H3" s="66" t="s">
        <v>4</v>
      </c>
      <c r="I3" s="66" t="s">
        <v>120</v>
      </c>
    </row>
    <row r="4" spans="1:9">
      <c r="A4" s="70"/>
      <c r="B4" s="67"/>
      <c r="C4" s="67"/>
      <c r="D4" s="69"/>
      <c r="E4" s="69"/>
      <c r="F4" s="69"/>
      <c r="G4" s="69"/>
      <c r="H4" s="69"/>
      <c r="I4" s="69"/>
    </row>
    <row r="5" spans="1:9">
      <c r="A5" s="70">
        <v>1</v>
      </c>
      <c r="B5" s="71" t="s">
        <v>167</v>
      </c>
      <c r="C5" s="72" t="s">
        <v>95</v>
      </c>
      <c r="D5" s="67"/>
      <c r="E5" s="75">
        <v>11.5</v>
      </c>
      <c r="F5" s="67"/>
      <c r="G5" s="67"/>
      <c r="H5" s="75">
        <f>PRODUCT(D5:G5)</f>
        <v>11.5</v>
      </c>
      <c r="I5" s="67"/>
    </row>
    <row r="6" spans="1:9">
      <c r="A6" s="70"/>
      <c r="B6" s="67"/>
      <c r="C6" s="67"/>
      <c r="D6" s="67"/>
      <c r="E6" s="75"/>
      <c r="F6" s="67"/>
      <c r="G6" s="67"/>
      <c r="H6" s="75"/>
      <c r="I6" s="67"/>
    </row>
    <row r="7" spans="1:9">
      <c r="A7" s="70">
        <v>2</v>
      </c>
      <c r="B7" s="71" t="s">
        <v>168</v>
      </c>
      <c r="C7" s="72" t="s">
        <v>45</v>
      </c>
      <c r="D7" s="67"/>
      <c r="E7" s="75">
        <v>130</v>
      </c>
      <c r="F7" s="67"/>
      <c r="G7" s="67"/>
      <c r="H7" s="75">
        <f>PRODUCT(D7:G7)</f>
        <v>130</v>
      </c>
      <c r="I7" s="67"/>
    </row>
    <row r="8" spans="1:9">
      <c r="A8" s="70"/>
      <c r="B8" s="67"/>
      <c r="C8" s="67"/>
      <c r="D8" s="67"/>
      <c r="E8" s="75"/>
      <c r="F8" s="67"/>
      <c r="G8" s="67"/>
      <c r="H8" s="75"/>
      <c r="I8" s="67"/>
    </row>
    <row r="9" spans="1:9">
      <c r="A9" s="70">
        <v>3</v>
      </c>
      <c r="B9" s="71" t="s">
        <v>169</v>
      </c>
      <c r="C9" s="72" t="s">
        <v>45</v>
      </c>
      <c r="D9" s="67"/>
      <c r="E9" s="75">
        <v>100</v>
      </c>
      <c r="F9" s="67"/>
      <c r="G9" s="67"/>
      <c r="H9" s="75">
        <f>PRODUCT(D9:G9)</f>
        <v>100</v>
      </c>
      <c r="I9" s="67"/>
    </row>
    <row r="10" spans="1:9">
      <c r="A10" s="70"/>
      <c r="B10" s="69"/>
      <c r="C10" s="69"/>
      <c r="D10" s="67"/>
      <c r="E10" s="75"/>
      <c r="F10" s="67"/>
      <c r="G10" s="67"/>
      <c r="H10" s="75"/>
      <c r="I10" s="67"/>
    </row>
    <row r="11" spans="1:9">
      <c r="A11" s="70">
        <v>4</v>
      </c>
      <c r="B11" s="71" t="s">
        <v>170</v>
      </c>
      <c r="C11" s="72" t="s">
        <v>45</v>
      </c>
      <c r="D11" s="67"/>
      <c r="E11" s="75">
        <v>13</v>
      </c>
      <c r="F11" s="67"/>
      <c r="G11" s="67"/>
      <c r="H11" s="75">
        <f>PRODUCT(D11:G11)</f>
        <v>13</v>
      </c>
      <c r="I11" s="67"/>
    </row>
    <row r="12" spans="1:9">
      <c r="A12" s="70"/>
      <c r="B12" s="67"/>
      <c r="C12" s="67"/>
      <c r="D12" s="67"/>
      <c r="E12" s="67"/>
      <c r="F12" s="67"/>
      <c r="G12" s="67"/>
      <c r="H12" s="75"/>
      <c r="I12" s="67"/>
    </row>
    <row r="13" spans="1:9">
      <c r="A13" s="70">
        <v>5</v>
      </c>
      <c r="B13" s="71" t="s">
        <v>171</v>
      </c>
      <c r="C13" s="72" t="s">
        <v>45</v>
      </c>
      <c r="D13" s="67"/>
      <c r="E13" s="75">
        <v>11</v>
      </c>
      <c r="F13" s="67"/>
      <c r="G13" s="67"/>
      <c r="H13" s="75">
        <f>PRODUCT(D13:G13)</f>
        <v>11</v>
      </c>
      <c r="I13" s="67"/>
    </row>
    <row r="14" spans="1:9">
      <c r="A14" s="70"/>
      <c r="B14" s="67"/>
      <c r="C14" s="67"/>
      <c r="D14" s="67"/>
      <c r="E14" s="75"/>
      <c r="F14" s="67"/>
      <c r="G14" s="67"/>
      <c r="H14" s="67"/>
      <c r="I14" s="67"/>
    </row>
    <row r="15" spans="1:9">
      <c r="A15" s="70">
        <v>6</v>
      </c>
      <c r="B15" s="71" t="s">
        <v>172</v>
      </c>
      <c r="C15" s="72" t="s">
        <v>45</v>
      </c>
      <c r="D15" s="67"/>
      <c r="E15" s="75">
        <f>3*2</f>
        <v>6</v>
      </c>
      <c r="F15" s="67"/>
      <c r="G15" s="67"/>
      <c r="H15" s="75">
        <f>PRODUCT(D15:G15)</f>
        <v>6</v>
      </c>
      <c r="I15" s="67"/>
    </row>
    <row r="16" spans="1:9">
      <c r="A16" s="70"/>
      <c r="B16" s="67"/>
      <c r="C16" s="67"/>
      <c r="D16" s="67"/>
      <c r="E16" s="67"/>
      <c r="F16" s="67"/>
      <c r="G16" s="67"/>
      <c r="H16" s="67"/>
      <c r="I16" s="67"/>
    </row>
    <row r="17" spans="1:9">
      <c r="A17" s="70"/>
      <c r="B17" s="67"/>
      <c r="C17" s="67"/>
      <c r="D17" s="67"/>
      <c r="E17" s="67"/>
      <c r="F17" s="67"/>
      <c r="G17" s="67"/>
      <c r="H17" s="67"/>
      <c r="I17" s="67"/>
    </row>
    <row r="18" spans="1:9">
      <c r="A18" s="70"/>
      <c r="B18" s="67"/>
      <c r="C18" s="67"/>
      <c r="D18" s="67"/>
      <c r="E18" s="67"/>
      <c r="F18" s="67"/>
      <c r="G18" s="67"/>
      <c r="H18" s="67"/>
      <c r="I18" s="67"/>
    </row>
    <row r="19" spans="1:9">
      <c r="A19" s="70"/>
      <c r="B19" s="67"/>
      <c r="C19" s="67"/>
      <c r="D19" s="67"/>
      <c r="E19" s="67"/>
      <c r="F19" s="67"/>
      <c r="G19" s="67"/>
      <c r="H19" s="67"/>
      <c r="I19" s="67"/>
    </row>
    <row r="20" spans="1:9">
      <c r="A20" s="70"/>
      <c r="B20" s="67"/>
      <c r="C20" s="67"/>
      <c r="D20" s="67"/>
      <c r="E20" s="67"/>
      <c r="F20" s="67"/>
      <c r="G20" s="67"/>
      <c r="H20" s="67"/>
      <c r="I20" s="67"/>
    </row>
    <row r="21" spans="1:9">
      <c r="A21" s="70"/>
      <c r="B21" s="67"/>
      <c r="C21" s="67"/>
      <c r="D21" s="67"/>
      <c r="E21" s="67"/>
      <c r="F21" s="67"/>
      <c r="G21" s="67"/>
      <c r="H21" s="67"/>
      <c r="I21" s="67"/>
    </row>
    <row r="22" spans="1:9">
      <c r="A22" s="70"/>
      <c r="B22" s="69"/>
      <c r="C22" s="69"/>
      <c r="D22" s="67"/>
      <c r="E22" s="67"/>
      <c r="F22" s="67"/>
      <c r="G22" s="67"/>
      <c r="H22" s="67"/>
      <c r="I22" s="67"/>
    </row>
    <row r="23" spans="1:9">
      <c r="A23" s="70"/>
      <c r="B23" s="67"/>
      <c r="C23" s="67"/>
      <c r="D23" s="67"/>
      <c r="E23" s="67"/>
      <c r="F23" s="67"/>
      <c r="G23" s="67"/>
      <c r="H23" s="67"/>
      <c r="I23" s="67"/>
    </row>
    <row r="24" spans="1:9">
      <c r="A24" s="70"/>
      <c r="B24" s="67"/>
      <c r="C24" s="67"/>
      <c r="D24" s="67"/>
      <c r="E24" s="67"/>
      <c r="F24" s="67"/>
      <c r="G24" s="67"/>
      <c r="H24" s="67"/>
      <c r="I24" s="67"/>
    </row>
    <row r="25" spans="1:9">
      <c r="A25" s="70"/>
      <c r="B25" s="67"/>
      <c r="C25" s="67"/>
      <c r="D25" s="67"/>
      <c r="E25" s="67"/>
      <c r="F25" s="67"/>
      <c r="G25" s="67"/>
      <c r="H25" s="67"/>
      <c r="I25" s="67"/>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31"/>
  <sheetViews>
    <sheetView workbookViewId="0">
      <selection activeCell="H3" sqref="A3:H3"/>
    </sheetView>
  </sheetViews>
  <sheetFormatPr defaultColWidth="9" defaultRowHeight="15" outlineLevelCol="7"/>
  <cols>
    <col min="1" max="1" width="9" style="64"/>
    <col min="2" max="2" width="34.7083333333333" style="64" customWidth="1"/>
    <col min="3" max="8" width="13" style="64" customWidth="1"/>
    <col min="9" max="16384" width="9" style="64"/>
  </cols>
  <sheetData>
    <row r="2" ht="6.75" customHeight="1"/>
    <row r="3" s="63" customFormat="1" ht="22.5" customHeight="1" spans="1:8">
      <c r="A3" s="66" t="s">
        <v>114</v>
      </c>
      <c r="B3" s="66" t="s">
        <v>115</v>
      </c>
      <c r="C3" s="66" t="s">
        <v>116</v>
      </c>
      <c r="D3" s="66" t="s">
        <v>117</v>
      </c>
      <c r="E3" s="66" t="s">
        <v>118</v>
      </c>
      <c r="F3" s="66" t="s">
        <v>119</v>
      </c>
      <c r="G3" s="66" t="s">
        <v>4</v>
      </c>
      <c r="H3" s="66" t="s">
        <v>120</v>
      </c>
    </row>
    <row r="4" spans="1:8">
      <c r="A4" s="67"/>
      <c r="B4" s="67"/>
      <c r="C4" s="69"/>
      <c r="D4" s="69"/>
      <c r="E4" s="69"/>
      <c r="F4" s="69"/>
      <c r="G4" s="69"/>
      <c r="H4" s="69"/>
    </row>
    <row r="5" spans="1:8">
      <c r="A5" s="68">
        <v>1</v>
      </c>
      <c r="B5" s="69" t="s">
        <v>173</v>
      </c>
      <c r="C5" s="67"/>
      <c r="D5" s="67">
        <f>3+3.16+3.6+1</f>
        <v>10.76</v>
      </c>
      <c r="E5" s="67"/>
      <c r="F5" s="67"/>
      <c r="G5" s="67">
        <f>PRODUCT(C5:F5)</f>
        <v>10.76</v>
      </c>
      <c r="H5" s="67"/>
    </row>
    <row r="6" spans="1:8">
      <c r="A6" s="68"/>
      <c r="B6" s="90"/>
      <c r="C6" s="67"/>
      <c r="D6" s="67"/>
      <c r="E6" s="67"/>
      <c r="F6" s="67"/>
      <c r="G6" s="67"/>
      <c r="H6" s="67"/>
    </row>
    <row r="7" spans="1:8">
      <c r="A7" s="68">
        <v>2</v>
      </c>
      <c r="B7" s="81" t="s">
        <v>174</v>
      </c>
      <c r="C7" s="67">
        <v>1</v>
      </c>
      <c r="D7" s="67"/>
      <c r="E7" s="67"/>
      <c r="F7" s="67"/>
      <c r="G7" s="67">
        <f>PRODUCT(C7:F7)</f>
        <v>1</v>
      </c>
      <c r="H7" s="69"/>
    </row>
    <row r="8" spans="1:8">
      <c r="A8" s="68"/>
      <c r="B8" s="81"/>
      <c r="C8" s="67"/>
      <c r="D8" s="67"/>
      <c r="E8" s="67"/>
      <c r="F8" s="67"/>
      <c r="G8" s="67"/>
      <c r="H8" s="69"/>
    </row>
    <row r="9" spans="1:8">
      <c r="A9" s="68">
        <v>3</v>
      </c>
      <c r="B9" s="69" t="s">
        <v>175</v>
      </c>
      <c r="C9" s="67"/>
      <c r="D9" s="67">
        <v>3</v>
      </c>
      <c r="E9" s="67"/>
      <c r="F9" s="67"/>
      <c r="G9" s="67">
        <f>PRODUCT(C9:F9)</f>
        <v>3</v>
      </c>
      <c r="H9" s="67"/>
    </row>
    <row r="10" spans="1:8">
      <c r="A10" s="68"/>
      <c r="B10" s="69"/>
      <c r="C10" s="67"/>
      <c r="D10" s="67"/>
      <c r="E10" s="67"/>
      <c r="F10" s="67"/>
      <c r="G10" s="67"/>
      <c r="H10" s="67"/>
    </row>
    <row r="11" spans="1:8">
      <c r="A11" s="68">
        <v>4</v>
      </c>
      <c r="B11" s="81" t="s">
        <v>176</v>
      </c>
      <c r="C11" s="67"/>
      <c r="D11" s="67">
        <f>25</f>
        <v>25</v>
      </c>
      <c r="E11" s="67"/>
      <c r="F11" s="67"/>
      <c r="G11" s="67">
        <f>PRODUCT(C11:F11)</f>
        <v>25</v>
      </c>
      <c r="H11" s="67"/>
    </row>
    <row r="12" spans="1:8">
      <c r="A12" s="68">
        <v>5</v>
      </c>
      <c r="B12" s="81" t="s">
        <v>177</v>
      </c>
      <c r="C12" s="67"/>
      <c r="D12" s="67"/>
      <c r="E12" s="67"/>
      <c r="F12" s="67"/>
      <c r="G12" s="67"/>
      <c r="H12" s="67"/>
    </row>
    <row r="13" spans="1:8">
      <c r="A13" s="68"/>
      <c r="C13" s="67"/>
      <c r="D13" s="67"/>
      <c r="E13" s="67"/>
      <c r="F13" s="67"/>
      <c r="G13" s="67"/>
      <c r="H13" s="67"/>
    </row>
    <row r="14" spans="1:8">
      <c r="A14" s="68"/>
      <c r="B14" s="67"/>
      <c r="C14" s="67"/>
      <c r="D14" s="67"/>
      <c r="E14" s="67"/>
      <c r="F14" s="67"/>
      <c r="G14" s="67"/>
      <c r="H14" s="67"/>
    </row>
    <row r="15" spans="1:8">
      <c r="A15" s="68">
        <v>6</v>
      </c>
      <c r="B15" s="81" t="s">
        <v>178</v>
      </c>
      <c r="C15" s="67"/>
      <c r="D15" s="67"/>
      <c r="E15" s="67"/>
      <c r="F15" s="67"/>
      <c r="G15" s="67"/>
      <c r="H15" s="67"/>
    </row>
    <row r="16" spans="1:8">
      <c r="A16" s="68"/>
      <c r="B16" s="88" t="s">
        <v>179</v>
      </c>
      <c r="C16" s="67">
        <v>3</v>
      </c>
      <c r="D16" s="67"/>
      <c r="E16" s="67"/>
      <c r="F16" s="67"/>
      <c r="G16" s="67">
        <f>PRODUCT(C16:F16)</f>
        <v>3</v>
      </c>
      <c r="H16" s="67"/>
    </row>
    <row r="17" spans="1:8">
      <c r="A17" s="68"/>
      <c r="B17" s="88" t="s">
        <v>180</v>
      </c>
      <c r="C17" s="67">
        <v>1</v>
      </c>
      <c r="D17" s="67"/>
      <c r="E17" s="67"/>
      <c r="F17" s="67"/>
      <c r="G17" s="67">
        <f>PRODUCT(C17:F17)</f>
        <v>1</v>
      </c>
      <c r="H17" s="67"/>
    </row>
    <row r="18" spans="1:8">
      <c r="A18" s="68"/>
      <c r="B18" s="88" t="s">
        <v>181</v>
      </c>
      <c r="C18" s="67">
        <v>1</v>
      </c>
      <c r="D18" s="67"/>
      <c r="E18" s="67"/>
      <c r="F18" s="67"/>
      <c r="G18" s="67">
        <f>PRODUCT(C18:F18)</f>
        <v>1</v>
      </c>
      <c r="H18" s="67"/>
    </row>
    <row r="19" spans="1:8">
      <c r="A19" s="68"/>
      <c r="B19" s="80"/>
      <c r="C19" s="67"/>
      <c r="D19" s="67"/>
      <c r="E19" s="67"/>
      <c r="F19" s="67"/>
      <c r="G19" s="67"/>
      <c r="H19" s="67"/>
    </row>
    <row r="20" spans="1:8">
      <c r="A20" s="68">
        <v>7</v>
      </c>
      <c r="B20" s="81" t="s">
        <v>182</v>
      </c>
      <c r="C20" s="67"/>
      <c r="D20" s="67"/>
      <c r="E20" s="67"/>
      <c r="F20" s="67"/>
      <c r="G20" s="67"/>
      <c r="H20" s="67"/>
    </row>
    <row r="21" spans="1:8">
      <c r="A21" s="68"/>
      <c r="B21" s="80"/>
      <c r="C21" s="67"/>
      <c r="D21" s="67"/>
      <c r="E21" s="67"/>
      <c r="F21" s="67"/>
      <c r="G21" s="67"/>
      <c r="H21" s="67"/>
    </row>
    <row r="22" spans="1:8">
      <c r="A22" s="68">
        <v>8</v>
      </c>
      <c r="B22" s="69" t="s">
        <v>183</v>
      </c>
      <c r="C22" s="67"/>
      <c r="D22" s="67"/>
      <c r="E22" s="67"/>
      <c r="F22" s="67"/>
      <c r="G22" s="67"/>
      <c r="H22" s="67"/>
    </row>
    <row r="23" spans="1:8">
      <c r="A23" s="67"/>
      <c r="B23" s="69"/>
      <c r="C23" s="67"/>
      <c r="D23" s="67"/>
      <c r="E23" s="67"/>
      <c r="F23" s="67"/>
      <c r="G23" s="67"/>
      <c r="H23" s="67"/>
    </row>
    <row r="24" spans="1:8">
      <c r="A24" s="67"/>
      <c r="B24" s="67"/>
      <c r="C24" s="67"/>
      <c r="D24" s="67"/>
      <c r="E24" s="67"/>
      <c r="F24" s="67"/>
      <c r="G24" s="67"/>
      <c r="H24" s="67"/>
    </row>
    <row r="25" spans="1:8">
      <c r="A25" s="67"/>
      <c r="B25" s="69"/>
      <c r="C25" s="67"/>
      <c r="D25" s="67"/>
      <c r="E25" s="67"/>
      <c r="F25" s="67"/>
      <c r="G25" s="67"/>
      <c r="H25" s="67"/>
    </row>
    <row r="26" ht="34.5" customHeight="1" spans="1:8">
      <c r="A26" s="67"/>
      <c r="B26" s="80"/>
      <c r="C26" s="67"/>
      <c r="D26" s="67"/>
      <c r="E26" s="67"/>
      <c r="F26" s="67"/>
      <c r="G26" s="67"/>
      <c r="H26" s="67"/>
    </row>
    <row r="27" spans="1:8">
      <c r="A27" s="67"/>
      <c r="B27" s="80"/>
      <c r="C27" s="67"/>
      <c r="D27" s="67"/>
      <c r="E27" s="67"/>
      <c r="F27" s="67"/>
      <c r="G27" s="67"/>
      <c r="H27" s="67"/>
    </row>
    <row r="28" spans="1:8">
      <c r="A28" s="67"/>
      <c r="B28" s="69"/>
      <c r="C28" s="67"/>
      <c r="D28" s="67"/>
      <c r="E28" s="67"/>
      <c r="F28" s="67"/>
      <c r="G28" s="67"/>
      <c r="H28" s="67"/>
    </row>
    <row r="29" spans="1:8">
      <c r="A29" s="67"/>
      <c r="B29" s="69"/>
      <c r="C29" s="67"/>
      <c r="D29" s="67"/>
      <c r="E29" s="67"/>
      <c r="F29" s="67"/>
      <c r="G29" s="67"/>
      <c r="H29" s="67"/>
    </row>
    <row r="30" spans="1:8">
      <c r="A30" s="67"/>
      <c r="B30" s="67"/>
      <c r="C30" s="67"/>
      <c r="D30" s="67"/>
      <c r="E30" s="67"/>
      <c r="F30" s="67"/>
      <c r="G30" s="67"/>
      <c r="H30" s="67"/>
    </row>
    <row r="31" spans="1:8">
      <c r="A31" s="67"/>
      <c r="B31" s="67"/>
      <c r="C31" s="67"/>
      <c r="D31" s="67"/>
      <c r="E31" s="67"/>
      <c r="F31" s="67"/>
      <c r="G31" s="67"/>
      <c r="H31" s="67"/>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8"/>
  <sheetViews>
    <sheetView workbookViewId="0">
      <selection activeCell="C7" sqref="C7"/>
    </sheetView>
  </sheetViews>
  <sheetFormatPr defaultColWidth="9" defaultRowHeight="15" outlineLevelCol="7"/>
  <cols>
    <col min="1" max="1" width="9" style="64"/>
    <col min="2" max="2" width="34.7083333333333" style="64" customWidth="1"/>
    <col min="3" max="8" width="13" style="64" customWidth="1"/>
    <col min="9" max="16384" width="9" style="64"/>
  </cols>
  <sheetData>
    <row r="2" ht="6.75" customHeight="1"/>
    <row r="3" s="63" customFormat="1" ht="22.5" customHeight="1" spans="1:8">
      <c r="A3" s="66" t="s">
        <v>114</v>
      </c>
      <c r="B3" s="66" t="s">
        <v>115</v>
      </c>
      <c r="C3" s="66" t="s">
        <v>116</v>
      </c>
      <c r="D3" s="66" t="s">
        <v>117</v>
      </c>
      <c r="E3" s="66" t="s">
        <v>118</v>
      </c>
      <c r="F3" s="66" t="s">
        <v>119</v>
      </c>
      <c r="G3" s="66" t="s">
        <v>4</v>
      </c>
      <c r="H3" s="66" t="s">
        <v>120</v>
      </c>
    </row>
    <row r="4" spans="1:8">
      <c r="A4" s="67"/>
      <c r="B4" s="67"/>
      <c r="C4" s="69"/>
      <c r="D4" s="69"/>
      <c r="E4" s="69"/>
      <c r="F4" s="69"/>
      <c r="G4" s="69"/>
      <c r="H4" s="69"/>
    </row>
    <row r="5" spans="1:8">
      <c r="A5" s="67"/>
      <c r="B5" s="69" t="s">
        <v>184</v>
      </c>
      <c r="C5" s="67"/>
      <c r="D5" s="67"/>
      <c r="E5" s="67"/>
      <c r="F5" s="67"/>
      <c r="G5" s="67"/>
      <c r="H5" s="67"/>
    </row>
    <row r="6" spans="1:8">
      <c r="A6" s="67"/>
      <c r="B6" s="90" t="s">
        <v>185</v>
      </c>
      <c r="C6" s="67"/>
      <c r="D6" s="67"/>
      <c r="E6" s="67"/>
      <c r="F6" s="67"/>
      <c r="G6" s="67"/>
      <c r="H6" s="67"/>
    </row>
    <row r="7" ht="60" spans="1:8">
      <c r="A7" s="67"/>
      <c r="B7" s="88" t="s">
        <v>186</v>
      </c>
      <c r="C7" s="67">
        <v>2</v>
      </c>
      <c r="D7" s="67"/>
      <c r="E7" s="67"/>
      <c r="F7" s="67"/>
      <c r="G7" s="67">
        <f>C7</f>
        <v>2</v>
      </c>
      <c r="H7" s="69">
        <f>1*2</f>
        <v>2</v>
      </c>
    </row>
    <row r="8" ht="30" spans="1:8">
      <c r="A8" s="67"/>
      <c r="B8" s="88" t="s">
        <v>187</v>
      </c>
      <c r="C8" s="67">
        <v>2</v>
      </c>
      <c r="D8" s="67"/>
      <c r="E8" s="67"/>
      <c r="F8" s="67"/>
      <c r="G8" s="67">
        <v>2</v>
      </c>
      <c r="H8" s="69">
        <f>1*2</f>
        <v>2</v>
      </c>
    </row>
    <row r="9" spans="1:8">
      <c r="A9" s="67"/>
      <c r="B9" s="67"/>
      <c r="C9" s="67"/>
      <c r="D9" s="67"/>
      <c r="E9" s="67"/>
      <c r="F9" s="67"/>
      <c r="G9" s="67"/>
      <c r="H9" s="67"/>
    </row>
    <row r="10" spans="1:8">
      <c r="A10" s="67"/>
      <c r="B10" s="69" t="s">
        <v>188</v>
      </c>
      <c r="C10" s="67"/>
      <c r="D10" s="67"/>
      <c r="E10" s="67"/>
      <c r="F10" s="67"/>
      <c r="G10" s="67"/>
      <c r="H10" s="67"/>
    </row>
    <row r="11" ht="60" spans="1:8">
      <c r="A11" s="67"/>
      <c r="B11" s="88" t="s">
        <v>189</v>
      </c>
      <c r="C11" s="67">
        <v>1</v>
      </c>
      <c r="D11" s="67"/>
      <c r="E11" s="67"/>
      <c r="F11" s="67"/>
      <c r="G11" s="67">
        <f>C11</f>
        <v>1</v>
      </c>
      <c r="H11" s="67"/>
    </row>
    <row r="12" ht="45" spans="1:8">
      <c r="A12" s="67"/>
      <c r="B12" s="88" t="s">
        <v>190</v>
      </c>
      <c r="C12" s="67">
        <v>1</v>
      </c>
      <c r="D12" s="67"/>
      <c r="E12" s="67"/>
      <c r="F12" s="67"/>
      <c r="G12" s="67">
        <f>C12</f>
        <v>1</v>
      </c>
      <c r="H12" s="71" t="s">
        <v>191</v>
      </c>
    </row>
    <row r="13" ht="30" spans="1:8">
      <c r="A13" s="67"/>
      <c r="B13" s="88" t="s">
        <v>192</v>
      </c>
      <c r="C13" s="67">
        <v>1</v>
      </c>
      <c r="D13" s="67"/>
      <c r="E13" s="67"/>
      <c r="F13" s="67"/>
      <c r="G13" s="67">
        <f>C13</f>
        <v>1</v>
      </c>
      <c r="H13" s="67"/>
    </row>
    <row r="14" spans="1:8">
      <c r="A14" s="67"/>
      <c r="B14" s="71" t="s">
        <v>193</v>
      </c>
      <c r="C14" s="67">
        <v>1</v>
      </c>
      <c r="D14" s="67"/>
      <c r="E14" s="67"/>
      <c r="F14" s="67"/>
      <c r="G14" s="67">
        <f>C14</f>
        <v>1</v>
      </c>
      <c r="H14" s="67"/>
    </row>
    <row r="15" ht="30" spans="1:8">
      <c r="A15" s="67"/>
      <c r="B15" s="88" t="s">
        <v>194</v>
      </c>
      <c r="C15" s="67">
        <v>1</v>
      </c>
      <c r="D15" s="67"/>
      <c r="E15" s="67"/>
      <c r="F15" s="67"/>
      <c r="G15" s="67">
        <f>C15</f>
        <v>1</v>
      </c>
      <c r="H15" s="67"/>
    </row>
    <row r="16" spans="1:8">
      <c r="A16" s="67"/>
      <c r="B16" s="80"/>
      <c r="C16" s="67"/>
      <c r="D16" s="67"/>
      <c r="E16" s="67"/>
      <c r="F16" s="67"/>
      <c r="G16" s="67"/>
      <c r="H16" s="67"/>
    </row>
    <row r="17" spans="1:8">
      <c r="A17" s="67"/>
      <c r="B17" s="81" t="s">
        <v>195</v>
      </c>
      <c r="C17" s="67"/>
      <c r="D17" s="67"/>
      <c r="E17" s="67"/>
      <c r="F17" s="67"/>
      <c r="G17" s="67"/>
      <c r="H17" s="67"/>
    </row>
    <row r="18" ht="45" spans="1:8">
      <c r="A18" s="67"/>
      <c r="B18" s="88" t="s">
        <v>196</v>
      </c>
      <c r="C18" s="67">
        <v>1</v>
      </c>
      <c r="D18" s="67"/>
      <c r="E18" s="67"/>
      <c r="F18" s="67"/>
      <c r="G18" s="67">
        <f>C18</f>
        <v>1</v>
      </c>
      <c r="H18" s="67"/>
    </row>
    <row r="19" spans="1:8">
      <c r="A19" s="67"/>
      <c r="B19" s="67"/>
      <c r="C19" s="67"/>
      <c r="D19" s="67"/>
      <c r="E19" s="67"/>
      <c r="F19" s="67"/>
      <c r="G19" s="67"/>
      <c r="H19" s="67"/>
    </row>
    <row r="20" spans="1:8">
      <c r="A20" s="67"/>
      <c r="B20" s="69" t="s">
        <v>197</v>
      </c>
      <c r="C20" s="67">
        <v>1</v>
      </c>
      <c r="D20" s="67"/>
      <c r="E20" s="67"/>
      <c r="F20" s="67"/>
      <c r="G20" s="67">
        <f>C20</f>
        <v>1</v>
      </c>
      <c r="H20" s="67"/>
    </row>
    <row r="21" spans="1:8">
      <c r="A21" s="67"/>
      <c r="B21" s="67"/>
      <c r="C21" s="67"/>
      <c r="D21" s="67"/>
      <c r="E21" s="67"/>
      <c r="F21" s="67"/>
      <c r="G21" s="67"/>
      <c r="H21" s="67"/>
    </row>
    <row r="22" spans="1:8">
      <c r="A22" s="67"/>
      <c r="B22" s="69" t="s">
        <v>198</v>
      </c>
      <c r="C22" s="67"/>
      <c r="D22" s="67"/>
      <c r="E22" s="67"/>
      <c r="F22" s="67"/>
      <c r="G22" s="67"/>
      <c r="H22" s="67"/>
    </row>
    <row r="23" ht="34.5" customHeight="1" spans="1:8">
      <c r="A23" s="67"/>
      <c r="B23" s="88" t="s">
        <v>199</v>
      </c>
      <c r="C23" s="67">
        <v>1</v>
      </c>
      <c r="D23" s="67"/>
      <c r="E23" s="67"/>
      <c r="F23" s="67"/>
      <c r="G23" s="67">
        <f>C23</f>
        <v>1</v>
      </c>
      <c r="H23" s="67"/>
    </row>
    <row r="24" ht="30" spans="1:8">
      <c r="A24" s="67"/>
      <c r="B24" s="88" t="s">
        <v>200</v>
      </c>
      <c r="C24" s="67">
        <v>1</v>
      </c>
      <c r="D24" s="67"/>
      <c r="E24" s="67"/>
      <c r="F24" s="67"/>
      <c r="G24" s="67">
        <f>C24</f>
        <v>1</v>
      </c>
      <c r="H24" s="67"/>
    </row>
    <row r="25" spans="1:8">
      <c r="A25" s="67"/>
      <c r="B25" s="69"/>
      <c r="C25" s="67"/>
      <c r="D25" s="67"/>
      <c r="E25" s="67"/>
      <c r="F25" s="67"/>
      <c r="G25" s="67"/>
      <c r="H25" s="67"/>
    </row>
    <row r="26" spans="1:8">
      <c r="A26" s="67"/>
      <c r="B26" s="69" t="s">
        <v>201</v>
      </c>
      <c r="C26" s="67">
        <v>1</v>
      </c>
      <c r="D26" s="67"/>
      <c r="E26" s="67"/>
      <c r="F26" s="67"/>
      <c r="G26" s="67">
        <f>C26</f>
        <v>1</v>
      </c>
      <c r="H26" s="67"/>
    </row>
    <row r="27" spans="1:8">
      <c r="A27" s="67"/>
      <c r="B27" s="67"/>
      <c r="C27" s="67"/>
      <c r="D27" s="67"/>
      <c r="E27" s="67"/>
      <c r="F27" s="67"/>
      <c r="G27" s="67"/>
      <c r="H27" s="67"/>
    </row>
    <row r="28" spans="1:8">
      <c r="A28" s="67"/>
      <c r="B28" s="67"/>
      <c r="C28" s="67"/>
      <c r="D28" s="67"/>
      <c r="E28" s="67"/>
      <c r="F28" s="67"/>
      <c r="G28" s="67"/>
      <c r="H28" s="67"/>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8"/>
  <sheetViews>
    <sheetView workbookViewId="0">
      <selection activeCell="B5" sqref="B5"/>
    </sheetView>
  </sheetViews>
  <sheetFormatPr defaultColWidth="9" defaultRowHeight="15"/>
  <cols>
    <col min="1" max="1" width="9" style="64"/>
    <col min="2" max="2" width="58.425" style="78" customWidth="1"/>
    <col min="3" max="3" width="10" style="65" customWidth="1"/>
    <col min="4" max="4" width="13" style="65" customWidth="1"/>
    <col min="5" max="7" width="13" style="64" customWidth="1"/>
    <col min="8" max="8" width="13" style="65" customWidth="1"/>
    <col min="9" max="9" width="13" style="64" customWidth="1"/>
    <col min="10" max="16384" width="9" style="64"/>
  </cols>
  <sheetData>
    <row r="2" ht="6.75" customHeight="1"/>
    <row r="3" s="63" customFormat="1" ht="22.5" customHeight="1" spans="1:9">
      <c r="A3" s="66" t="s">
        <v>114</v>
      </c>
      <c r="B3" s="79" t="s">
        <v>115</v>
      </c>
      <c r="C3" s="66" t="s">
        <v>3</v>
      </c>
      <c r="D3" s="66" t="s">
        <v>116</v>
      </c>
      <c r="E3" s="66" t="s">
        <v>117</v>
      </c>
      <c r="F3" s="66" t="s">
        <v>118</v>
      </c>
      <c r="G3" s="66" t="s">
        <v>119</v>
      </c>
      <c r="H3" s="66" t="s">
        <v>4</v>
      </c>
      <c r="I3" s="66" t="s">
        <v>120</v>
      </c>
    </row>
    <row r="4" spans="1:9">
      <c r="A4" s="67"/>
      <c r="B4" s="80"/>
      <c r="C4" s="70"/>
      <c r="D4" s="68"/>
      <c r="E4" s="69"/>
      <c r="F4" s="69"/>
      <c r="G4" s="69"/>
      <c r="H4" s="68"/>
      <c r="I4" s="69"/>
    </row>
    <row r="5" spans="1:9">
      <c r="A5" s="70"/>
      <c r="B5" s="81" t="s">
        <v>98</v>
      </c>
      <c r="C5" s="70"/>
      <c r="D5" s="70"/>
      <c r="E5" s="67"/>
      <c r="F5" s="82"/>
      <c r="G5" s="67"/>
      <c r="H5" s="83"/>
      <c r="I5" s="67"/>
    </row>
    <row r="6" spans="1:9">
      <c r="A6" s="70"/>
      <c r="B6" s="80"/>
      <c r="C6" s="70"/>
      <c r="D6" s="70"/>
      <c r="E6" s="67"/>
      <c r="F6" s="74"/>
      <c r="G6" s="67"/>
      <c r="H6" s="83"/>
      <c r="I6" s="67"/>
    </row>
    <row r="7" ht="23.25" customHeight="1" spans="1:9">
      <c r="A7" s="70"/>
      <c r="B7" s="81" t="s">
        <v>202</v>
      </c>
      <c r="C7" s="70"/>
      <c r="D7" s="70"/>
      <c r="E7" s="67"/>
      <c r="F7" s="74"/>
      <c r="G7" s="67"/>
      <c r="H7" s="83"/>
      <c r="I7" s="67"/>
    </row>
    <row r="8" spans="1:9">
      <c r="A8" s="67"/>
      <c r="B8" s="84" t="s">
        <v>100</v>
      </c>
      <c r="C8" s="72" t="s">
        <v>203</v>
      </c>
      <c r="D8" s="70">
        <v>1</v>
      </c>
      <c r="E8" s="67"/>
      <c r="F8" s="67"/>
      <c r="G8" s="67"/>
      <c r="H8" s="70">
        <f>D8</f>
        <v>1</v>
      </c>
      <c r="I8" s="67"/>
    </row>
    <row r="9" spans="1:9">
      <c r="A9" s="70"/>
      <c r="B9" s="84" t="s">
        <v>101</v>
      </c>
      <c r="C9" s="72" t="s">
        <v>203</v>
      </c>
      <c r="D9" s="70"/>
      <c r="E9" s="67"/>
      <c r="F9" s="82"/>
      <c r="G9" s="67"/>
      <c r="H9" s="70"/>
      <c r="I9" s="67"/>
    </row>
    <row r="10" spans="2:9">
      <c r="B10" s="85" t="s">
        <v>102</v>
      </c>
      <c r="C10" s="72" t="s">
        <v>203</v>
      </c>
      <c r="D10" s="70">
        <v>3</v>
      </c>
      <c r="E10" s="67"/>
      <c r="F10" s="67"/>
      <c r="G10" s="67"/>
      <c r="H10" s="70">
        <f>D10</f>
        <v>3</v>
      </c>
      <c r="I10" s="67"/>
    </row>
    <row r="11" spans="2:9">
      <c r="B11" s="85" t="s">
        <v>103</v>
      </c>
      <c r="C11" s="72" t="s">
        <v>203</v>
      </c>
      <c r="D11" s="70">
        <v>1</v>
      </c>
      <c r="E11" s="67"/>
      <c r="F11" s="67"/>
      <c r="G11" s="67"/>
      <c r="H11" s="70">
        <f>D11</f>
        <v>1</v>
      </c>
      <c r="I11" s="67"/>
    </row>
    <row r="12" ht="26.25" customHeight="1" spans="2:9">
      <c r="B12" s="86" t="s">
        <v>204</v>
      </c>
      <c r="C12" s="68"/>
      <c r="D12" s="70"/>
      <c r="E12" s="67"/>
      <c r="F12" s="67"/>
      <c r="G12" s="67"/>
      <c r="H12" s="70"/>
      <c r="I12" s="67"/>
    </row>
    <row r="13" spans="2:9">
      <c r="B13" s="85" t="s">
        <v>105</v>
      </c>
      <c r="C13" s="72" t="s">
        <v>203</v>
      </c>
      <c r="D13" s="70">
        <v>1</v>
      </c>
      <c r="E13" s="67"/>
      <c r="F13" s="67"/>
      <c r="G13" s="67"/>
      <c r="H13" s="70">
        <f t="shared" ref="H13:H18" si="0">D13</f>
        <v>1</v>
      </c>
      <c r="I13" s="67"/>
    </row>
    <row r="14" spans="1:9">
      <c r="A14" s="87"/>
      <c r="B14" s="85" t="s">
        <v>106</v>
      </c>
      <c r="C14" s="72" t="s">
        <v>203</v>
      </c>
      <c r="D14" s="70">
        <v>1</v>
      </c>
      <c r="E14" s="67"/>
      <c r="F14" s="67"/>
      <c r="G14" s="67"/>
      <c r="H14" s="70">
        <f t="shared" si="0"/>
        <v>1</v>
      </c>
      <c r="I14" s="67"/>
    </row>
    <row r="15" spans="1:9">
      <c r="A15" s="70"/>
      <c r="B15" s="85" t="s">
        <v>107</v>
      </c>
      <c r="C15" s="72" t="s">
        <v>203</v>
      </c>
      <c r="D15" s="70">
        <v>1</v>
      </c>
      <c r="E15" s="67"/>
      <c r="F15" s="67"/>
      <c r="G15" s="67"/>
      <c r="H15" s="70">
        <f t="shared" si="0"/>
        <v>1</v>
      </c>
      <c r="I15" s="67"/>
    </row>
    <row r="16" spans="1:9">
      <c r="A16" s="70"/>
      <c r="B16" s="85" t="s">
        <v>108</v>
      </c>
      <c r="C16" s="72" t="s">
        <v>203</v>
      </c>
      <c r="D16" s="70">
        <v>1</v>
      </c>
      <c r="E16" s="67"/>
      <c r="F16" s="67"/>
      <c r="G16" s="67"/>
      <c r="H16" s="70">
        <f t="shared" si="0"/>
        <v>1</v>
      </c>
      <c r="I16" s="67"/>
    </row>
    <row r="17" spans="1:9">
      <c r="A17" s="67"/>
      <c r="B17" s="88" t="s">
        <v>109</v>
      </c>
      <c r="C17" s="72" t="s">
        <v>203</v>
      </c>
      <c r="D17" s="70">
        <v>1</v>
      </c>
      <c r="E17" s="67"/>
      <c r="F17" s="67"/>
      <c r="G17" s="67"/>
      <c r="H17" s="70">
        <f t="shared" si="0"/>
        <v>1</v>
      </c>
      <c r="I17" s="67"/>
    </row>
    <row r="18" spans="1:9">
      <c r="A18" s="70"/>
      <c r="B18" s="88" t="s">
        <v>110</v>
      </c>
      <c r="C18" s="72" t="s">
        <v>203</v>
      </c>
      <c r="D18" s="70">
        <v>1</v>
      </c>
      <c r="E18" s="67"/>
      <c r="F18" s="67"/>
      <c r="G18" s="67"/>
      <c r="H18" s="70">
        <f t="shared" si="0"/>
        <v>1</v>
      </c>
      <c r="I18" s="67"/>
    </row>
    <row r="19" spans="1:9">
      <c r="A19" s="67"/>
      <c r="B19" s="80"/>
      <c r="C19" s="70"/>
      <c r="D19" s="70"/>
      <c r="E19" s="67"/>
      <c r="F19" s="67"/>
      <c r="G19" s="67"/>
      <c r="H19" s="70"/>
      <c r="I19" s="67"/>
    </row>
    <row r="20" spans="1:9">
      <c r="A20" s="70"/>
      <c r="B20" s="80"/>
      <c r="C20" s="70"/>
      <c r="D20" s="70"/>
      <c r="E20" s="67"/>
      <c r="F20" s="89"/>
      <c r="G20" s="67"/>
      <c r="H20" s="83"/>
      <c r="I20" s="67"/>
    </row>
    <row r="21" spans="1:9">
      <c r="A21" s="67"/>
      <c r="B21" s="80"/>
      <c r="C21" s="70"/>
      <c r="D21" s="70"/>
      <c r="E21" s="67"/>
      <c r="F21" s="89"/>
      <c r="G21" s="67"/>
      <c r="H21" s="70"/>
      <c r="I21" s="67"/>
    </row>
    <row r="22" spans="1:9">
      <c r="A22" s="70"/>
      <c r="B22" s="80"/>
      <c r="C22" s="70"/>
      <c r="D22" s="70"/>
      <c r="E22" s="67"/>
      <c r="F22" s="82"/>
      <c r="G22" s="67"/>
      <c r="H22" s="83"/>
      <c r="I22" s="67"/>
    </row>
    <row r="23" spans="1:9">
      <c r="A23" s="67"/>
      <c r="B23" s="80"/>
      <c r="C23" s="70"/>
      <c r="D23" s="70"/>
      <c r="E23" s="67"/>
      <c r="F23" s="67"/>
      <c r="G23" s="67"/>
      <c r="H23" s="70"/>
      <c r="I23" s="67"/>
    </row>
    <row r="24" spans="1:9">
      <c r="A24" s="70"/>
      <c r="B24" s="80"/>
      <c r="C24" s="70"/>
      <c r="D24" s="70"/>
      <c r="E24" s="67"/>
      <c r="F24" s="82"/>
      <c r="G24" s="67"/>
      <c r="H24" s="83"/>
      <c r="I24" s="67"/>
    </row>
    <row r="25" spans="1:9">
      <c r="A25" s="67"/>
      <c r="B25" s="80"/>
      <c r="C25" s="68"/>
      <c r="D25" s="70"/>
      <c r="E25" s="67"/>
      <c r="F25" s="67"/>
      <c r="G25" s="67"/>
      <c r="H25" s="70"/>
      <c r="I25" s="67"/>
    </row>
    <row r="26" spans="1:9">
      <c r="A26" s="70"/>
      <c r="B26" s="80"/>
      <c r="C26" s="70"/>
      <c r="D26" s="70"/>
      <c r="E26" s="67"/>
      <c r="F26" s="67"/>
      <c r="G26" s="67"/>
      <c r="H26" s="70"/>
      <c r="I26" s="67"/>
    </row>
    <row r="27" spans="1:9">
      <c r="A27" s="67"/>
      <c r="B27" s="80"/>
      <c r="C27" s="70"/>
      <c r="D27" s="70"/>
      <c r="E27" s="67"/>
      <c r="F27" s="67"/>
      <c r="G27" s="67"/>
      <c r="H27" s="70"/>
      <c r="I27" s="67"/>
    </row>
    <row r="28" spans="1:9">
      <c r="A28" s="67"/>
      <c r="B28" s="80"/>
      <c r="C28" s="70"/>
      <c r="D28" s="70"/>
      <c r="E28" s="67"/>
      <c r="F28" s="67"/>
      <c r="G28" s="67"/>
      <c r="H28" s="70"/>
      <c r="I28" s="67"/>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7"/>
  <sheetViews>
    <sheetView workbookViewId="0">
      <selection activeCell="D7" sqref="D7"/>
    </sheetView>
  </sheetViews>
  <sheetFormatPr defaultColWidth="9" defaultRowHeight="15"/>
  <cols>
    <col min="1" max="1" width="9" style="64"/>
    <col min="2" max="2" width="34.7083333333333" style="64" customWidth="1"/>
    <col min="3" max="3" width="17.1416666666667" style="64" customWidth="1"/>
    <col min="4" max="4" width="13" style="65" customWidth="1"/>
    <col min="5" max="9" width="13" style="64" customWidth="1"/>
    <col min="10" max="16384" width="9" style="64"/>
  </cols>
  <sheetData>
    <row r="2" ht="6.75" customHeight="1"/>
    <row r="3" s="63" customFormat="1" ht="22.5" customHeight="1" spans="1:9">
      <c r="A3" s="66" t="s">
        <v>114</v>
      </c>
      <c r="B3" s="66" t="s">
        <v>115</v>
      </c>
      <c r="C3" s="66" t="s">
        <v>3</v>
      </c>
      <c r="D3" s="66" t="s">
        <v>116</v>
      </c>
      <c r="E3" s="66" t="s">
        <v>117</v>
      </c>
      <c r="F3" s="66" t="s">
        <v>118</v>
      </c>
      <c r="G3" s="66" t="s">
        <v>119</v>
      </c>
      <c r="H3" s="66" t="s">
        <v>4</v>
      </c>
      <c r="I3" s="66" t="s">
        <v>120</v>
      </c>
    </row>
    <row r="4" spans="1:9">
      <c r="A4" s="67"/>
      <c r="B4" s="67"/>
      <c r="C4" s="67"/>
      <c r="D4" s="68"/>
      <c r="E4" s="69"/>
      <c r="F4" s="69"/>
      <c r="G4" s="69"/>
      <c r="H4" s="69"/>
      <c r="I4" s="69"/>
    </row>
    <row r="5" spans="1:9">
      <c r="A5" s="70">
        <v>1</v>
      </c>
      <c r="B5" s="71" t="s">
        <v>205</v>
      </c>
      <c r="C5" s="72" t="s">
        <v>95</v>
      </c>
      <c r="D5" s="70"/>
      <c r="E5" s="73">
        <v>128.68934992</v>
      </c>
      <c r="F5" s="74"/>
      <c r="G5" s="67"/>
      <c r="H5" s="75">
        <f>PRODUCT(D5:G5)</f>
        <v>128.68934992</v>
      </c>
      <c r="I5" s="67"/>
    </row>
    <row r="6" spans="1:9">
      <c r="A6" s="70"/>
      <c r="B6" s="67"/>
      <c r="C6" s="67"/>
      <c r="D6" s="70"/>
      <c r="E6" s="73"/>
      <c r="F6" s="74"/>
      <c r="G6" s="67"/>
      <c r="H6" s="75"/>
      <c r="I6" s="67"/>
    </row>
    <row r="7" spans="1:9">
      <c r="A7" s="70">
        <v>2</v>
      </c>
      <c r="B7" s="71" t="s">
        <v>206</v>
      </c>
      <c r="C7" s="72" t="s">
        <v>45</v>
      </c>
      <c r="D7" s="70"/>
      <c r="E7" s="73"/>
      <c r="F7" s="74"/>
      <c r="G7" s="67"/>
      <c r="H7" s="75">
        <f>PRODUCT(D7:G7)</f>
        <v>0</v>
      </c>
      <c r="I7" s="67"/>
    </row>
    <row r="8" spans="1:9">
      <c r="A8" s="67"/>
      <c r="B8" s="67"/>
      <c r="C8" s="67"/>
      <c r="D8" s="70"/>
      <c r="E8" s="67"/>
      <c r="F8" s="67"/>
      <c r="G8" s="67"/>
      <c r="H8" s="67"/>
      <c r="I8" s="67"/>
    </row>
    <row r="9" spans="1:9">
      <c r="A9" s="70">
        <v>3</v>
      </c>
      <c r="B9" s="71" t="s">
        <v>207</v>
      </c>
      <c r="C9" s="72" t="s">
        <v>95</v>
      </c>
      <c r="D9" s="70">
        <v>2</v>
      </c>
      <c r="E9" s="73">
        <v>49.79339792</v>
      </c>
      <c r="F9" s="74"/>
      <c r="G9" s="67"/>
      <c r="H9" s="75">
        <f>PRODUCT(D9:G9)</f>
        <v>99.58679584</v>
      </c>
      <c r="I9" s="67"/>
    </row>
    <row r="10" spans="1:9">
      <c r="A10" s="67"/>
      <c r="B10" s="67"/>
      <c r="C10" s="67"/>
      <c r="D10" s="70"/>
      <c r="E10" s="67"/>
      <c r="F10" s="67"/>
      <c r="G10" s="67"/>
      <c r="H10" s="67"/>
      <c r="I10" s="67"/>
    </row>
    <row r="11" spans="1:9">
      <c r="A11" s="70">
        <v>4</v>
      </c>
      <c r="B11" s="71" t="s">
        <v>208</v>
      </c>
      <c r="C11" s="72" t="s">
        <v>45</v>
      </c>
      <c r="D11" s="70"/>
      <c r="E11" s="67"/>
      <c r="F11" s="67"/>
      <c r="G11" s="67"/>
      <c r="H11" s="75">
        <f>PRODUCT(D11:G11)</f>
        <v>0</v>
      </c>
      <c r="I11" s="67"/>
    </row>
    <row r="12" spans="1:9">
      <c r="A12" s="67"/>
      <c r="B12" s="69"/>
      <c r="C12" s="69"/>
      <c r="D12" s="70"/>
      <c r="E12" s="67"/>
      <c r="F12" s="67"/>
      <c r="G12" s="67"/>
      <c r="H12" s="67"/>
      <c r="I12" s="67"/>
    </row>
    <row r="13" spans="1:9">
      <c r="A13" s="70">
        <v>5</v>
      </c>
      <c r="B13" s="71" t="s">
        <v>209</v>
      </c>
      <c r="C13" s="72" t="s">
        <v>95</v>
      </c>
      <c r="D13" s="70"/>
      <c r="E13" s="67">
        <v>60.08</v>
      </c>
      <c r="F13" s="67"/>
      <c r="G13" s="67"/>
      <c r="H13" s="75">
        <f>PRODUCT(D13:G13)</f>
        <v>60.08</v>
      </c>
      <c r="I13" s="67"/>
    </row>
    <row r="14" spans="1:9">
      <c r="A14" s="67"/>
      <c r="B14" s="67"/>
      <c r="C14" s="67"/>
      <c r="D14" s="70"/>
      <c r="E14" s="67"/>
      <c r="F14" s="67"/>
      <c r="G14" s="67"/>
      <c r="H14" s="67"/>
      <c r="I14" s="67"/>
    </row>
    <row r="15" spans="1:9">
      <c r="A15" s="70">
        <v>6</v>
      </c>
      <c r="B15" s="71" t="s">
        <v>210</v>
      </c>
      <c r="C15" s="72" t="s">
        <v>95</v>
      </c>
      <c r="D15" s="70"/>
      <c r="E15" s="67">
        <v>3.92</v>
      </c>
      <c r="F15" s="67"/>
      <c r="G15" s="67"/>
      <c r="H15" s="75">
        <f>PRODUCT(D15:G15)</f>
        <v>3.92</v>
      </c>
      <c r="I15" s="67"/>
    </row>
    <row r="16" spans="1:9">
      <c r="A16" s="67"/>
      <c r="B16" s="67"/>
      <c r="C16" s="67"/>
      <c r="D16" s="70"/>
      <c r="E16" s="67"/>
      <c r="F16" s="67"/>
      <c r="G16" s="67"/>
      <c r="H16" s="67"/>
      <c r="I16" s="67"/>
    </row>
    <row r="17" spans="1:9">
      <c r="A17" s="70">
        <v>7</v>
      </c>
      <c r="B17" s="71" t="s">
        <v>211</v>
      </c>
      <c r="C17" s="72" t="s">
        <v>95</v>
      </c>
      <c r="D17" s="70"/>
      <c r="E17" s="67">
        <v>7.738</v>
      </c>
      <c r="F17" s="67"/>
      <c r="G17" s="67">
        <v>1.8</v>
      </c>
      <c r="H17" s="75">
        <f>PRODUCT(D17:G17)</f>
        <v>13.9284</v>
      </c>
      <c r="I17" s="67"/>
    </row>
    <row r="18" spans="1:9">
      <c r="A18" s="67"/>
      <c r="B18" s="67"/>
      <c r="C18" s="67"/>
      <c r="D18" s="70"/>
      <c r="E18" s="67"/>
      <c r="F18" s="67"/>
      <c r="G18" s="67"/>
      <c r="H18" s="67"/>
      <c r="I18" s="67"/>
    </row>
    <row r="19" spans="1:9">
      <c r="A19" s="70">
        <v>7</v>
      </c>
      <c r="B19" s="71" t="s">
        <v>212</v>
      </c>
      <c r="C19" s="72" t="s">
        <v>95</v>
      </c>
      <c r="D19" s="70">
        <f>D9</f>
        <v>2</v>
      </c>
      <c r="E19" s="76">
        <f>E9</f>
        <v>49.79339792</v>
      </c>
      <c r="F19" s="77"/>
      <c r="G19" s="67"/>
      <c r="H19" s="75">
        <f>PRODUCT(D19:G19)</f>
        <v>99.58679584</v>
      </c>
      <c r="I19" s="67"/>
    </row>
    <row r="20" spans="1:9">
      <c r="A20" s="67"/>
      <c r="B20" s="67"/>
      <c r="C20" s="67"/>
      <c r="D20" s="70"/>
      <c r="E20" s="76"/>
      <c r="F20" s="77"/>
      <c r="G20" s="67"/>
      <c r="H20" s="67"/>
      <c r="I20" s="67"/>
    </row>
    <row r="21" spans="1:9">
      <c r="A21" s="70">
        <v>8</v>
      </c>
      <c r="B21" s="71" t="s">
        <v>213</v>
      </c>
      <c r="C21" s="72" t="s">
        <v>95</v>
      </c>
      <c r="D21" s="70">
        <v>1</v>
      </c>
      <c r="E21" s="73">
        <f>E5</f>
        <v>128.68934992</v>
      </c>
      <c r="F21" s="74"/>
      <c r="G21" s="67"/>
      <c r="H21" s="75">
        <f>PRODUCT(D21:G21)</f>
        <v>128.68934992</v>
      </c>
      <c r="I21" s="67"/>
    </row>
    <row r="22" spans="1:9">
      <c r="A22" s="67"/>
      <c r="B22" s="67"/>
      <c r="C22" s="67"/>
      <c r="D22" s="70"/>
      <c r="E22" s="67"/>
      <c r="F22" s="67"/>
      <c r="G22" s="67"/>
      <c r="H22" s="67"/>
      <c r="I22" s="67"/>
    </row>
    <row r="23" spans="1:9">
      <c r="A23" s="70"/>
      <c r="B23" s="67"/>
      <c r="C23" s="70"/>
      <c r="D23" s="70"/>
      <c r="E23" s="73"/>
      <c r="F23" s="74"/>
      <c r="G23" s="67"/>
      <c r="H23" s="75"/>
      <c r="I23" s="67"/>
    </row>
    <row r="24" spans="1:9">
      <c r="A24" s="67"/>
      <c r="B24" s="69"/>
      <c r="C24" s="69"/>
      <c r="D24" s="70"/>
      <c r="E24" s="67"/>
      <c r="F24" s="67"/>
      <c r="G24" s="67"/>
      <c r="H24" s="67"/>
      <c r="I24" s="67"/>
    </row>
    <row r="25" spans="1:9">
      <c r="A25" s="67"/>
      <c r="B25" s="67"/>
      <c r="C25" s="67"/>
      <c r="D25" s="70"/>
      <c r="E25" s="67"/>
      <c r="F25" s="67"/>
      <c r="G25" s="67"/>
      <c r="H25" s="67"/>
      <c r="I25" s="67"/>
    </row>
    <row r="26" spans="1:9">
      <c r="A26" s="67"/>
      <c r="B26" s="67"/>
      <c r="C26" s="67"/>
      <c r="D26" s="70"/>
      <c r="E26" s="67"/>
      <c r="F26" s="67"/>
      <c r="G26" s="67"/>
      <c r="H26" s="67"/>
      <c r="I26" s="67"/>
    </row>
    <row r="27" spans="1:9">
      <c r="A27" s="67"/>
      <c r="B27" s="67"/>
      <c r="C27" s="67"/>
      <c r="D27" s="70"/>
      <c r="E27" s="67"/>
      <c r="F27" s="67"/>
      <c r="G27" s="67"/>
      <c r="H27" s="67"/>
      <c r="I27" s="67"/>
    </row>
  </sheetData>
  <mergeCells count="5">
    <mergeCell ref="E5:F5"/>
    <mergeCell ref="E9:F9"/>
    <mergeCell ref="E21:F21"/>
    <mergeCell ref="E23:F23"/>
    <mergeCell ref="E19:F20"/>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68"/>
  <sheetViews>
    <sheetView view="pageBreakPreview" zoomScale="85" zoomScalePageLayoutView="75" zoomScaleNormal="85" topLeftCell="A5" workbookViewId="0">
      <pane ySplit="4" topLeftCell="A9" activePane="bottomLeft" state="frozen"/>
      <selection/>
      <selection pane="bottomLeft" activeCell="Z10" sqref="Z10"/>
    </sheetView>
  </sheetViews>
  <sheetFormatPr defaultColWidth="10.425" defaultRowHeight="13.5"/>
  <cols>
    <col min="1" max="2" width="2.85833333333333" style="4" customWidth="1"/>
    <col min="3" max="3" width="7.425" style="4" customWidth="1"/>
    <col min="4" max="4" width="9.56666666666667" style="4" customWidth="1"/>
    <col min="5" max="5" width="9.28333333333333" style="4" customWidth="1"/>
    <col min="6" max="6" width="13" style="4" customWidth="1"/>
    <col min="7" max="7" width="11.2833333333333" style="4" customWidth="1"/>
    <col min="8" max="8" width="11.8583333333333" style="4" customWidth="1"/>
    <col min="9" max="9" width="12" style="4" customWidth="1"/>
    <col min="10" max="10" width="11.8583333333333" style="4" customWidth="1"/>
    <col min="11" max="11" width="11.5666666666667" style="4" customWidth="1"/>
    <col min="12" max="12" width="11.8583333333333" style="4" customWidth="1"/>
    <col min="13" max="14" width="11.425" style="4" customWidth="1"/>
    <col min="15" max="17" width="12.425" style="4" customWidth="1"/>
    <col min="18" max="18" width="11.8583333333333" style="4" customWidth="1"/>
    <col min="19" max="19" width="2.70833333333333" style="4" customWidth="1"/>
    <col min="20" max="20" width="4" style="4" customWidth="1"/>
    <col min="21" max="21" width="9.56666666666667" style="4" customWidth="1"/>
    <col min="22" max="22" width="1.85833333333333" style="4" customWidth="1"/>
    <col min="23" max="23" width="5.14166666666667" style="4" customWidth="1"/>
    <col min="24" max="24" width="23.425" style="4" customWidth="1"/>
    <col min="25" max="25" width="9.14166666666667" style="4"/>
    <col min="26" max="26" width="17.8583333333333" style="4" customWidth="1"/>
    <col min="27" max="16384" width="10.425" style="4"/>
  </cols>
  <sheetData>
    <row r="1" s="1" customFormat="1" ht="33" customHeight="1" spans="2:24">
      <c r="B1" s="5" t="s">
        <v>214</v>
      </c>
      <c r="C1" s="6"/>
      <c r="D1" s="6"/>
      <c r="E1" s="6"/>
      <c r="F1" s="6"/>
      <c r="G1" s="6"/>
      <c r="H1" s="6"/>
      <c r="I1" s="6"/>
      <c r="J1" s="6"/>
      <c r="K1" s="6"/>
      <c r="L1" s="6"/>
      <c r="M1" s="6"/>
      <c r="N1" s="6"/>
      <c r="O1" s="6"/>
      <c r="P1" s="6"/>
      <c r="Q1" s="6"/>
      <c r="R1" s="6"/>
      <c r="S1" s="6"/>
      <c r="T1" s="6"/>
      <c r="U1" s="6"/>
      <c r="V1" s="6"/>
      <c r="W1" s="6"/>
      <c r="X1" s="44"/>
    </row>
    <row r="2" s="2" customFormat="1" ht="4.5" customHeight="1" spans="1:24">
      <c r="A2" s="7"/>
      <c r="B2" s="8" t="s">
        <v>215</v>
      </c>
      <c r="C2" s="9"/>
      <c r="D2" s="9"/>
      <c r="E2" s="9"/>
      <c r="F2" s="9"/>
      <c r="G2" s="9"/>
      <c r="H2" s="9"/>
      <c r="I2" s="9"/>
      <c r="J2" s="9"/>
      <c r="K2" s="9"/>
      <c r="L2" s="9"/>
      <c r="M2" s="9"/>
      <c r="N2" s="9"/>
      <c r="O2" s="9"/>
      <c r="P2" s="9"/>
      <c r="Q2" s="9"/>
      <c r="R2" s="9"/>
      <c r="S2" s="9"/>
      <c r="T2" s="9"/>
      <c r="U2" s="9"/>
      <c r="V2" s="9"/>
      <c r="W2" s="9"/>
      <c r="X2" s="45"/>
    </row>
    <row r="3" s="2" customFormat="1" ht="9.75" customHeight="1" spans="1:24">
      <c r="A3" s="7"/>
      <c r="B3" s="10"/>
      <c r="C3" s="11"/>
      <c r="D3" s="11"/>
      <c r="E3" s="11"/>
      <c r="F3" s="11"/>
      <c r="G3" s="11"/>
      <c r="H3" s="11"/>
      <c r="I3" s="11"/>
      <c r="J3" s="11"/>
      <c r="K3" s="11"/>
      <c r="L3" s="11"/>
      <c r="M3" s="11"/>
      <c r="N3" s="11"/>
      <c r="O3" s="11"/>
      <c r="P3" s="11"/>
      <c r="Q3" s="11"/>
      <c r="R3" s="11"/>
      <c r="S3" s="11"/>
      <c r="T3" s="11"/>
      <c r="U3" s="11"/>
      <c r="V3" s="11"/>
      <c r="W3" s="11"/>
      <c r="X3" s="46"/>
    </row>
    <row r="4" s="2" customFormat="1" ht="18.75" customHeight="1" spans="1:24">
      <c r="A4" s="12"/>
      <c r="B4" s="13"/>
      <c r="C4" s="14"/>
      <c r="D4" s="14"/>
      <c r="E4" s="14"/>
      <c r="F4" s="14"/>
      <c r="G4" s="14"/>
      <c r="H4" s="14"/>
      <c r="I4" s="14"/>
      <c r="J4" s="14"/>
      <c r="K4" s="14"/>
      <c r="L4" s="14"/>
      <c r="M4" s="14"/>
      <c r="N4" s="14"/>
      <c r="O4" s="14"/>
      <c r="P4" s="14"/>
      <c r="Q4" s="14"/>
      <c r="R4" s="14"/>
      <c r="S4" s="14"/>
      <c r="T4" s="14"/>
      <c r="U4" s="14"/>
      <c r="V4" s="14"/>
      <c r="W4" s="14"/>
      <c r="X4" s="47"/>
    </row>
    <row r="5" s="3" customFormat="1" ht="31.5" customHeight="1" spans="2:29">
      <c r="B5" s="15" t="s">
        <v>216</v>
      </c>
      <c r="C5" s="16"/>
      <c r="D5" s="16"/>
      <c r="E5" s="17" t="s">
        <v>217</v>
      </c>
      <c r="F5" s="17"/>
      <c r="G5" s="17"/>
      <c r="H5" s="17"/>
      <c r="I5" s="17"/>
      <c r="J5" s="17"/>
      <c r="K5" s="17"/>
      <c r="L5" s="17"/>
      <c r="M5" s="17"/>
      <c r="N5" s="17"/>
      <c r="O5" s="17"/>
      <c r="P5" s="17"/>
      <c r="Q5" s="17"/>
      <c r="R5" s="48"/>
      <c r="S5" s="49" t="s">
        <v>218</v>
      </c>
      <c r="T5" s="17"/>
      <c r="U5" s="17"/>
      <c r="V5" s="15"/>
      <c r="W5" s="16">
        <v>1</v>
      </c>
      <c r="X5" s="50"/>
      <c r="AB5" s="2" t="s">
        <v>219</v>
      </c>
      <c r="AC5" s="2">
        <v>0.617</v>
      </c>
    </row>
    <row r="6" s="3" customFormat="1" ht="32.25" customHeight="1" spans="2:29">
      <c r="B6" s="15" t="s">
        <v>220</v>
      </c>
      <c r="C6" s="16"/>
      <c r="D6" s="16"/>
      <c r="E6" s="17" t="s">
        <v>221</v>
      </c>
      <c r="F6" s="17"/>
      <c r="G6" s="17"/>
      <c r="H6" s="17"/>
      <c r="I6" s="17"/>
      <c r="J6" s="17"/>
      <c r="K6" s="17"/>
      <c r="L6" s="17"/>
      <c r="M6" s="17"/>
      <c r="N6" s="17"/>
      <c r="O6" s="17"/>
      <c r="P6" s="17"/>
      <c r="Q6" s="17"/>
      <c r="R6" s="48"/>
      <c r="S6" s="49" t="s">
        <v>222</v>
      </c>
      <c r="T6" s="17"/>
      <c r="U6" s="17"/>
      <c r="V6" s="17"/>
      <c r="W6" s="51" t="s">
        <v>223</v>
      </c>
      <c r="X6" s="52"/>
      <c r="AB6" s="2" t="s">
        <v>224</v>
      </c>
      <c r="AC6" s="2">
        <v>0.888</v>
      </c>
    </row>
    <row r="7" s="2" customFormat="1" ht="30.75" customHeight="1" spans="2:29">
      <c r="B7" s="18" t="s">
        <v>225</v>
      </c>
      <c r="C7" s="18"/>
      <c r="D7" s="19" t="s">
        <v>226</v>
      </c>
      <c r="E7" s="19" t="s">
        <v>227</v>
      </c>
      <c r="F7" s="18" t="s">
        <v>228</v>
      </c>
      <c r="G7" s="19" t="s">
        <v>229</v>
      </c>
      <c r="H7" s="18" t="s">
        <v>230</v>
      </c>
      <c r="I7" s="36" t="s">
        <v>231</v>
      </c>
      <c r="J7" s="36"/>
      <c r="K7" s="36"/>
      <c r="L7" s="36"/>
      <c r="M7" s="36"/>
      <c r="N7" s="36"/>
      <c r="O7" s="19" t="s">
        <v>232</v>
      </c>
      <c r="P7" s="18" t="s">
        <v>233</v>
      </c>
      <c r="Q7" s="18" t="s">
        <v>234</v>
      </c>
      <c r="R7" s="18" t="s">
        <v>235</v>
      </c>
      <c r="S7" s="37" t="s">
        <v>120</v>
      </c>
      <c r="T7" s="37"/>
      <c r="U7" s="37"/>
      <c r="V7" s="37"/>
      <c r="W7" s="37"/>
      <c r="X7" s="37"/>
      <c r="AB7" s="2" t="s">
        <v>236</v>
      </c>
      <c r="AC7" s="2">
        <v>1.579</v>
      </c>
    </row>
    <row r="8" s="2" customFormat="1" ht="15.75" spans="2:29">
      <c r="B8" s="20"/>
      <c r="C8" s="20"/>
      <c r="D8" s="21"/>
      <c r="E8" s="21"/>
      <c r="F8" s="20"/>
      <c r="G8" s="21"/>
      <c r="H8" s="20"/>
      <c r="I8" s="37" t="s">
        <v>237</v>
      </c>
      <c r="J8" s="37" t="s">
        <v>238</v>
      </c>
      <c r="K8" s="37" t="s">
        <v>239</v>
      </c>
      <c r="L8" s="37" t="s">
        <v>240</v>
      </c>
      <c r="M8" s="37" t="s">
        <v>241</v>
      </c>
      <c r="N8" s="37" t="s">
        <v>242</v>
      </c>
      <c r="O8" s="21"/>
      <c r="P8" s="20"/>
      <c r="Q8" s="20"/>
      <c r="R8" s="20"/>
      <c r="S8" s="53"/>
      <c r="T8" s="53"/>
      <c r="U8" s="53"/>
      <c r="V8" s="53"/>
      <c r="W8" s="53"/>
      <c r="X8" s="53"/>
      <c r="AB8" s="2" t="s">
        <v>243</v>
      </c>
      <c r="AC8" s="2">
        <v>2.467</v>
      </c>
    </row>
    <row r="9" s="2" customFormat="1" ht="18.75" customHeight="1" spans="1:35">
      <c r="A9" s="4"/>
      <c r="B9" s="22" t="s">
        <v>17</v>
      </c>
      <c r="C9" s="22"/>
      <c r="D9" s="22"/>
      <c r="E9" s="22"/>
      <c r="F9" s="22"/>
      <c r="G9" s="22"/>
      <c r="H9" s="22"/>
      <c r="I9" s="22"/>
      <c r="J9" s="22"/>
      <c r="K9" s="22"/>
      <c r="L9" s="22"/>
      <c r="M9" s="22"/>
      <c r="N9" s="22"/>
      <c r="O9" s="22"/>
      <c r="P9" s="22"/>
      <c r="Q9" s="22"/>
      <c r="R9" s="22"/>
      <c r="S9" s="22"/>
      <c r="T9" s="22"/>
      <c r="U9" s="22"/>
      <c r="V9" s="22"/>
      <c r="W9" s="22"/>
      <c r="X9" s="22"/>
      <c r="Y9" s="4"/>
      <c r="Z9" s="4"/>
      <c r="AA9" s="4"/>
      <c r="AB9" s="4"/>
      <c r="AC9" s="4"/>
      <c r="AD9" s="4"/>
      <c r="AE9" s="4"/>
      <c r="AF9" s="4"/>
      <c r="AG9" s="4"/>
      <c r="AH9" s="4"/>
      <c r="AI9" s="4"/>
    </row>
    <row r="10" ht="57" customHeight="1" spans="2:29">
      <c r="B10" s="23" t="s">
        <v>244</v>
      </c>
      <c r="C10" s="24"/>
      <c r="D10" s="25">
        <v>1</v>
      </c>
      <c r="E10" s="26" t="s">
        <v>224</v>
      </c>
      <c r="F10" s="25">
        <v>8</v>
      </c>
      <c r="G10" s="25">
        <v>4</v>
      </c>
      <c r="H10" s="25">
        <f>F10*G10</f>
        <v>32</v>
      </c>
      <c r="I10" s="38">
        <f>SQRT(POWER(((600-350)/2),2)*2)-50+50</f>
        <v>176.776695296637</v>
      </c>
      <c r="J10" s="38">
        <f>450+50</f>
        <v>500</v>
      </c>
      <c r="K10" s="38"/>
      <c r="L10" s="38"/>
      <c r="M10" s="38"/>
      <c r="N10" s="25"/>
      <c r="O10" s="39">
        <f>(I10+J10+K10+L10+M10+N10)/1000</f>
        <v>0.676776695296637</v>
      </c>
      <c r="P10" s="39">
        <f>O10*H10</f>
        <v>21.6568542494924</v>
      </c>
      <c r="Q10" s="25">
        <f>IF(E10="T10",0.617,IF(E10="T12",0.888,IF(E10="T16",1.579,IF(E10="T20",2.467,IF(E10="T25",3.854,IF(E10="T32",6.315))))))</f>
        <v>0.888</v>
      </c>
      <c r="R10" s="39">
        <f>ROUND(P10*Q10,3)</f>
        <v>19.231</v>
      </c>
      <c r="S10" s="24"/>
      <c r="T10" s="25"/>
      <c r="U10" s="25"/>
      <c r="V10" s="25"/>
      <c r="W10" s="25"/>
      <c r="X10" s="25"/>
      <c r="AB10" s="4" t="s">
        <v>245</v>
      </c>
      <c r="AC10" s="4">
        <v>3.854</v>
      </c>
    </row>
    <row r="11" ht="58.5" customHeight="1" spans="2:29">
      <c r="B11" s="23" t="s">
        <v>246</v>
      </c>
      <c r="C11" s="24"/>
      <c r="D11" s="27">
        <v>2</v>
      </c>
      <c r="E11" s="26" t="s">
        <v>247</v>
      </c>
      <c r="F11" s="25">
        <v>8</v>
      </c>
      <c r="G11" s="25">
        <f>ROUND(((450-50)/150+1),0)</f>
        <v>4</v>
      </c>
      <c r="H11" s="25">
        <f t="shared" ref="H11:H60" si="0">F11*G11</f>
        <v>32</v>
      </c>
      <c r="I11" s="38">
        <f>(350-40*2-10)*4</f>
        <v>1040</v>
      </c>
      <c r="J11" s="40">
        <f>10*10</f>
        <v>100</v>
      </c>
      <c r="K11" s="38"/>
      <c r="L11" s="40"/>
      <c r="M11" s="40"/>
      <c r="N11" s="27"/>
      <c r="O11" s="39">
        <f>(I11+J11+K11+L11+M11+N11)/1000</f>
        <v>1.14</v>
      </c>
      <c r="P11" s="39">
        <f>O11*H11</f>
        <v>36.48</v>
      </c>
      <c r="Q11" s="39">
        <v>0.222</v>
      </c>
      <c r="R11" s="39">
        <f t="shared" ref="R11:R60" si="1">ROUND(P11*Q11,3)</f>
        <v>8.099</v>
      </c>
      <c r="S11" s="54"/>
      <c r="T11" s="54"/>
      <c r="U11" s="54"/>
      <c r="V11" s="54"/>
      <c r="W11" s="54"/>
      <c r="X11" s="54"/>
      <c r="AB11" s="4" t="s">
        <v>248</v>
      </c>
      <c r="AC11" s="4">
        <v>6.314</v>
      </c>
    </row>
    <row r="12" ht="21" customHeight="1" spans="2:24">
      <c r="B12" s="22" t="s">
        <v>30</v>
      </c>
      <c r="C12" s="22"/>
      <c r="D12" s="22"/>
      <c r="E12" s="22"/>
      <c r="F12" s="22"/>
      <c r="G12" s="22"/>
      <c r="H12" s="22"/>
      <c r="I12" s="22"/>
      <c r="J12" s="22"/>
      <c r="K12" s="22"/>
      <c r="L12" s="22"/>
      <c r="M12" s="22"/>
      <c r="N12" s="22"/>
      <c r="O12" s="22"/>
      <c r="P12" s="22"/>
      <c r="Q12" s="22"/>
      <c r="R12" s="22"/>
      <c r="S12" s="22"/>
      <c r="T12" s="22"/>
      <c r="U12" s="22"/>
      <c r="V12" s="22"/>
      <c r="W12" s="22"/>
      <c r="X12" s="22"/>
    </row>
    <row r="13" ht="63" customHeight="1" spans="2:24">
      <c r="B13" s="23" t="s">
        <v>246</v>
      </c>
      <c r="C13" s="24"/>
      <c r="D13" s="28" t="s">
        <v>143</v>
      </c>
      <c r="E13" s="26" t="s">
        <v>224</v>
      </c>
      <c r="F13" s="25">
        <v>2</v>
      </c>
      <c r="G13" s="25">
        <f>ROUND(((450-50)/150+1),0)</f>
        <v>4</v>
      </c>
      <c r="H13" s="25">
        <f t="shared" si="0"/>
        <v>8</v>
      </c>
      <c r="I13" s="38">
        <f>4800-50</f>
        <v>4750</v>
      </c>
      <c r="J13" s="40"/>
      <c r="K13" s="38"/>
      <c r="L13" s="40"/>
      <c r="M13" s="40"/>
      <c r="N13" s="27"/>
      <c r="O13" s="39">
        <f t="shared" ref="O13:O60" si="2">(I13+J13+K13+L13+M13+N13)/1000</f>
        <v>4.75</v>
      </c>
      <c r="P13" s="39">
        <f t="shared" ref="P13:P60" si="3">O13*H13</f>
        <v>38</v>
      </c>
      <c r="Q13" s="25">
        <f t="shared" ref="Q11:Q60" si="4">IF(E13="T10",0.617,IF(E13="T12",0.888,IF(E13="T16",1.579,IF(E13="T20",2.467,IF(E13="T25",3.854,IF(E13="T32",6.315))))))</f>
        <v>0.888</v>
      </c>
      <c r="R13" s="39">
        <f t="shared" si="1"/>
        <v>33.744</v>
      </c>
      <c r="S13" s="54"/>
      <c r="T13" s="54"/>
      <c r="U13" s="54"/>
      <c r="V13" s="54"/>
      <c r="W13" s="54"/>
      <c r="X13" s="54"/>
    </row>
    <row r="14" ht="63" customHeight="1" spans="2:35">
      <c r="B14" s="27"/>
      <c r="C14" s="27"/>
      <c r="D14" s="28" t="s">
        <v>144</v>
      </c>
      <c r="E14" s="26" t="s">
        <v>224</v>
      </c>
      <c r="F14" s="25">
        <v>2</v>
      </c>
      <c r="G14" s="25">
        <v>4</v>
      </c>
      <c r="H14" s="25">
        <f t="shared" si="0"/>
        <v>8</v>
      </c>
      <c r="I14" s="38">
        <f>4600-50</f>
        <v>4550</v>
      </c>
      <c r="J14" s="40"/>
      <c r="K14" s="38"/>
      <c r="L14" s="40"/>
      <c r="M14" s="40"/>
      <c r="N14" s="27"/>
      <c r="O14" s="39">
        <f t="shared" si="2"/>
        <v>4.55</v>
      </c>
      <c r="P14" s="39">
        <f t="shared" si="3"/>
        <v>36.4</v>
      </c>
      <c r="Q14" s="25">
        <f t="shared" si="4"/>
        <v>0.888</v>
      </c>
      <c r="R14" s="39">
        <f t="shared" si="1"/>
        <v>32.323</v>
      </c>
      <c r="S14" s="54"/>
      <c r="T14" s="54"/>
      <c r="U14" s="54"/>
      <c r="V14" s="54"/>
      <c r="W14" s="54"/>
      <c r="X14" s="54"/>
      <c r="AG14" s="60"/>
      <c r="AH14" s="60"/>
      <c r="AI14" s="60"/>
    </row>
    <row r="15" ht="63" customHeight="1" spans="2:35">
      <c r="B15" s="27"/>
      <c r="C15" s="27"/>
      <c r="D15" s="28" t="s">
        <v>145</v>
      </c>
      <c r="E15" s="26" t="s">
        <v>224</v>
      </c>
      <c r="F15" s="25">
        <v>2</v>
      </c>
      <c r="G15" s="25">
        <v>4</v>
      </c>
      <c r="H15" s="25">
        <f t="shared" si="0"/>
        <v>8</v>
      </c>
      <c r="I15" s="38">
        <f>4100-50</f>
        <v>4050</v>
      </c>
      <c r="J15" s="40"/>
      <c r="K15" s="38"/>
      <c r="L15" s="40"/>
      <c r="M15" s="40"/>
      <c r="N15" s="27"/>
      <c r="O15" s="39">
        <f t="shared" si="2"/>
        <v>4.05</v>
      </c>
      <c r="P15" s="39">
        <f t="shared" si="3"/>
        <v>32.4</v>
      </c>
      <c r="Q15" s="25">
        <f t="shared" si="4"/>
        <v>0.888</v>
      </c>
      <c r="R15" s="39">
        <f t="shared" si="1"/>
        <v>28.771</v>
      </c>
      <c r="S15" s="54"/>
      <c r="T15" s="54"/>
      <c r="U15" s="54"/>
      <c r="V15" s="54"/>
      <c r="W15" s="54"/>
      <c r="X15" s="54"/>
      <c r="AG15" s="60"/>
      <c r="AH15" s="60"/>
      <c r="AI15" s="60"/>
    </row>
    <row r="16" ht="63" customHeight="1" spans="2:35">
      <c r="B16" s="27"/>
      <c r="C16" s="27"/>
      <c r="D16" s="28" t="s">
        <v>146</v>
      </c>
      <c r="E16" s="26" t="s">
        <v>224</v>
      </c>
      <c r="F16" s="25">
        <v>2</v>
      </c>
      <c r="G16" s="25">
        <v>4</v>
      </c>
      <c r="H16" s="25">
        <f t="shared" si="0"/>
        <v>8</v>
      </c>
      <c r="I16" s="38">
        <f>3050-50</f>
        <v>3000</v>
      </c>
      <c r="J16" s="40"/>
      <c r="K16" s="38"/>
      <c r="L16" s="40"/>
      <c r="M16" s="40"/>
      <c r="N16" s="27"/>
      <c r="O16" s="39">
        <f t="shared" si="2"/>
        <v>3</v>
      </c>
      <c r="P16" s="39">
        <f t="shared" si="3"/>
        <v>24</v>
      </c>
      <c r="Q16" s="25">
        <f t="shared" si="4"/>
        <v>0.888</v>
      </c>
      <c r="R16" s="39">
        <f t="shared" si="1"/>
        <v>21.312</v>
      </c>
      <c r="S16" s="54"/>
      <c r="T16" s="54"/>
      <c r="U16" s="54"/>
      <c r="V16" s="54"/>
      <c r="W16" s="54"/>
      <c r="X16" s="54"/>
      <c r="AG16" s="60"/>
      <c r="AH16" s="60"/>
      <c r="AI16" s="60"/>
    </row>
    <row r="17" ht="63" customHeight="1" spans="2:35">
      <c r="B17" s="27"/>
      <c r="C17" s="27"/>
      <c r="D17" s="28" t="s">
        <v>147</v>
      </c>
      <c r="E17" s="26" t="s">
        <v>224</v>
      </c>
      <c r="F17" s="25">
        <v>1</v>
      </c>
      <c r="G17" s="25">
        <v>4</v>
      </c>
      <c r="H17" s="25">
        <f t="shared" si="0"/>
        <v>4</v>
      </c>
      <c r="I17" s="38">
        <f>3400-50</f>
        <v>3350</v>
      </c>
      <c r="J17" s="40"/>
      <c r="K17" s="38"/>
      <c r="L17" s="40"/>
      <c r="M17" s="40"/>
      <c r="N17" s="27"/>
      <c r="O17" s="39">
        <f t="shared" si="2"/>
        <v>3.35</v>
      </c>
      <c r="P17" s="39">
        <f t="shared" si="3"/>
        <v>13.4</v>
      </c>
      <c r="Q17" s="25">
        <f t="shared" si="4"/>
        <v>0.888</v>
      </c>
      <c r="R17" s="39">
        <f t="shared" si="1"/>
        <v>11.899</v>
      </c>
      <c r="S17" s="54"/>
      <c r="T17" s="54"/>
      <c r="U17" s="54"/>
      <c r="V17" s="54"/>
      <c r="W17" s="54"/>
      <c r="X17" s="54"/>
      <c r="AG17" s="60"/>
      <c r="AH17" s="60"/>
      <c r="AI17" s="60"/>
    </row>
    <row r="18" ht="63" customHeight="1" spans="2:35">
      <c r="B18" s="27"/>
      <c r="C18" s="27"/>
      <c r="D18" s="28" t="s">
        <v>148</v>
      </c>
      <c r="E18" s="26" t="s">
        <v>224</v>
      </c>
      <c r="F18" s="25">
        <v>2</v>
      </c>
      <c r="G18" s="25">
        <v>4</v>
      </c>
      <c r="H18" s="25">
        <f t="shared" si="0"/>
        <v>8</v>
      </c>
      <c r="I18" s="38">
        <f>3050-50</f>
        <v>3000</v>
      </c>
      <c r="J18" s="40"/>
      <c r="K18" s="38"/>
      <c r="L18" s="40"/>
      <c r="M18" s="40"/>
      <c r="N18" s="27"/>
      <c r="O18" s="39">
        <f t="shared" si="2"/>
        <v>3</v>
      </c>
      <c r="P18" s="39">
        <f t="shared" si="3"/>
        <v>24</v>
      </c>
      <c r="Q18" s="25">
        <f t="shared" si="4"/>
        <v>0.888</v>
      </c>
      <c r="R18" s="39">
        <f t="shared" si="1"/>
        <v>21.312</v>
      </c>
      <c r="S18" s="54"/>
      <c r="T18" s="54"/>
      <c r="U18" s="54"/>
      <c r="V18" s="54"/>
      <c r="W18" s="54"/>
      <c r="X18" s="54"/>
      <c r="AG18" s="60"/>
      <c r="AH18" s="60"/>
      <c r="AI18" s="60"/>
    </row>
    <row r="19" ht="30" customHeight="1" spans="2:35">
      <c r="B19" s="28" t="s">
        <v>249</v>
      </c>
      <c r="C19" s="27"/>
      <c r="D19" s="25">
        <v>4</v>
      </c>
      <c r="E19" s="26" t="s">
        <v>224</v>
      </c>
      <c r="F19" s="25">
        <v>1</v>
      </c>
      <c r="G19" s="25">
        <v>2</v>
      </c>
      <c r="H19" s="25">
        <f t="shared" si="0"/>
        <v>2</v>
      </c>
      <c r="I19" s="38">
        <f>Excavation!E6*1000</f>
        <v>57200</v>
      </c>
      <c r="J19" s="40"/>
      <c r="K19" s="38"/>
      <c r="L19" s="40"/>
      <c r="M19" s="40"/>
      <c r="N19" s="27"/>
      <c r="O19" s="39">
        <f t="shared" si="2"/>
        <v>57.2</v>
      </c>
      <c r="P19" s="39">
        <f t="shared" si="3"/>
        <v>114.4</v>
      </c>
      <c r="Q19" s="25">
        <f t="shared" si="4"/>
        <v>0.888</v>
      </c>
      <c r="R19" s="39">
        <f t="shared" si="1"/>
        <v>101.587</v>
      </c>
      <c r="S19" s="54"/>
      <c r="T19" s="54"/>
      <c r="U19" s="54"/>
      <c r="V19" s="54"/>
      <c r="W19" s="54"/>
      <c r="X19" s="54"/>
      <c r="AG19" s="60">
        <v>125</v>
      </c>
      <c r="AH19" s="60"/>
      <c r="AI19" s="60"/>
    </row>
    <row r="20" ht="30" customHeight="1" spans="2:29">
      <c r="B20" s="28" t="s">
        <v>249</v>
      </c>
      <c r="C20" s="27"/>
      <c r="D20" s="27"/>
      <c r="E20" s="26" t="s">
        <v>247</v>
      </c>
      <c r="F20" s="25">
        <v>1</v>
      </c>
      <c r="G20" s="25">
        <f>ROUND(((57200)/150+1),0)</f>
        <v>382</v>
      </c>
      <c r="H20" s="25">
        <f t="shared" si="0"/>
        <v>382</v>
      </c>
      <c r="I20" s="38">
        <v>350</v>
      </c>
      <c r="J20" s="40"/>
      <c r="K20" s="38"/>
      <c r="L20" s="40"/>
      <c r="M20" s="40"/>
      <c r="N20" s="27"/>
      <c r="O20" s="39">
        <f t="shared" si="2"/>
        <v>0.35</v>
      </c>
      <c r="P20" s="39">
        <f t="shared" si="3"/>
        <v>133.7</v>
      </c>
      <c r="Q20" s="39">
        <v>0.222</v>
      </c>
      <c r="R20" s="39">
        <f t="shared" si="1"/>
        <v>29.681</v>
      </c>
      <c r="S20" s="54"/>
      <c r="T20" s="54"/>
      <c r="U20" s="54"/>
      <c r="V20" s="54"/>
      <c r="W20" s="54"/>
      <c r="X20" s="54"/>
      <c r="AB20" s="4" t="s">
        <v>248</v>
      </c>
      <c r="AC20" s="4">
        <v>6.314</v>
      </c>
    </row>
    <row r="21" ht="30" customHeight="1" spans="2:35">
      <c r="B21" s="27"/>
      <c r="C21" s="27"/>
      <c r="D21" s="27"/>
      <c r="E21" s="25"/>
      <c r="F21" s="25"/>
      <c r="G21" s="25"/>
      <c r="H21" s="25">
        <f t="shared" si="0"/>
        <v>0</v>
      </c>
      <c r="I21" s="38"/>
      <c r="J21" s="40"/>
      <c r="K21" s="40"/>
      <c r="L21" s="40"/>
      <c r="M21" s="40"/>
      <c r="N21" s="27"/>
      <c r="O21" s="39">
        <f t="shared" si="2"/>
        <v>0</v>
      </c>
      <c r="P21" s="39">
        <f t="shared" si="3"/>
        <v>0</v>
      </c>
      <c r="Q21" s="25" t="b">
        <f t="shared" si="4"/>
        <v>0</v>
      </c>
      <c r="R21" s="39">
        <f t="shared" si="1"/>
        <v>0</v>
      </c>
      <c r="S21" s="54"/>
      <c r="T21" s="54"/>
      <c r="U21" s="54"/>
      <c r="V21" s="54"/>
      <c r="W21" s="54"/>
      <c r="X21" s="54"/>
      <c r="AG21" s="60">
        <f>AG20-50+50</f>
        <v>0</v>
      </c>
      <c r="AH21" s="60"/>
      <c r="AI21" s="60"/>
    </row>
    <row r="22" ht="30" customHeight="1" spans="2:24">
      <c r="B22" s="27"/>
      <c r="C22" s="27"/>
      <c r="D22" s="25"/>
      <c r="E22" s="25"/>
      <c r="F22" s="25"/>
      <c r="G22" s="25"/>
      <c r="H22" s="25">
        <f t="shared" si="0"/>
        <v>0</v>
      </c>
      <c r="I22" s="38"/>
      <c r="J22" s="40"/>
      <c r="K22" s="40"/>
      <c r="L22" s="40"/>
      <c r="M22" s="40"/>
      <c r="N22" s="27"/>
      <c r="O22" s="39">
        <f t="shared" si="2"/>
        <v>0</v>
      </c>
      <c r="P22" s="39">
        <f t="shared" si="3"/>
        <v>0</v>
      </c>
      <c r="Q22" s="25" t="b">
        <f t="shared" si="4"/>
        <v>0</v>
      </c>
      <c r="R22" s="39">
        <f t="shared" si="1"/>
        <v>0</v>
      </c>
      <c r="S22" s="54"/>
      <c r="T22" s="54"/>
      <c r="U22" s="54"/>
      <c r="V22" s="54"/>
      <c r="W22" s="54"/>
      <c r="X22" s="54"/>
    </row>
    <row r="23" ht="30" customHeight="1" spans="2:24">
      <c r="B23" s="27"/>
      <c r="C23" s="27"/>
      <c r="D23" s="27"/>
      <c r="E23" s="25"/>
      <c r="F23" s="25"/>
      <c r="G23" s="25"/>
      <c r="H23" s="25">
        <f t="shared" si="0"/>
        <v>0</v>
      </c>
      <c r="I23" s="38"/>
      <c r="J23" s="40"/>
      <c r="K23" s="40"/>
      <c r="L23" s="40"/>
      <c r="M23" s="40"/>
      <c r="N23" s="27"/>
      <c r="O23" s="39">
        <f t="shared" si="2"/>
        <v>0</v>
      </c>
      <c r="P23" s="39">
        <f t="shared" si="3"/>
        <v>0</v>
      </c>
      <c r="Q23" s="25" t="b">
        <f t="shared" si="4"/>
        <v>0</v>
      </c>
      <c r="R23" s="39">
        <f t="shared" si="1"/>
        <v>0</v>
      </c>
      <c r="S23" s="54"/>
      <c r="T23" s="54"/>
      <c r="U23" s="54"/>
      <c r="V23" s="54"/>
      <c r="W23" s="54"/>
      <c r="X23" s="54"/>
    </row>
    <row r="24" ht="30" customHeight="1" spans="2:26">
      <c r="B24" s="27"/>
      <c r="C24" s="27"/>
      <c r="D24" s="27"/>
      <c r="E24" s="25"/>
      <c r="F24" s="27"/>
      <c r="G24" s="27"/>
      <c r="H24" s="25">
        <f t="shared" si="0"/>
        <v>0</v>
      </c>
      <c r="I24" s="38"/>
      <c r="J24" s="40"/>
      <c r="K24" s="40"/>
      <c r="L24" s="40"/>
      <c r="M24" s="40"/>
      <c r="N24" s="27"/>
      <c r="O24" s="39">
        <f t="shared" si="2"/>
        <v>0</v>
      </c>
      <c r="P24" s="39">
        <f t="shared" si="3"/>
        <v>0</v>
      </c>
      <c r="Q24" s="25" t="b">
        <f t="shared" si="4"/>
        <v>0</v>
      </c>
      <c r="R24" s="39">
        <f t="shared" si="1"/>
        <v>0</v>
      </c>
      <c r="S24" s="54"/>
      <c r="T24" s="54"/>
      <c r="U24" s="54"/>
      <c r="V24" s="54"/>
      <c r="W24" s="54"/>
      <c r="X24" s="54"/>
      <c r="Z24" s="4">
        <f>6000-4280</f>
        <v>1720</v>
      </c>
    </row>
    <row r="25" ht="30" customHeight="1" spans="2:24">
      <c r="B25" s="27"/>
      <c r="C25" s="27"/>
      <c r="D25" s="25"/>
      <c r="E25" s="25"/>
      <c r="F25" s="27"/>
      <c r="G25" s="27"/>
      <c r="H25" s="25">
        <f t="shared" si="0"/>
        <v>0</v>
      </c>
      <c r="I25" s="38"/>
      <c r="J25" s="40"/>
      <c r="K25" s="40"/>
      <c r="L25" s="40"/>
      <c r="M25" s="40"/>
      <c r="N25" s="27"/>
      <c r="O25" s="39">
        <f t="shared" si="2"/>
        <v>0</v>
      </c>
      <c r="P25" s="39">
        <f t="shared" si="3"/>
        <v>0</v>
      </c>
      <c r="Q25" s="25" t="b">
        <f t="shared" si="4"/>
        <v>0</v>
      </c>
      <c r="R25" s="39">
        <f t="shared" si="1"/>
        <v>0</v>
      </c>
      <c r="S25" s="54"/>
      <c r="T25" s="54"/>
      <c r="U25" s="54"/>
      <c r="V25" s="54"/>
      <c r="W25" s="54"/>
      <c r="X25" s="54"/>
    </row>
    <row r="26" ht="30" customHeight="1" spans="2:24">
      <c r="B26" s="27"/>
      <c r="C26" s="27"/>
      <c r="D26" s="27"/>
      <c r="E26" s="25"/>
      <c r="F26" s="27"/>
      <c r="G26" s="27"/>
      <c r="H26" s="25">
        <f t="shared" si="0"/>
        <v>0</v>
      </c>
      <c r="I26" s="38"/>
      <c r="J26" s="40"/>
      <c r="K26" s="40"/>
      <c r="L26" s="40"/>
      <c r="M26" s="40"/>
      <c r="N26" s="27"/>
      <c r="O26" s="39">
        <f t="shared" si="2"/>
        <v>0</v>
      </c>
      <c r="P26" s="39">
        <f t="shared" si="3"/>
        <v>0</v>
      </c>
      <c r="Q26" s="25" t="b">
        <f t="shared" si="4"/>
        <v>0</v>
      </c>
      <c r="R26" s="39">
        <f t="shared" si="1"/>
        <v>0</v>
      </c>
      <c r="S26" s="54"/>
      <c r="T26" s="54"/>
      <c r="U26" s="54"/>
      <c r="V26" s="54"/>
      <c r="W26" s="54"/>
      <c r="X26" s="54"/>
    </row>
    <row r="27" ht="30" customHeight="1" spans="2:24">
      <c r="B27" s="27"/>
      <c r="C27" s="27"/>
      <c r="D27" s="27"/>
      <c r="E27" s="25"/>
      <c r="F27" s="27"/>
      <c r="G27" s="27"/>
      <c r="H27" s="25">
        <f t="shared" si="0"/>
        <v>0</v>
      </c>
      <c r="I27" s="38"/>
      <c r="J27" s="40"/>
      <c r="K27" s="40"/>
      <c r="L27" s="40"/>
      <c r="M27" s="40"/>
      <c r="N27" s="27"/>
      <c r="O27" s="39">
        <f t="shared" si="2"/>
        <v>0</v>
      </c>
      <c r="P27" s="39">
        <f t="shared" si="3"/>
        <v>0</v>
      </c>
      <c r="Q27" s="25" t="b">
        <f t="shared" si="4"/>
        <v>0</v>
      </c>
      <c r="R27" s="39">
        <f t="shared" si="1"/>
        <v>0</v>
      </c>
      <c r="S27" s="54"/>
      <c r="T27" s="54"/>
      <c r="U27" s="54"/>
      <c r="V27" s="54"/>
      <c r="W27" s="54"/>
      <c r="X27" s="54"/>
    </row>
    <row r="28" ht="30" customHeight="1" spans="2:24">
      <c r="B28" s="27"/>
      <c r="C28" s="27"/>
      <c r="D28" s="25"/>
      <c r="E28" s="25"/>
      <c r="F28" s="27"/>
      <c r="G28" s="27"/>
      <c r="H28" s="25">
        <f t="shared" si="0"/>
        <v>0</v>
      </c>
      <c r="I28" s="38"/>
      <c r="J28" s="40"/>
      <c r="K28" s="40"/>
      <c r="L28" s="40"/>
      <c r="M28" s="40"/>
      <c r="N28" s="27"/>
      <c r="O28" s="39">
        <f t="shared" si="2"/>
        <v>0</v>
      </c>
      <c r="P28" s="39">
        <f t="shared" si="3"/>
        <v>0</v>
      </c>
      <c r="Q28" s="25" t="b">
        <f t="shared" si="4"/>
        <v>0</v>
      </c>
      <c r="R28" s="39">
        <f t="shared" si="1"/>
        <v>0</v>
      </c>
      <c r="S28" s="54"/>
      <c r="T28" s="54"/>
      <c r="U28" s="54"/>
      <c r="V28" s="54"/>
      <c r="W28" s="54"/>
      <c r="X28" s="54"/>
    </row>
    <row r="29" ht="30" customHeight="1" spans="2:24">
      <c r="B29" s="27"/>
      <c r="C29" s="27"/>
      <c r="D29" s="27"/>
      <c r="E29" s="25"/>
      <c r="F29" s="27"/>
      <c r="G29" s="27"/>
      <c r="H29" s="25">
        <f t="shared" si="0"/>
        <v>0</v>
      </c>
      <c r="I29" s="38"/>
      <c r="J29" s="40"/>
      <c r="K29" s="40"/>
      <c r="L29" s="40"/>
      <c r="M29" s="40"/>
      <c r="N29" s="27"/>
      <c r="O29" s="39">
        <f t="shared" si="2"/>
        <v>0</v>
      </c>
      <c r="P29" s="39">
        <f t="shared" si="3"/>
        <v>0</v>
      </c>
      <c r="Q29" s="25" t="b">
        <f t="shared" si="4"/>
        <v>0</v>
      </c>
      <c r="R29" s="39">
        <f t="shared" si="1"/>
        <v>0</v>
      </c>
      <c r="S29" s="54"/>
      <c r="T29" s="54"/>
      <c r="U29" s="54"/>
      <c r="V29" s="54"/>
      <c r="W29" s="54"/>
      <c r="X29" s="54"/>
    </row>
    <row r="30" ht="30" customHeight="1" spans="2:24">
      <c r="B30" s="27"/>
      <c r="C30" s="27"/>
      <c r="D30" s="27"/>
      <c r="E30" s="25"/>
      <c r="F30" s="27"/>
      <c r="G30" s="27"/>
      <c r="H30" s="25">
        <f t="shared" si="0"/>
        <v>0</v>
      </c>
      <c r="I30" s="38"/>
      <c r="J30" s="40"/>
      <c r="K30" s="40"/>
      <c r="L30" s="40"/>
      <c r="M30" s="40"/>
      <c r="N30" s="27"/>
      <c r="O30" s="39">
        <f t="shared" si="2"/>
        <v>0</v>
      </c>
      <c r="P30" s="39">
        <f t="shared" si="3"/>
        <v>0</v>
      </c>
      <c r="Q30" s="25" t="b">
        <f t="shared" si="4"/>
        <v>0</v>
      </c>
      <c r="R30" s="39">
        <f t="shared" si="1"/>
        <v>0</v>
      </c>
      <c r="S30" s="54"/>
      <c r="T30" s="54"/>
      <c r="U30" s="54"/>
      <c r="V30" s="54"/>
      <c r="W30" s="54"/>
      <c r="X30" s="54"/>
    </row>
    <row r="31" ht="30" customHeight="1" spans="2:24">
      <c r="B31" s="27"/>
      <c r="C31" s="27"/>
      <c r="D31" s="25"/>
      <c r="E31" s="25"/>
      <c r="F31" s="27"/>
      <c r="G31" s="27"/>
      <c r="H31" s="25">
        <f t="shared" si="0"/>
        <v>0</v>
      </c>
      <c r="I31" s="38"/>
      <c r="J31" s="40"/>
      <c r="K31" s="40"/>
      <c r="L31" s="40"/>
      <c r="M31" s="40"/>
      <c r="N31" s="27"/>
      <c r="O31" s="39">
        <f t="shared" si="2"/>
        <v>0</v>
      </c>
      <c r="P31" s="39">
        <f t="shared" si="3"/>
        <v>0</v>
      </c>
      <c r="Q31" s="25" t="b">
        <f t="shared" si="4"/>
        <v>0</v>
      </c>
      <c r="R31" s="39">
        <f t="shared" si="1"/>
        <v>0</v>
      </c>
      <c r="S31" s="54"/>
      <c r="T31" s="54"/>
      <c r="U31" s="54"/>
      <c r="V31" s="54"/>
      <c r="W31" s="54"/>
      <c r="X31" s="54"/>
    </row>
    <row r="32" ht="30" customHeight="1" spans="2:24">
      <c r="B32" s="27"/>
      <c r="C32" s="27"/>
      <c r="D32" s="27"/>
      <c r="E32" s="25"/>
      <c r="F32" s="27"/>
      <c r="G32" s="27"/>
      <c r="H32" s="25">
        <f t="shared" si="0"/>
        <v>0</v>
      </c>
      <c r="I32" s="38"/>
      <c r="J32" s="40"/>
      <c r="K32" s="40"/>
      <c r="L32" s="40"/>
      <c r="M32" s="40"/>
      <c r="N32" s="27"/>
      <c r="O32" s="39">
        <f t="shared" si="2"/>
        <v>0</v>
      </c>
      <c r="P32" s="39">
        <f t="shared" si="3"/>
        <v>0</v>
      </c>
      <c r="Q32" s="25" t="b">
        <f t="shared" si="4"/>
        <v>0</v>
      </c>
      <c r="R32" s="39">
        <f t="shared" si="1"/>
        <v>0</v>
      </c>
      <c r="S32" s="54"/>
      <c r="T32" s="54"/>
      <c r="U32" s="54"/>
      <c r="V32" s="54"/>
      <c r="W32" s="54"/>
      <c r="X32" s="54"/>
    </row>
    <row r="33" ht="30" customHeight="1" spans="2:24">
      <c r="B33" s="27"/>
      <c r="C33" s="27"/>
      <c r="D33" s="27"/>
      <c r="E33" s="25"/>
      <c r="F33" s="27"/>
      <c r="G33" s="27"/>
      <c r="H33" s="25">
        <f t="shared" si="0"/>
        <v>0</v>
      </c>
      <c r="I33" s="38"/>
      <c r="J33" s="40"/>
      <c r="K33" s="40"/>
      <c r="L33" s="40"/>
      <c r="M33" s="40"/>
      <c r="N33" s="27"/>
      <c r="O33" s="39">
        <f t="shared" si="2"/>
        <v>0</v>
      </c>
      <c r="P33" s="39">
        <f t="shared" si="3"/>
        <v>0</v>
      </c>
      <c r="Q33" s="25" t="b">
        <f t="shared" si="4"/>
        <v>0</v>
      </c>
      <c r="R33" s="39">
        <f t="shared" si="1"/>
        <v>0</v>
      </c>
      <c r="S33" s="54"/>
      <c r="T33" s="54"/>
      <c r="U33" s="54"/>
      <c r="V33" s="54"/>
      <c r="W33" s="54"/>
      <c r="X33" s="54"/>
    </row>
    <row r="34" ht="30" customHeight="1" spans="2:24">
      <c r="B34" s="27"/>
      <c r="C34" s="27"/>
      <c r="D34" s="25"/>
      <c r="E34" s="25"/>
      <c r="F34" s="27"/>
      <c r="G34" s="27"/>
      <c r="H34" s="25">
        <f t="shared" si="0"/>
        <v>0</v>
      </c>
      <c r="I34" s="38"/>
      <c r="J34" s="40"/>
      <c r="K34" s="40"/>
      <c r="L34" s="40"/>
      <c r="M34" s="40"/>
      <c r="N34" s="27"/>
      <c r="O34" s="39">
        <f t="shared" si="2"/>
        <v>0</v>
      </c>
      <c r="P34" s="39">
        <f t="shared" si="3"/>
        <v>0</v>
      </c>
      <c r="Q34" s="25" t="b">
        <f t="shared" si="4"/>
        <v>0</v>
      </c>
      <c r="R34" s="39">
        <f t="shared" si="1"/>
        <v>0</v>
      </c>
      <c r="S34" s="54"/>
      <c r="T34" s="54"/>
      <c r="U34" s="54"/>
      <c r="V34" s="54"/>
      <c r="W34" s="54"/>
      <c r="X34" s="54"/>
    </row>
    <row r="35" ht="30" customHeight="1" spans="2:24">
      <c r="B35" s="27"/>
      <c r="C35" s="27"/>
      <c r="D35" s="27"/>
      <c r="E35" s="25"/>
      <c r="F35" s="27"/>
      <c r="G35" s="27"/>
      <c r="H35" s="25">
        <f t="shared" si="0"/>
        <v>0</v>
      </c>
      <c r="I35" s="38"/>
      <c r="J35" s="40"/>
      <c r="K35" s="40"/>
      <c r="L35" s="40"/>
      <c r="M35" s="40"/>
      <c r="N35" s="27"/>
      <c r="O35" s="39">
        <f t="shared" si="2"/>
        <v>0</v>
      </c>
      <c r="P35" s="39">
        <f t="shared" si="3"/>
        <v>0</v>
      </c>
      <c r="Q35" s="25" t="b">
        <f t="shared" si="4"/>
        <v>0</v>
      </c>
      <c r="R35" s="39">
        <f t="shared" si="1"/>
        <v>0</v>
      </c>
      <c r="S35" s="54"/>
      <c r="T35" s="54"/>
      <c r="U35" s="54"/>
      <c r="V35" s="54"/>
      <c r="W35" s="54"/>
      <c r="X35" s="54"/>
    </row>
    <row r="36" ht="30" customHeight="1" spans="2:24">
      <c r="B36" s="27"/>
      <c r="C36" s="27"/>
      <c r="D36" s="27"/>
      <c r="E36" s="25"/>
      <c r="F36" s="27"/>
      <c r="G36" s="27"/>
      <c r="H36" s="25">
        <f t="shared" si="0"/>
        <v>0</v>
      </c>
      <c r="I36" s="38"/>
      <c r="J36" s="40"/>
      <c r="K36" s="40"/>
      <c r="L36" s="40"/>
      <c r="M36" s="40"/>
      <c r="N36" s="27"/>
      <c r="O36" s="39">
        <f t="shared" si="2"/>
        <v>0</v>
      </c>
      <c r="P36" s="39">
        <f t="shared" si="3"/>
        <v>0</v>
      </c>
      <c r="Q36" s="25" t="b">
        <f t="shared" si="4"/>
        <v>0</v>
      </c>
      <c r="R36" s="39">
        <f t="shared" si="1"/>
        <v>0</v>
      </c>
      <c r="S36" s="54"/>
      <c r="T36" s="54"/>
      <c r="U36" s="54"/>
      <c r="V36" s="54"/>
      <c r="W36" s="54"/>
      <c r="X36" s="54"/>
    </row>
    <row r="37" ht="30" customHeight="1" spans="2:26">
      <c r="B37" s="27"/>
      <c r="C37" s="27"/>
      <c r="D37" s="25"/>
      <c r="E37" s="25"/>
      <c r="F37" s="27"/>
      <c r="G37" s="27"/>
      <c r="H37" s="25">
        <f t="shared" si="0"/>
        <v>0</v>
      </c>
      <c r="I37" s="38"/>
      <c r="J37" s="40"/>
      <c r="K37" s="40"/>
      <c r="L37" s="40"/>
      <c r="M37" s="40"/>
      <c r="N37" s="27"/>
      <c r="O37" s="39">
        <f t="shared" si="2"/>
        <v>0</v>
      </c>
      <c r="P37" s="39">
        <f t="shared" si="3"/>
        <v>0</v>
      </c>
      <c r="Q37" s="25" t="b">
        <f t="shared" si="4"/>
        <v>0</v>
      </c>
      <c r="R37" s="39">
        <f t="shared" si="1"/>
        <v>0</v>
      </c>
      <c r="S37" s="54"/>
      <c r="T37" s="54"/>
      <c r="U37" s="54"/>
      <c r="V37" s="54"/>
      <c r="W37" s="54"/>
      <c r="X37" s="54"/>
      <c r="Z37" s="4">
        <f>6000-2910</f>
        <v>3090</v>
      </c>
    </row>
    <row r="38" ht="30" customHeight="1" spans="2:24">
      <c r="B38" s="27"/>
      <c r="C38" s="27"/>
      <c r="D38" s="27"/>
      <c r="E38" s="25"/>
      <c r="F38" s="27"/>
      <c r="G38" s="27"/>
      <c r="H38" s="25">
        <f t="shared" si="0"/>
        <v>0</v>
      </c>
      <c r="I38" s="38"/>
      <c r="J38" s="40"/>
      <c r="K38" s="40"/>
      <c r="L38" s="40"/>
      <c r="M38" s="40"/>
      <c r="N38" s="27"/>
      <c r="O38" s="39">
        <f t="shared" si="2"/>
        <v>0</v>
      </c>
      <c r="P38" s="39">
        <f t="shared" si="3"/>
        <v>0</v>
      </c>
      <c r="Q38" s="25" t="b">
        <f t="shared" si="4"/>
        <v>0</v>
      </c>
      <c r="R38" s="39">
        <f t="shared" si="1"/>
        <v>0</v>
      </c>
      <c r="S38" s="54"/>
      <c r="T38" s="54"/>
      <c r="U38" s="54"/>
      <c r="V38" s="54"/>
      <c r="W38" s="54"/>
      <c r="X38" s="54"/>
    </row>
    <row r="39" ht="30" customHeight="1" spans="2:24">
      <c r="B39" s="27"/>
      <c r="C39" s="27"/>
      <c r="D39" s="27"/>
      <c r="E39" s="25"/>
      <c r="F39" s="27"/>
      <c r="G39" s="27"/>
      <c r="H39" s="25">
        <f t="shared" si="0"/>
        <v>0</v>
      </c>
      <c r="I39" s="38"/>
      <c r="J39" s="40"/>
      <c r="K39" s="40"/>
      <c r="L39" s="40"/>
      <c r="M39" s="40"/>
      <c r="N39" s="27"/>
      <c r="O39" s="39">
        <f t="shared" si="2"/>
        <v>0</v>
      </c>
      <c r="P39" s="39">
        <f t="shared" si="3"/>
        <v>0</v>
      </c>
      <c r="Q39" s="25" t="b">
        <f t="shared" si="4"/>
        <v>0</v>
      </c>
      <c r="R39" s="39">
        <f t="shared" si="1"/>
        <v>0</v>
      </c>
      <c r="S39" s="54"/>
      <c r="T39" s="54"/>
      <c r="U39" s="54"/>
      <c r="V39" s="54"/>
      <c r="W39" s="54"/>
      <c r="X39" s="54"/>
    </row>
    <row r="40" ht="30" customHeight="1" spans="2:26">
      <c r="B40" s="27"/>
      <c r="C40" s="27"/>
      <c r="D40" s="25"/>
      <c r="E40" s="25"/>
      <c r="F40" s="27"/>
      <c r="G40" s="27"/>
      <c r="H40" s="25">
        <f t="shared" si="0"/>
        <v>0</v>
      </c>
      <c r="I40" s="38"/>
      <c r="J40" s="40"/>
      <c r="K40" s="40"/>
      <c r="L40" s="40"/>
      <c r="M40" s="40"/>
      <c r="N40" s="27"/>
      <c r="O40" s="39">
        <f t="shared" si="2"/>
        <v>0</v>
      </c>
      <c r="P40" s="39">
        <f t="shared" si="3"/>
        <v>0</v>
      </c>
      <c r="Q40" s="25" t="b">
        <f t="shared" si="4"/>
        <v>0</v>
      </c>
      <c r="R40" s="39">
        <f t="shared" si="1"/>
        <v>0</v>
      </c>
      <c r="S40" s="54"/>
      <c r="T40" s="54"/>
      <c r="U40" s="54"/>
      <c r="V40" s="54"/>
      <c r="W40" s="54"/>
      <c r="X40" s="54"/>
      <c r="Z40" s="4">
        <f>6000-1890</f>
        <v>4110</v>
      </c>
    </row>
    <row r="41" ht="30" customHeight="1" spans="2:24">
      <c r="B41" s="27"/>
      <c r="C41" s="27"/>
      <c r="D41" s="27"/>
      <c r="E41" s="25"/>
      <c r="F41" s="27"/>
      <c r="G41" s="27"/>
      <c r="H41" s="25">
        <f t="shared" si="0"/>
        <v>0</v>
      </c>
      <c r="I41" s="38"/>
      <c r="J41" s="40"/>
      <c r="K41" s="40"/>
      <c r="L41" s="40"/>
      <c r="M41" s="40"/>
      <c r="N41" s="27"/>
      <c r="O41" s="39">
        <f t="shared" si="2"/>
        <v>0</v>
      </c>
      <c r="P41" s="39">
        <f t="shared" si="3"/>
        <v>0</v>
      </c>
      <c r="Q41" s="25" t="b">
        <f t="shared" si="4"/>
        <v>0</v>
      </c>
      <c r="R41" s="39">
        <f t="shared" si="1"/>
        <v>0</v>
      </c>
      <c r="S41" s="54"/>
      <c r="T41" s="54"/>
      <c r="U41" s="54"/>
      <c r="V41" s="54"/>
      <c r="W41" s="54"/>
      <c r="X41" s="54"/>
    </row>
    <row r="42" ht="30" customHeight="1" spans="2:24">
      <c r="B42" s="27"/>
      <c r="C42" s="27"/>
      <c r="D42" s="27"/>
      <c r="E42" s="25"/>
      <c r="F42" s="27"/>
      <c r="G42" s="27"/>
      <c r="H42" s="25">
        <f t="shared" si="0"/>
        <v>0</v>
      </c>
      <c r="I42" s="38"/>
      <c r="J42" s="40"/>
      <c r="K42" s="40"/>
      <c r="L42" s="40"/>
      <c r="M42" s="40"/>
      <c r="N42" s="27"/>
      <c r="O42" s="39">
        <f t="shared" si="2"/>
        <v>0</v>
      </c>
      <c r="P42" s="39">
        <f t="shared" si="3"/>
        <v>0</v>
      </c>
      <c r="Q42" s="25" t="b">
        <f t="shared" si="4"/>
        <v>0</v>
      </c>
      <c r="R42" s="39">
        <f t="shared" si="1"/>
        <v>0</v>
      </c>
      <c r="S42" s="54"/>
      <c r="T42" s="54"/>
      <c r="U42" s="54"/>
      <c r="V42" s="54"/>
      <c r="W42" s="54"/>
      <c r="X42" s="54"/>
    </row>
    <row r="43" ht="30" customHeight="1" spans="2:24">
      <c r="B43" s="27"/>
      <c r="C43" s="27"/>
      <c r="D43" s="25"/>
      <c r="E43" s="25"/>
      <c r="F43" s="27"/>
      <c r="G43" s="27"/>
      <c r="H43" s="25">
        <f t="shared" si="0"/>
        <v>0</v>
      </c>
      <c r="I43" s="38"/>
      <c r="J43" s="40"/>
      <c r="K43" s="40"/>
      <c r="L43" s="40"/>
      <c r="M43" s="40"/>
      <c r="N43" s="27"/>
      <c r="O43" s="39">
        <f t="shared" si="2"/>
        <v>0</v>
      </c>
      <c r="P43" s="39">
        <f t="shared" si="3"/>
        <v>0</v>
      </c>
      <c r="Q43" s="25" t="b">
        <f t="shared" si="4"/>
        <v>0</v>
      </c>
      <c r="R43" s="39">
        <f t="shared" si="1"/>
        <v>0</v>
      </c>
      <c r="S43" s="54"/>
      <c r="T43" s="54"/>
      <c r="U43" s="54"/>
      <c r="V43" s="54"/>
      <c r="W43" s="54"/>
      <c r="X43" s="54"/>
    </row>
    <row r="44" ht="30" customHeight="1" spans="2:24">
      <c r="B44" s="27"/>
      <c r="C44" s="27"/>
      <c r="D44" s="27"/>
      <c r="E44" s="25"/>
      <c r="F44" s="27"/>
      <c r="G44" s="27"/>
      <c r="H44" s="25">
        <f t="shared" si="0"/>
        <v>0</v>
      </c>
      <c r="I44" s="38"/>
      <c r="J44" s="40"/>
      <c r="K44" s="40"/>
      <c r="L44" s="40"/>
      <c r="M44" s="40"/>
      <c r="N44" s="27"/>
      <c r="O44" s="39">
        <f t="shared" si="2"/>
        <v>0</v>
      </c>
      <c r="P44" s="39">
        <f t="shared" si="3"/>
        <v>0</v>
      </c>
      <c r="Q44" s="25" t="b">
        <f t="shared" si="4"/>
        <v>0</v>
      </c>
      <c r="R44" s="39">
        <f t="shared" si="1"/>
        <v>0</v>
      </c>
      <c r="S44" s="54"/>
      <c r="T44" s="54"/>
      <c r="U44" s="54"/>
      <c r="V44" s="54"/>
      <c r="W44" s="54"/>
      <c r="X44" s="54"/>
    </row>
    <row r="45" ht="30" customHeight="1" spans="2:24">
      <c r="B45" s="27"/>
      <c r="C45" s="27"/>
      <c r="D45" s="27"/>
      <c r="E45" s="25"/>
      <c r="F45" s="27"/>
      <c r="G45" s="27"/>
      <c r="H45" s="25">
        <f t="shared" si="0"/>
        <v>0</v>
      </c>
      <c r="I45" s="38"/>
      <c r="J45" s="40"/>
      <c r="K45" s="40"/>
      <c r="L45" s="40"/>
      <c r="M45" s="40"/>
      <c r="N45" s="27"/>
      <c r="O45" s="39">
        <f t="shared" si="2"/>
        <v>0</v>
      </c>
      <c r="P45" s="39">
        <f t="shared" si="3"/>
        <v>0</v>
      </c>
      <c r="Q45" s="25" t="b">
        <f t="shared" si="4"/>
        <v>0</v>
      </c>
      <c r="R45" s="39">
        <f t="shared" si="1"/>
        <v>0</v>
      </c>
      <c r="S45" s="54"/>
      <c r="T45" s="54"/>
      <c r="U45" s="54"/>
      <c r="V45" s="54"/>
      <c r="W45" s="54"/>
      <c r="X45" s="54"/>
    </row>
    <row r="46" ht="30" customHeight="1" spans="2:24">
      <c r="B46" s="27"/>
      <c r="C46" s="27"/>
      <c r="D46" s="25"/>
      <c r="E46" s="25"/>
      <c r="F46" s="27"/>
      <c r="G46" s="27"/>
      <c r="H46" s="25">
        <f t="shared" si="0"/>
        <v>0</v>
      </c>
      <c r="I46" s="38"/>
      <c r="J46" s="40"/>
      <c r="K46" s="40"/>
      <c r="L46" s="40"/>
      <c r="M46" s="40"/>
      <c r="N46" s="27"/>
      <c r="O46" s="39">
        <f t="shared" si="2"/>
        <v>0</v>
      </c>
      <c r="P46" s="39">
        <f t="shared" si="3"/>
        <v>0</v>
      </c>
      <c r="Q46" s="25" t="b">
        <f t="shared" si="4"/>
        <v>0</v>
      </c>
      <c r="R46" s="39">
        <f t="shared" si="1"/>
        <v>0</v>
      </c>
      <c r="S46" s="54"/>
      <c r="T46" s="54"/>
      <c r="U46" s="54"/>
      <c r="V46" s="54"/>
      <c r="W46" s="54"/>
      <c r="X46" s="54"/>
    </row>
    <row r="47" ht="30" customHeight="1" spans="2:24">
      <c r="B47" s="27"/>
      <c r="C47" s="27"/>
      <c r="D47" s="27"/>
      <c r="E47" s="25"/>
      <c r="F47" s="27"/>
      <c r="G47" s="27"/>
      <c r="H47" s="25">
        <f t="shared" si="0"/>
        <v>0</v>
      </c>
      <c r="I47" s="38"/>
      <c r="J47" s="40"/>
      <c r="K47" s="40"/>
      <c r="L47" s="40"/>
      <c r="M47" s="40"/>
      <c r="N47" s="27"/>
      <c r="O47" s="39">
        <f t="shared" si="2"/>
        <v>0</v>
      </c>
      <c r="P47" s="39">
        <f t="shared" si="3"/>
        <v>0</v>
      </c>
      <c r="Q47" s="25" t="b">
        <f t="shared" si="4"/>
        <v>0</v>
      </c>
      <c r="R47" s="39">
        <f t="shared" si="1"/>
        <v>0</v>
      </c>
      <c r="S47" s="54"/>
      <c r="T47" s="54"/>
      <c r="U47" s="54"/>
      <c r="V47" s="54"/>
      <c r="W47" s="54"/>
      <c r="X47" s="54"/>
    </row>
    <row r="48" ht="30" customHeight="1" spans="2:24">
      <c r="B48" s="27"/>
      <c r="C48" s="27"/>
      <c r="D48" s="27"/>
      <c r="E48" s="25"/>
      <c r="F48" s="27"/>
      <c r="G48" s="27"/>
      <c r="H48" s="25">
        <f t="shared" si="0"/>
        <v>0</v>
      </c>
      <c r="I48" s="38"/>
      <c r="J48" s="40"/>
      <c r="K48" s="40"/>
      <c r="L48" s="40"/>
      <c r="M48" s="40"/>
      <c r="N48" s="27"/>
      <c r="O48" s="39">
        <f t="shared" si="2"/>
        <v>0</v>
      </c>
      <c r="P48" s="39">
        <f t="shared" si="3"/>
        <v>0</v>
      </c>
      <c r="Q48" s="25" t="b">
        <f t="shared" si="4"/>
        <v>0</v>
      </c>
      <c r="R48" s="39">
        <f t="shared" si="1"/>
        <v>0</v>
      </c>
      <c r="S48" s="54"/>
      <c r="T48" s="54"/>
      <c r="U48" s="54"/>
      <c r="V48" s="54"/>
      <c r="W48" s="54"/>
      <c r="X48" s="54"/>
    </row>
    <row r="49" ht="30" customHeight="1" spans="2:24">
      <c r="B49" s="27"/>
      <c r="C49" s="27"/>
      <c r="D49" s="25"/>
      <c r="E49" s="25"/>
      <c r="F49" s="27"/>
      <c r="G49" s="27"/>
      <c r="H49" s="25">
        <f t="shared" si="0"/>
        <v>0</v>
      </c>
      <c r="I49" s="38"/>
      <c r="J49" s="40"/>
      <c r="K49" s="40"/>
      <c r="L49" s="40"/>
      <c r="M49" s="40"/>
      <c r="N49" s="27"/>
      <c r="O49" s="39">
        <f t="shared" si="2"/>
        <v>0</v>
      </c>
      <c r="P49" s="39">
        <f t="shared" si="3"/>
        <v>0</v>
      </c>
      <c r="Q49" s="25" t="b">
        <f t="shared" si="4"/>
        <v>0</v>
      </c>
      <c r="R49" s="39">
        <f t="shared" si="1"/>
        <v>0</v>
      </c>
      <c r="S49" s="54"/>
      <c r="T49" s="54"/>
      <c r="U49" s="54"/>
      <c r="V49" s="54"/>
      <c r="W49" s="54"/>
      <c r="X49" s="54"/>
    </row>
    <row r="50" ht="30" customHeight="1" spans="2:24">
      <c r="B50" s="27"/>
      <c r="C50" s="27"/>
      <c r="D50" s="27"/>
      <c r="E50" s="25"/>
      <c r="F50" s="27"/>
      <c r="G50" s="27"/>
      <c r="H50" s="25">
        <f t="shared" si="0"/>
        <v>0</v>
      </c>
      <c r="I50" s="38"/>
      <c r="J50" s="40"/>
      <c r="K50" s="40"/>
      <c r="L50" s="40"/>
      <c r="M50" s="40"/>
      <c r="N50" s="27"/>
      <c r="O50" s="39">
        <f t="shared" si="2"/>
        <v>0</v>
      </c>
      <c r="P50" s="39">
        <f t="shared" si="3"/>
        <v>0</v>
      </c>
      <c r="Q50" s="25" t="b">
        <f t="shared" si="4"/>
        <v>0</v>
      </c>
      <c r="R50" s="39">
        <f t="shared" si="1"/>
        <v>0</v>
      </c>
      <c r="S50" s="54"/>
      <c r="T50" s="54"/>
      <c r="U50" s="54"/>
      <c r="V50" s="54"/>
      <c r="W50" s="54"/>
      <c r="X50" s="54"/>
    </row>
    <row r="51" ht="30" customHeight="1" spans="2:26">
      <c r="B51" s="27"/>
      <c r="C51" s="27"/>
      <c r="D51" s="27"/>
      <c r="E51" s="25"/>
      <c r="F51" s="27"/>
      <c r="G51" s="27"/>
      <c r="H51" s="25">
        <f t="shared" si="0"/>
        <v>0</v>
      </c>
      <c r="I51" s="38"/>
      <c r="J51" s="40"/>
      <c r="K51" s="40"/>
      <c r="L51" s="40"/>
      <c r="M51" s="40"/>
      <c r="N51" s="27"/>
      <c r="O51" s="39">
        <f t="shared" si="2"/>
        <v>0</v>
      </c>
      <c r="P51" s="39">
        <f t="shared" si="3"/>
        <v>0</v>
      </c>
      <c r="Q51" s="25" t="b">
        <f t="shared" si="4"/>
        <v>0</v>
      </c>
      <c r="R51" s="39">
        <f t="shared" si="1"/>
        <v>0</v>
      </c>
      <c r="S51" s="54"/>
      <c r="T51" s="54"/>
      <c r="U51" s="54"/>
      <c r="V51" s="54"/>
      <c r="W51" s="54"/>
      <c r="X51" s="54"/>
      <c r="Z51" s="4">
        <f>1745+1600</f>
        <v>3345</v>
      </c>
    </row>
    <row r="52" ht="30" customHeight="1" spans="2:24">
      <c r="B52" s="27"/>
      <c r="C52" s="27"/>
      <c r="D52" s="25"/>
      <c r="E52" s="25"/>
      <c r="F52" s="27"/>
      <c r="G52" s="27"/>
      <c r="H52" s="25">
        <f t="shared" si="0"/>
        <v>0</v>
      </c>
      <c r="I52" s="38"/>
      <c r="J52" s="40"/>
      <c r="K52" s="40"/>
      <c r="L52" s="40"/>
      <c r="M52" s="40"/>
      <c r="N52" s="27"/>
      <c r="O52" s="39">
        <f t="shared" si="2"/>
        <v>0</v>
      </c>
      <c r="P52" s="39">
        <f t="shared" si="3"/>
        <v>0</v>
      </c>
      <c r="Q52" s="25" t="b">
        <f t="shared" si="4"/>
        <v>0</v>
      </c>
      <c r="R52" s="39">
        <f t="shared" si="1"/>
        <v>0</v>
      </c>
      <c r="S52" s="54"/>
      <c r="T52" s="54"/>
      <c r="U52" s="54"/>
      <c r="V52" s="54"/>
      <c r="W52" s="54"/>
      <c r="X52" s="54"/>
    </row>
    <row r="53" ht="30" customHeight="1" spans="2:24">
      <c r="B53" s="27"/>
      <c r="C53" s="27"/>
      <c r="D53" s="27"/>
      <c r="E53" s="25"/>
      <c r="F53" s="27"/>
      <c r="G53" s="27"/>
      <c r="H53" s="25">
        <f t="shared" si="0"/>
        <v>0</v>
      </c>
      <c r="I53" s="38"/>
      <c r="J53" s="40"/>
      <c r="K53" s="40"/>
      <c r="L53" s="40"/>
      <c r="M53" s="40"/>
      <c r="N53" s="27"/>
      <c r="O53" s="39">
        <f t="shared" si="2"/>
        <v>0</v>
      </c>
      <c r="P53" s="39">
        <f t="shared" si="3"/>
        <v>0</v>
      </c>
      <c r="Q53" s="25" t="b">
        <f t="shared" si="4"/>
        <v>0</v>
      </c>
      <c r="R53" s="39">
        <f t="shared" si="1"/>
        <v>0</v>
      </c>
      <c r="S53" s="54"/>
      <c r="T53" s="54"/>
      <c r="U53" s="54"/>
      <c r="V53" s="54"/>
      <c r="W53" s="54"/>
      <c r="X53" s="54"/>
    </row>
    <row r="54" ht="30" customHeight="1" spans="2:26">
      <c r="B54" s="27"/>
      <c r="C54" s="27"/>
      <c r="D54" s="27"/>
      <c r="E54" s="25"/>
      <c r="F54" s="27"/>
      <c r="G54" s="27"/>
      <c r="H54" s="25">
        <f t="shared" si="0"/>
        <v>0</v>
      </c>
      <c r="I54" s="38"/>
      <c r="J54" s="40"/>
      <c r="K54" s="40"/>
      <c r="L54" s="40"/>
      <c r="M54" s="40"/>
      <c r="N54" s="27"/>
      <c r="O54" s="39">
        <f t="shared" si="2"/>
        <v>0</v>
      </c>
      <c r="P54" s="39">
        <f t="shared" si="3"/>
        <v>0</v>
      </c>
      <c r="Q54" s="25" t="b">
        <f t="shared" si="4"/>
        <v>0</v>
      </c>
      <c r="R54" s="39">
        <f t="shared" si="1"/>
        <v>0</v>
      </c>
      <c r="S54" s="54"/>
      <c r="T54" s="54"/>
      <c r="U54" s="54"/>
      <c r="V54" s="54"/>
      <c r="W54" s="54"/>
      <c r="X54" s="54"/>
      <c r="Z54" s="4">
        <f>6000-2600</f>
        <v>3400</v>
      </c>
    </row>
    <row r="55" ht="30" customHeight="1" spans="2:24">
      <c r="B55" s="29"/>
      <c r="C55" s="29"/>
      <c r="D55" s="30"/>
      <c r="E55" s="30"/>
      <c r="F55" s="29"/>
      <c r="G55" s="29"/>
      <c r="H55" s="30"/>
      <c r="I55" s="41"/>
      <c r="J55" s="42"/>
      <c r="K55" s="42"/>
      <c r="L55" s="42"/>
      <c r="M55" s="42"/>
      <c r="N55" s="29"/>
      <c r="O55" s="43"/>
      <c r="P55" s="43"/>
      <c r="Q55" s="30"/>
      <c r="R55" s="43"/>
      <c r="S55" s="55"/>
      <c r="T55" s="55"/>
      <c r="U55" s="55"/>
      <c r="V55" s="55"/>
      <c r="W55" s="55"/>
      <c r="X55" s="55"/>
    </row>
    <row r="56" ht="30" customHeight="1" spans="2:24">
      <c r="B56" s="29"/>
      <c r="C56" s="29"/>
      <c r="D56" s="29"/>
      <c r="E56" s="30"/>
      <c r="F56" s="29"/>
      <c r="G56" s="29"/>
      <c r="H56" s="30">
        <f t="shared" si="0"/>
        <v>0</v>
      </c>
      <c r="I56" s="42"/>
      <c r="J56" s="42"/>
      <c r="K56" s="42"/>
      <c r="L56" s="42"/>
      <c r="M56" s="42"/>
      <c r="N56" s="29"/>
      <c r="O56" s="43">
        <f t="shared" si="2"/>
        <v>0</v>
      </c>
      <c r="P56" s="43">
        <f t="shared" si="3"/>
        <v>0</v>
      </c>
      <c r="Q56" s="30" t="b">
        <f t="shared" si="4"/>
        <v>0</v>
      </c>
      <c r="R56" s="43">
        <f t="shared" si="1"/>
        <v>0</v>
      </c>
      <c r="S56" s="55"/>
      <c r="T56" s="55"/>
      <c r="U56" s="55"/>
      <c r="V56" s="55"/>
      <c r="W56" s="55"/>
      <c r="X56" s="55"/>
    </row>
    <row r="57" ht="30" customHeight="1" spans="2:24">
      <c r="B57" s="29"/>
      <c r="C57" s="29"/>
      <c r="D57" s="29"/>
      <c r="E57" s="30"/>
      <c r="F57" s="29"/>
      <c r="G57" s="29"/>
      <c r="H57" s="30">
        <f t="shared" si="0"/>
        <v>0</v>
      </c>
      <c r="I57" s="42"/>
      <c r="J57" s="42"/>
      <c r="K57" s="42"/>
      <c r="L57" s="42"/>
      <c r="M57" s="42"/>
      <c r="N57" s="29"/>
      <c r="O57" s="43">
        <f t="shared" si="2"/>
        <v>0</v>
      </c>
      <c r="P57" s="43">
        <f t="shared" si="3"/>
        <v>0</v>
      </c>
      <c r="Q57" s="30" t="b">
        <f t="shared" si="4"/>
        <v>0</v>
      </c>
      <c r="R57" s="43">
        <f t="shared" si="1"/>
        <v>0</v>
      </c>
      <c r="S57" s="55"/>
      <c r="T57" s="55"/>
      <c r="U57" s="55"/>
      <c r="V57" s="55"/>
      <c r="W57" s="55"/>
      <c r="X57" s="55"/>
    </row>
    <row r="58" ht="30" customHeight="1" spans="2:24">
      <c r="B58" s="29"/>
      <c r="C58" s="29"/>
      <c r="D58" s="30"/>
      <c r="E58" s="30"/>
      <c r="F58" s="29"/>
      <c r="G58" s="29"/>
      <c r="H58" s="30">
        <f t="shared" si="0"/>
        <v>0</v>
      </c>
      <c r="I58" s="42"/>
      <c r="J58" s="42"/>
      <c r="K58" s="42"/>
      <c r="L58" s="42"/>
      <c r="M58" s="42"/>
      <c r="N58" s="29"/>
      <c r="O58" s="43">
        <f t="shared" si="2"/>
        <v>0</v>
      </c>
      <c r="P58" s="43">
        <f t="shared" si="3"/>
        <v>0</v>
      </c>
      <c r="Q58" s="30" t="b">
        <f t="shared" si="4"/>
        <v>0</v>
      </c>
      <c r="R58" s="43">
        <f t="shared" si="1"/>
        <v>0</v>
      </c>
      <c r="S58" s="55"/>
      <c r="T58" s="55"/>
      <c r="U58" s="55"/>
      <c r="V58" s="55"/>
      <c r="W58" s="55"/>
      <c r="X58" s="55"/>
    </row>
    <row r="59" ht="30" customHeight="1" spans="2:24">
      <c r="B59" s="29"/>
      <c r="C59" s="29"/>
      <c r="D59" s="29"/>
      <c r="E59" s="30"/>
      <c r="F59" s="29"/>
      <c r="G59" s="29"/>
      <c r="H59" s="30">
        <f t="shared" si="0"/>
        <v>0</v>
      </c>
      <c r="I59" s="42"/>
      <c r="J59" s="42"/>
      <c r="K59" s="42"/>
      <c r="L59" s="42"/>
      <c r="M59" s="42"/>
      <c r="N59" s="29"/>
      <c r="O59" s="43">
        <f t="shared" si="2"/>
        <v>0</v>
      </c>
      <c r="P59" s="43">
        <f t="shared" si="3"/>
        <v>0</v>
      </c>
      <c r="Q59" s="30" t="b">
        <f t="shared" si="4"/>
        <v>0</v>
      </c>
      <c r="R59" s="43">
        <f t="shared" si="1"/>
        <v>0</v>
      </c>
      <c r="S59" s="55"/>
      <c r="T59" s="55"/>
      <c r="U59" s="55"/>
      <c r="V59" s="55"/>
      <c r="W59" s="55"/>
      <c r="X59" s="55"/>
    </row>
    <row r="60" ht="30" customHeight="1" spans="2:25">
      <c r="B60" s="29"/>
      <c r="C60" s="29"/>
      <c r="D60" s="29"/>
      <c r="E60" s="30"/>
      <c r="F60" s="29"/>
      <c r="G60" s="29"/>
      <c r="H60" s="30">
        <f t="shared" si="0"/>
        <v>0</v>
      </c>
      <c r="I60" s="42"/>
      <c r="J60" s="42"/>
      <c r="K60" s="42"/>
      <c r="L60" s="42"/>
      <c r="M60" s="42"/>
      <c r="N60" s="29"/>
      <c r="O60" s="43">
        <f t="shared" si="2"/>
        <v>0</v>
      </c>
      <c r="P60" s="43">
        <f t="shared" si="3"/>
        <v>0</v>
      </c>
      <c r="Q60" s="30" t="b">
        <f t="shared" si="4"/>
        <v>0</v>
      </c>
      <c r="R60" s="43">
        <f t="shared" si="1"/>
        <v>0</v>
      </c>
      <c r="S60" s="55"/>
      <c r="T60" s="55"/>
      <c r="U60" s="55"/>
      <c r="V60" s="55"/>
      <c r="W60" s="55"/>
      <c r="X60" s="55"/>
      <c r="Y60" s="4">
        <v>1050</v>
      </c>
    </row>
    <row r="61" ht="30" customHeight="1" spans="2:25">
      <c r="B61" s="29"/>
      <c r="C61" s="29"/>
      <c r="D61" s="29"/>
      <c r="E61" s="30"/>
      <c r="F61" s="29"/>
      <c r="G61" s="29"/>
      <c r="H61" s="30"/>
      <c r="I61" s="42"/>
      <c r="J61" s="42"/>
      <c r="K61" s="42"/>
      <c r="L61" s="42"/>
      <c r="M61" s="42"/>
      <c r="N61" s="29"/>
      <c r="O61" s="43"/>
      <c r="P61" s="43"/>
      <c r="Q61" s="30"/>
      <c r="R61" s="43"/>
      <c r="S61" s="29"/>
      <c r="T61" s="29"/>
      <c r="U61" s="29"/>
      <c r="V61" s="29"/>
      <c r="W61" s="29"/>
      <c r="X61" s="29"/>
      <c r="Y61" s="4">
        <v>350</v>
      </c>
    </row>
    <row r="62" ht="32.25" customHeight="1" spans="2:24">
      <c r="B62" s="31"/>
      <c r="C62" s="31"/>
      <c r="D62" s="31"/>
      <c r="E62" s="31"/>
      <c r="F62" s="31"/>
      <c r="G62" s="31"/>
      <c r="H62" s="31"/>
      <c r="I62" s="31"/>
      <c r="J62" s="31"/>
      <c r="K62" s="31"/>
      <c r="L62" s="31"/>
      <c r="M62" s="31"/>
      <c r="N62" s="31"/>
      <c r="O62" s="31"/>
      <c r="P62" s="31"/>
      <c r="Q62" s="31"/>
      <c r="R62" s="56">
        <f>SUM(R10:R61)</f>
        <v>307.959</v>
      </c>
      <c r="S62" s="57"/>
      <c r="T62" s="57"/>
      <c r="U62" s="57"/>
      <c r="V62" s="57"/>
      <c r="W62" s="57"/>
      <c r="X62" s="57"/>
    </row>
    <row r="63" ht="25.35" customHeight="1" spans="2:24">
      <c r="B63" s="32" t="s">
        <v>250</v>
      </c>
      <c r="C63" s="33"/>
      <c r="D63" s="33"/>
      <c r="E63" s="33"/>
      <c r="F63" s="33"/>
      <c r="G63" s="33"/>
      <c r="H63" s="33"/>
      <c r="I63" s="33"/>
      <c r="J63" s="33"/>
      <c r="K63" s="33"/>
      <c r="L63" s="33"/>
      <c r="M63" s="33"/>
      <c r="N63" s="32" t="s">
        <v>251</v>
      </c>
      <c r="O63" s="33"/>
      <c r="P63" s="33"/>
      <c r="Q63" s="33"/>
      <c r="R63" s="33"/>
      <c r="S63" s="33"/>
      <c r="T63" s="33"/>
      <c r="U63" s="33"/>
      <c r="V63" s="33"/>
      <c r="W63" s="33"/>
      <c r="X63" s="58"/>
    </row>
    <row r="64" ht="14.25" spans="2:24">
      <c r="B64" s="34"/>
      <c r="C64" s="35"/>
      <c r="D64" s="35"/>
      <c r="E64" s="35"/>
      <c r="F64" s="35"/>
      <c r="G64" s="35"/>
      <c r="H64" s="35"/>
      <c r="I64" s="35"/>
      <c r="J64" s="35"/>
      <c r="K64" s="35"/>
      <c r="L64" s="35"/>
      <c r="M64" s="35"/>
      <c r="N64" s="34"/>
      <c r="O64" s="35"/>
      <c r="P64" s="35"/>
      <c r="Q64" s="35"/>
      <c r="R64" s="35"/>
      <c r="S64" s="35"/>
      <c r="T64" s="35"/>
      <c r="U64" s="35"/>
      <c r="V64" s="35"/>
      <c r="W64" s="35"/>
      <c r="X64" s="59"/>
    </row>
    <row r="66" ht="30.75" customHeight="1" spans="1:1">
      <c r="A66" s="4" t="s">
        <v>252</v>
      </c>
    </row>
    <row r="67" ht="28.5" customHeight="1" spans="1:24">
      <c r="A67" s="4" t="s">
        <v>253</v>
      </c>
      <c r="X67" s="61" t="e">
        <f>#REF!+#REF!+#REF!+#REF!+#REF!+#REF!+#REF!+#REF!+#REF!+R62</f>
        <v>#REF!</v>
      </c>
    </row>
    <row r="68" spans="16:18">
      <c r="P68" s="61">
        <f>SUM(P10:P60)</f>
        <v>474.436854249492</v>
      </c>
      <c r="R68" s="62">
        <f>+R62+'[1]Wet well base 2'!R27</f>
        <v>307.959</v>
      </c>
    </row>
  </sheetData>
  <autoFilter xmlns:etc="http://www.wps.cn/officeDocument/2017/etCustomData" ref="E1:E64" etc:filterBottomFollowUsedRange="0">
    <extLst/>
  </autoFilter>
  <mergeCells count="136">
    <mergeCell ref="B1:X1"/>
    <mergeCell ref="B5:D5"/>
    <mergeCell ref="E5:R5"/>
    <mergeCell ref="S5:U5"/>
    <mergeCell ref="W5:X5"/>
    <mergeCell ref="B6:D6"/>
    <mergeCell ref="E6:R6"/>
    <mergeCell ref="S6:V6"/>
    <mergeCell ref="W6:X6"/>
    <mergeCell ref="I7:N7"/>
    <mergeCell ref="B9:X9"/>
    <mergeCell ref="AG9:AI9"/>
    <mergeCell ref="B10:C10"/>
    <mergeCell ref="S10:X10"/>
    <mergeCell ref="AG10:AI10"/>
    <mergeCell ref="B11:C11"/>
    <mergeCell ref="S11:X11"/>
    <mergeCell ref="AG11:AI11"/>
    <mergeCell ref="B12:X12"/>
    <mergeCell ref="AG12:AI12"/>
    <mergeCell ref="B13:C13"/>
    <mergeCell ref="S13:X13"/>
    <mergeCell ref="B14:C14"/>
    <mergeCell ref="S14:X14"/>
    <mergeCell ref="B15:C15"/>
    <mergeCell ref="S15:X15"/>
    <mergeCell ref="B16:C16"/>
    <mergeCell ref="S16:X16"/>
    <mergeCell ref="B17:C17"/>
    <mergeCell ref="S17:X17"/>
    <mergeCell ref="B18:C18"/>
    <mergeCell ref="S18:X18"/>
    <mergeCell ref="B19:C19"/>
    <mergeCell ref="S19:X19"/>
    <mergeCell ref="B20:C20"/>
    <mergeCell ref="S20:X20"/>
    <mergeCell ref="AG20:AI20"/>
    <mergeCell ref="B21:C21"/>
    <mergeCell ref="S21:X21"/>
    <mergeCell ref="B22:C22"/>
    <mergeCell ref="S22:X22"/>
    <mergeCell ref="B23:C23"/>
    <mergeCell ref="S23:X23"/>
    <mergeCell ref="B24:C24"/>
    <mergeCell ref="S24:X24"/>
    <mergeCell ref="B25:C25"/>
    <mergeCell ref="S25:X25"/>
    <mergeCell ref="AG25:AI25"/>
    <mergeCell ref="B26:C26"/>
    <mergeCell ref="S26:X26"/>
    <mergeCell ref="B27:C27"/>
    <mergeCell ref="S27:X27"/>
    <mergeCell ref="B28:C28"/>
    <mergeCell ref="S28:X28"/>
    <mergeCell ref="B29:C29"/>
    <mergeCell ref="S29:X29"/>
    <mergeCell ref="B30:C30"/>
    <mergeCell ref="S30:X30"/>
    <mergeCell ref="B31:C31"/>
    <mergeCell ref="S31:X31"/>
    <mergeCell ref="B32:C32"/>
    <mergeCell ref="S32:X32"/>
    <mergeCell ref="B33:C33"/>
    <mergeCell ref="S33:X33"/>
    <mergeCell ref="B34:C34"/>
    <mergeCell ref="S34:X34"/>
    <mergeCell ref="B35:C35"/>
    <mergeCell ref="S35:X35"/>
    <mergeCell ref="B36:C36"/>
    <mergeCell ref="S36:X36"/>
    <mergeCell ref="B37:C37"/>
    <mergeCell ref="S37:X37"/>
    <mergeCell ref="B38:C38"/>
    <mergeCell ref="S38:X38"/>
    <mergeCell ref="B39:C39"/>
    <mergeCell ref="S39:X39"/>
    <mergeCell ref="B40:C40"/>
    <mergeCell ref="S40:X40"/>
    <mergeCell ref="B41:C41"/>
    <mergeCell ref="S41:X41"/>
    <mergeCell ref="B42:C42"/>
    <mergeCell ref="S42:X42"/>
    <mergeCell ref="B43:C43"/>
    <mergeCell ref="S43:X43"/>
    <mergeCell ref="B44:C44"/>
    <mergeCell ref="S44:X44"/>
    <mergeCell ref="B45:C45"/>
    <mergeCell ref="S45:X45"/>
    <mergeCell ref="B46:C46"/>
    <mergeCell ref="S46:X46"/>
    <mergeCell ref="B47:C47"/>
    <mergeCell ref="S47:X47"/>
    <mergeCell ref="B48:C48"/>
    <mergeCell ref="S48:X48"/>
    <mergeCell ref="B49:C49"/>
    <mergeCell ref="S49:X49"/>
    <mergeCell ref="B50:C50"/>
    <mergeCell ref="S50:X50"/>
    <mergeCell ref="B51:C51"/>
    <mergeCell ref="S51:X51"/>
    <mergeCell ref="S52:X52"/>
    <mergeCell ref="S53:X53"/>
    <mergeCell ref="B54:C54"/>
    <mergeCell ref="S54:X54"/>
    <mergeCell ref="B55:C55"/>
    <mergeCell ref="S55:X55"/>
    <mergeCell ref="B56:C56"/>
    <mergeCell ref="S56:X56"/>
    <mergeCell ref="B57:C57"/>
    <mergeCell ref="S57:X57"/>
    <mergeCell ref="B58:C58"/>
    <mergeCell ref="S58:X58"/>
    <mergeCell ref="B59:C59"/>
    <mergeCell ref="S59:X59"/>
    <mergeCell ref="B60:C60"/>
    <mergeCell ref="S60:X60"/>
    <mergeCell ref="B61:C61"/>
    <mergeCell ref="S61:X61"/>
    <mergeCell ref="B62:Q62"/>
    <mergeCell ref="S62:X62"/>
    <mergeCell ref="A66:I66"/>
    <mergeCell ref="A67:I67"/>
    <mergeCell ref="D7:D8"/>
    <mergeCell ref="E7:E8"/>
    <mergeCell ref="F7:F8"/>
    <mergeCell ref="G7:G8"/>
    <mergeCell ref="H7:H8"/>
    <mergeCell ref="O7:O8"/>
    <mergeCell ref="P7:P8"/>
    <mergeCell ref="Q7:Q8"/>
    <mergeCell ref="R7:R8"/>
    <mergeCell ref="B2:X4"/>
    <mergeCell ref="S7:X8"/>
    <mergeCell ref="B7:C8"/>
    <mergeCell ref="B63:M64"/>
    <mergeCell ref="N63:X64"/>
  </mergeCells>
  <dataValidations count="3">
    <dataValidation type="list" allowBlank="1" showInputMessage="1" showErrorMessage="1" sqref="E10 E13:E19 E21:E61">
      <formula1>$AB$5:$AB$11</formula1>
    </dataValidation>
    <dataValidation type="list" allowBlank="1" showInputMessage="1" showErrorMessage="1" sqref="Q10 Q13:Q19 Q21:Q61">
      <formula1>$AC$5:$AC$11</formula1>
    </dataValidation>
    <dataValidation allowBlank="1" showInputMessage="1" showErrorMessage="1" sqref="E11 Q11 E20 Q20"/>
  </dataValidations>
  <printOptions verticalCentered="1"/>
  <pageMargins left="0.31" right="0" top="0.18" bottom="0.02" header="0.22" footer="0"/>
  <pageSetup paperSize="9" scale="68" orientation="landscape"/>
  <headerFooter/>
  <rowBreaks count="1" manualBreakCount="1">
    <brk id="64" max="23"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11</vt:i4>
      </vt:variant>
    </vt:vector>
  </HeadingPairs>
  <TitlesOfParts>
    <vt:vector size="11" baseType="lpstr">
      <vt:lpstr>BOQ</vt:lpstr>
      <vt:lpstr>Site Preparation</vt:lpstr>
      <vt:lpstr>Excavation</vt:lpstr>
      <vt:lpstr>Substructure</vt:lpstr>
      <vt:lpstr>Superstructure</vt:lpstr>
      <vt:lpstr>Roof</vt:lpstr>
      <vt:lpstr>Plumbing</vt:lpstr>
      <vt:lpstr>Electrical</vt:lpstr>
      <vt:lpstr>Doors and Windows</vt:lpstr>
      <vt:lpstr>Finishes</vt:lpstr>
      <vt:lpstr>Bar Schedule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dilshan.jayawickrama</cp:lastModifiedBy>
  <dcterms:created xsi:type="dcterms:W3CDTF">2025-08-27T09:47:00Z</dcterms:created>
  <dcterms:modified xsi:type="dcterms:W3CDTF">2025-09-03T03:48:43Z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6B785A57D26546D6ACC00321592CE9A2_12</vt:lpwstr>
  </property>
  <property fmtid="{D5CDD505-2E9C-101B-9397-08002B2CF9AE}" pid="3" name="KSOProductBuildVer">
    <vt:lpwstr>1033-12.2.0.20326</vt:lpwstr>
  </property>
</Properties>
</file>